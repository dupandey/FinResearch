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C:\Users\Ashim Mandal\Desktop\EVRI\"/>
    </mc:Choice>
  </mc:AlternateContent>
  <bookViews>
    <workbookView xWindow="0" yWindow="0" windowWidth="19200" windowHeight="10125" tabRatio="822"/>
  </bookViews>
  <sheets>
    <sheet name="IS" sheetId="59" r:id="rId1"/>
    <sheet name="CF" sheetId="61" r:id="rId2"/>
    <sheet name="BS" sheetId="62" r:id="rId3"/>
    <sheet name="IS_NG" sheetId="60" r:id="rId4"/>
    <sheet name="RD" sheetId="58" r:id="rId5"/>
    <sheet name="Chart Table" sheetId="48" state="hidden" r:id="rId6"/>
  </sheets>
  <functionGroups builtInGroupCount="18"/>
  <externalReferences>
    <externalReference r:id="rId7"/>
    <externalReference r:id="rId8"/>
    <externalReference r:id="rId9"/>
    <externalReference r:id="rId10"/>
    <externalReference r:id="rId11"/>
    <externalReference r:id="rId12"/>
  </externalReferences>
  <definedNames>
    <definedName name="__FDS_HYPERLINK_TOGGLE_STATE__" hidden="1">"ON"</definedName>
    <definedName name="__FDS_UNIQUE_RANGE_ID_GENERATOR_COUNTER" hidden="1">4099</definedName>
    <definedName name="_1__FDSAUDITLINK__" hidden="1">{"fdsup://directions/FAT Viewer?action=UPDATE&amp;creator=factset&amp;DYN_ARGS=TRUE&amp;DOC_NAME=FAT:FQL_AUDITING_CLIENT_TEMPLATE.FAT&amp;display_string=Audit&amp;VAR:KEY=WBWLALEFAD&amp;VAR:QUERY=Q1NGX0RFQlQoUVRSX1IsMCk=&amp;WINDOW=FIRST_POPUP&amp;HEIGHT=450&amp;WIDTH=450&amp;START_MAXIMIZED=FALS","E&amp;VAR:CALENDAR=US&amp;VAR:SYMBOL=DOW&amp;VAR:INDEX=0"}</definedName>
    <definedName name="_10__FDSAUDITLINK__" hidden="1">{"fdsup://directions/FAT Viewer?action=UPDATE&amp;creator=factset&amp;DYN_ARGS=TRUE&amp;DOC_NAME=FAT:FQL_AUDITING_CLIENT_TEMPLATE.FAT&amp;display_string=Audit&amp;VAR:KEY=YXSJYLYXUV&amp;VAR:QUERY=Q1NGX0dST1NTX0lOQyhRVFJfUiwtM0FZLDAsRlEp&amp;WINDOW=FIRST_POPUP&amp;HEIGHT=450&amp;WIDTH=450&amp;STAR","T_MAXIMIZED=FALSE&amp;VAR:CALENDAR=US&amp;VAR:SYMBOL=EMN&amp;VAR:INDEX=3"}</definedName>
    <definedName name="_100__FDSAUDITLINK__" hidden="1">{"fdsup://directions/FAT Viewer?action=UPDATE&amp;creator=factset&amp;DYN_ARGS=TRUE&amp;DOC_NAME=FAT:FQL_AUDITING_CLIENT_TEMPLATE.FAT&amp;display_string=Audit&amp;VAR:KEY=YLYTKFIJQN&amp;VAR:QUERY=Q1NGX0VCSVRfT1BFUihRVFJfUiwtM0FZLDAsRlEp&amp;WINDOW=FIRST_POPUP&amp;HEIGHT=450&amp;WIDTH=450&amp;STAR","T_MAXIMIZED=FALSE&amp;VAR:CALENDAR=US&amp;VAR:SYMBOL=PPG&amp;VAR:INDEX=4"}</definedName>
    <definedName name="_1000__FDSAUDITLINK__" hidden="1">{"fdsup://directions/FAT Viewer?action=UPDATE&amp;creator=factset&amp;DYN_ARGS=TRUE&amp;DOC_NAME=FAT:FQL_AUDITING_CLIENT_TEMPLATE.FAT&amp;display_string=Audit&amp;VAR:KEY=OTUPUTYLMH&amp;VAR:QUERY=Q1NGX1NBTEVTKEFOTiwxMi8zMS8xOTgwLDAp&amp;WINDOW=FIRST_POPUP&amp;HEIGHT=450&amp;WIDTH=450&amp;START_MA","XIMIZED=FALSE&amp;VAR:CALENDAR=US&amp;VAR:SYMBOL=ARG&amp;VAR:INDEX=18"}</definedName>
    <definedName name="_1001__FDSAUDITLINK__" hidden="1">{"fdsup://directions/FAT Viewer?action=UPDATE&amp;creator=factset&amp;DYN_ARGS=TRUE&amp;DOC_NAME=FAT:FQL_AUDITING_CLIENT_TEMPLATE.FAT&amp;display_string=Audit&amp;VAR:KEY=OTUPUTYLMH&amp;VAR:QUERY=Q1NGX1NBTEVTKEFOTiwxMi8zMS8xOTgwLDAp&amp;WINDOW=FIRST_POPUP&amp;HEIGHT=450&amp;WIDTH=450&amp;START_MA","XIMIZED=FALSE&amp;VAR:CALENDAR=US&amp;VAR:SYMBOL=ARG&amp;VAR:INDEX=17"}</definedName>
    <definedName name="_1002__FDSAUDITLINK__" hidden="1">{"fdsup://directions/FAT Viewer?action=UPDATE&amp;creator=factset&amp;DYN_ARGS=TRUE&amp;DOC_NAME=FAT:FQL_AUDITING_CLIENT_TEMPLATE.FAT&amp;display_string=Audit&amp;VAR:KEY=OTUPUTYLMH&amp;VAR:QUERY=Q1NGX1NBTEVTKEFOTiwxMi8zMS8xOTgwLDAp&amp;WINDOW=FIRST_POPUP&amp;HEIGHT=450&amp;WIDTH=450&amp;START_MA","XIMIZED=FALSE&amp;VAR:CALENDAR=US&amp;VAR:SYMBOL=ARG&amp;VAR:INDEX=16"}</definedName>
    <definedName name="_1003__FDSAUDITLINK__" hidden="1">{"fdsup://directions/FAT Viewer?action=UPDATE&amp;creator=factset&amp;DYN_ARGS=TRUE&amp;DOC_NAME=FAT:FQL_AUDITING_CLIENT_TEMPLATE.FAT&amp;display_string=Audit&amp;VAR:KEY=OTUPUTYLMH&amp;VAR:QUERY=Q1NGX1NBTEVTKEFOTiwxMi8zMS8xOTgwLDAp&amp;WINDOW=FIRST_POPUP&amp;HEIGHT=450&amp;WIDTH=450&amp;START_MA","XIMIZED=FALSE&amp;VAR:CALENDAR=US&amp;VAR:SYMBOL=ARG&amp;VAR:INDEX=15"}</definedName>
    <definedName name="_1004__FDSAUDITLINK__" hidden="1">{"fdsup://directions/FAT Viewer?action=UPDATE&amp;creator=factset&amp;DYN_ARGS=TRUE&amp;DOC_NAME=FAT:FQL_AUDITING_CLIENT_TEMPLATE.FAT&amp;display_string=Audit&amp;VAR:KEY=OTUPUTYLMH&amp;VAR:QUERY=Q1NGX1NBTEVTKEFOTiwxMi8zMS8xOTgwLDAp&amp;WINDOW=FIRST_POPUP&amp;HEIGHT=450&amp;WIDTH=450&amp;START_MA","XIMIZED=FALSE&amp;VAR:CALENDAR=US&amp;VAR:SYMBOL=ARG&amp;VAR:INDEX=14"}</definedName>
    <definedName name="_1005__FDSAUDITLINK__" hidden="1">{"fdsup://directions/FAT Viewer?action=UPDATE&amp;creator=factset&amp;DYN_ARGS=TRUE&amp;DOC_NAME=FAT:FQL_AUDITING_CLIENT_TEMPLATE.FAT&amp;display_string=Audit&amp;VAR:KEY=OTUPUTYLMH&amp;VAR:QUERY=Q1NGX1NBTEVTKEFOTiwxMi8zMS8xOTgwLDAp&amp;WINDOW=FIRST_POPUP&amp;HEIGHT=450&amp;WIDTH=450&amp;START_MA","XIMIZED=FALSE&amp;VAR:CALENDAR=US&amp;VAR:SYMBOL=ARG&amp;VAR:INDEX=13"}</definedName>
    <definedName name="_1006__FDSAUDITLINK__" hidden="1">{"fdsup://directions/FAT Viewer?action=UPDATE&amp;creator=factset&amp;DYN_ARGS=TRUE&amp;DOC_NAME=FAT:FQL_AUDITING_CLIENT_TEMPLATE.FAT&amp;display_string=Audit&amp;VAR:KEY=OTUPUTYLMH&amp;VAR:QUERY=Q1NGX1NBTEVTKEFOTiwxMi8zMS8xOTgwLDAp&amp;WINDOW=FIRST_POPUP&amp;HEIGHT=450&amp;WIDTH=450&amp;START_MA","XIMIZED=FALSE&amp;VAR:CALENDAR=US&amp;VAR:SYMBOL=ARG&amp;VAR:INDEX=12"}</definedName>
    <definedName name="_1007__FDSAUDITLINK__" hidden="1">{"fdsup://directions/FAT Viewer?action=UPDATE&amp;creator=factset&amp;DYN_ARGS=TRUE&amp;DOC_NAME=FAT:FQL_AUDITING_CLIENT_TEMPLATE.FAT&amp;display_string=Audit&amp;VAR:KEY=OTUPUTYLMH&amp;VAR:QUERY=Q1NGX1NBTEVTKEFOTiwxMi8zMS8xOTgwLDAp&amp;WINDOW=FIRST_POPUP&amp;HEIGHT=450&amp;WIDTH=450&amp;START_MA","XIMIZED=FALSE&amp;VAR:CALENDAR=US&amp;VAR:SYMBOL=ARG&amp;VAR:INDEX=11"}</definedName>
    <definedName name="_1008__FDSAUDITLINK__" hidden="1">{"fdsup://directions/FAT Viewer?action=UPDATE&amp;creator=factset&amp;DYN_ARGS=TRUE&amp;DOC_NAME=FAT:FQL_AUDITING_CLIENT_TEMPLATE.FAT&amp;display_string=Audit&amp;VAR:KEY=OTUPUTYLMH&amp;VAR:QUERY=Q1NGX1NBTEVTKEFOTiwxMi8zMS8xOTgwLDAp&amp;WINDOW=FIRST_POPUP&amp;HEIGHT=450&amp;WIDTH=450&amp;START_MA","XIMIZED=FALSE&amp;VAR:CALENDAR=US&amp;VAR:SYMBOL=ARG&amp;VAR:INDEX=10"}</definedName>
    <definedName name="_1009__FDSAUDITLINK__" hidden="1">{"fdsup://directions/FAT Viewer?action=UPDATE&amp;creator=factset&amp;DYN_ARGS=TRUE&amp;DOC_NAME=FAT:FQL_AUDITING_CLIENT_TEMPLATE.FAT&amp;display_string=Audit&amp;VAR:KEY=OTUPUTYLMH&amp;VAR:QUERY=Q1NGX1NBTEVTKEFOTiwxMi8zMS8xOTgwLDAp&amp;WINDOW=FIRST_POPUP&amp;HEIGHT=450&amp;WIDTH=450&amp;START_MA","XIMIZED=FALSE&amp;VAR:CALENDAR=US&amp;VAR:SYMBOL=ARG&amp;VAR:INDEX=9"}</definedName>
    <definedName name="_101__FDSAUDITLINK__" hidden="1">{"fdsup://directions/FAT Viewer?action=UPDATE&amp;creator=factset&amp;DYN_ARGS=TRUE&amp;DOC_NAME=FAT:FQL_AUDITING_CLIENT_TEMPLATE.FAT&amp;display_string=Audit&amp;VAR:KEY=YLYTKFIJQN&amp;VAR:QUERY=Q1NGX0VCSVRfT1BFUihRVFJfUiwtM0FZLDAsRlEp&amp;WINDOW=FIRST_POPUP&amp;HEIGHT=450&amp;WIDTH=450&amp;STAR","T_MAXIMIZED=FALSE&amp;VAR:CALENDAR=US&amp;VAR:SYMBOL=PPG&amp;VAR:INDEX=3"}</definedName>
    <definedName name="_1010__FDSAUDITLINK__" hidden="1">{"fdsup://directions/FAT Viewer?action=UPDATE&amp;creator=factset&amp;DYN_ARGS=TRUE&amp;DOC_NAME=FAT:FQL_AUDITING_CLIENT_TEMPLATE.FAT&amp;display_string=Audit&amp;VAR:KEY=OTUPUTYLMH&amp;VAR:QUERY=Q1NGX1NBTEVTKEFOTiwxMi8zMS8xOTgwLDAp&amp;WINDOW=FIRST_POPUP&amp;HEIGHT=450&amp;WIDTH=450&amp;START_MA","XIMIZED=FALSE&amp;VAR:CALENDAR=US&amp;VAR:SYMBOL=ARG&amp;VAR:INDEX=8"}</definedName>
    <definedName name="_1011__FDSAUDITLINK__" hidden="1">{"fdsup://directions/FAT Viewer?action=UPDATE&amp;creator=factset&amp;DYN_ARGS=TRUE&amp;DOC_NAME=FAT:FQL_AUDITING_CLIENT_TEMPLATE.FAT&amp;display_string=Audit&amp;VAR:KEY=OTUPUTYLMH&amp;VAR:QUERY=Q1NGX1NBTEVTKEFOTiwxMi8zMS8xOTgwLDAp&amp;WINDOW=FIRST_POPUP&amp;HEIGHT=450&amp;WIDTH=450&amp;START_MA","XIMIZED=FALSE&amp;VAR:CALENDAR=US&amp;VAR:SYMBOL=ARG&amp;VAR:INDEX=7"}</definedName>
    <definedName name="_1012__FDSAUDITLINK__" hidden="1">{"fdsup://directions/FAT Viewer?action=UPDATE&amp;creator=factset&amp;DYN_ARGS=TRUE&amp;DOC_NAME=FAT:FQL_AUDITING_CLIENT_TEMPLATE.FAT&amp;display_string=Audit&amp;VAR:KEY=OTUPUTYLMH&amp;VAR:QUERY=Q1NGX1NBTEVTKEFOTiwxMi8zMS8xOTgwLDAp&amp;WINDOW=FIRST_POPUP&amp;HEIGHT=450&amp;WIDTH=450&amp;START_MA","XIMIZED=FALSE&amp;VAR:CALENDAR=US&amp;VAR:SYMBOL=ARG&amp;VAR:INDEX=6"}</definedName>
    <definedName name="_1013__FDSAUDITLINK__" hidden="1">{"fdsup://directions/FAT Viewer?action=UPDATE&amp;creator=factset&amp;DYN_ARGS=TRUE&amp;DOC_NAME=FAT:FQL_AUDITING_CLIENT_TEMPLATE.FAT&amp;display_string=Audit&amp;VAR:KEY=OTUPUTYLMH&amp;VAR:QUERY=Q1NGX1NBTEVTKEFOTiwxMi8zMS8xOTgwLDAp&amp;WINDOW=FIRST_POPUP&amp;HEIGHT=450&amp;WIDTH=450&amp;START_MA","XIMIZED=FALSE&amp;VAR:CALENDAR=US&amp;VAR:SYMBOL=ARG&amp;VAR:INDEX=5"}</definedName>
    <definedName name="_1014__FDSAUDITLINK__" hidden="1">{"fdsup://directions/FAT Viewer?action=UPDATE&amp;creator=factset&amp;DYN_ARGS=TRUE&amp;DOC_NAME=FAT:FQL_AUDITING_CLIENT_TEMPLATE.FAT&amp;display_string=Audit&amp;VAR:KEY=OTUPUTYLMH&amp;VAR:QUERY=Q1NGX1NBTEVTKEFOTiwxMi8zMS8xOTgwLDAp&amp;WINDOW=FIRST_POPUP&amp;HEIGHT=450&amp;WIDTH=450&amp;START_MA","XIMIZED=FALSE&amp;VAR:CALENDAR=US&amp;VAR:SYMBOL=ARG&amp;VAR:INDEX=4"}</definedName>
    <definedName name="_1015__FDSAUDITLINK__" hidden="1">{"fdsup://directions/FAT Viewer?action=UPDATE&amp;creator=factset&amp;DYN_ARGS=TRUE&amp;DOC_NAME=FAT:FQL_AUDITING_CLIENT_TEMPLATE.FAT&amp;display_string=Audit&amp;VAR:KEY=OTUPUTYLMH&amp;VAR:QUERY=Q1NGX1NBTEVTKEFOTiwxMi8zMS8xOTgwLDAp&amp;WINDOW=FIRST_POPUP&amp;HEIGHT=450&amp;WIDTH=450&amp;START_MA","XIMIZED=FALSE&amp;VAR:CALENDAR=US&amp;VAR:SYMBOL=ARG&amp;VAR:INDEX=3"}</definedName>
    <definedName name="_1016__FDSAUDITLINK__" hidden="1">{"fdsup://directions/FAT Viewer?action=UPDATE&amp;creator=factset&amp;DYN_ARGS=TRUE&amp;DOC_NAME=FAT:FQL_AUDITING_CLIENT_TEMPLATE.FAT&amp;display_string=Audit&amp;VAR:KEY=OTUPUTYLMH&amp;VAR:QUERY=Q1NGX1NBTEVTKEFOTiwxMi8zMS8xOTgwLDAp&amp;WINDOW=FIRST_POPUP&amp;HEIGHT=450&amp;WIDTH=450&amp;START_MA","XIMIZED=FALSE&amp;VAR:CALENDAR=US&amp;VAR:SYMBOL=ARG&amp;VAR:INDEX=2"}</definedName>
    <definedName name="_1017__FDSAUDITLINK__" hidden="1">{"fdsup://directions/FAT Viewer?action=UPDATE&amp;creator=factset&amp;DYN_ARGS=TRUE&amp;DOC_NAME=FAT:FQL_AUDITING_CLIENT_TEMPLATE.FAT&amp;display_string=Audit&amp;VAR:KEY=OTUPUTYLMH&amp;VAR:QUERY=Q1NGX1NBTEVTKEFOTiwxMi8zMS8xOTgwLDAp&amp;WINDOW=FIRST_POPUP&amp;HEIGHT=450&amp;WIDTH=450&amp;START_MA","XIMIZED=FALSE&amp;VAR:CALENDAR=US&amp;VAR:SYMBOL=ARG&amp;VAR:INDEX=1"}</definedName>
    <definedName name="_1018__FDSAUDITLINK__" hidden="1">{"fdsup://directions/FAT Viewer?action=UPDATE&amp;creator=factset&amp;DYN_ARGS=TRUE&amp;DOC_NAME=FAT:FQL_AUDITING_CLIENT_TEMPLATE.FAT&amp;display_string=Audit&amp;VAR:KEY=OTUPUTYLMH&amp;VAR:QUERY=Q1NGX1NBTEVTKEFOTiwxMi8zMS8xOTgwLDAp&amp;WINDOW=FIRST_POPUP&amp;HEIGHT=450&amp;WIDTH=450&amp;START_MA","XIMIZED=FALSE&amp;VAR:CALENDAR=US&amp;VAR:SYMBOL=ARG&amp;VAR:INDEX=0"}</definedName>
    <definedName name="_1019__FDSAUDITLINK__" hidden="1">{"fdsup://directions/FAT Viewer?action=UPDATE&amp;creator=factset&amp;DYN_ARGS=TRUE&amp;DOC_NAME=FAT:FQL_AUDITING_CLIENT_TEMPLATE.FAT&amp;display_string=Audit&amp;VAR:KEY=WLYDWDOFCP&amp;VAR:QUERY=Q1NGX1NBTEVTKEFOTiwxMi8zMS8xOTgwLDEyLzMxLzIwMDkp&amp;WINDOW=FIRST_POPUP&amp;HEIGHT=450&amp;WIDTH=","450&amp;START_MAXIMIZED=FALSE&amp;VAR:CALENDAR=US&amp;VAR:SYMBOL=AGU&amp;VAR:INDEX=29"}</definedName>
    <definedName name="_102__FDSAUDITLINK__" hidden="1">{"fdsup://directions/FAT Viewer?action=UPDATE&amp;creator=factset&amp;DYN_ARGS=TRUE&amp;DOC_NAME=FAT:FQL_AUDITING_CLIENT_TEMPLATE.FAT&amp;display_string=Audit&amp;VAR:KEY=YLYTKFIJQN&amp;VAR:QUERY=Q1NGX0VCSVRfT1BFUihRVFJfUiwtM0FZLDAsRlEp&amp;WINDOW=FIRST_POPUP&amp;HEIGHT=450&amp;WIDTH=450&amp;STAR","T_MAXIMIZED=FALSE&amp;VAR:CALENDAR=US&amp;VAR:SYMBOL=PPG&amp;VAR:INDEX=2"}</definedName>
    <definedName name="_1020__FDSAUDITLINK__" hidden="1">{"fdsup://directions/FAT Viewer?action=UPDATE&amp;creator=factset&amp;DYN_ARGS=TRUE&amp;DOC_NAME=FAT:FQL_AUDITING_CLIENT_TEMPLATE.FAT&amp;display_string=Audit&amp;VAR:KEY=WLYDWDOFCP&amp;VAR:QUERY=Q1NGX1NBTEVTKEFOTiwxMi8zMS8xOTgwLDEyLzMxLzIwMDkp&amp;WINDOW=FIRST_POPUP&amp;HEIGHT=450&amp;WIDTH=","450&amp;START_MAXIMIZED=FALSE&amp;VAR:CALENDAR=US&amp;VAR:SYMBOL=AGU&amp;VAR:INDEX=28"}</definedName>
    <definedName name="_1021__FDSAUDITLINK__" hidden="1">{"fdsup://directions/FAT Viewer?action=UPDATE&amp;creator=factset&amp;DYN_ARGS=TRUE&amp;DOC_NAME=FAT:FQL_AUDITING_CLIENT_TEMPLATE.FAT&amp;display_string=Audit&amp;VAR:KEY=WLYDWDOFCP&amp;VAR:QUERY=Q1NGX1NBTEVTKEFOTiwxMi8zMS8xOTgwLDEyLzMxLzIwMDkp&amp;WINDOW=FIRST_POPUP&amp;HEIGHT=450&amp;WIDTH=","450&amp;START_MAXIMIZED=FALSE&amp;VAR:CALENDAR=US&amp;VAR:SYMBOL=AGU&amp;VAR:INDEX=27"}</definedName>
    <definedName name="_1022__FDSAUDITLINK__" hidden="1">{"fdsup://directions/FAT Viewer?action=UPDATE&amp;creator=factset&amp;DYN_ARGS=TRUE&amp;DOC_NAME=FAT:FQL_AUDITING_CLIENT_TEMPLATE.FAT&amp;display_string=Audit&amp;VAR:KEY=WLYDWDOFCP&amp;VAR:QUERY=Q1NGX1NBTEVTKEFOTiwxMi8zMS8xOTgwLDEyLzMxLzIwMDkp&amp;WINDOW=FIRST_POPUP&amp;HEIGHT=450&amp;WIDTH=","450&amp;START_MAXIMIZED=FALSE&amp;VAR:CALENDAR=US&amp;VAR:SYMBOL=AGU&amp;VAR:INDEX=26"}</definedName>
    <definedName name="_1023__FDSAUDITLINK__" hidden="1">{"fdsup://directions/FAT Viewer?action=UPDATE&amp;creator=factset&amp;DYN_ARGS=TRUE&amp;DOC_NAME=FAT:FQL_AUDITING_CLIENT_TEMPLATE.FAT&amp;display_string=Audit&amp;VAR:KEY=WLYDWDOFCP&amp;VAR:QUERY=Q1NGX1NBTEVTKEFOTiwxMi8zMS8xOTgwLDEyLzMxLzIwMDkp&amp;WINDOW=FIRST_POPUP&amp;HEIGHT=450&amp;WIDTH=","450&amp;START_MAXIMIZED=FALSE&amp;VAR:CALENDAR=US&amp;VAR:SYMBOL=AGU&amp;VAR:INDEX=25"}</definedName>
    <definedName name="_1024__FDSAUDITLINK__" hidden="1">{"fdsup://directions/FAT Viewer?action=UPDATE&amp;creator=factset&amp;DYN_ARGS=TRUE&amp;DOC_NAME=FAT:FQL_AUDITING_CLIENT_TEMPLATE.FAT&amp;display_string=Audit&amp;VAR:KEY=WLYDWDOFCP&amp;VAR:QUERY=Q1NGX1NBTEVTKEFOTiwxMi8zMS8xOTgwLDEyLzMxLzIwMDkp&amp;WINDOW=FIRST_POPUP&amp;HEIGHT=450&amp;WIDTH=","450&amp;START_MAXIMIZED=FALSE&amp;VAR:CALENDAR=US&amp;VAR:SYMBOL=AGU&amp;VAR:INDEX=24"}</definedName>
    <definedName name="_1025__FDSAUDITLINK__" hidden="1">{"fdsup://directions/FAT Viewer?action=UPDATE&amp;creator=factset&amp;DYN_ARGS=TRUE&amp;DOC_NAME=FAT:FQL_AUDITING_CLIENT_TEMPLATE.FAT&amp;display_string=Audit&amp;VAR:KEY=WLYDWDOFCP&amp;VAR:QUERY=Q1NGX1NBTEVTKEFOTiwxMi8zMS8xOTgwLDEyLzMxLzIwMDkp&amp;WINDOW=FIRST_POPUP&amp;HEIGHT=450&amp;WIDTH=","450&amp;START_MAXIMIZED=FALSE&amp;VAR:CALENDAR=US&amp;VAR:SYMBOL=AGU&amp;VAR:INDEX=23"}</definedName>
    <definedName name="_1026__FDSAUDITLINK__" hidden="1">{"fdsup://directions/FAT Viewer?action=UPDATE&amp;creator=factset&amp;DYN_ARGS=TRUE&amp;DOC_NAME=FAT:FQL_AUDITING_CLIENT_TEMPLATE.FAT&amp;display_string=Audit&amp;VAR:KEY=WLYDWDOFCP&amp;VAR:QUERY=Q1NGX1NBTEVTKEFOTiwxMi8zMS8xOTgwLDEyLzMxLzIwMDkp&amp;WINDOW=FIRST_POPUP&amp;HEIGHT=450&amp;WIDTH=","450&amp;START_MAXIMIZED=FALSE&amp;VAR:CALENDAR=US&amp;VAR:SYMBOL=AGU&amp;VAR:INDEX=22"}</definedName>
    <definedName name="_1027__FDSAUDITLINK__" hidden="1">{"fdsup://directions/FAT Viewer?action=UPDATE&amp;creator=factset&amp;DYN_ARGS=TRUE&amp;DOC_NAME=FAT:FQL_AUDITING_CLIENT_TEMPLATE.FAT&amp;display_string=Audit&amp;VAR:KEY=WLYDWDOFCP&amp;VAR:QUERY=Q1NGX1NBTEVTKEFOTiwxMi8zMS8xOTgwLDEyLzMxLzIwMDkp&amp;WINDOW=FIRST_POPUP&amp;HEIGHT=450&amp;WIDTH=","450&amp;START_MAXIMIZED=FALSE&amp;VAR:CALENDAR=US&amp;VAR:SYMBOL=AGU&amp;VAR:INDEX=21"}</definedName>
    <definedName name="_1028__FDSAUDITLINK__" hidden="1">{"fdsup://directions/FAT Viewer?action=UPDATE&amp;creator=factset&amp;DYN_ARGS=TRUE&amp;DOC_NAME=FAT:FQL_AUDITING_CLIENT_TEMPLATE.FAT&amp;display_string=Audit&amp;VAR:KEY=WLYDWDOFCP&amp;VAR:QUERY=Q1NGX1NBTEVTKEFOTiwxMi8zMS8xOTgwLDEyLzMxLzIwMDkp&amp;WINDOW=FIRST_POPUP&amp;HEIGHT=450&amp;WIDTH=","450&amp;START_MAXIMIZED=FALSE&amp;VAR:CALENDAR=US&amp;VAR:SYMBOL=AGU&amp;VAR:INDEX=20"}</definedName>
    <definedName name="_1029__FDSAUDITLINK__" hidden="1">{"fdsup://directions/FAT Viewer?action=UPDATE&amp;creator=factset&amp;DYN_ARGS=TRUE&amp;DOC_NAME=FAT:FQL_AUDITING_CLIENT_TEMPLATE.FAT&amp;display_string=Audit&amp;VAR:KEY=WLYDWDOFCP&amp;VAR:QUERY=Q1NGX1NBTEVTKEFOTiwxMi8zMS8xOTgwLDEyLzMxLzIwMDkp&amp;WINDOW=FIRST_POPUP&amp;HEIGHT=450&amp;WIDTH=","450&amp;START_MAXIMIZED=FALSE&amp;VAR:CALENDAR=US&amp;VAR:SYMBOL=AGU&amp;VAR:INDEX=19"}</definedName>
    <definedName name="_103__FDSAUDITLINK__" hidden="1">{"fdsup://directions/FAT Viewer?action=UPDATE&amp;creator=factset&amp;DYN_ARGS=TRUE&amp;DOC_NAME=FAT:FQL_AUDITING_CLIENT_TEMPLATE.FAT&amp;display_string=Audit&amp;VAR:KEY=YLYTKFIJQN&amp;VAR:QUERY=Q1NGX0VCSVRfT1BFUihRVFJfUiwtM0FZLDAsRlEp&amp;WINDOW=FIRST_POPUP&amp;HEIGHT=450&amp;WIDTH=450&amp;STAR","T_MAXIMIZED=FALSE&amp;VAR:CALENDAR=US&amp;VAR:SYMBOL=PPG&amp;VAR:INDEX=1"}</definedName>
    <definedName name="_1030__FDSAUDITLINK__" hidden="1">{"fdsup://directions/FAT Viewer?action=UPDATE&amp;creator=factset&amp;DYN_ARGS=TRUE&amp;DOC_NAME=FAT:FQL_AUDITING_CLIENT_TEMPLATE.FAT&amp;display_string=Audit&amp;VAR:KEY=WLYDWDOFCP&amp;VAR:QUERY=Q1NGX1NBTEVTKEFOTiwxMi8zMS8xOTgwLDEyLzMxLzIwMDkp&amp;WINDOW=FIRST_POPUP&amp;HEIGHT=450&amp;WIDTH=","450&amp;START_MAXIMIZED=FALSE&amp;VAR:CALENDAR=US&amp;VAR:SYMBOL=AGU&amp;VAR:INDEX=18"}</definedName>
    <definedName name="_1031__FDSAUDITLINK__" hidden="1">{"fdsup://directions/FAT Viewer?action=UPDATE&amp;creator=factset&amp;DYN_ARGS=TRUE&amp;DOC_NAME=FAT:FQL_AUDITING_CLIENT_TEMPLATE.FAT&amp;display_string=Audit&amp;VAR:KEY=WLYDWDOFCP&amp;VAR:QUERY=Q1NGX1NBTEVTKEFOTiwxMi8zMS8xOTgwLDEyLzMxLzIwMDkp&amp;WINDOW=FIRST_POPUP&amp;HEIGHT=450&amp;WIDTH=","450&amp;START_MAXIMIZED=FALSE&amp;VAR:CALENDAR=US&amp;VAR:SYMBOL=AGU&amp;VAR:INDEX=17"}</definedName>
    <definedName name="_1032__FDSAUDITLINK__" hidden="1">{"fdsup://directions/FAT Viewer?action=UPDATE&amp;creator=factset&amp;DYN_ARGS=TRUE&amp;DOC_NAME=FAT:FQL_AUDITING_CLIENT_TEMPLATE.FAT&amp;display_string=Audit&amp;VAR:KEY=WLYDWDOFCP&amp;VAR:QUERY=Q1NGX1NBTEVTKEFOTiwxMi8zMS8xOTgwLDEyLzMxLzIwMDkp&amp;WINDOW=FIRST_POPUP&amp;HEIGHT=450&amp;WIDTH=","450&amp;START_MAXIMIZED=FALSE&amp;VAR:CALENDAR=US&amp;VAR:SYMBOL=AGU&amp;VAR:INDEX=16"}</definedName>
    <definedName name="_1033__FDSAUDITLINK__" hidden="1">{"fdsup://directions/FAT Viewer?action=UPDATE&amp;creator=factset&amp;DYN_ARGS=TRUE&amp;DOC_NAME=FAT:FQL_AUDITING_CLIENT_TEMPLATE.FAT&amp;display_string=Audit&amp;VAR:KEY=WLYDWDOFCP&amp;VAR:QUERY=Q1NGX1NBTEVTKEFOTiwxMi8zMS8xOTgwLDEyLzMxLzIwMDkp&amp;WINDOW=FIRST_POPUP&amp;HEIGHT=450&amp;WIDTH=","450&amp;START_MAXIMIZED=FALSE&amp;VAR:CALENDAR=US&amp;VAR:SYMBOL=AGU&amp;VAR:INDEX=15"}</definedName>
    <definedName name="_1034__FDSAUDITLINK__" hidden="1">{"fdsup://directions/FAT Viewer?action=UPDATE&amp;creator=factset&amp;DYN_ARGS=TRUE&amp;DOC_NAME=FAT:FQL_AUDITING_CLIENT_TEMPLATE.FAT&amp;display_string=Audit&amp;VAR:KEY=WLYDWDOFCP&amp;VAR:QUERY=Q1NGX1NBTEVTKEFOTiwxMi8zMS8xOTgwLDEyLzMxLzIwMDkp&amp;WINDOW=FIRST_POPUP&amp;HEIGHT=450&amp;WIDTH=","450&amp;START_MAXIMIZED=FALSE&amp;VAR:CALENDAR=US&amp;VAR:SYMBOL=AGU&amp;VAR:INDEX=14"}</definedName>
    <definedName name="_1035__FDSAUDITLINK__" hidden="1">{"fdsup://directions/FAT Viewer?action=UPDATE&amp;creator=factset&amp;DYN_ARGS=TRUE&amp;DOC_NAME=FAT:FQL_AUDITING_CLIENT_TEMPLATE.FAT&amp;display_string=Audit&amp;VAR:KEY=WLYDWDOFCP&amp;VAR:QUERY=Q1NGX1NBTEVTKEFOTiwxMi8zMS8xOTgwLDEyLzMxLzIwMDkp&amp;WINDOW=FIRST_POPUP&amp;HEIGHT=450&amp;WIDTH=","450&amp;START_MAXIMIZED=FALSE&amp;VAR:CALENDAR=US&amp;VAR:SYMBOL=AGU&amp;VAR:INDEX=13"}</definedName>
    <definedName name="_1036__FDSAUDITLINK__" hidden="1">{"fdsup://directions/FAT Viewer?action=UPDATE&amp;creator=factset&amp;DYN_ARGS=TRUE&amp;DOC_NAME=FAT:FQL_AUDITING_CLIENT_TEMPLATE.FAT&amp;display_string=Audit&amp;VAR:KEY=WLYDWDOFCP&amp;VAR:QUERY=Q1NGX1NBTEVTKEFOTiwxMi8zMS8xOTgwLDEyLzMxLzIwMDkp&amp;WINDOW=FIRST_POPUP&amp;HEIGHT=450&amp;WIDTH=","450&amp;START_MAXIMIZED=FALSE&amp;VAR:CALENDAR=US&amp;VAR:SYMBOL=AGU&amp;VAR:INDEX=12"}</definedName>
    <definedName name="_1037__FDSAUDITLINK__" hidden="1">{"fdsup://directions/FAT Viewer?action=UPDATE&amp;creator=factset&amp;DYN_ARGS=TRUE&amp;DOC_NAME=FAT:FQL_AUDITING_CLIENT_TEMPLATE.FAT&amp;display_string=Audit&amp;VAR:KEY=WLYDWDOFCP&amp;VAR:QUERY=Q1NGX1NBTEVTKEFOTiwxMi8zMS8xOTgwLDEyLzMxLzIwMDkp&amp;WINDOW=FIRST_POPUP&amp;HEIGHT=450&amp;WIDTH=","450&amp;START_MAXIMIZED=FALSE&amp;VAR:CALENDAR=US&amp;VAR:SYMBOL=AGU&amp;VAR:INDEX=11"}</definedName>
    <definedName name="_1038__FDSAUDITLINK__" hidden="1">{"fdsup://directions/FAT Viewer?action=UPDATE&amp;creator=factset&amp;DYN_ARGS=TRUE&amp;DOC_NAME=FAT:FQL_AUDITING_CLIENT_TEMPLATE.FAT&amp;display_string=Audit&amp;VAR:KEY=WLYDWDOFCP&amp;VAR:QUERY=Q1NGX1NBTEVTKEFOTiwxMi8zMS8xOTgwLDEyLzMxLzIwMDkp&amp;WINDOW=FIRST_POPUP&amp;HEIGHT=450&amp;WIDTH=","450&amp;START_MAXIMIZED=FALSE&amp;VAR:CALENDAR=US&amp;VAR:SYMBOL=AGU&amp;VAR:INDEX=10"}</definedName>
    <definedName name="_1039__FDSAUDITLINK__" hidden="1">{"fdsup://directions/FAT Viewer?action=UPDATE&amp;creator=factset&amp;DYN_ARGS=TRUE&amp;DOC_NAME=FAT:FQL_AUDITING_CLIENT_TEMPLATE.FAT&amp;display_string=Audit&amp;VAR:KEY=WLYDWDOFCP&amp;VAR:QUERY=Q1NGX1NBTEVTKEFOTiwxMi8zMS8xOTgwLDEyLzMxLzIwMDkp&amp;WINDOW=FIRST_POPUP&amp;HEIGHT=450&amp;WIDTH=","450&amp;START_MAXIMIZED=FALSE&amp;VAR:CALENDAR=US&amp;VAR:SYMBOL=AGU&amp;VAR:INDEX=9"}</definedName>
    <definedName name="_104__FDSAUDITLINK__" hidden="1">{"fdsup://directions/FAT Viewer?action=UPDATE&amp;creator=factset&amp;DYN_ARGS=TRUE&amp;DOC_NAME=FAT:FQL_AUDITING_CLIENT_TEMPLATE.FAT&amp;display_string=Audit&amp;VAR:KEY=YLYTKFIJQN&amp;VAR:QUERY=Q1NGX0VCSVRfT1BFUihRVFJfUiwtM0FZLDAsRlEp&amp;WINDOW=FIRST_POPUP&amp;HEIGHT=450&amp;WIDTH=450&amp;STAR","T_MAXIMIZED=FALSE&amp;VAR:CALENDAR=US&amp;VAR:SYMBOL=PPG&amp;VAR:INDEX=0"}</definedName>
    <definedName name="_1040__FDSAUDITLINK__" hidden="1">{"fdsup://directions/FAT Viewer?action=UPDATE&amp;creator=factset&amp;DYN_ARGS=TRUE&amp;DOC_NAME=FAT:FQL_AUDITING_CLIENT_TEMPLATE.FAT&amp;display_string=Audit&amp;VAR:KEY=WLYDWDOFCP&amp;VAR:QUERY=Q1NGX1NBTEVTKEFOTiwxMi8zMS8xOTgwLDEyLzMxLzIwMDkp&amp;WINDOW=FIRST_POPUP&amp;HEIGHT=450&amp;WIDTH=","450&amp;START_MAXIMIZED=FALSE&amp;VAR:CALENDAR=US&amp;VAR:SYMBOL=AGU&amp;VAR:INDEX=8"}</definedName>
    <definedName name="_1041__FDSAUDITLINK__" hidden="1">{"fdsup://directions/FAT Viewer?action=UPDATE&amp;creator=factset&amp;DYN_ARGS=TRUE&amp;DOC_NAME=FAT:FQL_AUDITING_CLIENT_TEMPLATE.FAT&amp;display_string=Audit&amp;VAR:KEY=WLYDWDOFCP&amp;VAR:QUERY=Q1NGX1NBTEVTKEFOTiwxMi8zMS8xOTgwLDEyLzMxLzIwMDkp&amp;WINDOW=FIRST_POPUP&amp;HEIGHT=450&amp;WIDTH=","450&amp;START_MAXIMIZED=FALSE&amp;VAR:CALENDAR=US&amp;VAR:SYMBOL=AGU&amp;VAR:INDEX=7"}</definedName>
    <definedName name="_1042__FDSAUDITLINK__" hidden="1">{"fdsup://directions/FAT Viewer?action=UPDATE&amp;creator=factset&amp;DYN_ARGS=TRUE&amp;DOC_NAME=FAT:FQL_AUDITING_CLIENT_TEMPLATE.FAT&amp;display_string=Audit&amp;VAR:KEY=WLYDWDOFCP&amp;VAR:QUERY=Q1NGX1NBTEVTKEFOTiwxMi8zMS8xOTgwLDEyLzMxLzIwMDkp&amp;WINDOW=FIRST_POPUP&amp;HEIGHT=450&amp;WIDTH=","450&amp;START_MAXIMIZED=FALSE&amp;VAR:CALENDAR=US&amp;VAR:SYMBOL=AGU&amp;VAR:INDEX=6"}</definedName>
    <definedName name="_1043__FDSAUDITLINK__" hidden="1">{"fdsup://directions/FAT Viewer?action=UPDATE&amp;creator=factset&amp;DYN_ARGS=TRUE&amp;DOC_NAME=FAT:FQL_AUDITING_CLIENT_TEMPLATE.FAT&amp;display_string=Audit&amp;VAR:KEY=WLYDWDOFCP&amp;VAR:QUERY=Q1NGX1NBTEVTKEFOTiwxMi8zMS8xOTgwLDEyLzMxLzIwMDkp&amp;WINDOW=FIRST_POPUP&amp;HEIGHT=450&amp;WIDTH=","450&amp;START_MAXIMIZED=FALSE&amp;VAR:CALENDAR=US&amp;VAR:SYMBOL=AGU&amp;VAR:INDEX=5"}</definedName>
    <definedName name="_1044__FDSAUDITLINK__" hidden="1">{"fdsup://directions/FAT Viewer?action=UPDATE&amp;creator=factset&amp;DYN_ARGS=TRUE&amp;DOC_NAME=FAT:FQL_AUDITING_CLIENT_TEMPLATE.FAT&amp;display_string=Audit&amp;VAR:KEY=WLYDWDOFCP&amp;VAR:QUERY=Q1NGX1NBTEVTKEFOTiwxMi8zMS8xOTgwLDEyLzMxLzIwMDkp&amp;WINDOW=FIRST_POPUP&amp;HEIGHT=450&amp;WIDTH=","450&amp;START_MAXIMIZED=FALSE&amp;VAR:CALENDAR=US&amp;VAR:SYMBOL=AGU&amp;VAR:INDEX=4"}</definedName>
    <definedName name="_1045__FDSAUDITLINK__" hidden="1">{"fdsup://directions/FAT Viewer?action=UPDATE&amp;creator=factset&amp;DYN_ARGS=TRUE&amp;DOC_NAME=FAT:FQL_AUDITING_CLIENT_TEMPLATE.FAT&amp;display_string=Audit&amp;VAR:KEY=WLYDWDOFCP&amp;VAR:QUERY=Q1NGX1NBTEVTKEFOTiwxMi8zMS8xOTgwLDEyLzMxLzIwMDkp&amp;WINDOW=FIRST_POPUP&amp;HEIGHT=450&amp;WIDTH=","450&amp;START_MAXIMIZED=FALSE&amp;VAR:CALENDAR=US&amp;VAR:SYMBOL=AGU&amp;VAR:INDEX=3"}</definedName>
    <definedName name="_1046__FDSAUDITLINK__" hidden="1">{"fdsup://directions/FAT Viewer?action=UPDATE&amp;creator=factset&amp;DYN_ARGS=TRUE&amp;DOC_NAME=FAT:FQL_AUDITING_CLIENT_TEMPLATE.FAT&amp;display_string=Audit&amp;VAR:KEY=WLYDWDOFCP&amp;VAR:QUERY=Q1NGX1NBTEVTKEFOTiwxMi8zMS8xOTgwLDEyLzMxLzIwMDkp&amp;WINDOW=FIRST_POPUP&amp;HEIGHT=450&amp;WIDTH=","450&amp;START_MAXIMIZED=FALSE&amp;VAR:CALENDAR=US&amp;VAR:SYMBOL=AGU&amp;VAR:INDEX=2"}</definedName>
    <definedName name="_1047__FDSAUDITLINK__" hidden="1">{"fdsup://directions/FAT Viewer?action=UPDATE&amp;creator=factset&amp;DYN_ARGS=TRUE&amp;DOC_NAME=FAT:FQL_AUDITING_CLIENT_TEMPLATE.FAT&amp;display_string=Audit&amp;VAR:KEY=WLYDWDOFCP&amp;VAR:QUERY=Q1NGX1NBTEVTKEFOTiwxMi8zMS8xOTgwLDEyLzMxLzIwMDkp&amp;WINDOW=FIRST_POPUP&amp;HEIGHT=450&amp;WIDTH=","450&amp;START_MAXIMIZED=FALSE&amp;VAR:CALENDAR=US&amp;VAR:SYMBOL=AGU&amp;VAR:INDEX=1"}</definedName>
    <definedName name="_1048__FDSAUDITLINK__" hidden="1">{"fdsup://directions/FAT Viewer?action=UPDATE&amp;creator=factset&amp;DYN_ARGS=TRUE&amp;DOC_NAME=FAT:FQL_AUDITING_CLIENT_TEMPLATE.FAT&amp;display_string=Audit&amp;VAR:KEY=WLYDWDOFCP&amp;VAR:QUERY=Q1NGX1NBTEVTKEFOTiwxMi8zMS8xOTgwLDEyLzMxLzIwMDkp&amp;WINDOW=FIRST_POPUP&amp;HEIGHT=450&amp;WIDTH=","450&amp;START_MAXIMIZED=FALSE&amp;VAR:CALENDAR=US&amp;VAR:SYMBOL=AGU&amp;VAR:INDEX=0"}</definedName>
    <definedName name="_1049__FDSAUDITLINK__" hidden="1">{"fdsup://directions/FAT Viewer?action=UPDATE&amp;creator=factset&amp;DYN_ARGS=TRUE&amp;DOC_NAME=FAT:FQL_AUDITING_CLIENT_TEMPLATE.FAT&amp;display_string=Audit&amp;VAR:KEY=CXWTKLQJAF&amp;VAR:QUERY=Q1NGX0dST1NTX0lOQyhBTk4sMTIvMzEvMTk4MCwxMi8zMS8yMDA5LEFZKQ==&amp;WINDOW=FIRST_POPUP&amp;HEIGH","T=450&amp;WIDTH=450&amp;START_MAXIMIZED=FALSE&amp;VAR:CALENDAR=US&amp;VAR:SYMBOL=DD&amp;VAR:INDEX=29"}</definedName>
    <definedName name="_105__FDSAUDITLINK__" hidden="1">{"fdsup://directions/FAT Viewer?action=UPDATE&amp;creator=factset&amp;DYN_ARGS=TRUE&amp;DOC_NAME=FAT:FQL_AUDITING_CLIENT_TEMPLATE.FAT&amp;display_string=Audit&amp;VAR:KEY=GPAZQPKRKR&amp;VAR:QUERY=Q1NGX0VCSVRfT1BFUihRVFJfUiwtM0FZLDAsRlEp&amp;WINDOW=FIRST_POPUP&amp;HEIGHT=450&amp;WIDTH=450&amp;STAR","T_MAXIMIZED=FALSE&amp;VAR:CALENDAR=US&amp;VAR:SYMBOL=DOW&amp;VAR:INDEX=12"}</definedName>
    <definedName name="_1050__FDSAUDITLINK__" hidden="1">{"fdsup://directions/FAT Viewer?action=UPDATE&amp;creator=factset&amp;DYN_ARGS=TRUE&amp;DOC_NAME=FAT:FQL_AUDITING_CLIENT_TEMPLATE.FAT&amp;display_string=Audit&amp;VAR:KEY=CXWTKLQJAF&amp;VAR:QUERY=Q1NGX0dST1NTX0lOQyhBTk4sMTIvMzEvMTk4MCwxMi8zMS8yMDA5LEFZKQ==&amp;WINDOW=FIRST_POPUP&amp;HEIGH","T=450&amp;WIDTH=450&amp;START_MAXIMIZED=FALSE&amp;VAR:CALENDAR=US&amp;VAR:SYMBOL=DD&amp;VAR:INDEX=28"}</definedName>
    <definedName name="_1051__FDSAUDITLINK__" hidden="1">{"fdsup://directions/FAT Viewer?action=UPDATE&amp;creator=factset&amp;DYN_ARGS=TRUE&amp;DOC_NAME=FAT:FQL_AUDITING_CLIENT_TEMPLATE.FAT&amp;display_string=Audit&amp;VAR:KEY=CXWTKLQJAF&amp;VAR:QUERY=Q1NGX0dST1NTX0lOQyhBTk4sMTIvMzEvMTk4MCwxMi8zMS8yMDA5LEFZKQ==&amp;WINDOW=FIRST_POPUP&amp;HEIGH","T=450&amp;WIDTH=450&amp;START_MAXIMIZED=FALSE&amp;VAR:CALENDAR=US&amp;VAR:SYMBOL=DD&amp;VAR:INDEX=27"}</definedName>
    <definedName name="_1052__FDSAUDITLINK__" hidden="1">{"fdsup://directions/FAT Viewer?action=UPDATE&amp;creator=factset&amp;DYN_ARGS=TRUE&amp;DOC_NAME=FAT:FQL_AUDITING_CLIENT_TEMPLATE.FAT&amp;display_string=Audit&amp;VAR:KEY=CXWTKLQJAF&amp;VAR:QUERY=Q1NGX0dST1NTX0lOQyhBTk4sMTIvMzEvMTk4MCwxMi8zMS8yMDA5LEFZKQ==&amp;WINDOW=FIRST_POPUP&amp;HEIGH","T=450&amp;WIDTH=450&amp;START_MAXIMIZED=FALSE&amp;VAR:CALENDAR=US&amp;VAR:SYMBOL=DD&amp;VAR:INDEX=26"}</definedName>
    <definedName name="_1053__FDSAUDITLINK__" hidden="1">{"fdsup://directions/FAT Viewer?action=UPDATE&amp;creator=factset&amp;DYN_ARGS=TRUE&amp;DOC_NAME=FAT:FQL_AUDITING_CLIENT_TEMPLATE.FAT&amp;display_string=Audit&amp;VAR:KEY=CXWTKLQJAF&amp;VAR:QUERY=Q1NGX0dST1NTX0lOQyhBTk4sMTIvMzEvMTk4MCwxMi8zMS8yMDA5LEFZKQ==&amp;WINDOW=FIRST_POPUP&amp;HEIGH","T=450&amp;WIDTH=450&amp;START_MAXIMIZED=FALSE&amp;VAR:CALENDAR=US&amp;VAR:SYMBOL=DD&amp;VAR:INDEX=25"}</definedName>
    <definedName name="_1054__FDSAUDITLINK__" hidden="1">{"fdsup://directions/FAT Viewer?action=UPDATE&amp;creator=factset&amp;DYN_ARGS=TRUE&amp;DOC_NAME=FAT:FQL_AUDITING_CLIENT_TEMPLATE.FAT&amp;display_string=Audit&amp;VAR:KEY=CXWTKLQJAF&amp;VAR:QUERY=Q1NGX0dST1NTX0lOQyhBTk4sMTIvMzEvMTk4MCwxMi8zMS8yMDA5LEFZKQ==&amp;WINDOW=FIRST_POPUP&amp;HEIGH","T=450&amp;WIDTH=450&amp;START_MAXIMIZED=FALSE&amp;VAR:CALENDAR=US&amp;VAR:SYMBOL=DD&amp;VAR:INDEX=24"}</definedName>
    <definedName name="_1055__FDSAUDITLINK__" hidden="1">{"fdsup://directions/FAT Viewer?action=UPDATE&amp;creator=factset&amp;DYN_ARGS=TRUE&amp;DOC_NAME=FAT:FQL_AUDITING_CLIENT_TEMPLATE.FAT&amp;display_string=Audit&amp;VAR:KEY=CXWTKLQJAF&amp;VAR:QUERY=Q1NGX0dST1NTX0lOQyhBTk4sMTIvMzEvMTk4MCwxMi8zMS8yMDA5LEFZKQ==&amp;WINDOW=FIRST_POPUP&amp;HEIGH","T=450&amp;WIDTH=450&amp;START_MAXIMIZED=FALSE&amp;VAR:CALENDAR=US&amp;VAR:SYMBOL=DD&amp;VAR:INDEX=23"}</definedName>
    <definedName name="_1056__FDSAUDITLINK__" hidden="1">{"fdsup://directions/FAT Viewer?action=UPDATE&amp;creator=factset&amp;DYN_ARGS=TRUE&amp;DOC_NAME=FAT:FQL_AUDITING_CLIENT_TEMPLATE.FAT&amp;display_string=Audit&amp;VAR:KEY=CXWTKLQJAF&amp;VAR:QUERY=Q1NGX0dST1NTX0lOQyhBTk4sMTIvMzEvMTk4MCwxMi8zMS8yMDA5LEFZKQ==&amp;WINDOW=FIRST_POPUP&amp;HEIGH","T=450&amp;WIDTH=450&amp;START_MAXIMIZED=FALSE&amp;VAR:CALENDAR=US&amp;VAR:SYMBOL=DD&amp;VAR:INDEX=22"}</definedName>
    <definedName name="_1057__FDSAUDITLINK__" hidden="1">{"fdsup://directions/FAT Viewer?action=UPDATE&amp;creator=factset&amp;DYN_ARGS=TRUE&amp;DOC_NAME=FAT:FQL_AUDITING_CLIENT_TEMPLATE.FAT&amp;display_string=Audit&amp;VAR:KEY=CXWTKLQJAF&amp;VAR:QUERY=Q1NGX0dST1NTX0lOQyhBTk4sMTIvMzEvMTk4MCwxMi8zMS8yMDA5LEFZKQ==&amp;WINDOW=FIRST_POPUP&amp;HEIGH","T=450&amp;WIDTH=450&amp;START_MAXIMIZED=FALSE&amp;VAR:CALENDAR=US&amp;VAR:SYMBOL=DD&amp;VAR:INDEX=21"}</definedName>
    <definedName name="_1058__FDSAUDITLINK__" hidden="1">{"fdsup://directions/FAT Viewer?action=UPDATE&amp;creator=factset&amp;DYN_ARGS=TRUE&amp;DOC_NAME=FAT:FQL_AUDITING_CLIENT_TEMPLATE.FAT&amp;display_string=Audit&amp;VAR:KEY=CXWTKLQJAF&amp;VAR:QUERY=Q1NGX0dST1NTX0lOQyhBTk4sMTIvMzEvMTk4MCwxMi8zMS8yMDA5LEFZKQ==&amp;WINDOW=FIRST_POPUP&amp;HEIGH","T=450&amp;WIDTH=450&amp;START_MAXIMIZED=FALSE&amp;VAR:CALENDAR=US&amp;VAR:SYMBOL=DD&amp;VAR:INDEX=20"}</definedName>
    <definedName name="_1059__FDSAUDITLINK__" hidden="1">{"fdsup://directions/FAT Viewer?action=UPDATE&amp;creator=factset&amp;DYN_ARGS=TRUE&amp;DOC_NAME=FAT:FQL_AUDITING_CLIENT_TEMPLATE.FAT&amp;display_string=Audit&amp;VAR:KEY=CXWTKLQJAF&amp;VAR:QUERY=Q1NGX0dST1NTX0lOQyhBTk4sMTIvMzEvMTk4MCwxMi8zMS8yMDA5LEFZKQ==&amp;WINDOW=FIRST_POPUP&amp;HEIGH","T=450&amp;WIDTH=450&amp;START_MAXIMIZED=FALSE&amp;VAR:CALENDAR=US&amp;VAR:SYMBOL=DD&amp;VAR:INDEX=19"}</definedName>
    <definedName name="_106__FDSAUDITLINK__" hidden="1">{"fdsup://directions/FAT Viewer?action=UPDATE&amp;creator=factset&amp;DYN_ARGS=TRUE&amp;DOC_NAME=FAT:FQL_AUDITING_CLIENT_TEMPLATE.FAT&amp;display_string=Audit&amp;VAR:KEY=GPAZQPKRKR&amp;VAR:QUERY=Q1NGX0VCSVRfT1BFUihRVFJfUiwtM0FZLDAsRlEp&amp;WINDOW=FIRST_POPUP&amp;HEIGHT=450&amp;WIDTH=450&amp;STAR","T_MAXIMIZED=FALSE&amp;VAR:CALENDAR=US&amp;VAR:SYMBOL=DOW&amp;VAR:INDEX=11"}</definedName>
    <definedName name="_1060__FDSAUDITLINK__" hidden="1">{"fdsup://directions/FAT Viewer?action=UPDATE&amp;creator=factset&amp;DYN_ARGS=TRUE&amp;DOC_NAME=FAT:FQL_AUDITING_CLIENT_TEMPLATE.FAT&amp;display_string=Audit&amp;VAR:KEY=CXWTKLQJAF&amp;VAR:QUERY=Q1NGX0dST1NTX0lOQyhBTk4sMTIvMzEvMTk4MCwxMi8zMS8yMDA5LEFZKQ==&amp;WINDOW=FIRST_POPUP&amp;HEIGH","T=450&amp;WIDTH=450&amp;START_MAXIMIZED=FALSE&amp;VAR:CALENDAR=US&amp;VAR:SYMBOL=DD&amp;VAR:INDEX=18"}</definedName>
    <definedName name="_1061__FDSAUDITLINK__" hidden="1">{"fdsup://directions/FAT Viewer?action=UPDATE&amp;creator=factset&amp;DYN_ARGS=TRUE&amp;DOC_NAME=FAT:FQL_AUDITING_CLIENT_TEMPLATE.FAT&amp;display_string=Audit&amp;VAR:KEY=CXWTKLQJAF&amp;VAR:QUERY=Q1NGX0dST1NTX0lOQyhBTk4sMTIvMzEvMTk4MCwxMi8zMS8yMDA5LEFZKQ==&amp;WINDOW=FIRST_POPUP&amp;HEIGH","T=450&amp;WIDTH=450&amp;START_MAXIMIZED=FALSE&amp;VAR:CALENDAR=US&amp;VAR:SYMBOL=DD&amp;VAR:INDEX=17"}</definedName>
    <definedName name="_1062__FDSAUDITLINK__" hidden="1">{"fdsup://directions/FAT Viewer?action=UPDATE&amp;creator=factset&amp;DYN_ARGS=TRUE&amp;DOC_NAME=FAT:FQL_AUDITING_CLIENT_TEMPLATE.FAT&amp;display_string=Audit&amp;VAR:KEY=CXWTKLQJAF&amp;VAR:QUERY=Q1NGX0dST1NTX0lOQyhBTk4sMTIvMzEvMTk4MCwxMi8zMS8yMDA5LEFZKQ==&amp;WINDOW=FIRST_POPUP&amp;HEIGH","T=450&amp;WIDTH=450&amp;START_MAXIMIZED=FALSE&amp;VAR:CALENDAR=US&amp;VAR:SYMBOL=DD&amp;VAR:INDEX=16"}</definedName>
    <definedName name="_1063__FDSAUDITLINK__" hidden="1">{"fdsup://directions/FAT Viewer?action=UPDATE&amp;creator=factset&amp;DYN_ARGS=TRUE&amp;DOC_NAME=FAT:FQL_AUDITING_CLIENT_TEMPLATE.FAT&amp;display_string=Audit&amp;VAR:KEY=CXWTKLQJAF&amp;VAR:QUERY=Q1NGX0dST1NTX0lOQyhBTk4sMTIvMzEvMTk4MCwxMi8zMS8yMDA5LEFZKQ==&amp;WINDOW=FIRST_POPUP&amp;HEIGH","T=450&amp;WIDTH=450&amp;START_MAXIMIZED=FALSE&amp;VAR:CALENDAR=US&amp;VAR:SYMBOL=DD&amp;VAR:INDEX=15"}</definedName>
    <definedName name="_1064__FDSAUDITLINK__" hidden="1">{"fdsup://directions/FAT Viewer?action=UPDATE&amp;creator=factset&amp;DYN_ARGS=TRUE&amp;DOC_NAME=FAT:FQL_AUDITING_CLIENT_TEMPLATE.FAT&amp;display_string=Audit&amp;VAR:KEY=CXWTKLQJAF&amp;VAR:QUERY=Q1NGX0dST1NTX0lOQyhBTk4sMTIvMzEvMTk4MCwxMi8zMS8yMDA5LEFZKQ==&amp;WINDOW=FIRST_POPUP&amp;HEIGH","T=450&amp;WIDTH=450&amp;START_MAXIMIZED=FALSE&amp;VAR:CALENDAR=US&amp;VAR:SYMBOL=DD&amp;VAR:INDEX=14"}</definedName>
    <definedName name="_1065__FDSAUDITLINK__" hidden="1">{"fdsup://directions/FAT Viewer?action=UPDATE&amp;creator=factset&amp;DYN_ARGS=TRUE&amp;DOC_NAME=FAT:FQL_AUDITING_CLIENT_TEMPLATE.FAT&amp;display_string=Audit&amp;VAR:KEY=CXWTKLQJAF&amp;VAR:QUERY=Q1NGX0dST1NTX0lOQyhBTk4sMTIvMzEvMTk4MCwxMi8zMS8yMDA5LEFZKQ==&amp;WINDOW=FIRST_POPUP&amp;HEIGH","T=450&amp;WIDTH=450&amp;START_MAXIMIZED=FALSE&amp;VAR:CALENDAR=US&amp;VAR:SYMBOL=DD&amp;VAR:INDEX=13"}</definedName>
    <definedName name="_1066__FDSAUDITLINK__" hidden="1">{"fdsup://directions/FAT Viewer?action=UPDATE&amp;creator=factset&amp;DYN_ARGS=TRUE&amp;DOC_NAME=FAT:FQL_AUDITING_CLIENT_TEMPLATE.FAT&amp;display_string=Audit&amp;VAR:KEY=CXWTKLQJAF&amp;VAR:QUERY=Q1NGX0dST1NTX0lOQyhBTk4sMTIvMzEvMTk4MCwxMi8zMS8yMDA5LEFZKQ==&amp;WINDOW=FIRST_POPUP&amp;HEIGH","T=450&amp;WIDTH=450&amp;START_MAXIMIZED=FALSE&amp;VAR:CALENDAR=US&amp;VAR:SYMBOL=DD&amp;VAR:INDEX=12"}</definedName>
    <definedName name="_1067__FDSAUDITLINK__" hidden="1">{"fdsup://directions/FAT Viewer?action=UPDATE&amp;creator=factset&amp;DYN_ARGS=TRUE&amp;DOC_NAME=FAT:FQL_AUDITING_CLIENT_TEMPLATE.FAT&amp;display_string=Audit&amp;VAR:KEY=CXWTKLQJAF&amp;VAR:QUERY=Q1NGX0dST1NTX0lOQyhBTk4sMTIvMzEvMTk4MCwxMi8zMS8yMDA5LEFZKQ==&amp;WINDOW=FIRST_POPUP&amp;HEIGH","T=450&amp;WIDTH=450&amp;START_MAXIMIZED=FALSE&amp;VAR:CALENDAR=US&amp;VAR:SYMBOL=DD&amp;VAR:INDEX=11"}</definedName>
    <definedName name="_1068__FDSAUDITLINK__" hidden="1">{"fdsup://directions/FAT Viewer?action=UPDATE&amp;creator=factset&amp;DYN_ARGS=TRUE&amp;DOC_NAME=FAT:FQL_AUDITING_CLIENT_TEMPLATE.FAT&amp;display_string=Audit&amp;VAR:KEY=CXWTKLQJAF&amp;VAR:QUERY=Q1NGX0dST1NTX0lOQyhBTk4sMTIvMzEvMTk4MCwxMi8zMS8yMDA5LEFZKQ==&amp;WINDOW=FIRST_POPUP&amp;HEIGH","T=450&amp;WIDTH=450&amp;START_MAXIMIZED=FALSE&amp;VAR:CALENDAR=US&amp;VAR:SYMBOL=DD&amp;VAR:INDEX=10"}</definedName>
    <definedName name="_1069__FDSAUDITLINK__" hidden="1">{"fdsup://directions/FAT Viewer?action=UPDATE&amp;creator=factset&amp;DYN_ARGS=TRUE&amp;DOC_NAME=FAT:FQL_AUDITING_CLIENT_TEMPLATE.FAT&amp;display_string=Audit&amp;VAR:KEY=CXWTKLQJAF&amp;VAR:QUERY=Q1NGX0dST1NTX0lOQyhBTk4sMTIvMzEvMTk4MCwxMi8zMS8yMDA5LEFZKQ==&amp;WINDOW=FIRST_POPUP&amp;HEIGH","T=450&amp;WIDTH=450&amp;START_MAXIMIZED=FALSE&amp;VAR:CALENDAR=US&amp;VAR:SYMBOL=DD&amp;VAR:INDEX=9"}</definedName>
    <definedName name="_107__FDSAUDITLINK__" hidden="1">{"fdsup://directions/FAT Viewer?action=UPDATE&amp;creator=factset&amp;DYN_ARGS=TRUE&amp;DOC_NAME=FAT:FQL_AUDITING_CLIENT_TEMPLATE.FAT&amp;display_string=Audit&amp;VAR:KEY=GPAZQPKRKR&amp;VAR:QUERY=Q1NGX0VCSVRfT1BFUihRVFJfUiwtM0FZLDAsRlEp&amp;WINDOW=FIRST_POPUP&amp;HEIGHT=450&amp;WIDTH=450&amp;STAR","T_MAXIMIZED=FALSE&amp;VAR:CALENDAR=US&amp;VAR:SYMBOL=DOW&amp;VAR:INDEX=10"}</definedName>
    <definedName name="_1070__FDSAUDITLINK__" hidden="1">{"fdsup://directions/FAT Viewer?action=UPDATE&amp;creator=factset&amp;DYN_ARGS=TRUE&amp;DOC_NAME=FAT:FQL_AUDITING_CLIENT_TEMPLATE.FAT&amp;display_string=Audit&amp;VAR:KEY=CXWTKLQJAF&amp;VAR:QUERY=Q1NGX0dST1NTX0lOQyhBTk4sMTIvMzEvMTk4MCwxMi8zMS8yMDA5LEFZKQ==&amp;WINDOW=FIRST_POPUP&amp;HEIGH","T=450&amp;WIDTH=450&amp;START_MAXIMIZED=FALSE&amp;VAR:CALENDAR=US&amp;VAR:SYMBOL=DD&amp;VAR:INDEX=8"}</definedName>
    <definedName name="_1071__FDSAUDITLINK__" hidden="1">{"fdsup://directions/FAT Viewer?action=UPDATE&amp;creator=factset&amp;DYN_ARGS=TRUE&amp;DOC_NAME=FAT:FQL_AUDITING_CLIENT_TEMPLATE.FAT&amp;display_string=Audit&amp;VAR:KEY=CXWTKLQJAF&amp;VAR:QUERY=Q1NGX0dST1NTX0lOQyhBTk4sMTIvMzEvMTk4MCwxMi8zMS8yMDA5LEFZKQ==&amp;WINDOW=FIRST_POPUP&amp;HEIGH","T=450&amp;WIDTH=450&amp;START_MAXIMIZED=FALSE&amp;VAR:CALENDAR=US&amp;VAR:SYMBOL=DD&amp;VAR:INDEX=7"}</definedName>
    <definedName name="_1072__FDSAUDITLINK__" hidden="1">{"fdsup://directions/FAT Viewer?action=UPDATE&amp;creator=factset&amp;DYN_ARGS=TRUE&amp;DOC_NAME=FAT:FQL_AUDITING_CLIENT_TEMPLATE.FAT&amp;display_string=Audit&amp;VAR:KEY=CXWTKLQJAF&amp;VAR:QUERY=Q1NGX0dST1NTX0lOQyhBTk4sMTIvMzEvMTk4MCwxMi8zMS8yMDA5LEFZKQ==&amp;WINDOW=FIRST_POPUP&amp;HEIGH","T=450&amp;WIDTH=450&amp;START_MAXIMIZED=FALSE&amp;VAR:CALENDAR=US&amp;VAR:SYMBOL=DD&amp;VAR:INDEX=6"}</definedName>
    <definedName name="_1073__FDSAUDITLINK__" hidden="1">{"fdsup://directions/FAT Viewer?action=UPDATE&amp;creator=factset&amp;DYN_ARGS=TRUE&amp;DOC_NAME=FAT:FQL_AUDITING_CLIENT_TEMPLATE.FAT&amp;display_string=Audit&amp;VAR:KEY=CXWTKLQJAF&amp;VAR:QUERY=Q1NGX0dST1NTX0lOQyhBTk4sMTIvMzEvMTk4MCwxMi8zMS8yMDA5LEFZKQ==&amp;WINDOW=FIRST_POPUP&amp;HEIGH","T=450&amp;WIDTH=450&amp;START_MAXIMIZED=FALSE&amp;VAR:CALENDAR=US&amp;VAR:SYMBOL=DD&amp;VAR:INDEX=5"}</definedName>
    <definedName name="_1074__FDSAUDITLINK__" hidden="1">{"fdsup://directions/FAT Viewer?action=UPDATE&amp;creator=factset&amp;DYN_ARGS=TRUE&amp;DOC_NAME=FAT:FQL_AUDITING_CLIENT_TEMPLATE.FAT&amp;display_string=Audit&amp;VAR:KEY=CXWTKLQJAF&amp;VAR:QUERY=Q1NGX0dST1NTX0lOQyhBTk4sMTIvMzEvMTk4MCwxMi8zMS8yMDA5LEFZKQ==&amp;WINDOW=FIRST_POPUP&amp;HEIGH","T=450&amp;WIDTH=450&amp;START_MAXIMIZED=FALSE&amp;VAR:CALENDAR=US&amp;VAR:SYMBOL=DD&amp;VAR:INDEX=4"}</definedName>
    <definedName name="_1075__FDSAUDITLINK__" hidden="1">{"fdsup://directions/FAT Viewer?action=UPDATE&amp;creator=factset&amp;DYN_ARGS=TRUE&amp;DOC_NAME=FAT:FQL_AUDITING_CLIENT_TEMPLATE.FAT&amp;display_string=Audit&amp;VAR:KEY=CXWTKLQJAF&amp;VAR:QUERY=Q1NGX0dST1NTX0lOQyhBTk4sMTIvMzEvMTk4MCwxMi8zMS8yMDA5LEFZKQ==&amp;WINDOW=FIRST_POPUP&amp;HEIGH","T=450&amp;WIDTH=450&amp;START_MAXIMIZED=FALSE&amp;VAR:CALENDAR=US&amp;VAR:SYMBOL=DD&amp;VAR:INDEX=3"}</definedName>
    <definedName name="_1076__FDSAUDITLINK__" hidden="1">{"fdsup://directions/FAT Viewer?action=UPDATE&amp;creator=factset&amp;DYN_ARGS=TRUE&amp;DOC_NAME=FAT:FQL_AUDITING_CLIENT_TEMPLATE.FAT&amp;display_string=Audit&amp;VAR:KEY=CXWTKLQJAF&amp;VAR:QUERY=Q1NGX0dST1NTX0lOQyhBTk4sMTIvMzEvMTk4MCwxMi8zMS8yMDA5LEFZKQ==&amp;WINDOW=FIRST_POPUP&amp;HEIGH","T=450&amp;WIDTH=450&amp;START_MAXIMIZED=FALSE&amp;VAR:CALENDAR=US&amp;VAR:SYMBOL=DD&amp;VAR:INDEX=2"}</definedName>
    <definedName name="_1077__FDSAUDITLINK__" hidden="1">{"fdsup://directions/FAT Viewer?action=UPDATE&amp;creator=factset&amp;DYN_ARGS=TRUE&amp;DOC_NAME=FAT:FQL_AUDITING_CLIENT_TEMPLATE.FAT&amp;display_string=Audit&amp;VAR:KEY=CXWTKLQJAF&amp;VAR:QUERY=Q1NGX0dST1NTX0lOQyhBTk4sMTIvMzEvMTk4MCwxMi8zMS8yMDA5LEFZKQ==&amp;WINDOW=FIRST_POPUP&amp;HEIGH","T=450&amp;WIDTH=450&amp;START_MAXIMIZED=FALSE&amp;VAR:CALENDAR=US&amp;VAR:SYMBOL=DD&amp;VAR:INDEX=1"}</definedName>
    <definedName name="_1078__FDSAUDITLINK__" hidden="1">{"fdsup://directions/FAT Viewer?action=UPDATE&amp;creator=factset&amp;DYN_ARGS=TRUE&amp;DOC_NAME=FAT:FQL_AUDITING_CLIENT_TEMPLATE.FAT&amp;display_string=Audit&amp;VAR:KEY=CXWTKLQJAF&amp;VAR:QUERY=Q1NGX0dST1NTX0lOQyhBTk4sMTIvMzEvMTk4MCwxMi8zMS8yMDA5LEFZKQ==&amp;WINDOW=FIRST_POPUP&amp;HEIGH","T=450&amp;WIDTH=450&amp;START_MAXIMIZED=FALSE&amp;VAR:CALENDAR=US&amp;VAR:SYMBOL=DD&amp;VAR:INDEX=0"}</definedName>
    <definedName name="_1079__FDSAUDITLINK__" hidden="1">{"fdsup://directions/FAT Viewer?action=UPDATE&amp;creator=factset&amp;DYN_ARGS=TRUE&amp;DOC_NAME=FAT:FQL_AUDITING_CLIENT_TEMPLATE.FAT&amp;display_string=Audit&amp;VAR:KEY=IXWVYNKNUB&amp;VAR:QUERY=Q1NGX0dST1NTX0lOQyhMVE0sMCk=&amp;WINDOW=FIRST_POPUP&amp;HEIGHT=450&amp;WIDTH=450&amp;START_MAXIMIZED=","FALSE&amp;VAR:CALENDAR=US&amp;VAR:SYMBOL=SOA&amp;VAR:INDEX=0"}</definedName>
    <definedName name="_108__FDSAUDITLINK__" hidden="1">{"fdsup://directions/FAT Viewer?action=UPDATE&amp;creator=factset&amp;DYN_ARGS=TRUE&amp;DOC_NAME=FAT:FQL_AUDITING_CLIENT_TEMPLATE.FAT&amp;display_string=Audit&amp;VAR:KEY=GPAZQPKRKR&amp;VAR:QUERY=Q1NGX0VCSVRfT1BFUihRVFJfUiwtM0FZLDAsRlEp&amp;WINDOW=FIRST_POPUP&amp;HEIGHT=450&amp;WIDTH=450&amp;STAR","T_MAXIMIZED=FALSE&amp;VAR:CALENDAR=US&amp;VAR:SYMBOL=DOW&amp;VAR:INDEX=9"}</definedName>
    <definedName name="_1080__FDSAUDITLINK__" hidden="1">{"fdsup://directions/FAT Viewer?action=UPDATE&amp;creator=factset&amp;DYN_ARGS=TRUE&amp;DOC_NAME=FAT:FQL_AUDITING_CLIENT_TEMPLATE.FAT&amp;display_string=Audit&amp;VAR:KEY=YRCHYTIVAJ&amp;VAR:QUERY=Q1NGX0dST1NTX0lOQyhBTk4sMTIvMzEvMTk4MCwxMi8zMS8yMDA5LEFZKQ==&amp;WINDOW=FIRST_POPUP&amp;HEIGH","T=450&amp;WIDTH=450&amp;START_MAXIMIZED=FALSE&amp;VAR:CALENDAR=US&amp;VAR:SYMBOL=SOA&amp;VAR:INDEX=29"}</definedName>
    <definedName name="_1081__FDSAUDITLINK__" hidden="1">{"fdsup://directions/FAT Viewer?action=UPDATE&amp;creator=factset&amp;DYN_ARGS=TRUE&amp;DOC_NAME=FAT:FQL_AUDITING_CLIENT_TEMPLATE.FAT&amp;display_string=Audit&amp;VAR:KEY=YRCHYTIVAJ&amp;VAR:QUERY=Q1NGX0dST1NTX0lOQyhBTk4sMTIvMzEvMTk4MCwxMi8zMS8yMDA5LEFZKQ==&amp;WINDOW=FIRST_POPUP&amp;HEIGH","T=450&amp;WIDTH=450&amp;START_MAXIMIZED=FALSE&amp;VAR:CALENDAR=US&amp;VAR:SYMBOL=SOA&amp;VAR:INDEX=28"}</definedName>
    <definedName name="_1082__FDSAUDITLINK__" hidden="1">{"fdsup://directions/FAT Viewer?action=UPDATE&amp;creator=factset&amp;DYN_ARGS=TRUE&amp;DOC_NAME=FAT:FQL_AUDITING_CLIENT_TEMPLATE.FAT&amp;display_string=Audit&amp;VAR:KEY=YRCHYTIVAJ&amp;VAR:QUERY=Q1NGX0dST1NTX0lOQyhBTk4sMTIvMzEvMTk4MCwxMi8zMS8yMDA5LEFZKQ==&amp;WINDOW=FIRST_POPUP&amp;HEIGH","T=450&amp;WIDTH=450&amp;START_MAXIMIZED=FALSE&amp;VAR:CALENDAR=US&amp;VAR:SYMBOL=SOA&amp;VAR:INDEX=27"}</definedName>
    <definedName name="_1083__FDSAUDITLINK__" hidden="1">{"fdsup://directions/FAT Viewer?action=UPDATE&amp;creator=factset&amp;DYN_ARGS=TRUE&amp;DOC_NAME=FAT:FQL_AUDITING_CLIENT_TEMPLATE.FAT&amp;display_string=Audit&amp;VAR:KEY=YRCHYTIVAJ&amp;VAR:QUERY=Q1NGX0dST1NTX0lOQyhBTk4sMTIvMzEvMTk4MCwxMi8zMS8yMDA5LEFZKQ==&amp;WINDOW=FIRST_POPUP&amp;HEIGH","T=450&amp;WIDTH=450&amp;START_MAXIMIZED=FALSE&amp;VAR:CALENDAR=US&amp;VAR:SYMBOL=SOA&amp;VAR:INDEX=26"}</definedName>
    <definedName name="_1084__FDSAUDITLINK__" hidden="1">{"fdsup://directions/FAT Viewer?action=UPDATE&amp;creator=factset&amp;DYN_ARGS=TRUE&amp;DOC_NAME=FAT:FQL_AUDITING_CLIENT_TEMPLATE.FAT&amp;display_string=Audit&amp;VAR:KEY=YRCHYTIVAJ&amp;VAR:QUERY=Q1NGX0dST1NTX0lOQyhBTk4sMTIvMzEvMTk4MCwxMi8zMS8yMDA5LEFZKQ==&amp;WINDOW=FIRST_POPUP&amp;HEIGH","T=450&amp;WIDTH=450&amp;START_MAXIMIZED=FALSE&amp;VAR:CALENDAR=US&amp;VAR:SYMBOL=SOA&amp;VAR:INDEX=25"}</definedName>
    <definedName name="_1085__FDSAUDITLINK__" hidden="1">{"fdsup://directions/FAT Viewer?action=UPDATE&amp;creator=factset&amp;DYN_ARGS=TRUE&amp;DOC_NAME=FAT:FQL_AUDITING_CLIENT_TEMPLATE.FAT&amp;display_string=Audit&amp;VAR:KEY=YRCHYTIVAJ&amp;VAR:QUERY=Q1NGX0dST1NTX0lOQyhBTk4sMTIvMzEvMTk4MCwxMi8zMS8yMDA5LEFZKQ==&amp;WINDOW=FIRST_POPUP&amp;HEIGH","T=450&amp;WIDTH=450&amp;START_MAXIMIZED=FALSE&amp;VAR:CALENDAR=US&amp;VAR:SYMBOL=SOA&amp;VAR:INDEX=24"}</definedName>
    <definedName name="_1086__FDSAUDITLINK__" hidden="1">{"fdsup://directions/FAT Viewer?action=UPDATE&amp;creator=factset&amp;DYN_ARGS=TRUE&amp;DOC_NAME=FAT:FQL_AUDITING_CLIENT_TEMPLATE.FAT&amp;display_string=Audit&amp;VAR:KEY=YRCHYTIVAJ&amp;VAR:QUERY=Q1NGX0dST1NTX0lOQyhBTk4sMTIvMzEvMTk4MCwxMi8zMS8yMDA5LEFZKQ==&amp;WINDOW=FIRST_POPUP&amp;HEIGH","T=450&amp;WIDTH=450&amp;START_MAXIMIZED=FALSE&amp;VAR:CALENDAR=US&amp;VAR:SYMBOL=SOA&amp;VAR:INDEX=23"}</definedName>
    <definedName name="_1087__FDSAUDITLINK__" hidden="1">{"fdsup://directions/FAT Viewer?action=UPDATE&amp;creator=factset&amp;DYN_ARGS=TRUE&amp;DOC_NAME=FAT:FQL_AUDITING_CLIENT_TEMPLATE.FAT&amp;display_string=Audit&amp;VAR:KEY=YRCHYTIVAJ&amp;VAR:QUERY=Q1NGX0dST1NTX0lOQyhBTk4sMTIvMzEvMTk4MCwxMi8zMS8yMDA5LEFZKQ==&amp;WINDOW=FIRST_POPUP&amp;HEIGH","T=450&amp;WIDTH=450&amp;START_MAXIMIZED=FALSE&amp;VAR:CALENDAR=US&amp;VAR:SYMBOL=SOA&amp;VAR:INDEX=22"}</definedName>
    <definedName name="_1088__FDSAUDITLINK__" hidden="1">{"fdsup://directions/FAT Viewer?action=UPDATE&amp;creator=factset&amp;DYN_ARGS=TRUE&amp;DOC_NAME=FAT:FQL_AUDITING_CLIENT_TEMPLATE.FAT&amp;display_string=Audit&amp;VAR:KEY=YRCHYTIVAJ&amp;VAR:QUERY=Q1NGX0dST1NTX0lOQyhBTk4sMTIvMzEvMTk4MCwxMi8zMS8yMDA5LEFZKQ==&amp;WINDOW=FIRST_POPUP&amp;HEIGH","T=450&amp;WIDTH=450&amp;START_MAXIMIZED=FALSE&amp;VAR:CALENDAR=US&amp;VAR:SYMBOL=SOA&amp;VAR:INDEX=21"}</definedName>
    <definedName name="_1089__FDSAUDITLINK__" hidden="1">{"fdsup://directions/FAT Viewer?action=UPDATE&amp;creator=factset&amp;DYN_ARGS=TRUE&amp;DOC_NAME=FAT:FQL_AUDITING_CLIENT_TEMPLATE.FAT&amp;display_string=Audit&amp;VAR:KEY=YRCHYTIVAJ&amp;VAR:QUERY=Q1NGX0dST1NTX0lOQyhBTk4sMTIvMzEvMTk4MCwxMi8zMS8yMDA5LEFZKQ==&amp;WINDOW=FIRST_POPUP&amp;HEIGH","T=450&amp;WIDTH=450&amp;START_MAXIMIZED=FALSE&amp;VAR:CALENDAR=US&amp;VAR:SYMBOL=SOA&amp;VAR:INDEX=20"}</definedName>
    <definedName name="_109__FDSAUDITLINK__" hidden="1">{"fdsup://directions/FAT Viewer?action=UPDATE&amp;creator=factset&amp;DYN_ARGS=TRUE&amp;DOC_NAME=FAT:FQL_AUDITING_CLIENT_TEMPLATE.FAT&amp;display_string=Audit&amp;VAR:KEY=GPAZQPKRKR&amp;VAR:QUERY=Q1NGX0VCSVRfT1BFUihRVFJfUiwtM0FZLDAsRlEp&amp;WINDOW=FIRST_POPUP&amp;HEIGHT=450&amp;WIDTH=450&amp;STAR","T_MAXIMIZED=FALSE&amp;VAR:CALENDAR=US&amp;VAR:SYMBOL=DOW&amp;VAR:INDEX=8"}</definedName>
    <definedName name="_1090__FDSAUDITLINK__" hidden="1">{"fdsup://directions/FAT Viewer?action=UPDATE&amp;creator=factset&amp;DYN_ARGS=TRUE&amp;DOC_NAME=FAT:FQL_AUDITING_CLIENT_TEMPLATE.FAT&amp;display_string=Audit&amp;VAR:KEY=YRCHYTIVAJ&amp;VAR:QUERY=Q1NGX0dST1NTX0lOQyhBTk4sMTIvMzEvMTk4MCwxMi8zMS8yMDA5LEFZKQ==&amp;WINDOW=FIRST_POPUP&amp;HEIGH","T=450&amp;WIDTH=450&amp;START_MAXIMIZED=FALSE&amp;VAR:CALENDAR=US&amp;VAR:SYMBOL=SOA&amp;VAR:INDEX=19"}</definedName>
    <definedName name="_1091__FDSAUDITLINK__" hidden="1">{"fdsup://directions/FAT Viewer?action=UPDATE&amp;creator=factset&amp;DYN_ARGS=TRUE&amp;DOC_NAME=FAT:FQL_AUDITING_CLIENT_TEMPLATE.FAT&amp;display_string=Audit&amp;VAR:KEY=YRCHYTIVAJ&amp;VAR:QUERY=Q1NGX0dST1NTX0lOQyhBTk4sMTIvMzEvMTk4MCwxMi8zMS8yMDA5LEFZKQ==&amp;WINDOW=FIRST_POPUP&amp;HEIGH","T=450&amp;WIDTH=450&amp;START_MAXIMIZED=FALSE&amp;VAR:CALENDAR=US&amp;VAR:SYMBOL=SOA&amp;VAR:INDEX=18"}</definedName>
    <definedName name="_1092__FDSAUDITLINK__" hidden="1">{"fdsup://directions/FAT Viewer?action=UPDATE&amp;creator=factset&amp;DYN_ARGS=TRUE&amp;DOC_NAME=FAT:FQL_AUDITING_CLIENT_TEMPLATE.FAT&amp;display_string=Audit&amp;VAR:KEY=YRCHYTIVAJ&amp;VAR:QUERY=Q1NGX0dST1NTX0lOQyhBTk4sMTIvMzEvMTk4MCwxMi8zMS8yMDA5LEFZKQ==&amp;WINDOW=FIRST_POPUP&amp;HEIGH","T=450&amp;WIDTH=450&amp;START_MAXIMIZED=FALSE&amp;VAR:CALENDAR=US&amp;VAR:SYMBOL=SOA&amp;VAR:INDEX=17"}</definedName>
    <definedName name="_1093__FDSAUDITLINK__" hidden="1">{"fdsup://directions/FAT Viewer?action=UPDATE&amp;creator=factset&amp;DYN_ARGS=TRUE&amp;DOC_NAME=FAT:FQL_AUDITING_CLIENT_TEMPLATE.FAT&amp;display_string=Audit&amp;VAR:KEY=YRCHYTIVAJ&amp;VAR:QUERY=Q1NGX0dST1NTX0lOQyhBTk4sMTIvMzEvMTk4MCwxMi8zMS8yMDA5LEFZKQ==&amp;WINDOW=FIRST_POPUP&amp;HEIGH","T=450&amp;WIDTH=450&amp;START_MAXIMIZED=FALSE&amp;VAR:CALENDAR=US&amp;VAR:SYMBOL=SOA&amp;VAR:INDEX=16"}</definedName>
    <definedName name="_1094__FDSAUDITLINK__" hidden="1">{"fdsup://directions/FAT Viewer?action=UPDATE&amp;creator=factset&amp;DYN_ARGS=TRUE&amp;DOC_NAME=FAT:FQL_AUDITING_CLIENT_TEMPLATE.FAT&amp;display_string=Audit&amp;VAR:KEY=YRCHYTIVAJ&amp;VAR:QUERY=Q1NGX0dST1NTX0lOQyhBTk4sMTIvMzEvMTk4MCwxMi8zMS8yMDA5LEFZKQ==&amp;WINDOW=FIRST_POPUP&amp;HEIGH","T=450&amp;WIDTH=450&amp;START_MAXIMIZED=FALSE&amp;VAR:CALENDAR=US&amp;VAR:SYMBOL=SOA&amp;VAR:INDEX=15"}</definedName>
    <definedName name="_1095__FDSAUDITLINK__" hidden="1">{"fdsup://directions/FAT Viewer?action=UPDATE&amp;creator=factset&amp;DYN_ARGS=TRUE&amp;DOC_NAME=FAT:FQL_AUDITING_CLIENT_TEMPLATE.FAT&amp;display_string=Audit&amp;VAR:KEY=YRCHYTIVAJ&amp;VAR:QUERY=Q1NGX0dST1NTX0lOQyhBTk4sMTIvMzEvMTk4MCwxMi8zMS8yMDA5LEFZKQ==&amp;WINDOW=FIRST_POPUP&amp;HEIGH","T=450&amp;WIDTH=450&amp;START_MAXIMIZED=FALSE&amp;VAR:CALENDAR=US&amp;VAR:SYMBOL=SOA&amp;VAR:INDEX=14"}</definedName>
    <definedName name="_1096__FDSAUDITLINK__" hidden="1">{"fdsup://directions/FAT Viewer?action=UPDATE&amp;creator=factset&amp;DYN_ARGS=TRUE&amp;DOC_NAME=FAT:FQL_AUDITING_CLIENT_TEMPLATE.FAT&amp;display_string=Audit&amp;VAR:KEY=YRCHYTIVAJ&amp;VAR:QUERY=Q1NGX0dST1NTX0lOQyhBTk4sMTIvMzEvMTk4MCwxMi8zMS8yMDA5LEFZKQ==&amp;WINDOW=FIRST_POPUP&amp;HEIGH","T=450&amp;WIDTH=450&amp;START_MAXIMIZED=FALSE&amp;VAR:CALENDAR=US&amp;VAR:SYMBOL=SOA&amp;VAR:INDEX=13"}</definedName>
    <definedName name="_1097__FDSAUDITLINK__" hidden="1">{"fdsup://directions/FAT Viewer?action=UPDATE&amp;creator=factset&amp;DYN_ARGS=TRUE&amp;DOC_NAME=FAT:FQL_AUDITING_CLIENT_TEMPLATE.FAT&amp;display_string=Audit&amp;VAR:KEY=YRCHYTIVAJ&amp;VAR:QUERY=Q1NGX0dST1NTX0lOQyhBTk4sMTIvMzEvMTk4MCwxMi8zMS8yMDA5LEFZKQ==&amp;WINDOW=FIRST_POPUP&amp;HEIGH","T=450&amp;WIDTH=450&amp;START_MAXIMIZED=FALSE&amp;VAR:CALENDAR=US&amp;VAR:SYMBOL=SOA&amp;VAR:INDEX=12"}</definedName>
    <definedName name="_1098__FDSAUDITLINK__" hidden="1">{"fdsup://directions/FAT Viewer?action=UPDATE&amp;creator=factset&amp;DYN_ARGS=TRUE&amp;DOC_NAME=FAT:FQL_AUDITING_CLIENT_TEMPLATE.FAT&amp;display_string=Audit&amp;VAR:KEY=YRCHYTIVAJ&amp;VAR:QUERY=Q1NGX0dST1NTX0lOQyhBTk4sMTIvMzEvMTk4MCwxMi8zMS8yMDA5LEFZKQ==&amp;WINDOW=FIRST_POPUP&amp;HEIGH","T=450&amp;WIDTH=450&amp;START_MAXIMIZED=FALSE&amp;VAR:CALENDAR=US&amp;VAR:SYMBOL=SOA&amp;VAR:INDEX=11"}</definedName>
    <definedName name="_1099__FDSAUDITLINK__" hidden="1">{"fdsup://directions/FAT Viewer?action=UPDATE&amp;creator=factset&amp;DYN_ARGS=TRUE&amp;DOC_NAME=FAT:FQL_AUDITING_CLIENT_TEMPLATE.FAT&amp;display_string=Audit&amp;VAR:KEY=YRCHYTIVAJ&amp;VAR:QUERY=Q1NGX0dST1NTX0lOQyhBTk4sMTIvMzEvMTk4MCwxMi8zMS8yMDA5LEFZKQ==&amp;WINDOW=FIRST_POPUP&amp;HEIGH","T=450&amp;WIDTH=450&amp;START_MAXIMIZED=FALSE&amp;VAR:CALENDAR=US&amp;VAR:SYMBOL=SOA&amp;VAR:INDEX=10"}</definedName>
    <definedName name="_11__FDSAUDITLINK__" hidden="1">{"fdsup://directions/FAT Viewer?action=UPDATE&amp;creator=factset&amp;DYN_ARGS=TRUE&amp;DOC_NAME=FAT:FQL_AUDITING_CLIENT_TEMPLATE.FAT&amp;display_string=Audit&amp;VAR:KEY=YXSJYLYXUV&amp;VAR:QUERY=Q1NGX0dST1NTX0lOQyhRVFJfUiwtM0FZLDAsRlEp&amp;WINDOW=FIRST_POPUP&amp;HEIGHT=450&amp;WIDTH=450&amp;STAR","T_MAXIMIZED=FALSE&amp;VAR:CALENDAR=US&amp;VAR:SYMBOL=EMN&amp;VAR:INDEX=2"}</definedName>
    <definedName name="_110__FDSAUDITLINK__" hidden="1">{"fdsup://directions/FAT Viewer?action=UPDATE&amp;creator=factset&amp;DYN_ARGS=TRUE&amp;DOC_NAME=FAT:FQL_AUDITING_CLIENT_TEMPLATE.FAT&amp;display_string=Audit&amp;VAR:KEY=GPAZQPKRKR&amp;VAR:QUERY=Q1NGX0VCSVRfT1BFUihRVFJfUiwtM0FZLDAsRlEp&amp;WINDOW=FIRST_POPUP&amp;HEIGHT=450&amp;WIDTH=450&amp;STAR","T_MAXIMIZED=FALSE&amp;VAR:CALENDAR=US&amp;VAR:SYMBOL=DOW&amp;VAR:INDEX=7"}</definedName>
    <definedName name="_1100__FDSAUDITLINK__" hidden="1">{"fdsup://directions/FAT Viewer?action=UPDATE&amp;creator=factset&amp;DYN_ARGS=TRUE&amp;DOC_NAME=FAT:FQL_AUDITING_CLIENT_TEMPLATE.FAT&amp;display_string=Audit&amp;VAR:KEY=YRCHYTIVAJ&amp;VAR:QUERY=Q1NGX0dST1NTX0lOQyhBTk4sMTIvMzEvMTk4MCwxMi8zMS8yMDA5LEFZKQ==&amp;WINDOW=FIRST_POPUP&amp;HEIGH","T=450&amp;WIDTH=450&amp;START_MAXIMIZED=FALSE&amp;VAR:CALENDAR=US&amp;VAR:SYMBOL=SOA&amp;VAR:INDEX=9"}</definedName>
    <definedName name="_1101__FDSAUDITLINK__" hidden="1">{"fdsup://directions/FAT Viewer?action=UPDATE&amp;creator=factset&amp;DYN_ARGS=TRUE&amp;DOC_NAME=FAT:FQL_AUDITING_CLIENT_TEMPLATE.FAT&amp;display_string=Audit&amp;VAR:KEY=YRCHYTIVAJ&amp;VAR:QUERY=Q1NGX0dST1NTX0lOQyhBTk4sMTIvMzEvMTk4MCwxMi8zMS8yMDA5LEFZKQ==&amp;WINDOW=FIRST_POPUP&amp;HEIGH","T=450&amp;WIDTH=450&amp;START_MAXIMIZED=FALSE&amp;VAR:CALENDAR=US&amp;VAR:SYMBOL=SOA&amp;VAR:INDEX=8"}</definedName>
    <definedName name="_1102__FDSAUDITLINK__" hidden="1">{"fdsup://directions/FAT Viewer?action=UPDATE&amp;creator=factset&amp;DYN_ARGS=TRUE&amp;DOC_NAME=FAT:FQL_AUDITING_CLIENT_TEMPLATE.FAT&amp;display_string=Audit&amp;VAR:KEY=YRCHYTIVAJ&amp;VAR:QUERY=Q1NGX0dST1NTX0lOQyhBTk4sMTIvMzEvMTk4MCwxMi8zMS8yMDA5LEFZKQ==&amp;WINDOW=FIRST_POPUP&amp;HEIGH","T=450&amp;WIDTH=450&amp;START_MAXIMIZED=FALSE&amp;VAR:CALENDAR=US&amp;VAR:SYMBOL=SOA&amp;VAR:INDEX=7"}</definedName>
    <definedName name="_1103__FDSAUDITLINK__" hidden="1">{"fdsup://directions/FAT Viewer?action=UPDATE&amp;creator=factset&amp;DYN_ARGS=TRUE&amp;DOC_NAME=FAT:FQL_AUDITING_CLIENT_TEMPLATE.FAT&amp;display_string=Audit&amp;VAR:KEY=YRCHYTIVAJ&amp;VAR:QUERY=Q1NGX0dST1NTX0lOQyhBTk4sMTIvMzEvMTk4MCwxMi8zMS8yMDA5LEFZKQ==&amp;WINDOW=FIRST_POPUP&amp;HEIGH","T=450&amp;WIDTH=450&amp;START_MAXIMIZED=FALSE&amp;VAR:CALENDAR=US&amp;VAR:SYMBOL=SOA&amp;VAR:INDEX=6"}</definedName>
    <definedName name="_1104__FDSAUDITLINK__" hidden="1">{"fdsup://directions/FAT Viewer?action=UPDATE&amp;creator=factset&amp;DYN_ARGS=TRUE&amp;DOC_NAME=FAT:FQL_AUDITING_CLIENT_TEMPLATE.FAT&amp;display_string=Audit&amp;VAR:KEY=YRCHYTIVAJ&amp;VAR:QUERY=Q1NGX0dST1NTX0lOQyhBTk4sMTIvMzEvMTk4MCwxMi8zMS8yMDA5LEFZKQ==&amp;WINDOW=FIRST_POPUP&amp;HEIGH","T=450&amp;WIDTH=450&amp;START_MAXIMIZED=FALSE&amp;VAR:CALENDAR=US&amp;VAR:SYMBOL=SOA&amp;VAR:INDEX=5"}</definedName>
    <definedName name="_1105__FDSAUDITLINK__" hidden="1">{"fdsup://directions/FAT Viewer?action=UPDATE&amp;creator=factset&amp;DYN_ARGS=TRUE&amp;DOC_NAME=FAT:FQL_AUDITING_CLIENT_TEMPLATE.FAT&amp;display_string=Audit&amp;VAR:KEY=YRCHYTIVAJ&amp;VAR:QUERY=Q1NGX0dST1NTX0lOQyhBTk4sMTIvMzEvMTk4MCwxMi8zMS8yMDA5LEFZKQ==&amp;WINDOW=FIRST_POPUP&amp;HEIGH","T=450&amp;WIDTH=450&amp;START_MAXIMIZED=FALSE&amp;VAR:CALENDAR=US&amp;VAR:SYMBOL=SOA&amp;VAR:INDEX=4"}</definedName>
    <definedName name="_1106__FDSAUDITLINK__" hidden="1">{"fdsup://directions/FAT Viewer?action=UPDATE&amp;creator=factset&amp;DYN_ARGS=TRUE&amp;DOC_NAME=FAT:FQL_AUDITING_CLIENT_TEMPLATE.FAT&amp;display_string=Audit&amp;VAR:KEY=YRCHYTIVAJ&amp;VAR:QUERY=Q1NGX0dST1NTX0lOQyhBTk4sMTIvMzEvMTk4MCwxMi8zMS8yMDA5LEFZKQ==&amp;WINDOW=FIRST_POPUP&amp;HEIGH","T=450&amp;WIDTH=450&amp;START_MAXIMIZED=FALSE&amp;VAR:CALENDAR=US&amp;VAR:SYMBOL=SOA&amp;VAR:INDEX=3"}</definedName>
    <definedName name="_1107__FDSAUDITLINK__" hidden="1">{"fdsup://directions/FAT Viewer?action=UPDATE&amp;creator=factset&amp;DYN_ARGS=TRUE&amp;DOC_NAME=FAT:FQL_AUDITING_CLIENT_TEMPLATE.FAT&amp;display_string=Audit&amp;VAR:KEY=YRCHYTIVAJ&amp;VAR:QUERY=Q1NGX0dST1NTX0lOQyhBTk4sMTIvMzEvMTk4MCwxMi8zMS8yMDA5LEFZKQ==&amp;WINDOW=FIRST_POPUP&amp;HEIGH","T=450&amp;WIDTH=450&amp;START_MAXIMIZED=FALSE&amp;VAR:CALENDAR=US&amp;VAR:SYMBOL=SOA&amp;VAR:INDEX=2"}</definedName>
    <definedName name="_1108__FDSAUDITLINK__" hidden="1">{"fdsup://directions/FAT Viewer?action=UPDATE&amp;creator=factset&amp;DYN_ARGS=TRUE&amp;DOC_NAME=FAT:FQL_AUDITING_CLIENT_TEMPLATE.FAT&amp;display_string=Audit&amp;VAR:KEY=YRCHYTIVAJ&amp;VAR:QUERY=Q1NGX0dST1NTX0lOQyhBTk4sMTIvMzEvMTk4MCwxMi8zMS8yMDA5LEFZKQ==&amp;WINDOW=FIRST_POPUP&amp;HEIGH","T=450&amp;WIDTH=450&amp;START_MAXIMIZED=FALSE&amp;VAR:CALENDAR=US&amp;VAR:SYMBOL=SOA&amp;VAR:INDEX=1"}</definedName>
    <definedName name="_1109__FDSAUDITLINK__" hidden="1">{"fdsup://directions/FAT Viewer?action=UPDATE&amp;creator=factset&amp;DYN_ARGS=TRUE&amp;DOC_NAME=FAT:FQL_AUDITING_CLIENT_TEMPLATE.FAT&amp;display_string=Audit&amp;VAR:KEY=YRCHYTIVAJ&amp;VAR:QUERY=Q1NGX0dST1NTX0lOQyhBTk4sMTIvMzEvMTk4MCwxMi8zMS8yMDA5LEFZKQ==&amp;WINDOW=FIRST_POPUP&amp;HEIGH","T=450&amp;WIDTH=450&amp;START_MAXIMIZED=FALSE&amp;VAR:CALENDAR=US&amp;VAR:SYMBOL=SOA&amp;VAR:INDEX=0"}</definedName>
    <definedName name="_111__FDSAUDITLINK__" hidden="1">{"fdsup://directions/FAT Viewer?action=UPDATE&amp;creator=factset&amp;DYN_ARGS=TRUE&amp;DOC_NAME=FAT:FQL_AUDITING_CLIENT_TEMPLATE.FAT&amp;display_string=Audit&amp;VAR:KEY=GPAZQPKRKR&amp;VAR:QUERY=Q1NGX0VCSVRfT1BFUihRVFJfUiwtM0FZLDAsRlEp&amp;WINDOW=FIRST_POPUP&amp;HEIGHT=450&amp;WIDTH=450&amp;STAR","T_MAXIMIZED=FALSE&amp;VAR:CALENDAR=US&amp;VAR:SYMBOL=DOW&amp;VAR:INDEX=6"}</definedName>
    <definedName name="_1110__FDSAUDITLINK__" hidden="1">{"fdsup://directions/FAT Viewer?action=UPDATE&amp;creator=factset&amp;DYN_ARGS=TRUE&amp;DOC_NAME=FAT:FQL_AUDITING_CLIENT_TEMPLATE.FAT&amp;display_string=Audit&amp;VAR:KEY=SZOPUNWXKN&amp;VAR:QUERY=Q1NGX0dST1NTX0lOQyhMVE0sMCk=&amp;WINDOW=FIRST_POPUP&amp;HEIGHT=450&amp;WIDTH=450&amp;START_MAXIMIZED=","FALSE&amp;VAR:CALENDAR=US&amp;VAR:SYMBOL=KRA&amp;VAR:INDEX=0"}</definedName>
    <definedName name="_1111__FDSAUDITLINK__" hidden="1">{"fdsup://directions/FAT Viewer?action=UPDATE&amp;creator=factset&amp;DYN_ARGS=TRUE&amp;DOC_NAME=FAT:FQL_AUDITING_CLIENT_TEMPLATE.FAT&amp;display_string=Audit&amp;VAR:KEY=MJGVSFMLSH&amp;VAR:QUERY=Q1NGX0dST1NTX0lOQyhBTk4sMTIvMzEvMTk4MCwxMi8zMS8yMDA5LEFZKQ==&amp;WINDOW=FIRST_POPUP&amp;HEIGH","T=450&amp;WIDTH=450&amp;START_MAXIMIZED=FALSE&amp;VAR:CALENDAR=US&amp;VAR:SYMBOL=KRA&amp;VAR:INDEX=29"}</definedName>
    <definedName name="_1112__FDSAUDITLINK__" hidden="1">{"fdsup://directions/FAT Viewer?action=UPDATE&amp;creator=factset&amp;DYN_ARGS=TRUE&amp;DOC_NAME=FAT:FQL_AUDITING_CLIENT_TEMPLATE.FAT&amp;display_string=Audit&amp;VAR:KEY=MJGVSFMLSH&amp;VAR:QUERY=Q1NGX0dST1NTX0lOQyhBTk4sMTIvMzEvMTk4MCwxMi8zMS8yMDA5LEFZKQ==&amp;WINDOW=FIRST_POPUP&amp;HEIGH","T=450&amp;WIDTH=450&amp;START_MAXIMIZED=FALSE&amp;VAR:CALENDAR=US&amp;VAR:SYMBOL=KRA&amp;VAR:INDEX=28"}</definedName>
    <definedName name="_1113__FDSAUDITLINK__" hidden="1">{"fdsup://directions/FAT Viewer?action=UPDATE&amp;creator=factset&amp;DYN_ARGS=TRUE&amp;DOC_NAME=FAT:FQL_AUDITING_CLIENT_TEMPLATE.FAT&amp;display_string=Audit&amp;VAR:KEY=MJGVSFMLSH&amp;VAR:QUERY=Q1NGX0dST1NTX0lOQyhBTk4sMTIvMzEvMTk4MCwxMi8zMS8yMDA5LEFZKQ==&amp;WINDOW=FIRST_POPUP&amp;HEIGH","T=450&amp;WIDTH=450&amp;START_MAXIMIZED=FALSE&amp;VAR:CALENDAR=US&amp;VAR:SYMBOL=KRA&amp;VAR:INDEX=27"}</definedName>
    <definedName name="_1114__FDSAUDITLINK__" hidden="1">{"fdsup://directions/FAT Viewer?action=UPDATE&amp;creator=factset&amp;DYN_ARGS=TRUE&amp;DOC_NAME=FAT:FQL_AUDITING_CLIENT_TEMPLATE.FAT&amp;display_string=Audit&amp;VAR:KEY=MJGVSFMLSH&amp;VAR:QUERY=Q1NGX0dST1NTX0lOQyhBTk4sMTIvMzEvMTk4MCwxMi8zMS8yMDA5LEFZKQ==&amp;WINDOW=FIRST_POPUP&amp;HEIGH","T=450&amp;WIDTH=450&amp;START_MAXIMIZED=FALSE&amp;VAR:CALENDAR=US&amp;VAR:SYMBOL=KRA&amp;VAR:INDEX=26"}</definedName>
    <definedName name="_1115__FDSAUDITLINK__" hidden="1">{"fdsup://directions/FAT Viewer?action=UPDATE&amp;creator=factset&amp;DYN_ARGS=TRUE&amp;DOC_NAME=FAT:FQL_AUDITING_CLIENT_TEMPLATE.FAT&amp;display_string=Audit&amp;VAR:KEY=MJGVSFMLSH&amp;VAR:QUERY=Q1NGX0dST1NTX0lOQyhBTk4sMTIvMzEvMTk4MCwxMi8zMS8yMDA5LEFZKQ==&amp;WINDOW=FIRST_POPUP&amp;HEIGH","T=450&amp;WIDTH=450&amp;START_MAXIMIZED=FALSE&amp;VAR:CALENDAR=US&amp;VAR:SYMBOL=KRA&amp;VAR:INDEX=25"}</definedName>
    <definedName name="_1116__FDSAUDITLINK__" hidden="1">{"fdsup://directions/FAT Viewer?action=UPDATE&amp;creator=factset&amp;DYN_ARGS=TRUE&amp;DOC_NAME=FAT:FQL_AUDITING_CLIENT_TEMPLATE.FAT&amp;display_string=Audit&amp;VAR:KEY=MJGVSFMLSH&amp;VAR:QUERY=Q1NGX0dST1NTX0lOQyhBTk4sMTIvMzEvMTk4MCwxMi8zMS8yMDA5LEFZKQ==&amp;WINDOW=FIRST_POPUP&amp;HEIGH","T=450&amp;WIDTH=450&amp;START_MAXIMIZED=FALSE&amp;VAR:CALENDAR=US&amp;VAR:SYMBOL=KRA&amp;VAR:INDEX=24"}</definedName>
    <definedName name="_1117__FDSAUDITLINK__" hidden="1">{"fdsup://directions/FAT Viewer?action=UPDATE&amp;creator=factset&amp;DYN_ARGS=TRUE&amp;DOC_NAME=FAT:FQL_AUDITING_CLIENT_TEMPLATE.FAT&amp;display_string=Audit&amp;VAR:KEY=MJGVSFMLSH&amp;VAR:QUERY=Q1NGX0dST1NTX0lOQyhBTk4sMTIvMzEvMTk4MCwxMi8zMS8yMDA5LEFZKQ==&amp;WINDOW=FIRST_POPUP&amp;HEIGH","T=450&amp;WIDTH=450&amp;START_MAXIMIZED=FALSE&amp;VAR:CALENDAR=US&amp;VAR:SYMBOL=KRA&amp;VAR:INDEX=23"}</definedName>
    <definedName name="_1118__FDSAUDITLINK__" hidden="1">{"fdsup://directions/FAT Viewer?action=UPDATE&amp;creator=factset&amp;DYN_ARGS=TRUE&amp;DOC_NAME=FAT:FQL_AUDITING_CLIENT_TEMPLATE.FAT&amp;display_string=Audit&amp;VAR:KEY=MJGVSFMLSH&amp;VAR:QUERY=Q1NGX0dST1NTX0lOQyhBTk4sMTIvMzEvMTk4MCwxMi8zMS8yMDA5LEFZKQ==&amp;WINDOW=FIRST_POPUP&amp;HEIGH","T=450&amp;WIDTH=450&amp;START_MAXIMIZED=FALSE&amp;VAR:CALENDAR=US&amp;VAR:SYMBOL=KRA&amp;VAR:INDEX=22"}</definedName>
    <definedName name="_1119__FDSAUDITLINK__" hidden="1">{"fdsup://directions/FAT Viewer?action=UPDATE&amp;creator=factset&amp;DYN_ARGS=TRUE&amp;DOC_NAME=FAT:FQL_AUDITING_CLIENT_TEMPLATE.FAT&amp;display_string=Audit&amp;VAR:KEY=MJGVSFMLSH&amp;VAR:QUERY=Q1NGX0dST1NTX0lOQyhBTk4sMTIvMzEvMTk4MCwxMi8zMS8yMDA5LEFZKQ==&amp;WINDOW=FIRST_POPUP&amp;HEIGH","T=450&amp;WIDTH=450&amp;START_MAXIMIZED=FALSE&amp;VAR:CALENDAR=US&amp;VAR:SYMBOL=KRA&amp;VAR:INDEX=21"}</definedName>
    <definedName name="_112__FDSAUDITLINK__" hidden="1">{"fdsup://directions/FAT Viewer?action=UPDATE&amp;creator=factset&amp;DYN_ARGS=TRUE&amp;DOC_NAME=FAT:FQL_AUDITING_CLIENT_TEMPLATE.FAT&amp;display_string=Audit&amp;VAR:KEY=GPAZQPKRKR&amp;VAR:QUERY=Q1NGX0VCSVRfT1BFUihRVFJfUiwtM0FZLDAsRlEp&amp;WINDOW=FIRST_POPUP&amp;HEIGHT=450&amp;WIDTH=450&amp;STAR","T_MAXIMIZED=FALSE&amp;VAR:CALENDAR=US&amp;VAR:SYMBOL=DOW&amp;VAR:INDEX=5"}</definedName>
    <definedName name="_1120__FDSAUDITLINK__" hidden="1">{"fdsup://directions/FAT Viewer?action=UPDATE&amp;creator=factset&amp;DYN_ARGS=TRUE&amp;DOC_NAME=FAT:FQL_AUDITING_CLIENT_TEMPLATE.FAT&amp;display_string=Audit&amp;VAR:KEY=MJGVSFMLSH&amp;VAR:QUERY=Q1NGX0dST1NTX0lOQyhBTk4sMTIvMzEvMTk4MCwxMi8zMS8yMDA5LEFZKQ==&amp;WINDOW=FIRST_POPUP&amp;HEIGH","T=450&amp;WIDTH=450&amp;START_MAXIMIZED=FALSE&amp;VAR:CALENDAR=US&amp;VAR:SYMBOL=KRA&amp;VAR:INDEX=20"}</definedName>
    <definedName name="_1121__FDSAUDITLINK__" hidden="1">{"fdsup://directions/FAT Viewer?action=UPDATE&amp;creator=factset&amp;DYN_ARGS=TRUE&amp;DOC_NAME=FAT:FQL_AUDITING_CLIENT_TEMPLATE.FAT&amp;display_string=Audit&amp;VAR:KEY=MJGVSFMLSH&amp;VAR:QUERY=Q1NGX0dST1NTX0lOQyhBTk4sMTIvMzEvMTk4MCwxMi8zMS8yMDA5LEFZKQ==&amp;WINDOW=FIRST_POPUP&amp;HEIGH","T=450&amp;WIDTH=450&amp;START_MAXIMIZED=FALSE&amp;VAR:CALENDAR=US&amp;VAR:SYMBOL=KRA&amp;VAR:INDEX=19"}</definedName>
    <definedName name="_1122__FDSAUDITLINK__" hidden="1">{"fdsup://directions/FAT Viewer?action=UPDATE&amp;creator=factset&amp;DYN_ARGS=TRUE&amp;DOC_NAME=FAT:FQL_AUDITING_CLIENT_TEMPLATE.FAT&amp;display_string=Audit&amp;VAR:KEY=MJGVSFMLSH&amp;VAR:QUERY=Q1NGX0dST1NTX0lOQyhBTk4sMTIvMzEvMTk4MCwxMi8zMS8yMDA5LEFZKQ==&amp;WINDOW=FIRST_POPUP&amp;HEIGH","T=450&amp;WIDTH=450&amp;START_MAXIMIZED=FALSE&amp;VAR:CALENDAR=US&amp;VAR:SYMBOL=KRA&amp;VAR:INDEX=18"}</definedName>
    <definedName name="_1123__FDSAUDITLINK__" hidden="1">{"fdsup://directions/FAT Viewer?action=UPDATE&amp;creator=factset&amp;DYN_ARGS=TRUE&amp;DOC_NAME=FAT:FQL_AUDITING_CLIENT_TEMPLATE.FAT&amp;display_string=Audit&amp;VAR:KEY=MJGVSFMLSH&amp;VAR:QUERY=Q1NGX0dST1NTX0lOQyhBTk4sMTIvMzEvMTk4MCwxMi8zMS8yMDA5LEFZKQ==&amp;WINDOW=FIRST_POPUP&amp;HEIGH","T=450&amp;WIDTH=450&amp;START_MAXIMIZED=FALSE&amp;VAR:CALENDAR=US&amp;VAR:SYMBOL=KRA&amp;VAR:INDEX=17"}</definedName>
    <definedName name="_1124__FDSAUDITLINK__" hidden="1">{"fdsup://directions/FAT Viewer?action=UPDATE&amp;creator=factset&amp;DYN_ARGS=TRUE&amp;DOC_NAME=FAT:FQL_AUDITING_CLIENT_TEMPLATE.FAT&amp;display_string=Audit&amp;VAR:KEY=MJGVSFMLSH&amp;VAR:QUERY=Q1NGX0dST1NTX0lOQyhBTk4sMTIvMzEvMTk4MCwxMi8zMS8yMDA5LEFZKQ==&amp;WINDOW=FIRST_POPUP&amp;HEIGH","T=450&amp;WIDTH=450&amp;START_MAXIMIZED=FALSE&amp;VAR:CALENDAR=US&amp;VAR:SYMBOL=KRA&amp;VAR:INDEX=16"}</definedName>
    <definedName name="_1125__FDSAUDITLINK__" hidden="1">{"fdsup://directions/FAT Viewer?action=UPDATE&amp;creator=factset&amp;DYN_ARGS=TRUE&amp;DOC_NAME=FAT:FQL_AUDITING_CLIENT_TEMPLATE.FAT&amp;display_string=Audit&amp;VAR:KEY=MJGVSFMLSH&amp;VAR:QUERY=Q1NGX0dST1NTX0lOQyhBTk4sMTIvMzEvMTk4MCwxMi8zMS8yMDA5LEFZKQ==&amp;WINDOW=FIRST_POPUP&amp;HEIGH","T=450&amp;WIDTH=450&amp;START_MAXIMIZED=FALSE&amp;VAR:CALENDAR=US&amp;VAR:SYMBOL=KRA&amp;VAR:INDEX=15"}</definedName>
    <definedName name="_1126__FDSAUDITLINK__" hidden="1">{"fdsup://directions/FAT Viewer?action=UPDATE&amp;creator=factset&amp;DYN_ARGS=TRUE&amp;DOC_NAME=FAT:FQL_AUDITING_CLIENT_TEMPLATE.FAT&amp;display_string=Audit&amp;VAR:KEY=MJGVSFMLSH&amp;VAR:QUERY=Q1NGX0dST1NTX0lOQyhBTk4sMTIvMzEvMTk4MCwxMi8zMS8yMDA5LEFZKQ==&amp;WINDOW=FIRST_POPUP&amp;HEIGH","T=450&amp;WIDTH=450&amp;START_MAXIMIZED=FALSE&amp;VAR:CALENDAR=US&amp;VAR:SYMBOL=KRA&amp;VAR:INDEX=14"}</definedName>
    <definedName name="_1127__FDSAUDITLINK__" hidden="1">{"fdsup://directions/FAT Viewer?action=UPDATE&amp;creator=factset&amp;DYN_ARGS=TRUE&amp;DOC_NAME=FAT:FQL_AUDITING_CLIENT_TEMPLATE.FAT&amp;display_string=Audit&amp;VAR:KEY=MJGVSFMLSH&amp;VAR:QUERY=Q1NGX0dST1NTX0lOQyhBTk4sMTIvMzEvMTk4MCwxMi8zMS8yMDA5LEFZKQ==&amp;WINDOW=FIRST_POPUP&amp;HEIGH","T=450&amp;WIDTH=450&amp;START_MAXIMIZED=FALSE&amp;VAR:CALENDAR=US&amp;VAR:SYMBOL=KRA&amp;VAR:INDEX=13"}</definedName>
    <definedName name="_1128__FDSAUDITLINK__" hidden="1">{"fdsup://directions/FAT Viewer?action=UPDATE&amp;creator=factset&amp;DYN_ARGS=TRUE&amp;DOC_NAME=FAT:FQL_AUDITING_CLIENT_TEMPLATE.FAT&amp;display_string=Audit&amp;VAR:KEY=MJGVSFMLSH&amp;VAR:QUERY=Q1NGX0dST1NTX0lOQyhBTk4sMTIvMzEvMTk4MCwxMi8zMS8yMDA5LEFZKQ==&amp;WINDOW=FIRST_POPUP&amp;HEIGH","T=450&amp;WIDTH=450&amp;START_MAXIMIZED=FALSE&amp;VAR:CALENDAR=US&amp;VAR:SYMBOL=KRA&amp;VAR:INDEX=12"}</definedName>
    <definedName name="_1129__FDSAUDITLINK__" hidden="1">{"fdsup://directions/FAT Viewer?action=UPDATE&amp;creator=factset&amp;DYN_ARGS=TRUE&amp;DOC_NAME=FAT:FQL_AUDITING_CLIENT_TEMPLATE.FAT&amp;display_string=Audit&amp;VAR:KEY=MJGVSFMLSH&amp;VAR:QUERY=Q1NGX0dST1NTX0lOQyhBTk4sMTIvMzEvMTk4MCwxMi8zMS8yMDA5LEFZKQ==&amp;WINDOW=FIRST_POPUP&amp;HEIGH","T=450&amp;WIDTH=450&amp;START_MAXIMIZED=FALSE&amp;VAR:CALENDAR=US&amp;VAR:SYMBOL=KRA&amp;VAR:INDEX=11"}</definedName>
    <definedName name="_113__FDSAUDITLINK__" hidden="1">{"fdsup://directions/FAT Viewer?action=UPDATE&amp;creator=factset&amp;DYN_ARGS=TRUE&amp;DOC_NAME=FAT:FQL_AUDITING_CLIENT_TEMPLATE.FAT&amp;display_string=Audit&amp;VAR:KEY=GPAZQPKRKR&amp;VAR:QUERY=Q1NGX0VCSVRfT1BFUihRVFJfUiwtM0FZLDAsRlEp&amp;WINDOW=FIRST_POPUP&amp;HEIGHT=450&amp;WIDTH=450&amp;STAR","T_MAXIMIZED=FALSE&amp;VAR:CALENDAR=US&amp;VAR:SYMBOL=DOW&amp;VAR:INDEX=4"}</definedName>
    <definedName name="_1130__FDSAUDITLINK__" hidden="1">{"fdsup://directions/FAT Viewer?action=UPDATE&amp;creator=factset&amp;DYN_ARGS=TRUE&amp;DOC_NAME=FAT:FQL_AUDITING_CLIENT_TEMPLATE.FAT&amp;display_string=Audit&amp;VAR:KEY=MJGVSFMLSH&amp;VAR:QUERY=Q1NGX0dST1NTX0lOQyhBTk4sMTIvMzEvMTk4MCwxMi8zMS8yMDA5LEFZKQ==&amp;WINDOW=FIRST_POPUP&amp;HEIGH","T=450&amp;WIDTH=450&amp;START_MAXIMIZED=FALSE&amp;VAR:CALENDAR=US&amp;VAR:SYMBOL=KRA&amp;VAR:INDEX=10"}</definedName>
    <definedName name="_1131__FDSAUDITLINK__" hidden="1">{"fdsup://directions/FAT Viewer?action=UPDATE&amp;creator=factset&amp;DYN_ARGS=TRUE&amp;DOC_NAME=FAT:FQL_AUDITING_CLIENT_TEMPLATE.FAT&amp;display_string=Audit&amp;VAR:KEY=MJGVSFMLSH&amp;VAR:QUERY=Q1NGX0dST1NTX0lOQyhBTk4sMTIvMzEvMTk4MCwxMi8zMS8yMDA5LEFZKQ==&amp;WINDOW=FIRST_POPUP&amp;HEIGH","T=450&amp;WIDTH=450&amp;START_MAXIMIZED=FALSE&amp;VAR:CALENDAR=US&amp;VAR:SYMBOL=KRA&amp;VAR:INDEX=9"}</definedName>
    <definedName name="_1132__FDSAUDITLINK__" hidden="1">{"fdsup://directions/FAT Viewer?action=UPDATE&amp;creator=factset&amp;DYN_ARGS=TRUE&amp;DOC_NAME=FAT:FQL_AUDITING_CLIENT_TEMPLATE.FAT&amp;display_string=Audit&amp;VAR:KEY=MJGVSFMLSH&amp;VAR:QUERY=Q1NGX0dST1NTX0lOQyhBTk4sMTIvMzEvMTk4MCwxMi8zMS8yMDA5LEFZKQ==&amp;WINDOW=FIRST_POPUP&amp;HEIGH","T=450&amp;WIDTH=450&amp;START_MAXIMIZED=FALSE&amp;VAR:CALENDAR=US&amp;VAR:SYMBOL=KRA&amp;VAR:INDEX=8"}</definedName>
    <definedName name="_1133__FDSAUDITLINK__" hidden="1">{"fdsup://directions/FAT Viewer?action=UPDATE&amp;creator=factset&amp;DYN_ARGS=TRUE&amp;DOC_NAME=FAT:FQL_AUDITING_CLIENT_TEMPLATE.FAT&amp;display_string=Audit&amp;VAR:KEY=MJGVSFMLSH&amp;VAR:QUERY=Q1NGX0dST1NTX0lOQyhBTk4sMTIvMzEvMTk4MCwxMi8zMS8yMDA5LEFZKQ==&amp;WINDOW=FIRST_POPUP&amp;HEIGH","T=450&amp;WIDTH=450&amp;START_MAXIMIZED=FALSE&amp;VAR:CALENDAR=US&amp;VAR:SYMBOL=KRA&amp;VAR:INDEX=7"}</definedName>
    <definedName name="_1134__FDSAUDITLINK__" hidden="1">{"fdsup://directions/FAT Viewer?action=UPDATE&amp;creator=factset&amp;DYN_ARGS=TRUE&amp;DOC_NAME=FAT:FQL_AUDITING_CLIENT_TEMPLATE.FAT&amp;display_string=Audit&amp;VAR:KEY=MJGVSFMLSH&amp;VAR:QUERY=Q1NGX0dST1NTX0lOQyhBTk4sMTIvMzEvMTk4MCwxMi8zMS8yMDA5LEFZKQ==&amp;WINDOW=FIRST_POPUP&amp;HEIGH","T=450&amp;WIDTH=450&amp;START_MAXIMIZED=FALSE&amp;VAR:CALENDAR=US&amp;VAR:SYMBOL=KRA&amp;VAR:INDEX=6"}</definedName>
    <definedName name="_1135__FDSAUDITLINK__" hidden="1">{"fdsup://directions/FAT Viewer?action=UPDATE&amp;creator=factset&amp;DYN_ARGS=TRUE&amp;DOC_NAME=FAT:FQL_AUDITING_CLIENT_TEMPLATE.FAT&amp;display_string=Audit&amp;VAR:KEY=MJGVSFMLSH&amp;VAR:QUERY=Q1NGX0dST1NTX0lOQyhBTk4sMTIvMzEvMTk4MCwxMi8zMS8yMDA5LEFZKQ==&amp;WINDOW=FIRST_POPUP&amp;HEIGH","T=450&amp;WIDTH=450&amp;START_MAXIMIZED=FALSE&amp;VAR:CALENDAR=US&amp;VAR:SYMBOL=KRA&amp;VAR:INDEX=5"}</definedName>
    <definedName name="_1136__FDSAUDITLINK__" hidden="1">{"fdsup://directions/FAT Viewer?action=UPDATE&amp;creator=factset&amp;DYN_ARGS=TRUE&amp;DOC_NAME=FAT:FQL_AUDITING_CLIENT_TEMPLATE.FAT&amp;display_string=Audit&amp;VAR:KEY=MJGVSFMLSH&amp;VAR:QUERY=Q1NGX0dST1NTX0lOQyhBTk4sMTIvMzEvMTk4MCwxMi8zMS8yMDA5LEFZKQ==&amp;WINDOW=FIRST_POPUP&amp;HEIGH","T=450&amp;WIDTH=450&amp;START_MAXIMIZED=FALSE&amp;VAR:CALENDAR=US&amp;VAR:SYMBOL=KRA&amp;VAR:INDEX=4"}</definedName>
    <definedName name="_1137__FDSAUDITLINK__" hidden="1">{"fdsup://directions/FAT Viewer?action=UPDATE&amp;creator=factset&amp;DYN_ARGS=TRUE&amp;DOC_NAME=FAT:FQL_AUDITING_CLIENT_TEMPLATE.FAT&amp;display_string=Audit&amp;VAR:KEY=MJGVSFMLSH&amp;VAR:QUERY=Q1NGX0dST1NTX0lOQyhBTk4sMTIvMzEvMTk4MCwxMi8zMS8yMDA5LEFZKQ==&amp;WINDOW=FIRST_POPUP&amp;HEIGH","T=450&amp;WIDTH=450&amp;START_MAXIMIZED=FALSE&amp;VAR:CALENDAR=US&amp;VAR:SYMBOL=KRA&amp;VAR:INDEX=3"}</definedName>
    <definedName name="_1138__FDSAUDITLINK__" hidden="1">{"fdsup://directions/FAT Viewer?action=UPDATE&amp;creator=factset&amp;DYN_ARGS=TRUE&amp;DOC_NAME=FAT:FQL_AUDITING_CLIENT_TEMPLATE.FAT&amp;display_string=Audit&amp;VAR:KEY=MJGVSFMLSH&amp;VAR:QUERY=Q1NGX0dST1NTX0lOQyhBTk4sMTIvMzEvMTk4MCwxMi8zMS8yMDA5LEFZKQ==&amp;WINDOW=FIRST_POPUP&amp;HEIGH","T=450&amp;WIDTH=450&amp;START_MAXIMIZED=FALSE&amp;VAR:CALENDAR=US&amp;VAR:SYMBOL=KRA&amp;VAR:INDEX=2"}</definedName>
    <definedName name="_1139__FDSAUDITLINK__" hidden="1">{"fdsup://directions/FAT Viewer?action=UPDATE&amp;creator=factset&amp;DYN_ARGS=TRUE&amp;DOC_NAME=FAT:FQL_AUDITING_CLIENT_TEMPLATE.FAT&amp;display_string=Audit&amp;VAR:KEY=MJGVSFMLSH&amp;VAR:QUERY=Q1NGX0dST1NTX0lOQyhBTk4sMTIvMzEvMTk4MCwxMi8zMS8yMDA5LEFZKQ==&amp;WINDOW=FIRST_POPUP&amp;HEIGH","T=450&amp;WIDTH=450&amp;START_MAXIMIZED=FALSE&amp;VAR:CALENDAR=US&amp;VAR:SYMBOL=KRA&amp;VAR:INDEX=1"}</definedName>
    <definedName name="_114__FDSAUDITLINK__" hidden="1">{"fdsup://directions/FAT Viewer?action=UPDATE&amp;creator=factset&amp;DYN_ARGS=TRUE&amp;DOC_NAME=FAT:FQL_AUDITING_CLIENT_TEMPLATE.FAT&amp;display_string=Audit&amp;VAR:KEY=GPAZQPKRKR&amp;VAR:QUERY=Q1NGX0VCSVRfT1BFUihRVFJfUiwtM0FZLDAsRlEp&amp;WINDOW=FIRST_POPUP&amp;HEIGHT=450&amp;WIDTH=450&amp;STAR","T_MAXIMIZED=FALSE&amp;VAR:CALENDAR=US&amp;VAR:SYMBOL=DOW&amp;VAR:INDEX=3"}</definedName>
    <definedName name="_1140__FDSAUDITLINK__" hidden="1">{"fdsup://directions/FAT Viewer?action=UPDATE&amp;creator=factset&amp;DYN_ARGS=TRUE&amp;DOC_NAME=FAT:FQL_AUDITING_CLIENT_TEMPLATE.FAT&amp;display_string=Audit&amp;VAR:KEY=MJGVSFMLSH&amp;VAR:QUERY=Q1NGX0dST1NTX0lOQyhBTk4sMTIvMzEvMTk4MCwxMi8zMS8yMDA5LEFZKQ==&amp;WINDOW=FIRST_POPUP&amp;HEIGH","T=450&amp;WIDTH=450&amp;START_MAXIMIZED=FALSE&amp;VAR:CALENDAR=US&amp;VAR:SYMBOL=KRA&amp;VAR:INDEX=0"}</definedName>
    <definedName name="_1141__FDSAUDITLINK__" hidden="1">{"fdsup://directions/FAT Viewer?action=UPDATE&amp;creator=factset&amp;DYN_ARGS=TRUE&amp;DOC_NAME=FAT:FQL_AUDITING_CLIENT_TEMPLATE.FAT&amp;display_string=Audit&amp;VAR:KEY=ELWHABMVYN&amp;VAR:QUERY=Q1NGX0dST1NTX0lOQyhBTk4sMTIvMzEvMjAwNywxMi8zMS8yMDA5LEFZKQ==&amp;WINDOW=FIRST_POPUP&amp;HEIGH","T=450&amp;WIDTH=450&amp;START_MAXIMIZED=FALSE&amp;VAR:CALENDAR=US&amp;VAR:SYMBOL=LYB&amp;VAR:INDEX=2"}</definedName>
    <definedName name="_1142__FDSAUDITLINK__" hidden="1">{"fdsup://directions/FAT Viewer?action=UPDATE&amp;creator=factset&amp;DYN_ARGS=TRUE&amp;DOC_NAME=FAT:FQL_AUDITING_CLIENT_TEMPLATE.FAT&amp;display_string=Audit&amp;VAR:KEY=ELWHABMVYN&amp;VAR:QUERY=Q1NGX0dST1NTX0lOQyhBTk4sMTIvMzEvMjAwNywxMi8zMS8yMDA5LEFZKQ==&amp;WINDOW=FIRST_POPUP&amp;HEIGH","T=450&amp;WIDTH=450&amp;START_MAXIMIZED=FALSE&amp;VAR:CALENDAR=US&amp;VAR:SYMBOL=LYB&amp;VAR:INDEX=1"}</definedName>
    <definedName name="_1143__FDSAUDITLINK__" hidden="1">{"fdsup://directions/FAT Viewer?action=UPDATE&amp;creator=factset&amp;DYN_ARGS=TRUE&amp;DOC_NAME=FAT:FQL_AUDITING_CLIENT_TEMPLATE.FAT&amp;display_string=Audit&amp;VAR:KEY=ELWHABMVYN&amp;VAR:QUERY=Q1NGX0dST1NTX0lOQyhBTk4sMTIvMzEvMjAwNywxMi8zMS8yMDA5LEFZKQ==&amp;WINDOW=FIRST_POPUP&amp;HEIGH","T=450&amp;WIDTH=450&amp;START_MAXIMIZED=FALSE&amp;VAR:CALENDAR=US&amp;VAR:SYMBOL=LYB&amp;VAR:INDEX=0"}</definedName>
    <definedName name="_1144__FDSAUDITLINK__" hidden="1">{"fdsup://directions/FAT Viewer?action=UPDATE&amp;creator=factset&amp;DYN_ARGS=TRUE&amp;DOC_NAME=FAT:FQL_AUDITING_CLIENT_TEMPLATE.FAT&amp;display_string=Audit&amp;VAR:KEY=SFSDQNELSX&amp;VAR:QUERY=Q1NGX0VCSVREQV9PUEVSKEFOTiwxMi8zMS8xOTk1LDEyLzMxLzIwMDksQVkp&amp;WINDOW=FIRST_POPUP&amp;HEIGH","T=450&amp;WIDTH=450&amp;START_MAXIMIZED=FALSE&amp;VAR:CALENDAR=US&amp;VAR:SYMBOL=SOA&amp;VAR:INDEX=14"}</definedName>
    <definedName name="_1145__FDSAUDITLINK__" hidden="1">{"fdsup://directions/FAT Viewer?action=UPDATE&amp;creator=factset&amp;DYN_ARGS=TRUE&amp;DOC_NAME=FAT:FQL_AUDITING_CLIENT_TEMPLATE.FAT&amp;display_string=Audit&amp;VAR:KEY=SFSDQNELSX&amp;VAR:QUERY=Q1NGX0VCSVREQV9PUEVSKEFOTiwxMi8zMS8xOTk1LDEyLzMxLzIwMDksQVkp&amp;WINDOW=FIRST_POPUP&amp;HEIGH","T=450&amp;WIDTH=450&amp;START_MAXIMIZED=FALSE&amp;VAR:CALENDAR=US&amp;VAR:SYMBOL=SOA&amp;VAR:INDEX=13"}</definedName>
    <definedName name="_1146__FDSAUDITLINK__" hidden="1">{"fdsup://directions/FAT Viewer?action=UPDATE&amp;creator=factset&amp;DYN_ARGS=TRUE&amp;DOC_NAME=FAT:FQL_AUDITING_CLIENT_TEMPLATE.FAT&amp;display_string=Audit&amp;VAR:KEY=SFSDQNELSX&amp;VAR:QUERY=Q1NGX0VCSVREQV9PUEVSKEFOTiwxMi8zMS8xOTk1LDEyLzMxLzIwMDksQVkp&amp;WINDOW=FIRST_POPUP&amp;HEIGH","T=450&amp;WIDTH=450&amp;START_MAXIMIZED=FALSE&amp;VAR:CALENDAR=US&amp;VAR:SYMBOL=SOA&amp;VAR:INDEX=12"}</definedName>
    <definedName name="_1147__FDSAUDITLINK__" hidden="1">{"fdsup://directions/FAT Viewer?action=UPDATE&amp;creator=factset&amp;DYN_ARGS=TRUE&amp;DOC_NAME=FAT:FQL_AUDITING_CLIENT_TEMPLATE.FAT&amp;display_string=Audit&amp;VAR:KEY=SFSDQNELSX&amp;VAR:QUERY=Q1NGX0VCSVREQV9PUEVSKEFOTiwxMi8zMS8xOTk1LDEyLzMxLzIwMDksQVkp&amp;WINDOW=FIRST_POPUP&amp;HEIGH","T=450&amp;WIDTH=450&amp;START_MAXIMIZED=FALSE&amp;VAR:CALENDAR=US&amp;VAR:SYMBOL=SOA&amp;VAR:INDEX=11"}</definedName>
    <definedName name="_1148__FDSAUDITLINK__" hidden="1">{"fdsup://directions/FAT Viewer?action=UPDATE&amp;creator=factset&amp;DYN_ARGS=TRUE&amp;DOC_NAME=FAT:FQL_AUDITING_CLIENT_TEMPLATE.FAT&amp;display_string=Audit&amp;VAR:KEY=SFSDQNELSX&amp;VAR:QUERY=Q1NGX0VCSVREQV9PUEVSKEFOTiwxMi8zMS8xOTk1LDEyLzMxLzIwMDksQVkp&amp;WINDOW=FIRST_POPUP&amp;HEIGH","T=450&amp;WIDTH=450&amp;START_MAXIMIZED=FALSE&amp;VAR:CALENDAR=US&amp;VAR:SYMBOL=SOA&amp;VAR:INDEX=10"}</definedName>
    <definedName name="_1149__FDSAUDITLINK__" hidden="1">{"fdsup://directions/FAT Viewer?action=UPDATE&amp;creator=factset&amp;DYN_ARGS=TRUE&amp;DOC_NAME=FAT:FQL_AUDITING_CLIENT_TEMPLATE.FAT&amp;display_string=Audit&amp;VAR:KEY=SFSDQNELSX&amp;VAR:QUERY=Q1NGX0VCSVREQV9PUEVSKEFOTiwxMi8zMS8xOTk1LDEyLzMxLzIwMDksQVkp&amp;WINDOW=FIRST_POPUP&amp;HEIGH","T=450&amp;WIDTH=450&amp;START_MAXIMIZED=FALSE&amp;VAR:CALENDAR=US&amp;VAR:SYMBOL=SOA&amp;VAR:INDEX=9"}</definedName>
    <definedName name="_115__FDSAUDITLINK__" hidden="1">{"fdsup://directions/FAT Viewer?action=UPDATE&amp;creator=factset&amp;DYN_ARGS=TRUE&amp;DOC_NAME=FAT:FQL_AUDITING_CLIENT_TEMPLATE.FAT&amp;display_string=Audit&amp;VAR:KEY=GPAZQPKRKR&amp;VAR:QUERY=Q1NGX0VCSVRfT1BFUihRVFJfUiwtM0FZLDAsRlEp&amp;WINDOW=FIRST_POPUP&amp;HEIGHT=450&amp;WIDTH=450&amp;STAR","T_MAXIMIZED=FALSE&amp;VAR:CALENDAR=US&amp;VAR:SYMBOL=DOW&amp;VAR:INDEX=2"}</definedName>
    <definedName name="_1150__FDSAUDITLINK__" hidden="1">{"fdsup://directions/FAT Viewer?action=UPDATE&amp;creator=factset&amp;DYN_ARGS=TRUE&amp;DOC_NAME=FAT:FQL_AUDITING_CLIENT_TEMPLATE.FAT&amp;display_string=Audit&amp;VAR:KEY=SFSDQNELSX&amp;VAR:QUERY=Q1NGX0VCSVREQV9PUEVSKEFOTiwxMi8zMS8xOTk1LDEyLzMxLzIwMDksQVkp&amp;WINDOW=FIRST_POPUP&amp;HEIGH","T=450&amp;WIDTH=450&amp;START_MAXIMIZED=FALSE&amp;VAR:CALENDAR=US&amp;VAR:SYMBOL=SOA&amp;VAR:INDEX=8"}</definedName>
    <definedName name="_1151__FDSAUDITLINK__" hidden="1">{"fdsup://directions/FAT Viewer?action=UPDATE&amp;creator=factset&amp;DYN_ARGS=TRUE&amp;DOC_NAME=FAT:FQL_AUDITING_CLIENT_TEMPLATE.FAT&amp;display_string=Audit&amp;VAR:KEY=SFSDQNELSX&amp;VAR:QUERY=Q1NGX0VCSVREQV9PUEVSKEFOTiwxMi8zMS8xOTk1LDEyLzMxLzIwMDksQVkp&amp;WINDOW=FIRST_POPUP&amp;HEIGH","T=450&amp;WIDTH=450&amp;START_MAXIMIZED=FALSE&amp;VAR:CALENDAR=US&amp;VAR:SYMBOL=SOA&amp;VAR:INDEX=7"}</definedName>
    <definedName name="_1152__FDSAUDITLINK__" hidden="1">{"fdsup://directions/FAT Viewer?action=UPDATE&amp;creator=factset&amp;DYN_ARGS=TRUE&amp;DOC_NAME=FAT:FQL_AUDITING_CLIENT_TEMPLATE.FAT&amp;display_string=Audit&amp;VAR:KEY=SFSDQNELSX&amp;VAR:QUERY=Q1NGX0VCSVREQV9PUEVSKEFOTiwxMi8zMS8xOTk1LDEyLzMxLzIwMDksQVkp&amp;WINDOW=FIRST_POPUP&amp;HEIGH","T=450&amp;WIDTH=450&amp;START_MAXIMIZED=FALSE&amp;VAR:CALENDAR=US&amp;VAR:SYMBOL=SOA&amp;VAR:INDEX=6"}</definedName>
    <definedName name="_1153__FDSAUDITLINK__" hidden="1">{"fdsup://directions/FAT Viewer?action=UPDATE&amp;creator=factset&amp;DYN_ARGS=TRUE&amp;DOC_NAME=FAT:FQL_AUDITING_CLIENT_TEMPLATE.FAT&amp;display_string=Audit&amp;VAR:KEY=SFSDQNELSX&amp;VAR:QUERY=Q1NGX0VCSVREQV9PUEVSKEFOTiwxMi8zMS8xOTk1LDEyLzMxLzIwMDksQVkp&amp;WINDOW=FIRST_POPUP&amp;HEIGH","T=450&amp;WIDTH=450&amp;START_MAXIMIZED=FALSE&amp;VAR:CALENDAR=US&amp;VAR:SYMBOL=SOA&amp;VAR:INDEX=5"}</definedName>
    <definedName name="_1154__FDSAUDITLINK__" hidden="1">{"fdsup://directions/FAT Viewer?action=UPDATE&amp;creator=factset&amp;DYN_ARGS=TRUE&amp;DOC_NAME=FAT:FQL_AUDITING_CLIENT_TEMPLATE.FAT&amp;display_string=Audit&amp;VAR:KEY=SFSDQNELSX&amp;VAR:QUERY=Q1NGX0VCSVREQV9PUEVSKEFOTiwxMi8zMS8xOTk1LDEyLzMxLzIwMDksQVkp&amp;WINDOW=FIRST_POPUP&amp;HEIGH","T=450&amp;WIDTH=450&amp;START_MAXIMIZED=FALSE&amp;VAR:CALENDAR=US&amp;VAR:SYMBOL=SOA&amp;VAR:INDEX=4"}</definedName>
    <definedName name="_1155__FDSAUDITLINK__" hidden="1">{"fdsup://directions/FAT Viewer?action=UPDATE&amp;creator=factset&amp;DYN_ARGS=TRUE&amp;DOC_NAME=FAT:FQL_AUDITING_CLIENT_TEMPLATE.FAT&amp;display_string=Audit&amp;VAR:KEY=SFSDQNELSX&amp;VAR:QUERY=Q1NGX0VCSVREQV9PUEVSKEFOTiwxMi8zMS8xOTk1LDEyLzMxLzIwMDksQVkp&amp;WINDOW=FIRST_POPUP&amp;HEIGH","T=450&amp;WIDTH=450&amp;START_MAXIMIZED=FALSE&amp;VAR:CALENDAR=US&amp;VAR:SYMBOL=SOA&amp;VAR:INDEX=3"}</definedName>
    <definedName name="_1156__FDSAUDITLINK__" hidden="1">{"fdsup://directions/FAT Viewer?action=UPDATE&amp;creator=factset&amp;DYN_ARGS=TRUE&amp;DOC_NAME=FAT:FQL_AUDITING_CLIENT_TEMPLATE.FAT&amp;display_string=Audit&amp;VAR:KEY=SFSDQNELSX&amp;VAR:QUERY=Q1NGX0VCSVREQV9PUEVSKEFOTiwxMi8zMS8xOTk1LDEyLzMxLzIwMDksQVkp&amp;WINDOW=FIRST_POPUP&amp;HEIGH","T=450&amp;WIDTH=450&amp;START_MAXIMIZED=FALSE&amp;VAR:CALENDAR=US&amp;VAR:SYMBOL=SOA&amp;VAR:INDEX=2"}</definedName>
    <definedName name="_1157__FDSAUDITLINK__" hidden="1">{"fdsup://directions/FAT Viewer?action=UPDATE&amp;creator=factset&amp;DYN_ARGS=TRUE&amp;DOC_NAME=FAT:FQL_AUDITING_CLIENT_TEMPLATE.FAT&amp;display_string=Audit&amp;VAR:KEY=SFSDQNELSX&amp;VAR:QUERY=Q1NGX0VCSVREQV9PUEVSKEFOTiwxMi8zMS8xOTk1LDEyLzMxLzIwMDksQVkp&amp;WINDOW=FIRST_POPUP&amp;HEIGH","T=450&amp;WIDTH=450&amp;START_MAXIMIZED=FALSE&amp;VAR:CALENDAR=US&amp;VAR:SYMBOL=SOA&amp;VAR:INDEX=1"}</definedName>
    <definedName name="_1158__FDSAUDITLINK__" hidden="1">{"fdsup://directions/FAT Viewer?action=UPDATE&amp;creator=factset&amp;DYN_ARGS=TRUE&amp;DOC_NAME=FAT:FQL_AUDITING_CLIENT_TEMPLATE.FAT&amp;display_string=Audit&amp;VAR:KEY=SFSDQNELSX&amp;VAR:QUERY=Q1NGX0VCSVREQV9PUEVSKEFOTiwxMi8zMS8xOTk1LDEyLzMxLzIwMDksQVkp&amp;WINDOW=FIRST_POPUP&amp;HEIGH","T=450&amp;WIDTH=450&amp;START_MAXIMIZED=FALSE&amp;VAR:CALENDAR=US&amp;VAR:SYMBOL=SOA&amp;VAR:INDEX=0"}</definedName>
    <definedName name="_1159__FDSAUDITLINK__" hidden="1">{"fdsup://directions/FAT Viewer?action=UPDATE&amp;creator=factset&amp;DYN_ARGS=TRUE&amp;DOC_NAME=FAT:FQL_AUDITING_CLIENT_TEMPLATE.FAT&amp;display_string=Audit&amp;VAR:KEY=ITEJGLYHMX&amp;VAR:QUERY=Q1NGX0VCSVREQV9PUEVSKEFOTiwxMi8zMS8xOTgwLDEyLzMxLzIwMDksQVkp&amp;WINDOW=FIRST_POPUP&amp;HEIGH","T=450&amp;WIDTH=450&amp;START_MAXIMIZED=FALSE&amp;VAR:CALENDAR=US&amp;VAR:SYMBOL=BCPC&amp;VAR:INDEX=29"}</definedName>
    <definedName name="_116__FDSAUDITLINK__" hidden="1">{"fdsup://directions/FAT Viewer?action=UPDATE&amp;creator=factset&amp;DYN_ARGS=TRUE&amp;DOC_NAME=FAT:FQL_AUDITING_CLIENT_TEMPLATE.FAT&amp;display_string=Audit&amp;VAR:KEY=GPAZQPKRKR&amp;VAR:QUERY=Q1NGX0VCSVRfT1BFUihRVFJfUiwtM0FZLDAsRlEp&amp;WINDOW=FIRST_POPUP&amp;HEIGHT=450&amp;WIDTH=450&amp;STAR","T_MAXIMIZED=FALSE&amp;VAR:CALENDAR=US&amp;VAR:SYMBOL=DOW&amp;VAR:INDEX=1"}</definedName>
    <definedName name="_1160__FDSAUDITLINK__" hidden="1">{"fdsup://directions/FAT Viewer?action=UPDATE&amp;creator=factset&amp;DYN_ARGS=TRUE&amp;DOC_NAME=FAT:FQL_AUDITING_CLIENT_TEMPLATE.FAT&amp;display_string=Audit&amp;VAR:KEY=ITEJGLYHMX&amp;VAR:QUERY=Q1NGX0VCSVREQV9PUEVSKEFOTiwxMi8zMS8xOTgwLDEyLzMxLzIwMDksQVkp&amp;WINDOW=FIRST_POPUP&amp;HEIGH","T=450&amp;WIDTH=450&amp;START_MAXIMIZED=FALSE&amp;VAR:CALENDAR=US&amp;VAR:SYMBOL=BCPC&amp;VAR:INDEX=28"}</definedName>
    <definedName name="_1161__FDSAUDITLINK__" hidden="1">{"fdsup://directions/FAT Viewer?action=UPDATE&amp;creator=factset&amp;DYN_ARGS=TRUE&amp;DOC_NAME=FAT:FQL_AUDITING_CLIENT_TEMPLATE.FAT&amp;display_string=Audit&amp;VAR:KEY=ITEJGLYHMX&amp;VAR:QUERY=Q1NGX0VCSVREQV9PUEVSKEFOTiwxMi8zMS8xOTgwLDEyLzMxLzIwMDksQVkp&amp;WINDOW=FIRST_POPUP&amp;HEIGH","T=450&amp;WIDTH=450&amp;START_MAXIMIZED=FALSE&amp;VAR:CALENDAR=US&amp;VAR:SYMBOL=BCPC&amp;VAR:INDEX=27"}</definedName>
    <definedName name="_1162__FDSAUDITLINK__" hidden="1">{"fdsup://directions/FAT Viewer?action=UPDATE&amp;creator=factset&amp;DYN_ARGS=TRUE&amp;DOC_NAME=FAT:FQL_AUDITING_CLIENT_TEMPLATE.FAT&amp;display_string=Audit&amp;VAR:KEY=ITEJGLYHMX&amp;VAR:QUERY=Q1NGX0VCSVREQV9PUEVSKEFOTiwxMi8zMS8xOTgwLDEyLzMxLzIwMDksQVkp&amp;WINDOW=FIRST_POPUP&amp;HEIGH","T=450&amp;WIDTH=450&amp;START_MAXIMIZED=FALSE&amp;VAR:CALENDAR=US&amp;VAR:SYMBOL=BCPC&amp;VAR:INDEX=26"}</definedName>
    <definedName name="_1163__FDSAUDITLINK__" hidden="1">{"fdsup://directions/FAT Viewer?action=UPDATE&amp;creator=factset&amp;DYN_ARGS=TRUE&amp;DOC_NAME=FAT:FQL_AUDITING_CLIENT_TEMPLATE.FAT&amp;display_string=Audit&amp;VAR:KEY=ITEJGLYHMX&amp;VAR:QUERY=Q1NGX0VCSVREQV9PUEVSKEFOTiwxMi8zMS8xOTgwLDEyLzMxLzIwMDksQVkp&amp;WINDOW=FIRST_POPUP&amp;HEIGH","T=450&amp;WIDTH=450&amp;START_MAXIMIZED=FALSE&amp;VAR:CALENDAR=US&amp;VAR:SYMBOL=BCPC&amp;VAR:INDEX=25"}</definedName>
    <definedName name="_1164__FDSAUDITLINK__" hidden="1">{"fdsup://directions/FAT Viewer?action=UPDATE&amp;creator=factset&amp;DYN_ARGS=TRUE&amp;DOC_NAME=FAT:FQL_AUDITING_CLIENT_TEMPLATE.FAT&amp;display_string=Audit&amp;VAR:KEY=ITEJGLYHMX&amp;VAR:QUERY=Q1NGX0VCSVREQV9PUEVSKEFOTiwxMi8zMS8xOTgwLDEyLzMxLzIwMDksQVkp&amp;WINDOW=FIRST_POPUP&amp;HEIGH","T=450&amp;WIDTH=450&amp;START_MAXIMIZED=FALSE&amp;VAR:CALENDAR=US&amp;VAR:SYMBOL=BCPC&amp;VAR:INDEX=24"}</definedName>
    <definedName name="_1165__FDSAUDITLINK__" hidden="1">{"fdsup://directions/FAT Viewer?action=UPDATE&amp;creator=factset&amp;DYN_ARGS=TRUE&amp;DOC_NAME=FAT:FQL_AUDITING_CLIENT_TEMPLATE.FAT&amp;display_string=Audit&amp;VAR:KEY=ITEJGLYHMX&amp;VAR:QUERY=Q1NGX0VCSVREQV9PUEVSKEFOTiwxMi8zMS8xOTgwLDEyLzMxLzIwMDksQVkp&amp;WINDOW=FIRST_POPUP&amp;HEIGH","T=450&amp;WIDTH=450&amp;START_MAXIMIZED=FALSE&amp;VAR:CALENDAR=US&amp;VAR:SYMBOL=BCPC&amp;VAR:INDEX=23"}</definedName>
    <definedName name="_1166__FDSAUDITLINK__" hidden="1">{"fdsup://directions/FAT Viewer?action=UPDATE&amp;creator=factset&amp;DYN_ARGS=TRUE&amp;DOC_NAME=FAT:FQL_AUDITING_CLIENT_TEMPLATE.FAT&amp;display_string=Audit&amp;VAR:KEY=ITEJGLYHMX&amp;VAR:QUERY=Q1NGX0VCSVREQV9PUEVSKEFOTiwxMi8zMS8xOTgwLDEyLzMxLzIwMDksQVkp&amp;WINDOW=FIRST_POPUP&amp;HEIGH","T=450&amp;WIDTH=450&amp;START_MAXIMIZED=FALSE&amp;VAR:CALENDAR=US&amp;VAR:SYMBOL=BCPC&amp;VAR:INDEX=22"}</definedName>
    <definedName name="_1167__FDSAUDITLINK__" hidden="1">{"fdsup://directions/FAT Viewer?action=UPDATE&amp;creator=factset&amp;DYN_ARGS=TRUE&amp;DOC_NAME=FAT:FQL_AUDITING_CLIENT_TEMPLATE.FAT&amp;display_string=Audit&amp;VAR:KEY=ITEJGLYHMX&amp;VAR:QUERY=Q1NGX0VCSVREQV9PUEVSKEFOTiwxMi8zMS8xOTgwLDEyLzMxLzIwMDksQVkp&amp;WINDOW=FIRST_POPUP&amp;HEIGH","T=450&amp;WIDTH=450&amp;START_MAXIMIZED=FALSE&amp;VAR:CALENDAR=US&amp;VAR:SYMBOL=BCPC&amp;VAR:INDEX=21"}</definedName>
    <definedName name="_1168__FDSAUDITLINK__" hidden="1">{"fdsup://directions/FAT Viewer?action=UPDATE&amp;creator=factset&amp;DYN_ARGS=TRUE&amp;DOC_NAME=FAT:FQL_AUDITING_CLIENT_TEMPLATE.FAT&amp;display_string=Audit&amp;VAR:KEY=ITEJGLYHMX&amp;VAR:QUERY=Q1NGX0VCSVREQV9PUEVSKEFOTiwxMi8zMS8xOTgwLDEyLzMxLzIwMDksQVkp&amp;WINDOW=FIRST_POPUP&amp;HEIGH","T=450&amp;WIDTH=450&amp;START_MAXIMIZED=FALSE&amp;VAR:CALENDAR=US&amp;VAR:SYMBOL=BCPC&amp;VAR:INDEX=20"}</definedName>
    <definedName name="_1169__FDSAUDITLINK__" hidden="1">{"fdsup://directions/FAT Viewer?action=UPDATE&amp;creator=factset&amp;DYN_ARGS=TRUE&amp;DOC_NAME=FAT:FQL_AUDITING_CLIENT_TEMPLATE.FAT&amp;display_string=Audit&amp;VAR:KEY=ITEJGLYHMX&amp;VAR:QUERY=Q1NGX0VCSVREQV9PUEVSKEFOTiwxMi8zMS8xOTgwLDEyLzMxLzIwMDksQVkp&amp;WINDOW=FIRST_POPUP&amp;HEIGH","T=450&amp;WIDTH=450&amp;START_MAXIMIZED=FALSE&amp;VAR:CALENDAR=US&amp;VAR:SYMBOL=BCPC&amp;VAR:INDEX=19"}</definedName>
    <definedName name="_117__FDSAUDITLINK__" hidden="1">{"fdsup://directions/FAT Viewer?action=UPDATE&amp;creator=factset&amp;DYN_ARGS=TRUE&amp;DOC_NAME=FAT:FQL_AUDITING_CLIENT_TEMPLATE.FAT&amp;display_string=Audit&amp;VAR:KEY=GPAZQPKRKR&amp;VAR:QUERY=Q1NGX0VCSVRfT1BFUihRVFJfUiwtM0FZLDAsRlEp&amp;WINDOW=FIRST_POPUP&amp;HEIGHT=450&amp;WIDTH=450&amp;STAR","T_MAXIMIZED=FALSE&amp;VAR:CALENDAR=US&amp;VAR:SYMBOL=DOW&amp;VAR:INDEX=0"}</definedName>
    <definedName name="_1170__FDSAUDITLINK__" hidden="1">{"fdsup://directions/FAT Viewer?action=UPDATE&amp;creator=factset&amp;DYN_ARGS=TRUE&amp;DOC_NAME=FAT:FQL_AUDITING_CLIENT_TEMPLATE.FAT&amp;display_string=Audit&amp;VAR:KEY=ITEJGLYHMX&amp;VAR:QUERY=Q1NGX0VCSVREQV9PUEVSKEFOTiwxMi8zMS8xOTgwLDEyLzMxLzIwMDksQVkp&amp;WINDOW=FIRST_POPUP&amp;HEIGH","T=450&amp;WIDTH=450&amp;START_MAXIMIZED=FALSE&amp;VAR:CALENDAR=US&amp;VAR:SYMBOL=BCPC&amp;VAR:INDEX=18"}</definedName>
    <definedName name="_1171__FDSAUDITLINK__" hidden="1">{"fdsup://directions/FAT Viewer?action=UPDATE&amp;creator=factset&amp;DYN_ARGS=TRUE&amp;DOC_NAME=FAT:FQL_AUDITING_CLIENT_TEMPLATE.FAT&amp;display_string=Audit&amp;VAR:KEY=ITEJGLYHMX&amp;VAR:QUERY=Q1NGX0VCSVREQV9PUEVSKEFOTiwxMi8zMS8xOTgwLDEyLzMxLzIwMDksQVkp&amp;WINDOW=FIRST_POPUP&amp;HEIGH","T=450&amp;WIDTH=450&amp;START_MAXIMIZED=FALSE&amp;VAR:CALENDAR=US&amp;VAR:SYMBOL=BCPC&amp;VAR:INDEX=17"}</definedName>
    <definedName name="_1172__FDSAUDITLINK__" hidden="1">{"fdsup://directions/FAT Viewer?action=UPDATE&amp;creator=factset&amp;DYN_ARGS=TRUE&amp;DOC_NAME=FAT:FQL_AUDITING_CLIENT_TEMPLATE.FAT&amp;display_string=Audit&amp;VAR:KEY=ITEJGLYHMX&amp;VAR:QUERY=Q1NGX0VCSVREQV9PUEVSKEFOTiwxMi8zMS8xOTgwLDEyLzMxLzIwMDksQVkp&amp;WINDOW=FIRST_POPUP&amp;HEIGH","T=450&amp;WIDTH=450&amp;START_MAXIMIZED=FALSE&amp;VAR:CALENDAR=US&amp;VAR:SYMBOL=BCPC&amp;VAR:INDEX=16"}</definedName>
    <definedName name="_1173__FDSAUDITLINK__" hidden="1">{"fdsup://directions/FAT Viewer?action=UPDATE&amp;creator=factset&amp;DYN_ARGS=TRUE&amp;DOC_NAME=FAT:FQL_AUDITING_CLIENT_TEMPLATE.FAT&amp;display_string=Audit&amp;VAR:KEY=ITEJGLYHMX&amp;VAR:QUERY=Q1NGX0VCSVREQV9PUEVSKEFOTiwxMi8zMS8xOTgwLDEyLzMxLzIwMDksQVkp&amp;WINDOW=FIRST_POPUP&amp;HEIGH","T=450&amp;WIDTH=450&amp;START_MAXIMIZED=FALSE&amp;VAR:CALENDAR=US&amp;VAR:SYMBOL=BCPC&amp;VAR:INDEX=15"}</definedName>
    <definedName name="_1174__FDSAUDITLINK__" hidden="1">{"fdsup://directions/FAT Viewer?action=UPDATE&amp;creator=factset&amp;DYN_ARGS=TRUE&amp;DOC_NAME=FAT:FQL_AUDITING_CLIENT_TEMPLATE.FAT&amp;display_string=Audit&amp;VAR:KEY=ITEJGLYHMX&amp;VAR:QUERY=Q1NGX0VCSVREQV9PUEVSKEFOTiwxMi8zMS8xOTgwLDEyLzMxLzIwMDksQVkp&amp;WINDOW=FIRST_POPUP&amp;HEIGH","T=450&amp;WIDTH=450&amp;START_MAXIMIZED=FALSE&amp;VAR:CALENDAR=US&amp;VAR:SYMBOL=BCPC&amp;VAR:INDEX=14"}</definedName>
    <definedName name="_1175__FDSAUDITLINK__" hidden="1">{"fdsup://directions/FAT Viewer?action=UPDATE&amp;creator=factset&amp;DYN_ARGS=TRUE&amp;DOC_NAME=FAT:FQL_AUDITING_CLIENT_TEMPLATE.FAT&amp;display_string=Audit&amp;VAR:KEY=ITEJGLYHMX&amp;VAR:QUERY=Q1NGX0VCSVREQV9PUEVSKEFOTiwxMi8zMS8xOTgwLDEyLzMxLzIwMDksQVkp&amp;WINDOW=FIRST_POPUP&amp;HEIGH","T=450&amp;WIDTH=450&amp;START_MAXIMIZED=FALSE&amp;VAR:CALENDAR=US&amp;VAR:SYMBOL=BCPC&amp;VAR:INDEX=13"}</definedName>
    <definedName name="_1176__FDSAUDITLINK__" hidden="1">{"fdsup://directions/FAT Viewer?action=UPDATE&amp;creator=factset&amp;DYN_ARGS=TRUE&amp;DOC_NAME=FAT:FQL_AUDITING_CLIENT_TEMPLATE.FAT&amp;display_string=Audit&amp;VAR:KEY=ITEJGLYHMX&amp;VAR:QUERY=Q1NGX0VCSVREQV9PUEVSKEFOTiwxMi8zMS8xOTgwLDEyLzMxLzIwMDksQVkp&amp;WINDOW=FIRST_POPUP&amp;HEIGH","T=450&amp;WIDTH=450&amp;START_MAXIMIZED=FALSE&amp;VAR:CALENDAR=US&amp;VAR:SYMBOL=BCPC&amp;VAR:INDEX=12"}</definedName>
    <definedName name="_1177__FDSAUDITLINK__" hidden="1">{"fdsup://directions/FAT Viewer?action=UPDATE&amp;creator=factset&amp;DYN_ARGS=TRUE&amp;DOC_NAME=FAT:FQL_AUDITING_CLIENT_TEMPLATE.FAT&amp;display_string=Audit&amp;VAR:KEY=ITEJGLYHMX&amp;VAR:QUERY=Q1NGX0VCSVREQV9PUEVSKEFOTiwxMi8zMS8xOTgwLDEyLzMxLzIwMDksQVkp&amp;WINDOW=FIRST_POPUP&amp;HEIGH","T=450&amp;WIDTH=450&amp;START_MAXIMIZED=FALSE&amp;VAR:CALENDAR=US&amp;VAR:SYMBOL=BCPC&amp;VAR:INDEX=11"}</definedName>
    <definedName name="_1178__FDSAUDITLINK__" hidden="1">{"fdsup://directions/FAT Viewer?action=UPDATE&amp;creator=factset&amp;DYN_ARGS=TRUE&amp;DOC_NAME=FAT:FQL_AUDITING_CLIENT_TEMPLATE.FAT&amp;display_string=Audit&amp;VAR:KEY=ITEJGLYHMX&amp;VAR:QUERY=Q1NGX0VCSVREQV9PUEVSKEFOTiwxMi8zMS8xOTgwLDEyLzMxLzIwMDksQVkp&amp;WINDOW=FIRST_POPUP&amp;HEIGH","T=450&amp;WIDTH=450&amp;START_MAXIMIZED=FALSE&amp;VAR:CALENDAR=US&amp;VAR:SYMBOL=BCPC&amp;VAR:INDEX=10"}</definedName>
    <definedName name="_1179__FDSAUDITLINK__" hidden="1">{"fdsup://directions/FAT Viewer?action=UPDATE&amp;creator=factset&amp;DYN_ARGS=TRUE&amp;DOC_NAME=FAT:FQL_AUDITING_CLIENT_TEMPLATE.FAT&amp;display_string=Audit&amp;VAR:KEY=ITEJGLYHMX&amp;VAR:QUERY=Q1NGX0VCSVREQV9PUEVSKEFOTiwxMi8zMS8xOTgwLDEyLzMxLzIwMDksQVkp&amp;WINDOW=FIRST_POPUP&amp;HEIGH","T=450&amp;WIDTH=450&amp;START_MAXIMIZED=FALSE&amp;VAR:CALENDAR=US&amp;VAR:SYMBOL=BCPC&amp;VAR:INDEX=9"}</definedName>
    <definedName name="_118__FDSAUDITLINK__" hidden="1">{"fdsup://directions/FAT Viewer?action=UPDATE&amp;creator=factset&amp;DYN_ARGS=TRUE&amp;DOC_NAME=FAT:FQL_AUDITING_CLIENT_TEMPLATE.FAT&amp;display_string=Audit&amp;VAR:KEY=ABINOJOXEF&amp;VAR:QUERY=Q1NGX0VCSVRfT1BFUihRVFJfUiwtM0FZLDAsRlEp&amp;WINDOW=FIRST_POPUP&amp;HEIGHT=450&amp;WIDTH=450&amp;STAR","T_MAXIMIZED=FALSE&amp;VAR:CALENDAR=US&amp;VAR:SYMBOL=DD&amp;VAR:INDEX=12"}</definedName>
    <definedName name="_1180__FDSAUDITLINK__" hidden="1">{"fdsup://directions/FAT Viewer?action=UPDATE&amp;creator=factset&amp;DYN_ARGS=TRUE&amp;DOC_NAME=FAT:FQL_AUDITING_CLIENT_TEMPLATE.FAT&amp;display_string=Audit&amp;VAR:KEY=ITEJGLYHMX&amp;VAR:QUERY=Q1NGX0VCSVREQV9PUEVSKEFOTiwxMi8zMS8xOTgwLDEyLzMxLzIwMDksQVkp&amp;WINDOW=FIRST_POPUP&amp;HEIGH","T=450&amp;WIDTH=450&amp;START_MAXIMIZED=FALSE&amp;VAR:CALENDAR=US&amp;VAR:SYMBOL=BCPC&amp;VAR:INDEX=8"}</definedName>
    <definedName name="_1181__FDSAUDITLINK__" hidden="1">{"fdsup://directions/FAT Viewer?action=UPDATE&amp;creator=factset&amp;DYN_ARGS=TRUE&amp;DOC_NAME=FAT:FQL_AUDITING_CLIENT_TEMPLATE.FAT&amp;display_string=Audit&amp;VAR:KEY=ITEJGLYHMX&amp;VAR:QUERY=Q1NGX0VCSVREQV9PUEVSKEFOTiwxMi8zMS8xOTgwLDEyLzMxLzIwMDksQVkp&amp;WINDOW=FIRST_POPUP&amp;HEIGH","T=450&amp;WIDTH=450&amp;START_MAXIMIZED=FALSE&amp;VAR:CALENDAR=US&amp;VAR:SYMBOL=BCPC&amp;VAR:INDEX=7"}</definedName>
    <definedName name="_1182__FDSAUDITLINK__" hidden="1">{"fdsup://directions/FAT Viewer?action=UPDATE&amp;creator=factset&amp;DYN_ARGS=TRUE&amp;DOC_NAME=FAT:FQL_AUDITING_CLIENT_TEMPLATE.FAT&amp;display_string=Audit&amp;VAR:KEY=ITEJGLYHMX&amp;VAR:QUERY=Q1NGX0VCSVREQV9PUEVSKEFOTiwxMi8zMS8xOTgwLDEyLzMxLzIwMDksQVkp&amp;WINDOW=FIRST_POPUP&amp;HEIGH","T=450&amp;WIDTH=450&amp;START_MAXIMIZED=FALSE&amp;VAR:CALENDAR=US&amp;VAR:SYMBOL=BCPC&amp;VAR:INDEX=6"}</definedName>
    <definedName name="_1183__FDSAUDITLINK__" hidden="1">{"fdsup://directions/FAT Viewer?action=UPDATE&amp;creator=factset&amp;DYN_ARGS=TRUE&amp;DOC_NAME=FAT:FQL_AUDITING_CLIENT_TEMPLATE.FAT&amp;display_string=Audit&amp;VAR:KEY=ITEJGLYHMX&amp;VAR:QUERY=Q1NGX0VCSVREQV9PUEVSKEFOTiwxMi8zMS8xOTgwLDEyLzMxLzIwMDksQVkp&amp;WINDOW=FIRST_POPUP&amp;HEIGH","T=450&amp;WIDTH=450&amp;START_MAXIMIZED=FALSE&amp;VAR:CALENDAR=US&amp;VAR:SYMBOL=BCPC&amp;VAR:INDEX=5"}</definedName>
    <definedName name="_1184__FDSAUDITLINK__" hidden="1">{"fdsup://directions/FAT Viewer?action=UPDATE&amp;creator=factset&amp;DYN_ARGS=TRUE&amp;DOC_NAME=FAT:FQL_AUDITING_CLIENT_TEMPLATE.FAT&amp;display_string=Audit&amp;VAR:KEY=ITEJGLYHMX&amp;VAR:QUERY=Q1NGX0VCSVREQV9PUEVSKEFOTiwxMi8zMS8xOTgwLDEyLzMxLzIwMDksQVkp&amp;WINDOW=FIRST_POPUP&amp;HEIGH","T=450&amp;WIDTH=450&amp;START_MAXIMIZED=FALSE&amp;VAR:CALENDAR=US&amp;VAR:SYMBOL=BCPC&amp;VAR:INDEX=4"}</definedName>
    <definedName name="_1185__FDSAUDITLINK__" hidden="1">{"fdsup://directions/FAT Viewer?action=UPDATE&amp;creator=factset&amp;DYN_ARGS=TRUE&amp;DOC_NAME=FAT:FQL_AUDITING_CLIENT_TEMPLATE.FAT&amp;display_string=Audit&amp;VAR:KEY=ITEJGLYHMX&amp;VAR:QUERY=Q1NGX0VCSVREQV9PUEVSKEFOTiwxMi8zMS8xOTgwLDEyLzMxLzIwMDksQVkp&amp;WINDOW=FIRST_POPUP&amp;HEIGH","T=450&amp;WIDTH=450&amp;START_MAXIMIZED=FALSE&amp;VAR:CALENDAR=US&amp;VAR:SYMBOL=BCPC&amp;VAR:INDEX=3"}</definedName>
    <definedName name="_1186__FDSAUDITLINK__" hidden="1">{"fdsup://directions/FAT Viewer?action=UPDATE&amp;creator=factset&amp;DYN_ARGS=TRUE&amp;DOC_NAME=FAT:FQL_AUDITING_CLIENT_TEMPLATE.FAT&amp;display_string=Audit&amp;VAR:KEY=ITEJGLYHMX&amp;VAR:QUERY=Q1NGX0VCSVREQV9PUEVSKEFOTiwxMi8zMS8xOTgwLDEyLzMxLzIwMDksQVkp&amp;WINDOW=FIRST_POPUP&amp;HEIGH","T=450&amp;WIDTH=450&amp;START_MAXIMIZED=FALSE&amp;VAR:CALENDAR=US&amp;VAR:SYMBOL=BCPC&amp;VAR:INDEX=2"}</definedName>
    <definedName name="_1187__FDSAUDITLINK__" hidden="1">{"fdsup://directions/FAT Viewer?action=UPDATE&amp;creator=factset&amp;DYN_ARGS=TRUE&amp;DOC_NAME=FAT:FQL_AUDITING_CLIENT_TEMPLATE.FAT&amp;display_string=Audit&amp;VAR:KEY=ITEJGLYHMX&amp;VAR:QUERY=Q1NGX0VCSVREQV9PUEVSKEFOTiwxMi8zMS8xOTgwLDEyLzMxLzIwMDksQVkp&amp;WINDOW=FIRST_POPUP&amp;HEIGH","T=450&amp;WIDTH=450&amp;START_MAXIMIZED=FALSE&amp;VAR:CALENDAR=US&amp;VAR:SYMBOL=BCPC&amp;VAR:INDEX=1"}</definedName>
    <definedName name="_1188__FDSAUDITLINK__" hidden="1">{"fdsup://directions/FAT Viewer?action=UPDATE&amp;creator=factset&amp;DYN_ARGS=TRUE&amp;DOC_NAME=FAT:FQL_AUDITING_CLIENT_TEMPLATE.FAT&amp;display_string=Audit&amp;VAR:KEY=ITEJGLYHMX&amp;VAR:QUERY=Q1NGX0VCSVREQV9PUEVSKEFOTiwxMi8zMS8xOTgwLDEyLzMxLzIwMDksQVkp&amp;WINDOW=FIRST_POPUP&amp;HEIGH","T=450&amp;WIDTH=450&amp;START_MAXIMIZED=FALSE&amp;VAR:CALENDAR=US&amp;VAR:SYMBOL=BCPC&amp;VAR:INDEX=0"}</definedName>
    <definedName name="_1189__FDSAUDITLINK__" hidden="1">{"fdsup://directions/FAT Viewer?action=UPDATE&amp;creator=factset&amp;DYN_ARGS=TRUE&amp;DOC_NAME=FAT:FQL_AUDITING_CLIENT_TEMPLATE.FAT&amp;display_string=Audit&amp;VAR:KEY=YXALOJIFGL&amp;VAR:QUERY=Q1NGX0VCSVREQV9PUEVSKEFOTiwxMi8zMS8yMDA3LDEyLzMxLzIwMDksQVkp&amp;WINDOW=FIRST_POPUP&amp;HEIGH","T=450&amp;WIDTH=450&amp;START_MAXIMIZED=FALSE&amp;VAR:CALENDAR=US&amp;VAR:SYMBOL=LYB&amp;VAR:INDEX=2"}</definedName>
    <definedName name="_119__FDSAUDITLINK__" hidden="1">{"fdsup://directions/FAT Viewer?action=UPDATE&amp;creator=factset&amp;DYN_ARGS=TRUE&amp;DOC_NAME=FAT:FQL_AUDITING_CLIENT_TEMPLATE.FAT&amp;display_string=Audit&amp;VAR:KEY=ABINOJOXEF&amp;VAR:QUERY=Q1NGX0VCSVRfT1BFUihRVFJfUiwtM0FZLDAsRlEp&amp;WINDOW=FIRST_POPUP&amp;HEIGHT=450&amp;WIDTH=450&amp;STAR","T_MAXIMIZED=FALSE&amp;VAR:CALENDAR=US&amp;VAR:SYMBOL=DD&amp;VAR:INDEX=11"}</definedName>
    <definedName name="_1190__FDSAUDITLINK__" hidden="1">{"fdsup://directions/FAT Viewer?action=UPDATE&amp;creator=factset&amp;DYN_ARGS=TRUE&amp;DOC_NAME=FAT:FQL_AUDITING_CLIENT_TEMPLATE.FAT&amp;display_string=Audit&amp;VAR:KEY=YXALOJIFGL&amp;VAR:QUERY=Q1NGX0VCSVREQV9PUEVSKEFOTiwxMi8zMS8yMDA3LDEyLzMxLzIwMDksQVkp&amp;WINDOW=FIRST_POPUP&amp;HEIGH","T=450&amp;WIDTH=450&amp;START_MAXIMIZED=FALSE&amp;VAR:CALENDAR=US&amp;VAR:SYMBOL=LYB&amp;VAR:INDEX=1"}</definedName>
    <definedName name="_1191__FDSAUDITLINK__" hidden="1">{"fdsup://directions/FAT Viewer?action=UPDATE&amp;creator=factset&amp;DYN_ARGS=TRUE&amp;DOC_NAME=FAT:FQL_AUDITING_CLIENT_TEMPLATE.FAT&amp;display_string=Audit&amp;VAR:KEY=YXALOJIFGL&amp;VAR:QUERY=Q1NGX0VCSVREQV9PUEVSKEFOTiwxMi8zMS8yMDA3LDEyLzMxLzIwMDksQVkp&amp;WINDOW=FIRST_POPUP&amp;HEIGH","T=450&amp;WIDTH=450&amp;START_MAXIMIZED=FALSE&amp;VAR:CALENDAR=US&amp;VAR:SYMBOL=LYB&amp;VAR:INDEX=0"}</definedName>
    <definedName name="_1192__FDSAUDITLINK__" hidden="1">{"fdsup://directions/FAT Viewer?action=UPDATE&amp;creator=factset&amp;DYN_ARGS=TRUE&amp;DOC_NAME=FAT:FQL_AUDITING_CLIENT_TEMPLATE.FAT&amp;display_string=Audit&amp;VAR:KEY=WXOTWNKFKV&amp;VAR:QUERY=Q1NGX1NBTEVTKEFOTiwxMi8zMS8xOTgwLDEyLzMxLzIwMDksQVkp&amp;WINDOW=FIRST_POPUP&amp;HEIGHT=450&amp;WI","DTH=450&amp;START_MAXIMIZED=FALSE&amp;VAR:CALENDAR=US&amp;VAR:SYMBOL=ZEP&amp;VAR:INDEX=29"}</definedName>
    <definedName name="_1193__FDSAUDITLINK__" hidden="1">{"fdsup://directions/FAT Viewer?action=UPDATE&amp;creator=factset&amp;DYN_ARGS=TRUE&amp;DOC_NAME=FAT:FQL_AUDITING_CLIENT_TEMPLATE.FAT&amp;display_string=Audit&amp;VAR:KEY=WXOTWNKFKV&amp;VAR:QUERY=Q1NGX1NBTEVTKEFOTiwxMi8zMS8xOTgwLDEyLzMxLzIwMDksQVkp&amp;WINDOW=FIRST_POPUP&amp;HEIGHT=450&amp;WI","DTH=450&amp;START_MAXIMIZED=FALSE&amp;VAR:CALENDAR=US&amp;VAR:SYMBOL=ZEP&amp;VAR:INDEX=28"}</definedName>
    <definedName name="_1194__FDSAUDITLINK__" hidden="1">{"fdsup://directions/FAT Viewer?action=UPDATE&amp;creator=factset&amp;DYN_ARGS=TRUE&amp;DOC_NAME=FAT:FQL_AUDITING_CLIENT_TEMPLATE.FAT&amp;display_string=Audit&amp;VAR:KEY=WXOTWNKFKV&amp;VAR:QUERY=Q1NGX1NBTEVTKEFOTiwxMi8zMS8xOTgwLDEyLzMxLzIwMDksQVkp&amp;WINDOW=FIRST_POPUP&amp;HEIGHT=450&amp;WI","DTH=450&amp;START_MAXIMIZED=FALSE&amp;VAR:CALENDAR=US&amp;VAR:SYMBOL=ZEP&amp;VAR:INDEX=27"}</definedName>
    <definedName name="_1195__FDSAUDITLINK__" hidden="1">{"fdsup://directions/FAT Viewer?action=UPDATE&amp;creator=factset&amp;DYN_ARGS=TRUE&amp;DOC_NAME=FAT:FQL_AUDITING_CLIENT_TEMPLATE.FAT&amp;display_string=Audit&amp;VAR:KEY=WXOTWNKFKV&amp;VAR:QUERY=Q1NGX1NBTEVTKEFOTiwxMi8zMS8xOTgwLDEyLzMxLzIwMDksQVkp&amp;WINDOW=FIRST_POPUP&amp;HEIGHT=450&amp;WI","DTH=450&amp;START_MAXIMIZED=FALSE&amp;VAR:CALENDAR=US&amp;VAR:SYMBOL=ZEP&amp;VAR:INDEX=26"}</definedName>
    <definedName name="_1196__FDSAUDITLINK__" hidden="1">{"fdsup://directions/FAT Viewer?action=UPDATE&amp;creator=factset&amp;DYN_ARGS=TRUE&amp;DOC_NAME=FAT:FQL_AUDITING_CLIENT_TEMPLATE.FAT&amp;display_string=Audit&amp;VAR:KEY=WXOTWNKFKV&amp;VAR:QUERY=Q1NGX1NBTEVTKEFOTiwxMi8zMS8xOTgwLDEyLzMxLzIwMDksQVkp&amp;WINDOW=FIRST_POPUP&amp;HEIGHT=450&amp;WI","DTH=450&amp;START_MAXIMIZED=FALSE&amp;VAR:CALENDAR=US&amp;VAR:SYMBOL=ZEP&amp;VAR:INDEX=25"}</definedName>
    <definedName name="_1197__FDSAUDITLINK__" hidden="1">{"fdsup://directions/FAT Viewer?action=UPDATE&amp;creator=factset&amp;DYN_ARGS=TRUE&amp;DOC_NAME=FAT:FQL_AUDITING_CLIENT_TEMPLATE.FAT&amp;display_string=Audit&amp;VAR:KEY=WXOTWNKFKV&amp;VAR:QUERY=Q1NGX1NBTEVTKEFOTiwxMi8zMS8xOTgwLDEyLzMxLzIwMDksQVkp&amp;WINDOW=FIRST_POPUP&amp;HEIGHT=450&amp;WI","DTH=450&amp;START_MAXIMIZED=FALSE&amp;VAR:CALENDAR=US&amp;VAR:SYMBOL=ZEP&amp;VAR:INDEX=24"}</definedName>
    <definedName name="_1198__FDSAUDITLINK__" hidden="1">{"fdsup://directions/FAT Viewer?action=UPDATE&amp;creator=factset&amp;DYN_ARGS=TRUE&amp;DOC_NAME=FAT:FQL_AUDITING_CLIENT_TEMPLATE.FAT&amp;display_string=Audit&amp;VAR:KEY=WXOTWNKFKV&amp;VAR:QUERY=Q1NGX1NBTEVTKEFOTiwxMi8zMS8xOTgwLDEyLzMxLzIwMDksQVkp&amp;WINDOW=FIRST_POPUP&amp;HEIGHT=450&amp;WI","DTH=450&amp;START_MAXIMIZED=FALSE&amp;VAR:CALENDAR=US&amp;VAR:SYMBOL=ZEP&amp;VAR:INDEX=23"}</definedName>
    <definedName name="_1199__FDSAUDITLINK__" hidden="1">{"fdsup://directions/FAT Viewer?action=UPDATE&amp;creator=factset&amp;DYN_ARGS=TRUE&amp;DOC_NAME=FAT:FQL_AUDITING_CLIENT_TEMPLATE.FAT&amp;display_string=Audit&amp;VAR:KEY=WXOTWNKFKV&amp;VAR:QUERY=Q1NGX1NBTEVTKEFOTiwxMi8zMS8xOTgwLDEyLzMxLzIwMDksQVkp&amp;WINDOW=FIRST_POPUP&amp;HEIGHT=450&amp;WI","DTH=450&amp;START_MAXIMIZED=FALSE&amp;VAR:CALENDAR=US&amp;VAR:SYMBOL=ZEP&amp;VAR:INDEX=22"}</definedName>
    <definedName name="_12__FDSAUDITLINK__" hidden="1">{"fdsup://directions/FAT Viewer?action=UPDATE&amp;creator=factset&amp;DYN_ARGS=TRUE&amp;DOC_NAME=FAT:FQL_AUDITING_CLIENT_TEMPLATE.FAT&amp;display_string=Audit&amp;VAR:KEY=ELWZWVGZON&amp;VAR:QUERY=Q1NGX0VCSVREQV9PUEVSKEFOTiwtMSk=&amp;WINDOW=FIRST_POPUP&amp;HEIGHT=450&amp;WIDTH=450&amp;START_MAXIMI","ZED=FALSE&amp;VAR:CALENDAR=US&amp;VAR:SYMBOL=CE&amp;VAR:INDEX=0"}</definedName>
    <definedName name="_120__FDSAUDITLINK__" hidden="1">{"fdsup://directions/FAT Viewer?action=UPDATE&amp;creator=factset&amp;DYN_ARGS=TRUE&amp;DOC_NAME=FAT:FQL_AUDITING_CLIENT_TEMPLATE.FAT&amp;display_string=Audit&amp;VAR:KEY=ABINOJOXEF&amp;VAR:QUERY=Q1NGX0VCSVRfT1BFUihRVFJfUiwtM0FZLDAsRlEp&amp;WINDOW=FIRST_POPUP&amp;HEIGHT=450&amp;WIDTH=450&amp;STAR","T_MAXIMIZED=FALSE&amp;VAR:CALENDAR=US&amp;VAR:SYMBOL=DD&amp;VAR:INDEX=10"}</definedName>
    <definedName name="_1200__FDSAUDITLINK__" hidden="1">{"fdsup://directions/FAT Viewer?action=UPDATE&amp;creator=factset&amp;DYN_ARGS=TRUE&amp;DOC_NAME=FAT:FQL_AUDITING_CLIENT_TEMPLATE.FAT&amp;display_string=Audit&amp;VAR:KEY=WXOTWNKFKV&amp;VAR:QUERY=Q1NGX1NBTEVTKEFOTiwxMi8zMS8xOTgwLDEyLzMxLzIwMDksQVkp&amp;WINDOW=FIRST_POPUP&amp;HEIGHT=450&amp;WI","DTH=450&amp;START_MAXIMIZED=FALSE&amp;VAR:CALENDAR=US&amp;VAR:SYMBOL=ZEP&amp;VAR:INDEX=21"}</definedName>
    <definedName name="_1201__FDSAUDITLINK__" hidden="1">{"fdsup://directions/FAT Viewer?action=UPDATE&amp;creator=factset&amp;DYN_ARGS=TRUE&amp;DOC_NAME=FAT:FQL_AUDITING_CLIENT_TEMPLATE.FAT&amp;display_string=Audit&amp;VAR:KEY=WXOTWNKFKV&amp;VAR:QUERY=Q1NGX1NBTEVTKEFOTiwxMi8zMS8xOTgwLDEyLzMxLzIwMDksQVkp&amp;WINDOW=FIRST_POPUP&amp;HEIGHT=450&amp;WI","DTH=450&amp;START_MAXIMIZED=FALSE&amp;VAR:CALENDAR=US&amp;VAR:SYMBOL=ZEP&amp;VAR:INDEX=20"}</definedName>
    <definedName name="_1202__FDSAUDITLINK__" hidden="1">{"fdsup://directions/FAT Viewer?action=UPDATE&amp;creator=factset&amp;DYN_ARGS=TRUE&amp;DOC_NAME=FAT:FQL_AUDITING_CLIENT_TEMPLATE.FAT&amp;display_string=Audit&amp;VAR:KEY=WXOTWNKFKV&amp;VAR:QUERY=Q1NGX1NBTEVTKEFOTiwxMi8zMS8xOTgwLDEyLzMxLzIwMDksQVkp&amp;WINDOW=FIRST_POPUP&amp;HEIGHT=450&amp;WI","DTH=450&amp;START_MAXIMIZED=FALSE&amp;VAR:CALENDAR=US&amp;VAR:SYMBOL=ZEP&amp;VAR:INDEX=19"}</definedName>
    <definedName name="_1203__FDSAUDITLINK__" hidden="1">{"fdsup://directions/FAT Viewer?action=UPDATE&amp;creator=factset&amp;DYN_ARGS=TRUE&amp;DOC_NAME=FAT:FQL_AUDITING_CLIENT_TEMPLATE.FAT&amp;display_string=Audit&amp;VAR:KEY=WXOTWNKFKV&amp;VAR:QUERY=Q1NGX1NBTEVTKEFOTiwxMi8zMS8xOTgwLDEyLzMxLzIwMDksQVkp&amp;WINDOW=FIRST_POPUP&amp;HEIGHT=450&amp;WI","DTH=450&amp;START_MAXIMIZED=FALSE&amp;VAR:CALENDAR=US&amp;VAR:SYMBOL=ZEP&amp;VAR:INDEX=18"}</definedName>
    <definedName name="_1204__FDSAUDITLINK__" hidden="1">{"fdsup://directions/FAT Viewer?action=UPDATE&amp;creator=factset&amp;DYN_ARGS=TRUE&amp;DOC_NAME=FAT:FQL_AUDITING_CLIENT_TEMPLATE.FAT&amp;display_string=Audit&amp;VAR:KEY=WXOTWNKFKV&amp;VAR:QUERY=Q1NGX1NBTEVTKEFOTiwxMi8zMS8xOTgwLDEyLzMxLzIwMDksQVkp&amp;WINDOW=FIRST_POPUP&amp;HEIGHT=450&amp;WI","DTH=450&amp;START_MAXIMIZED=FALSE&amp;VAR:CALENDAR=US&amp;VAR:SYMBOL=ZEP&amp;VAR:INDEX=17"}</definedName>
    <definedName name="_1205__FDSAUDITLINK__" hidden="1">{"fdsup://directions/FAT Viewer?action=UPDATE&amp;creator=factset&amp;DYN_ARGS=TRUE&amp;DOC_NAME=FAT:FQL_AUDITING_CLIENT_TEMPLATE.FAT&amp;display_string=Audit&amp;VAR:KEY=WXOTWNKFKV&amp;VAR:QUERY=Q1NGX1NBTEVTKEFOTiwxMi8zMS8xOTgwLDEyLzMxLzIwMDksQVkp&amp;WINDOW=FIRST_POPUP&amp;HEIGHT=450&amp;WI","DTH=450&amp;START_MAXIMIZED=FALSE&amp;VAR:CALENDAR=US&amp;VAR:SYMBOL=ZEP&amp;VAR:INDEX=16"}</definedName>
    <definedName name="_1206__FDSAUDITLINK__" hidden="1">{"fdsup://directions/FAT Viewer?action=UPDATE&amp;creator=factset&amp;DYN_ARGS=TRUE&amp;DOC_NAME=FAT:FQL_AUDITING_CLIENT_TEMPLATE.FAT&amp;display_string=Audit&amp;VAR:KEY=WXOTWNKFKV&amp;VAR:QUERY=Q1NGX1NBTEVTKEFOTiwxMi8zMS8xOTgwLDEyLzMxLzIwMDksQVkp&amp;WINDOW=FIRST_POPUP&amp;HEIGHT=450&amp;WI","DTH=450&amp;START_MAXIMIZED=FALSE&amp;VAR:CALENDAR=US&amp;VAR:SYMBOL=ZEP&amp;VAR:INDEX=15"}</definedName>
    <definedName name="_1207__FDSAUDITLINK__" hidden="1">{"fdsup://directions/FAT Viewer?action=UPDATE&amp;creator=factset&amp;DYN_ARGS=TRUE&amp;DOC_NAME=FAT:FQL_AUDITING_CLIENT_TEMPLATE.FAT&amp;display_string=Audit&amp;VAR:KEY=WXOTWNKFKV&amp;VAR:QUERY=Q1NGX1NBTEVTKEFOTiwxMi8zMS8xOTgwLDEyLzMxLzIwMDksQVkp&amp;WINDOW=FIRST_POPUP&amp;HEIGHT=450&amp;WI","DTH=450&amp;START_MAXIMIZED=FALSE&amp;VAR:CALENDAR=US&amp;VAR:SYMBOL=ZEP&amp;VAR:INDEX=14"}</definedName>
    <definedName name="_1208__FDSAUDITLINK__" hidden="1">{"fdsup://directions/FAT Viewer?action=UPDATE&amp;creator=factset&amp;DYN_ARGS=TRUE&amp;DOC_NAME=FAT:FQL_AUDITING_CLIENT_TEMPLATE.FAT&amp;display_string=Audit&amp;VAR:KEY=WXOTWNKFKV&amp;VAR:QUERY=Q1NGX1NBTEVTKEFOTiwxMi8zMS8xOTgwLDEyLzMxLzIwMDksQVkp&amp;WINDOW=FIRST_POPUP&amp;HEIGHT=450&amp;WI","DTH=450&amp;START_MAXIMIZED=FALSE&amp;VAR:CALENDAR=US&amp;VAR:SYMBOL=ZEP&amp;VAR:INDEX=13"}</definedName>
    <definedName name="_1209__FDSAUDITLINK__" hidden="1">{"fdsup://directions/FAT Viewer?action=UPDATE&amp;creator=factset&amp;DYN_ARGS=TRUE&amp;DOC_NAME=FAT:FQL_AUDITING_CLIENT_TEMPLATE.FAT&amp;display_string=Audit&amp;VAR:KEY=WXOTWNKFKV&amp;VAR:QUERY=Q1NGX1NBTEVTKEFOTiwxMi8zMS8xOTgwLDEyLzMxLzIwMDksQVkp&amp;WINDOW=FIRST_POPUP&amp;HEIGHT=450&amp;WI","DTH=450&amp;START_MAXIMIZED=FALSE&amp;VAR:CALENDAR=US&amp;VAR:SYMBOL=ZEP&amp;VAR:INDEX=12"}</definedName>
    <definedName name="_121__FDSAUDITLINK__" hidden="1">{"fdsup://directions/FAT Viewer?action=UPDATE&amp;creator=factset&amp;DYN_ARGS=TRUE&amp;DOC_NAME=FAT:FQL_AUDITING_CLIENT_TEMPLATE.FAT&amp;display_string=Audit&amp;VAR:KEY=ABINOJOXEF&amp;VAR:QUERY=Q1NGX0VCSVRfT1BFUihRVFJfUiwtM0FZLDAsRlEp&amp;WINDOW=FIRST_POPUP&amp;HEIGHT=450&amp;WIDTH=450&amp;STAR","T_MAXIMIZED=FALSE&amp;VAR:CALENDAR=US&amp;VAR:SYMBOL=DD&amp;VAR:INDEX=9"}</definedName>
    <definedName name="_1210__FDSAUDITLINK__" hidden="1">{"fdsup://directions/FAT Viewer?action=UPDATE&amp;creator=factset&amp;DYN_ARGS=TRUE&amp;DOC_NAME=FAT:FQL_AUDITING_CLIENT_TEMPLATE.FAT&amp;display_string=Audit&amp;VAR:KEY=WXOTWNKFKV&amp;VAR:QUERY=Q1NGX1NBTEVTKEFOTiwxMi8zMS8xOTgwLDEyLzMxLzIwMDksQVkp&amp;WINDOW=FIRST_POPUP&amp;HEIGHT=450&amp;WI","DTH=450&amp;START_MAXIMIZED=FALSE&amp;VAR:CALENDAR=US&amp;VAR:SYMBOL=ZEP&amp;VAR:INDEX=11"}</definedName>
    <definedName name="_1211__FDSAUDITLINK__" hidden="1">{"fdsup://directions/FAT Viewer?action=UPDATE&amp;creator=factset&amp;DYN_ARGS=TRUE&amp;DOC_NAME=FAT:FQL_AUDITING_CLIENT_TEMPLATE.FAT&amp;display_string=Audit&amp;VAR:KEY=WXOTWNKFKV&amp;VAR:QUERY=Q1NGX1NBTEVTKEFOTiwxMi8zMS8xOTgwLDEyLzMxLzIwMDksQVkp&amp;WINDOW=FIRST_POPUP&amp;HEIGHT=450&amp;WI","DTH=450&amp;START_MAXIMIZED=FALSE&amp;VAR:CALENDAR=US&amp;VAR:SYMBOL=ZEP&amp;VAR:INDEX=10"}</definedName>
    <definedName name="_1212__FDSAUDITLINK__" hidden="1">{"fdsup://directions/FAT Viewer?action=UPDATE&amp;creator=factset&amp;DYN_ARGS=TRUE&amp;DOC_NAME=FAT:FQL_AUDITING_CLIENT_TEMPLATE.FAT&amp;display_string=Audit&amp;VAR:KEY=WXOTWNKFKV&amp;VAR:QUERY=Q1NGX1NBTEVTKEFOTiwxMi8zMS8xOTgwLDEyLzMxLzIwMDksQVkp&amp;WINDOW=FIRST_POPUP&amp;HEIGHT=450&amp;WI","DTH=450&amp;START_MAXIMIZED=FALSE&amp;VAR:CALENDAR=US&amp;VAR:SYMBOL=ZEP&amp;VAR:INDEX=9"}</definedName>
    <definedName name="_1213__FDSAUDITLINK__" hidden="1">{"fdsup://directions/FAT Viewer?action=UPDATE&amp;creator=factset&amp;DYN_ARGS=TRUE&amp;DOC_NAME=FAT:FQL_AUDITING_CLIENT_TEMPLATE.FAT&amp;display_string=Audit&amp;VAR:KEY=WXOTWNKFKV&amp;VAR:QUERY=Q1NGX1NBTEVTKEFOTiwxMi8zMS8xOTgwLDEyLzMxLzIwMDksQVkp&amp;WINDOW=FIRST_POPUP&amp;HEIGHT=450&amp;WI","DTH=450&amp;START_MAXIMIZED=FALSE&amp;VAR:CALENDAR=US&amp;VAR:SYMBOL=ZEP&amp;VAR:INDEX=8"}</definedName>
    <definedName name="_1214__FDSAUDITLINK__" hidden="1">{"fdsup://directions/FAT Viewer?action=UPDATE&amp;creator=factset&amp;DYN_ARGS=TRUE&amp;DOC_NAME=FAT:FQL_AUDITING_CLIENT_TEMPLATE.FAT&amp;display_string=Audit&amp;VAR:KEY=WXOTWNKFKV&amp;VAR:QUERY=Q1NGX1NBTEVTKEFOTiwxMi8zMS8xOTgwLDEyLzMxLzIwMDksQVkp&amp;WINDOW=FIRST_POPUP&amp;HEIGHT=450&amp;WI","DTH=450&amp;START_MAXIMIZED=FALSE&amp;VAR:CALENDAR=US&amp;VAR:SYMBOL=ZEP&amp;VAR:INDEX=7"}</definedName>
    <definedName name="_1215__FDSAUDITLINK__" hidden="1">{"fdsup://directions/FAT Viewer?action=UPDATE&amp;creator=factset&amp;DYN_ARGS=TRUE&amp;DOC_NAME=FAT:FQL_AUDITING_CLIENT_TEMPLATE.FAT&amp;display_string=Audit&amp;VAR:KEY=WXOTWNKFKV&amp;VAR:QUERY=Q1NGX1NBTEVTKEFOTiwxMi8zMS8xOTgwLDEyLzMxLzIwMDksQVkp&amp;WINDOW=FIRST_POPUP&amp;HEIGHT=450&amp;WI","DTH=450&amp;START_MAXIMIZED=FALSE&amp;VAR:CALENDAR=US&amp;VAR:SYMBOL=ZEP&amp;VAR:INDEX=6"}</definedName>
    <definedName name="_1216__FDSAUDITLINK__" hidden="1">{"fdsup://directions/FAT Viewer?action=UPDATE&amp;creator=factset&amp;DYN_ARGS=TRUE&amp;DOC_NAME=FAT:FQL_AUDITING_CLIENT_TEMPLATE.FAT&amp;display_string=Audit&amp;VAR:KEY=WXOTWNKFKV&amp;VAR:QUERY=Q1NGX1NBTEVTKEFOTiwxMi8zMS8xOTgwLDEyLzMxLzIwMDksQVkp&amp;WINDOW=FIRST_POPUP&amp;HEIGHT=450&amp;WI","DTH=450&amp;START_MAXIMIZED=FALSE&amp;VAR:CALENDAR=US&amp;VAR:SYMBOL=ZEP&amp;VAR:INDEX=5"}</definedName>
    <definedName name="_1217__FDSAUDITLINK__" hidden="1">{"fdsup://directions/FAT Viewer?action=UPDATE&amp;creator=factset&amp;DYN_ARGS=TRUE&amp;DOC_NAME=FAT:FQL_AUDITING_CLIENT_TEMPLATE.FAT&amp;display_string=Audit&amp;VAR:KEY=WXOTWNKFKV&amp;VAR:QUERY=Q1NGX1NBTEVTKEFOTiwxMi8zMS8xOTgwLDEyLzMxLzIwMDksQVkp&amp;WINDOW=FIRST_POPUP&amp;HEIGHT=450&amp;WI","DTH=450&amp;START_MAXIMIZED=FALSE&amp;VAR:CALENDAR=US&amp;VAR:SYMBOL=ZEP&amp;VAR:INDEX=4"}</definedName>
    <definedName name="_1218__FDSAUDITLINK__" hidden="1">{"fdsup://directions/FAT Viewer?action=UPDATE&amp;creator=factset&amp;DYN_ARGS=TRUE&amp;DOC_NAME=FAT:FQL_AUDITING_CLIENT_TEMPLATE.FAT&amp;display_string=Audit&amp;VAR:KEY=WXOTWNKFKV&amp;VAR:QUERY=Q1NGX1NBTEVTKEFOTiwxMi8zMS8xOTgwLDEyLzMxLzIwMDksQVkp&amp;WINDOW=FIRST_POPUP&amp;HEIGHT=450&amp;WI","DTH=450&amp;START_MAXIMIZED=FALSE&amp;VAR:CALENDAR=US&amp;VAR:SYMBOL=ZEP&amp;VAR:INDEX=3"}</definedName>
    <definedName name="_1219__FDSAUDITLINK__" hidden="1">{"fdsup://directions/FAT Viewer?action=UPDATE&amp;creator=factset&amp;DYN_ARGS=TRUE&amp;DOC_NAME=FAT:FQL_AUDITING_CLIENT_TEMPLATE.FAT&amp;display_string=Audit&amp;VAR:KEY=WXOTWNKFKV&amp;VAR:QUERY=Q1NGX1NBTEVTKEFOTiwxMi8zMS8xOTgwLDEyLzMxLzIwMDksQVkp&amp;WINDOW=FIRST_POPUP&amp;HEIGHT=450&amp;WI","DTH=450&amp;START_MAXIMIZED=FALSE&amp;VAR:CALENDAR=US&amp;VAR:SYMBOL=ZEP&amp;VAR:INDEX=2"}</definedName>
    <definedName name="_122__FDSAUDITLINK__" hidden="1">{"fdsup://directions/FAT Viewer?action=UPDATE&amp;creator=factset&amp;DYN_ARGS=TRUE&amp;DOC_NAME=FAT:FQL_AUDITING_CLIENT_TEMPLATE.FAT&amp;display_string=Audit&amp;VAR:KEY=ABINOJOXEF&amp;VAR:QUERY=Q1NGX0VCSVRfT1BFUihRVFJfUiwtM0FZLDAsRlEp&amp;WINDOW=FIRST_POPUP&amp;HEIGHT=450&amp;WIDTH=450&amp;STAR","T_MAXIMIZED=FALSE&amp;VAR:CALENDAR=US&amp;VAR:SYMBOL=DD&amp;VAR:INDEX=8"}</definedName>
    <definedName name="_1220__FDSAUDITLINK__" hidden="1">{"fdsup://directions/FAT Viewer?action=UPDATE&amp;creator=factset&amp;DYN_ARGS=TRUE&amp;DOC_NAME=FAT:FQL_AUDITING_CLIENT_TEMPLATE.FAT&amp;display_string=Audit&amp;VAR:KEY=WXOTWNKFKV&amp;VAR:QUERY=Q1NGX1NBTEVTKEFOTiwxMi8zMS8xOTgwLDEyLzMxLzIwMDksQVkp&amp;WINDOW=FIRST_POPUP&amp;HEIGHT=450&amp;WI","DTH=450&amp;START_MAXIMIZED=FALSE&amp;VAR:CALENDAR=US&amp;VAR:SYMBOL=ZEP&amp;VAR:INDEX=1"}</definedName>
    <definedName name="_1221__FDSAUDITLINK__" hidden="1">{"fdsup://directions/FAT Viewer?action=UPDATE&amp;creator=factset&amp;DYN_ARGS=TRUE&amp;DOC_NAME=FAT:FQL_AUDITING_CLIENT_TEMPLATE.FAT&amp;display_string=Audit&amp;VAR:KEY=WXOTWNKFKV&amp;VAR:QUERY=Q1NGX1NBTEVTKEFOTiwxMi8zMS8xOTgwLDEyLzMxLzIwMDksQVkp&amp;WINDOW=FIRST_POPUP&amp;HEIGHT=450&amp;WI","DTH=450&amp;START_MAXIMIZED=FALSE&amp;VAR:CALENDAR=US&amp;VAR:SYMBOL=ZEP&amp;VAR:INDEX=0"}</definedName>
    <definedName name="_1222__FDSAUDITLINK__" hidden="1">{"fdsup://directions/FAT Viewer?action=UPDATE&amp;creator=factset&amp;DYN_ARGS=TRUE&amp;DOC_NAME=FAT:FQL_AUDITING_CLIENT_TEMPLATE.FAT&amp;display_string=Audit&amp;VAR:KEY=ULIVQFADCV&amp;VAR:QUERY=Q1NGX1NBTEVTKEFOTiwxMi8zMS8xOTgwLDEyLzMxLzIwMDksQVkp&amp;WINDOW=FIRST_POPUP&amp;HEIGHT=450&amp;WI","DTH=450&amp;START_MAXIMIZED=FALSE&amp;VAR:CALENDAR=US&amp;VAR:SYMBOL=SMG&amp;VAR:INDEX=29"}</definedName>
    <definedName name="_1223__FDSAUDITLINK__" hidden="1">{"fdsup://directions/FAT Viewer?action=UPDATE&amp;creator=factset&amp;DYN_ARGS=TRUE&amp;DOC_NAME=FAT:FQL_AUDITING_CLIENT_TEMPLATE.FAT&amp;display_string=Audit&amp;VAR:KEY=ULIVQFADCV&amp;VAR:QUERY=Q1NGX1NBTEVTKEFOTiwxMi8zMS8xOTgwLDEyLzMxLzIwMDksQVkp&amp;WINDOW=FIRST_POPUP&amp;HEIGHT=450&amp;WI","DTH=450&amp;START_MAXIMIZED=FALSE&amp;VAR:CALENDAR=US&amp;VAR:SYMBOL=SMG&amp;VAR:INDEX=28"}</definedName>
    <definedName name="_1224__FDSAUDITLINK__" hidden="1">{"fdsup://directions/FAT Viewer?action=UPDATE&amp;creator=factset&amp;DYN_ARGS=TRUE&amp;DOC_NAME=FAT:FQL_AUDITING_CLIENT_TEMPLATE.FAT&amp;display_string=Audit&amp;VAR:KEY=ULIVQFADCV&amp;VAR:QUERY=Q1NGX1NBTEVTKEFOTiwxMi8zMS8xOTgwLDEyLzMxLzIwMDksQVkp&amp;WINDOW=FIRST_POPUP&amp;HEIGHT=450&amp;WI","DTH=450&amp;START_MAXIMIZED=FALSE&amp;VAR:CALENDAR=US&amp;VAR:SYMBOL=SMG&amp;VAR:INDEX=27"}</definedName>
    <definedName name="_1225__FDSAUDITLINK__" hidden="1">{"fdsup://directions/FAT Viewer?action=UPDATE&amp;creator=factset&amp;DYN_ARGS=TRUE&amp;DOC_NAME=FAT:FQL_AUDITING_CLIENT_TEMPLATE.FAT&amp;display_string=Audit&amp;VAR:KEY=ULIVQFADCV&amp;VAR:QUERY=Q1NGX1NBTEVTKEFOTiwxMi8zMS8xOTgwLDEyLzMxLzIwMDksQVkp&amp;WINDOW=FIRST_POPUP&amp;HEIGHT=450&amp;WI","DTH=450&amp;START_MAXIMIZED=FALSE&amp;VAR:CALENDAR=US&amp;VAR:SYMBOL=SMG&amp;VAR:INDEX=26"}</definedName>
    <definedName name="_1226__FDSAUDITLINK__" hidden="1">{"fdsup://directions/FAT Viewer?action=UPDATE&amp;creator=factset&amp;DYN_ARGS=TRUE&amp;DOC_NAME=FAT:FQL_AUDITING_CLIENT_TEMPLATE.FAT&amp;display_string=Audit&amp;VAR:KEY=ULIVQFADCV&amp;VAR:QUERY=Q1NGX1NBTEVTKEFOTiwxMi8zMS8xOTgwLDEyLzMxLzIwMDksQVkp&amp;WINDOW=FIRST_POPUP&amp;HEIGHT=450&amp;WI","DTH=450&amp;START_MAXIMIZED=FALSE&amp;VAR:CALENDAR=US&amp;VAR:SYMBOL=SMG&amp;VAR:INDEX=25"}</definedName>
    <definedName name="_1227__FDSAUDITLINK__" hidden="1">{"fdsup://directions/FAT Viewer?action=UPDATE&amp;creator=factset&amp;DYN_ARGS=TRUE&amp;DOC_NAME=FAT:FQL_AUDITING_CLIENT_TEMPLATE.FAT&amp;display_string=Audit&amp;VAR:KEY=ULIVQFADCV&amp;VAR:QUERY=Q1NGX1NBTEVTKEFOTiwxMi8zMS8xOTgwLDEyLzMxLzIwMDksQVkp&amp;WINDOW=FIRST_POPUP&amp;HEIGHT=450&amp;WI","DTH=450&amp;START_MAXIMIZED=FALSE&amp;VAR:CALENDAR=US&amp;VAR:SYMBOL=SMG&amp;VAR:INDEX=24"}</definedName>
    <definedName name="_1228__FDSAUDITLINK__" hidden="1">{"fdsup://directions/FAT Viewer?action=UPDATE&amp;creator=factset&amp;DYN_ARGS=TRUE&amp;DOC_NAME=FAT:FQL_AUDITING_CLIENT_TEMPLATE.FAT&amp;display_string=Audit&amp;VAR:KEY=ULIVQFADCV&amp;VAR:QUERY=Q1NGX1NBTEVTKEFOTiwxMi8zMS8xOTgwLDEyLzMxLzIwMDksQVkp&amp;WINDOW=FIRST_POPUP&amp;HEIGHT=450&amp;WI","DTH=450&amp;START_MAXIMIZED=FALSE&amp;VAR:CALENDAR=US&amp;VAR:SYMBOL=SMG&amp;VAR:INDEX=23"}</definedName>
    <definedName name="_1229__FDSAUDITLINK__" hidden="1">{"fdsup://directions/FAT Viewer?action=UPDATE&amp;creator=factset&amp;DYN_ARGS=TRUE&amp;DOC_NAME=FAT:FQL_AUDITING_CLIENT_TEMPLATE.FAT&amp;display_string=Audit&amp;VAR:KEY=ULIVQFADCV&amp;VAR:QUERY=Q1NGX1NBTEVTKEFOTiwxMi8zMS8xOTgwLDEyLzMxLzIwMDksQVkp&amp;WINDOW=FIRST_POPUP&amp;HEIGHT=450&amp;WI","DTH=450&amp;START_MAXIMIZED=FALSE&amp;VAR:CALENDAR=US&amp;VAR:SYMBOL=SMG&amp;VAR:INDEX=22"}</definedName>
    <definedName name="_123__FDSAUDITLINK__" hidden="1">{"fdsup://directions/FAT Viewer?action=UPDATE&amp;creator=factset&amp;DYN_ARGS=TRUE&amp;DOC_NAME=FAT:FQL_AUDITING_CLIENT_TEMPLATE.FAT&amp;display_string=Audit&amp;VAR:KEY=ABINOJOXEF&amp;VAR:QUERY=Q1NGX0VCSVRfT1BFUihRVFJfUiwtM0FZLDAsRlEp&amp;WINDOW=FIRST_POPUP&amp;HEIGHT=450&amp;WIDTH=450&amp;STAR","T_MAXIMIZED=FALSE&amp;VAR:CALENDAR=US&amp;VAR:SYMBOL=DD&amp;VAR:INDEX=7"}</definedName>
    <definedName name="_1230__FDSAUDITLINK__" hidden="1">{"fdsup://directions/FAT Viewer?action=UPDATE&amp;creator=factset&amp;DYN_ARGS=TRUE&amp;DOC_NAME=FAT:FQL_AUDITING_CLIENT_TEMPLATE.FAT&amp;display_string=Audit&amp;VAR:KEY=ULIVQFADCV&amp;VAR:QUERY=Q1NGX1NBTEVTKEFOTiwxMi8zMS8xOTgwLDEyLzMxLzIwMDksQVkp&amp;WINDOW=FIRST_POPUP&amp;HEIGHT=450&amp;WI","DTH=450&amp;START_MAXIMIZED=FALSE&amp;VAR:CALENDAR=US&amp;VAR:SYMBOL=SMG&amp;VAR:INDEX=21"}</definedName>
    <definedName name="_1231__FDSAUDITLINK__" hidden="1">{"fdsup://directions/FAT Viewer?action=UPDATE&amp;creator=factset&amp;DYN_ARGS=TRUE&amp;DOC_NAME=FAT:FQL_AUDITING_CLIENT_TEMPLATE.FAT&amp;display_string=Audit&amp;VAR:KEY=ULIVQFADCV&amp;VAR:QUERY=Q1NGX1NBTEVTKEFOTiwxMi8zMS8xOTgwLDEyLzMxLzIwMDksQVkp&amp;WINDOW=FIRST_POPUP&amp;HEIGHT=450&amp;WI","DTH=450&amp;START_MAXIMIZED=FALSE&amp;VAR:CALENDAR=US&amp;VAR:SYMBOL=SMG&amp;VAR:INDEX=20"}</definedName>
    <definedName name="_1232__FDSAUDITLINK__" hidden="1">{"fdsup://directions/FAT Viewer?action=UPDATE&amp;creator=factset&amp;DYN_ARGS=TRUE&amp;DOC_NAME=FAT:FQL_AUDITING_CLIENT_TEMPLATE.FAT&amp;display_string=Audit&amp;VAR:KEY=ULIVQFADCV&amp;VAR:QUERY=Q1NGX1NBTEVTKEFOTiwxMi8zMS8xOTgwLDEyLzMxLzIwMDksQVkp&amp;WINDOW=FIRST_POPUP&amp;HEIGHT=450&amp;WI","DTH=450&amp;START_MAXIMIZED=FALSE&amp;VAR:CALENDAR=US&amp;VAR:SYMBOL=SMG&amp;VAR:INDEX=19"}</definedName>
    <definedName name="_1233__FDSAUDITLINK__" hidden="1">{"fdsup://directions/FAT Viewer?action=UPDATE&amp;creator=factset&amp;DYN_ARGS=TRUE&amp;DOC_NAME=FAT:FQL_AUDITING_CLIENT_TEMPLATE.FAT&amp;display_string=Audit&amp;VAR:KEY=ULIVQFADCV&amp;VAR:QUERY=Q1NGX1NBTEVTKEFOTiwxMi8zMS8xOTgwLDEyLzMxLzIwMDksQVkp&amp;WINDOW=FIRST_POPUP&amp;HEIGHT=450&amp;WI","DTH=450&amp;START_MAXIMIZED=FALSE&amp;VAR:CALENDAR=US&amp;VAR:SYMBOL=SMG&amp;VAR:INDEX=18"}</definedName>
    <definedName name="_1234__FDSAUDITLINK__" hidden="1">{"fdsup://directions/FAT Viewer?action=UPDATE&amp;creator=factset&amp;DYN_ARGS=TRUE&amp;DOC_NAME=FAT:FQL_AUDITING_CLIENT_TEMPLATE.FAT&amp;display_string=Audit&amp;VAR:KEY=ULIVQFADCV&amp;VAR:QUERY=Q1NGX1NBTEVTKEFOTiwxMi8zMS8xOTgwLDEyLzMxLzIwMDksQVkp&amp;WINDOW=FIRST_POPUP&amp;HEIGHT=450&amp;WI","DTH=450&amp;START_MAXIMIZED=FALSE&amp;VAR:CALENDAR=US&amp;VAR:SYMBOL=SMG&amp;VAR:INDEX=17"}</definedName>
    <definedName name="_1235__FDSAUDITLINK__" hidden="1">{"fdsup://directions/FAT Viewer?action=UPDATE&amp;creator=factset&amp;DYN_ARGS=TRUE&amp;DOC_NAME=FAT:FQL_AUDITING_CLIENT_TEMPLATE.FAT&amp;display_string=Audit&amp;VAR:KEY=ULIVQFADCV&amp;VAR:QUERY=Q1NGX1NBTEVTKEFOTiwxMi8zMS8xOTgwLDEyLzMxLzIwMDksQVkp&amp;WINDOW=FIRST_POPUP&amp;HEIGHT=450&amp;WI","DTH=450&amp;START_MAXIMIZED=FALSE&amp;VAR:CALENDAR=US&amp;VAR:SYMBOL=SMG&amp;VAR:INDEX=16"}</definedName>
    <definedName name="_1236__FDSAUDITLINK__" hidden="1">{"fdsup://directions/FAT Viewer?action=UPDATE&amp;creator=factset&amp;DYN_ARGS=TRUE&amp;DOC_NAME=FAT:FQL_AUDITING_CLIENT_TEMPLATE.FAT&amp;display_string=Audit&amp;VAR:KEY=ULIVQFADCV&amp;VAR:QUERY=Q1NGX1NBTEVTKEFOTiwxMi8zMS8xOTgwLDEyLzMxLzIwMDksQVkp&amp;WINDOW=FIRST_POPUP&amp;HEIGHT=450&amp;WI","DTH=450&amp;START_MAXIMIZED=FALSE&amp;VAR:CALENDAR=US&amp;VAR:SYMBOL=SMG&amp;VAR:INDEX=15"}</definedName>
    <definedName name="_1237__FDSAUDITLINK__" hidden="1">{"fdsup://directions/FAT Viewer?action=UPDATE&amp;creator=factset&amp;DYN_ARGS=TRUE&amp;DOC_NAME=FAT:FQL_AUDITING_CLIENT_TEMPLATE.FAT&amp;display_string=Audit&amp;VAR:KEY=ULIVQFADCV&amp;VAR:QUERY=Q1NGX1NBTEVTKEFOTiwxMi8zMS8xOTgwLDEyLzMxLzIwMDksQVkp&amp;WINDOW=FIRST_POPUP&amp;HEIGHT=450&amp;WI","DTH=450&amp;START_MAXIMIZED=FALSE&amp;VAR:CALENDAR=US&amp;VAR:SYMBOL=SMG&amp;VAR:INDEX=14"}</definedName>
    <definedName name="_1238__FDSAUDITLINK__" hidden="1">{"fdsup://directions/FAT Viewer?action=UPDATE&amp;creator=factset&amp;DYN_ARGS=TRUE&amp;DOC_NAME=FAT:FQL_AUDITING_CLIENT_TEMPLATE.FAT&amp;display_string=Audit&amp;VAR:KEY=ULIVQFADCV&amp;VAR:QUERY=Q1NGX1NBTEVTKEFOTiwxMi8zMS8xOTgwLDEyLzMxLzIwMDksQVkp&amp;WINDOW=FIRST_POPUP&amp;HEIGHT=450&amp;WI","DTH=450&amp;START_MAXIMIZED=FALSE&amp;VAR:CALENDAR=US&amp;VAR:SYMBOL=SMG&amp;VAR:INDEX=13"}</definedName>
    <definedName name="_1239__FDSAUDITLINK__" hidden="1">{"fdsup://directions/FAT Viewer?action=UPDATE&amp;creator=factset&amp;DYN_ARGS=TRUE&amp;DOC_NAME=FAT:FQL_AUDITING_CLIENT_TEMPLATE.FAT&amp;display_string=Audit&amp;VAR:KEY=ULIVQFADCV&amp;VAR:QUERY=Q1NGX1NBTEVTKEFOTiwxMi8zMS8xOTgwLDEyLzMxLzIwMDksQVkp&amp;WINDOW=FIRST_POPUP&amp;HEIGHT=450&amp;WI","DTH=450&amp;START_MAXIMIZED=FALSE&amp;VAR:CALENDAR=US&amp;VAR:SYMBOL=SMG&amp;VAR:INDEX=12"}</definedName>
    <definedName name="_124__FDSAUDITLINK__" hidden="1">{"fdsup://directions/FAT Viewer?action=UPDATE&amp;creator=factset&amp;DYN_ARGS=TRUE&amp;DOC_NAME=FAT:FQL_AUDITING_CLIENT_TEMPLATE.FAT&amp;display_string=Audit&amp;VAR:KEY=ABINOJOXEF&amp;VAR:QUERY=Q1NGX0VCSVRfT1BFUihRVFJfUiwtM0FZLDAsRlEp&amp;WINDOW=FIRST_POPUP&amp;HEIGHT=450&amp;WIDTH=450&amp;STAR","T_MAXIMIZED=FALSE&amp;VAR:CALENDAR=US&amp;VAR:SYMBOL=DD&amp;VAR:INDEX=6"}</definedName>
    <definedName name="_1240__FDSAUDITLINK__" hidden="1">{"fdsup://directions/FAT Viewer?action=UPDATE&amp;creator=factset&amp;DYN_ARGS=TRUE&amp;DOC_NAME=FAT:FQL_AUDITING_CLIENT_TEMPLATE.FAT&amp;display_string=Audit&amp;VAR:KEY=ULIVQFADCV&amp;VAR:QUERY=Q1NGX1NBTEVTKEFOTiwxMi8zMS8xOTgwLDEyLzMxLzIwMDksQVkp&amp;WINDOW=FIRST_POPUP&amp;HEIGHT=450&amp;WI","DTH=450&amp;START_MAXIMIZED=FALSE&amp;VAR:CALENDAR=US&amp;VAR:SYMBOL=SMG&amp;VAR:INDEX=11"}</definedName>
    <definedName name="_1241__FDSAUDITLINK__" hidden="1">{"fdsup://directions/FAT Viewer?action=UPDATE&amp;creator=factset&amp;DYN_ARGS=TRUE&amp;DOC_NAME=FAT:FQL_AUDITING_CLIENT_TEMPLATE.FAT&amp;display_string=Audit&amp;VAR:KEY=ULIVQFADCV&amp;VAR:QUERY=Q1NGX1NBTEVTKEFOTiwxMi8zMS8xOTgwLDEyLzMxLzIwMDksQVkp&amp;WINDOW=FIRST_POPUP&amp;HEIGHT=450&amp;WI","DTH=450&amp;START_MAXIMIZED=FALSE&amp;VAR:CALENDAR=US&amp;VAR:SYMBOL=SMG&amp;VAR:INDEX=10"}</definedName>
    <definedName name="_1242__FDSAUDITLINK__" hidden="1">{"fdsup://directions/FAT Viewer?action=UPDATE&amp;creator=factset&amp;DYN_ARGS=TRUE&amp;DOC_NAME=FAT:FQL_AUDITING_CLIENT_TEMPLATE.FAT&amp;display_string=Audit&amp;VAR:KEY=ULIVQFADCV&amp;VAR:QUERY=Q1NGX1NBTEVTKEFOTiwxMi8zMS8xOTgwLDEyLzMxLzIwMDksQVkp&amp;WINDOW=FIRST_POPUP&amp;HEIGHT=450&amp;WI","DTH=450&amp;START_MAXIMIZED=FALSE&amp;VAR:CALENDAR=US&amp;VAR:SYMBOL=SMG&amp;VAR:INDEX=9"}</definedName>
    <definedName name="_1243__FDSAUDITLINK__" hidden="1">{"fdsup://directions/FAT Viewer?action=UPDATE&amp;creator=factset&amp;DYN_ARGS=TRUE&amp;DOC_NAME=FAT:FQL_AUDITING_CLIENT_TEMPLATE.FAT&amp;display_string=Audit&amp;VAR:KEY=ULIVQFADCV&amp;VAR:QUERY=Q1NGX1NBTEVTKEFOTiwxMi8zMS8xOTgwLDEyLzMxLzIwMDksQVkp&amp;WINDOW=FIRST_POPUP&amp;HEIGHT=450&amp;WI","DTH=450&amp;START_MAXIMIZED=FALSE&amp;VAR:CALENDAR=US&amp;VAR:SYMBOL=SMG&amp;VAR:INDEX=8"}</definedName>
    <definedName name="_1244__FDSAUDITLINK__" hidden="1">{"fdsup://directions/FAT Viewer?action=UPDATE&amp;creator=factset&amp;DYN_ARGS=TRUE&amp;DOC_NAME=FAT:FQL_AUDITING_CLIENT_TEMPLATE.FAT&amp;display_string=Audit&amp;VAR:KEY=ULIVQFADCV&amp;VAR:QUERY=Q1NGX1NBTEVTKEFOTiwxMi8zMS8xOTgwLDEyLzMxLzIwMDksQVkp&amp;WINDOW=FIRST_POPUP&amp;HEIGHT=450&amp;WI","DTH=450&amp;START_MAXIMIZED=FALSE&amp;VAR:CALENDAR=US&amp;VAR:SYMBOL=SMG&amp;VAR:INDEX=7"}</definedName>
    <definedName name="_1245__FDSAUDITLINK__" hidden="1">{"fdsup://directions/FAT Viewer?action=UPDATE&amp;creator=factset&amp;DYN_ARGS=TRUE&amp;DOC_NAME=FAT:FQL_AUDITING_CLIENT_TEMPLATE.FAT&amp;display_string=Audit&amp;VAR:KEY=ULIVQFADCV&amp;VAR:QUERY=Q1NGX1NBTEVTKEFOTiwxMi8zMS8xOTgwLDEyLzMxLzIwMDksQVkp&amp;WINDOW=FIRST_POPUP&amp;HEIGHT=450&amp;WI","DTH=450&amp;START_MAXIMIZED=FALSE&amp;VAR:CALENDAR=US&amp;VAR:SYMBOL=SMG&amp;VAR:INDEX=6"}</definedName>
    <definedName name="_1246__FDSAUDITLINK__" hidden="1">{"fdsup://directions/FAT Viewer?action=UPDATE&amp;creator=factset&amp;DYN_ARGS=TRUE&amp;DOC_NAME=FAT:FQL_AUDITING_CLIENT_TEMPLATE.FAT&amp;display_string=Audit&amp;VAR:KEY=ULIVQFADCV&amp;VAR:QUERY=Q1NGX1NBTEVTKEFOTiwxMi8zMS8xOTgwLDEyLzMxLzIwMDksQVkp&amp;WINDOW=FIRST_POPUP&amp;HEIGHT=450&amp;WI","DTH=450&amp;START_MAXIMIZED=FALSE&amp;VAR:CALENDAR=US&amp;VAR:SYMBOL=SMG&amp;VAR:INDEX=5"}</definedName>
    <definedName name="_1247__FDSAUDITLINK__" hidden="1">{"fdsup://directions/FAT Viewer?action=UPDATE&amp;creator=factset&amp;DYN_ARGS=TRUE&amp;DOC_NAME=FAT:FQL_AUDITING_CLIENT_TEMPLATE.FAT&amp;display_string=Audit&amp;VAR:KEY=ULIVQFADCV&amp;VAR:QUERY=Q1NGX1NBTEVTKEFOTiwxMi8zMS8xOTgwLDEyLzMxLzIwMDksQVkp&amp;WINDOW=FIRST_POPUP&amp;HEIGHT=450&amp;WI","DTH=450&amp;START_MAXIMIZED=FALSE&amp;VAR:CALENDAR=US&amp;VAR:SYMBOL=SMG&amp;VAR:INDEX=4"}</definedName>
    <definedName name="_1248__FDSAUDITLINK__" hidden="1">{"fdsup://directions/FAT Viewer?action=UPDATE&amp;creator=factset&amp;DYN_ARGS=TRUE&amp;DOC_NAME=FAT:FQL_AUDITING_CLIENT_TEMPLATE.FAT&amp;display_string=Audit&amp;VAR:KEY=ULIVQFADCV&amp;VAR:QUERY=Q1NGX1NBTEVTKEFOTiwxMi8zMS8xOTgwLDEyLzMxLzIwMDksQVkp&amp;WINDOW=FIRST_POPUP&amp;HEIGHT=450&amp;WI","DTH=450&amp;START_MAXIMIZED=FALSE&amp;VAR:CALENDAR=US&amp;VAR:SYMBOL=SMG&amp;VAR:INDEX=3"}</definedName>
    <definedName name="_1249__FDSAUDITLINK__" hidden="1">{"fdsup://directions/FAT Viewer?action=UPDATE&amp;creator=factset&amp;DYN_ARGS=TRUE&amp;DOC_NAME=FAT:FQL_AUDITING_CLIENT_TEMPLATE.FAT&amp;display_string=Audit&amp;VAR:KEY=ULIVQFADCV&amp;VAR:QUERY=Q1NGX1NBTEVTKEFOTiwxMi8zMS8xOTgwLDEyLzMxLzIwMDksQVkp&amp;WINDOW=FIRST_POPUP&amp;HEIGHT=450&amp;WI","DTH=450&amp;START_MAXIMIZED=FALSE&amp;VAR:CALENDAR=US&amp;VAR:SYMBOL=SMG&amp;VAR:INDEX=2"}</definedName>
    <definedName name="_125__FDSAUDITLINK__" hidden="1">{"fdsup://directions/FAT Viewer?action=UPDATE&amp;creator=factset&amp;DYN_ARGS=TRUE&amp;DOC_NAME=FAT:FQL_AUDITING_CLIENT_TEMPLATE.FAT&amp;display_string=Audit&amp;VAR:KEY=ABINOJOXEF&amp;VAR:QUERY=Q1NGX0VCSVRfT1BFUihRVFJfUiwtM0FZLDAsRlEp&amp;WINDOW=FIRST_POPUP&amp;HEIGHT=450&amp;WIDTH=450&amp;STAR","T_MAXIMIZED=FALSE&amp;VAR:CALENDAR=US&amp;VAR:SYMBOL=DD&amp;VAR:INDEX=5"}</definedName>
    <definedName name="_1250__FDSAUDITLINK__" hidden="1">{"fdsup://directions/FAT Viewer?action=UPDATE&amp;creator=factset&amp;DYN_ARGS=TRUE&amp;DOC_NAME=FAT:FQL_AUDITING_CLIENT_TEMPLATE.FAT&amp;display_string=Audit&amp;VAR:KEY=ULIVQFADCV&amp;VAR:QUERY=Q1NGX1NBTEVTKEFOTiwxMi8zMS8xOTgwLDEyLzMxLzIwMDksQVkp&amp;WINDOW=FIRST_POPUP&amp;HEIGHT=450&amp;WI","DTH=450&amp;START_MAXIMIZED=FALSE&amp;VAR:CALENDAR=US&amp;VAR:SYMBOL=SMG&amp;VAR:INDEX=1"}</definedName>
    <definedName name="_1251__FDSAUDITLINK__" hidden="1">{"fdsup://directions/FAT Viewer?action=UPDATE&amp;creator=factset&amp;DYN_ARGS=TRUE&amp;DOC_NAME=FAT:FQL_AUDITING_CLIENT_TEMPLATE.FAT&amp;display_string=Audit&amp;VAR:KEY=ULIVQFADCV&amp;VAR:QUERY=Q1NGX1NBTEVTKEFOTiwxMi8zMS8xOTgwLDEyLzMxLzIwMDksQVkp&amp;WINDOW=FIRST_POPUP&amp;HEIGHT=450&amp;WI","DTH=450&amp;START_MAXIMIZED=FALSE&amp;VAR:CALENDAR=US&amp;VAR:SYMBOL=SMG&amp;VAR:INDEX=0"}</definedName>
    <definedName name="_1252__FDSAUDITLINK__" hidden="1">{"fdsup://directions/FAT Viewer?action=UPDATE&amp;creator=factset&amp;DYN_ARGS=TRUE&amp;DOC_NAME=FAT:FQL_AUDITING_CLIENT_TEMPLATE.FAT&amp;display_string=Audit&amp;VAR:KEY=IJQHORCFCL&amp;VAR:QUERY=Q1NGX1NBTEVTKEFOTiwxMi8zMS8xOTgwLDEyLzMxLzIwMDksQVkp&amp;WINDOW=FIRST_POPUP&amp;HEIGHT=450&amp;WI","DTH=450&amp;START_MAXIMIZED=FALSE&amp;VAR:CALENDAR=US&amp;VAR:SYMBOL=POL&amp;VAR:INDEX=29"}</definedName>
    <definedName name="_1253__FDSAUDITLINK__" hidden="1">{"fdsup://directions/FAT Viewer?action=UPDATE&amp;creator=factset&amp;DYN_ARGS=TRUE&amp;DOC_NAME=FAT:FQL_AUDITING_CLIENT_TEMPLATE.FAT&amp;display_string=Audit&amp;VAR:KEY=IJQHORCFCL&amp;VAR:QUERY=Q1NGX1NBTEVTKEFOTiwxMi8zMS8xOTgwLDEyLzMxLzIwMDksQVkp&amp;WINDOW=FIRST_POPUP&amp;HEIGHT=450&amp;WI","DTH=450&amp;START_MAXIMIZED=FALSE&amp;VAR:CALENDAR=US&amp;VAR:SYMBOL=POL&amp;VAR:INDEX=28"}</definedName>
    <definedName name="_1254__FDSAUDITLINK__" hidden="1">{"fdsup://directions/FAT Viewer?action=UPDATE&amp;creator=factset&amp;DYN_ARGS=TRUE&amp;DOC_NAME=FAT:FQL_AUDITING_CLIENT_TEMPLATE.FAT&amp;display_string=Audit&amp;VAR:KEY=IJQHORCFCL&amp;VAR:QUERY=Q1NGX1NBTEVTKEFOTiwxMi8zMS8xOTgwLDEyLzMxLzIwMDksQVkp&amp;WINDOW=FIRST_POPUP&amp;HEIGHT=450&amp;WI","DTH=450&amp;START_MAXIMIZED=FALSE&amp;VAR:CALENDAR=US&amp;VAR:SYMBOL=POL&amp;VAR:INDEX=27"}</definedName>
    <definedName name="_1255__FDSAUDITLINK__" hidden="1">{"fdsup://directions/FAT Viewer?action=UPDATE&amp;creator=factset&amp;DYN_ARGS=TRUE&amp;DOC_NAME=FAT:FQL_AUDITING_CLIENT_TEMPLATE.FAT&amp;display_string=Audit&amp;VAR:KEY=IJQHORCFCL&amp;VAR:QUERY=Q1NGX1NBTEVTKEFOTiwxMi8zMS8xOTgwLDEyLzMxLzIwMDksQVkp&amp;WINDOW=FIRST_POPUP&amp;HEIGHT=450&amp;WI","DTH=450&amp;START_MAXIMIZED=FALSE&amp;VAR:CALENDAR=US&amp;VAR:SYMBOL=POL&amp;VAR:INDEX=26"}</definedName>
    <definedName name="_1256__FDSAUDITLINK__" hidden="1">{"fdsup://directions/FAT Viewer?action=UPDATE&amp;creator=factset&amp;DYN_ARGS=TRUE&amp;DOC_NAME=FAT:FQL_AUDITING_CLIENT_TEMPLATE.FAT&amp;display_string=Audit&amp;VAR:KEY=IJQHORCFCL&amp;VAR:QUERY=Q1NGX1NBTEVTKEFOTiwxMi8zMS8xOTgwLDEyLzMxLzIwMDksQVkp&amp;WINDOW=FIRST_POPUP&amp;HEIGHT=450&amp;WI","DTH=450&amp;START_MAXIMIZED=FALSE&amp;VAR:CALENDAR=US&amp;VAR:SYMBOL=POL&amp;VAR:INDEX=25"}</definedName>
    <definedName name="_1257__FDSAUDITLINK__" hidden="1">{"fdsup://directions/FAT Viewer?action=UPDATE&amp;creator=factset&amp;DYN_ARGS=TRUE&amp;DOC_NAME=FAT:FQL_AUDITING_CLIENT_TEMPLATE.FAT&amp;display_string=Audit&amp;VAR:KEY=IJQHORCFCL&amp;VAR:QUERY=Q1NGX1NBTEVTKEFOTiwxMi8zMS8xOTgwLDEyLzMxLzIwMDksQVkp&amp;WINDOW=FIRST_POPUP&amp;HEIGHT=450&amp;WI","DTH=450&amp;START_MAXIMIZED=FALSE&amp;VAR:CALENDAR=US&amp;VAR:SYMBOL=POL&amp;VAR:INDEX=24"}</definedName>
    <definedName name="_1258__FDSAUDITLINK__" hidden="1">{"fdsup://directions/FAT Viewer?action=UPDATE&amp;creator=factset&amp;DYN_ARGS=TRUE&amp;DOC_NAME=FAT:FQL_AUDITING_CLIENT_TEMPLATE.FAT&amp;display_string=Audit&amp;VAR:KEY=IJQHORCFCL&amp;VAR:QUERY=Q1NGX1NBTEVTKEFOTiwxMi8zMS8xOTgwLDEyLzMxLzIwMDksQVkp&amp;WINDOW=FIRST_POPUP&amp;HEIGHT=450&amp;WI","DTH=450&amp;START_MAXIMIZED=FALSE&amp;VAR:CALENDAR=US&amp;VAR:SYMBOL=POL&amp;VAR:INDEX=23"}</definedName>
    <definedName name="_1259__FDSAUDITLINK__" hidden="1">{"fdsup://directions/FAT Viewer?action=UPDATE&amp;creator=factset&amp;DYN_ARGS=TRUE&amp;DOC_NAME=FAT:FQL_AUDITING_CLIENT_TEMPLATE.FAT&amp;display_string=Audit&amp;VAR:KEY=IJQHORCFCL&amp;VAR:QUERY=Q1NGX1NBTEVTKEFOTiwxMi8zMS8xOTgwLDEyLzMxLzIwMDksQVkp&amp;WINDOW=FIRST_POPUP&amp;HEIGHT=450&amp;WI","DTH=450&amp;START_MAXIMIZED=FALSE&amp;VAR:CALENDAR=US&amp;VAR:SYMBOL=POL&amp;VAR:INDEX=22"}</definedName>
    <definedName name="_126__FDSAUDITLINK__" hidden="1">{"fdsup://directions/FAT Viewer?action=UPDATE&amp;creator=factset&amp;DYN_ARGS=TRUE&amp;DOC_NAME=FAT:FQL_AUDITING_CLIENT_TEMPLATE.FAT&amp;display_string=Audit&amp;VAR:KEY=ABINOJOXEF&amp;VAR:QUERY=Q1NGX0VCSVRfT1BFUihRVFJfUiwtM0FZLDAsRlEp&amp;WINDOW=FIRST_POPUP&amp;HEIGHT=450&amp;WIDTH=450&amp;STAR","T_MAXIMIZED=FALSE&amp;VAR:CALENDAR=US&amp;VAR:SYMBOL=DD&amp;VAR:INDEX=4"}</definedName>
    <definedName name="_1260__FDSAUDITLINK__" hidden="1">{"fdsup://directions/FAT Viewer?action=UPDATE&amp;creator=factset&amp;DYN_ARGS=TRUE&amp;DOC_NAME=FAT:FQL_AUDITING_CLIENT_TEMPLATE.FAT&amp;display_string=Audit&amp;VAR:KEY=IJQHORCFCL&amp;VAR:QUERY=Q1NGX1NBTEVTKEFOTiwxMi8zMS8xOTgwLDEyLzMxLzIwMDksQVkp&amp;WINDOW=FIRST_POPUP&amp;HEIGHT=450&amp;WI","DTH=450&amp;START_MAXIMIZED=FALSE&amp;VAR:CALENDAR=US&amp;VAR:SYMBOL=POL&amp;VAR:INDEX=21"}</definedName>
    <definedName name="_1261__FDSAUDITLINK__" hidden="1">{"fdsup://directions/FAT Viewer?action=UPDATE&amp;creator=factset&amp;DYN_ARGS=TRUE&amp;DOC_NAME=FAT:FQL_AUDITING_CLIENT_TEMPLATE.FAT&amp;display_string=Audit&amp;VAR:KEY=IJQHORCFCL&amp;VAR:QUERY=Q1NGX1NBTEVTKEFOTiwxMi8zMS8xOTgwLDEyLzMxLzIwMDksQVkp&amp;WINDOW=FIRST_POPUP&amp;HEIGHT=450&amp;WI","DTH=450&amp;START_MAXIMIZED=FALSE&amp;VAR:CALENDAR=US&amp;VAR:SYMBOL=POL&amp;VAR:INDEX=20"}</definedName>
    <definedName name="_1262__FDSAUDITLINK__" hidden="1">{"fdsup://directions/FAT Viewer?action=UPDATE&amp;creator=factset&amp;DYN_ARGS=TRUE&amp;DOC_NAME=FAT:FQL_AUDITING_CLIENT_TEMPLATE.FAT&amp;display_string=Audit&amp;VAR:KEY=IJQHORCFCL&amp;VAR:QUERY=Q1NGX1NBTEVTKEFOTiwxMi8zMS8xOTgwLDEyLzMxLzIwMDksQVkp&amp;WINDOW=FIRST_POPUP&amp;HEIGHT=450&amp;WI","DTH=450&amp;START_MAXIMIZED=FALSE&amp;VAR:CALENDAR=US&amp;VAR:SYMBOL=POL&amp;VAR:INDEX=19"}</definedName>
    <definedName name="_1263__FDSAUDITLINK__" hidden="1">{"fdsup://directions/FAT Viewer?action=UPDATE&amp;creator=factset&amp;DYN_ARGS=TRUE&amp;DOC_NAME=FAT:FQL_AUDITING_CLIENT_TEMPLATE.FAT&amp;display_string=Audit&amp;VAR:KEY=IJQHORCFCL&amp;VAR:QUERY=Q1NGX1NBTEVTKEFOTiwxMi8zMS8xOTgwLDEyLzMxLzIwMDksQVkp&amp;WINDOW=FIRST_POPUP&amp;HEIGHT=450&amp;WI","DTH=450&amp;START_MAXIMIZED=FALSE&amp;VAR:CALENDAR=US&amp;VAR:SYMBOL=POL&amp;VAR:INDEX=18"}</definedName>
    <definedName name="_1264__FDSAUDITLINK__" hidden="1">{"fdsup://directions/FAT Viewer?action=UPDATE&amp;creator=factset&amp;DYN_ARGS=TRUE&amp;DOC_NAME=FAT:FQL_AUDITING_CLIENT_TEMPLATE.FAT&amp;display_string=Audit&amp;VAR:KEY=IJQHORCFCL&amp;VAR:QUERY=Q1NGX1NBTEVTKEFOTiwxMi8zMS8xOTgwLDEyLzMxLzIwMDksQVkp&amp;WINDOW=FIRST_POPUP&amp;HEIGHT=450&amp;WI","DTH=450&amp;START_MAXIMIZED=FALSE&amp;VAR:CALENDAR=US&amp;VAR:SYMBOL=POL&amp;VAR:INDEX=17"}</definedName>
    <definedName name="_1265__FDSAUDITLINK__" hidden="1">{"fdsup://directions/FAT Viewer?action=UPDATE&amp;creator=factset&amp;DYN_ARGS=TRUE&amp;DOC_NAME=FAT:FQL_AUDITING_CLIENT_TEMPLATE.FAT&amp;display_string=Audit&amp;VAR:KEY=IJQHORCFCL&amp;VAR:QUERY=Q1NGX1NBTEVTKEFOTiwxMi8zMS8xOTgwLDEyLzMxLzIwMDksQVkp&amp;WINDOW=FIRST_POPUP&amp;HEIGHT=450&amp;WI","DTH=450&amp;START_MAXIMIZED=FALSE&amp;VAR:CALENDAR=US&amp;VAR:SYMBOL=POL&amp;VAR:INDEX=16"}</definedName>
    <definedName name="_1266__FDSAUDITLINK__" hidden="1">{"fdsup://directions/FAT Viewer?action=UPDATE&amp;creator=factset&amp;DYN_ARGS=TRUE&amp;DOC_NAME=FAT:FQL_AUDITING_CLIENT_TEMPLATE.FAT&amp;display_string=Audit&amp;VAR:KEY=IJQHORCFCL&amp;VAR:QUERY=Q1NGX1NBTEVTKEFOTiwxMi8zMS8xOTgwLDEyLzMxLzIwMDksQVkp&amp;WINDOW=FIRST_POPUP&amp;HEIGHT=450&amp;WI","DTH=450&amp;START_MAXIMIZED=FALSE&amp;VAR:CALENDAR=US&amp;VAR:SYMBOL=POL&amp;VAR:INDEX=15"}</definedName>
    <definedName name="_1267__FDSAUDITLINK__" hidden="1">{"fdsup://directions/FAT Viewer?action=UPDATE&amp;creator=factset&amp;DYN_ARGS=TRUE&amp;DOC_NAME=FAT:FQL_AUDITING_CLIENT_TEMPLATE.FAT&amp;display_string=Audit&amp;VAR:KEY=IJQHORCFCL&amp;VAR:QUERY=Q1NGX1NBTEVTKEFOTiwxMi8zMS8xOTgwLDEyLzMxLzIwMDksQVkp&amp;WINDOW=FIRST_POPUP&amp;HEIGHT=450&amp;WI","DTH=450&amp;START_MAXIMIZED=FALSE&amp;VAR:CALENDAR=US&amp;VAR:SYMBOL=POL&amp;VAR:INDEX=14"}</definedName>
    <definedName name="_1268__FDSAUDITLINK__" hidden="1">{"fdsup://directions/FAT Viewer?action=UPDATE&amp;creator=factset&amp;DYN_ARGS=TRUE&amp;DOC_NAME=FAT:FQL_AUDITING_CLIENT_TEMPLATE.FAT&amp;display_string=Audit&amp;VAR:KEY=IJQHORCFCL&amp;VAR:QUERY=Q1NGX1NBTEVTKEFOTiwxMi8zMS8xOTgwLDEyLzMxLzIwMDksQVkp&amp;WINDOW=FIRST_POPUP&amp;HEIGHT=450&amp;WI","DTH=450&amp;START_MAXIMIZED=FALSE&amp;VAR:CALENDAR=US&amp;VAR:SYMBOL=POL&amp;VAR:INDEX=13"}</definedName>
    <definedName name="_1269__FDSAUDITLINK__" hidden="1">{"fdsup://directions/FAT Viewer?action=UPDATE&amp;creator=factset&amp;DYN_ARGS=TRUE&amp;DOC_NAME=FAT:FQL_AUDITING_CLIENT_TEMPLATE.FAT&amp;display_string=Audit&amp;VAR:KEY=IJQHORCFCL&amp;VAR:QUERY=Q1NGX1NBTEVTKEFOTiwxMi8zMS8xOTgwLDEyLzMxLzIwMDksQVkp&amp;WINDOW=FIRST_POPUP&amp;HEIGHT=450&amp;WI","DTH=450&amp;START_MAXIMIZED=FALSE&amp;VAR:CALENDAR=US&amp;VAR:SYMBOL=POL&amp;VAR:INDEX=12"}</definedName>
    <definedName name="_127__FDSAUDITLINK__" hidden="1">{"fdsup://directions/FAT Viewer?action=UPDATE&amp;creator=factset&amp;DYN_ARGS=TRUE&amp;DOC_NAME=FAT:FQL_AUDITING_CLIENT_TEMPLATE.FAT&amp;display_string=Audit&amp;VAR:KEY=ABINOJOXEF&amp;VAR:QUERY=Q1NGX0VCSVRfT1BFUihRVFJfUiwtM0FZLDAsRlEp&amp;WINDOW=FIRST_POPUP&amp;HEIGHT=450&amp;WIDTH=450&amp;STAR","T_MAXIMIZED=FALSE&amp;VAR:CALENDAR=US&amp;VAR:SYMBOL=DD&amp;VAR:INDEX=3"}</definedName>
    <definedName name="_1270__FDSAUDITLINK__" hidden="1">{"fdsup://directions/FAT Viewer?action=UPDATE&amp;creator=factset&amp;DYN_ARGS=TRUE&amp;DOC_NAME=FAT:FQL_AUDITING_CLIENT_TEMPLATE.FAT&amp;display_string=Audit&amp;VAR:KEY=IJQHORCFCL&amp;VAR:QUERY=Q1NGX1NBTEVTKEFOTiwxMi8zMS8xOTgwLDEyLzMxLzIwMDksQVkp&amp;WINDOW=FIRST_POPUP&amp;HEIGHT=450&amp;WI","DTH=450&amp;START_MAXIMIZED=FALSE&amp;VAR:CALENDAR=US&amp;VAR:SYMBOL=POL&amp;VAR:INDEX=11"}</definedName>
    <definedName name="_1271__FDSAUDITLINK__" hidden="1">{"fdsup://directions/FAT Viewer?action=UPDATE&amp;creator=factset&amp;DYN_ARGS=TRUE&amp;DOC_NAME=FAT:FQL_AUDITING_CLIENT_TEMPLATE.FAT&amp;display_string=Audit&amp;VAR:KEY=IJQHORCFCL&amp;VAR:QUERY=Q1NGX1NBTEVTKEFOTiwxMi8zMS8xOTgwLDEyLzMxLzIwMDksQVkp&amp;WINDOW=FIRST_POPUP&amp;HEIGHT=450&amp;WI","DTH=450&amp;START_MAXIMIZED=FALSE&amp;VAR:CALENDAR=US&amp;VAR:SYMBOL=POL&amp;VAR:INDEX=10"}</definedName>
    <definedName name="_1272__FDSAUDITLINK__" hidden="1">{"fdsup://directions/FAT Viewer?action=UPDATE&amp;creator=factset&amp;DYN_ARGS=TRUE&amp;DOC_NAME=FAT:FQL_AUDITING_CLIENT_TEMPLATE.FAT&amp;display_string=Audit&amp;VAR:KEY=IJQHORCFCL&amp;VAR:QUERY=Q1NGX1NBTEVTKEFOTiwxMi8zMS8xOTgwLDEyLzMxLzIwMDksQVkp&amp;WINDOW=FIRST_POPUP&amp;HEIGHT=450&amp;WI","DTH=450&amp;START_MAXIMIZED=FALSE&amp;VAR:CALENDAR=US&amp;VAR:SYMBOL=POL&amp;VAR:INDEX=9"}</definedName>
    <definedName name="_1273__FDSAUDITLINK__" hidden="1">{"fdsup://directions/FAT Viewer?action=UPDATE&amp;creator=factset&amp;DYN_ARGS=TRUE&amp;DOC_NAME=FAT:FQL_AUDITING_CLIENT_TEMPLATE.FAT&amp;display_string=Audit&amp;VAR:KEY=IJQHORCFCL&amp;VAR:QUERY=Q1NGX1NBTEVTKEFOTiwxMi8zMS8xOTgwLDEyLzMxLzIwMDksQVkp&amp;WINDOW=FIRST_POPUP&amp;HEIGHT=450&amp;WI","DTH=450&amp;START_MAXIMIZED=FALSE&amp;VAR:CALENDAR=US&amp;VAR:SYMBOL=POL&amp;VAR:INDEX=8"}</definedName>
    <definedName name="_1274__FDSAUDITLINK__" hidden="1">{"fdsup://directions/FAT Viewer?action=UPDATE&amp;creator=factset&amp;DYN_ARGS=TRUE&amp;DOC_NAME=FAT:FQL_AUDITING_CLIENT_TEMPLATE.FAT&amp;display_string=Audit&amp;VAR:KEY=IJQHORCFCL&amp;VAR:QUERY=Q1NGX1NBTEVTKEFOTiwxMi8zMS8xOTgwLDEyLzMxLzIwMDksQVkp&amp;WINDOW=FIRST_POPUP&amp;HEIGHT=450&amp;WI","DTH=450&amp;START_MAXIMIZED=FALSE&amp;VAR:CALENDAR=US&amp;VAR:SYMBOL=POL&amp;VAR:INDEX=7"}</definedName>
    <definedName name="_1275__FDSAUDITLINK__" hidden="1">{"fdsup://directions/FAT Viewer?action=UPDATE&amp;creator=factset&amp;DYN_ARGS=TRUE&amp;DOC_NAME=FAT:FQL_AUDITING_CLIENT_TEMPLATE.FAT&amp;display_string=Audit&amp;VAR:KEY=IJQHORCFCL&amp;VAR:QUERY=Q1NGX1NBTEVTKEFOTiwxMi8zMS8xOTgwLDEyLzMxLzIwMDksQVkp&amp;WINDOW=FIRST_POPUP&amp;HEIGHT=450&amp;WI","DTH=450&amp;START_MAXIMIZED=FALSE&amp;VAR:CALENDAR=US&amp;VAR:SYMBOL=POL&amp;VAR:INDEX=6"}</definedName>
    <definedName name="_1276__FDSAUDITLINK__" hidden="1">{"fdsup://directions/FAT Viewer?action=UPDATE&amp;creator=factset&amp;DYN_ARGS=TRUE&amp;DOC_NAME=FAT:FQL_AUDITING_CLIENT_TEMPLATE.FAT&amp;display_string=Audit&amp;VAR:KEY=IJQHORCFCL&amp;VAR:QUERY=Q1NGX1NBTEVTKEFOTiwxMi8zMS8xOTgwLDEyLzMxLzIwMDksQVkp&amp;WINDOW=FIRST_POPUP&amp;HEIGHT=450&amp;WI","DTH=450&amp;START_MAXIMIZED=FALSE&amp;VAR:CALENDAR=US&amp;VAR:SYMBOL=POL&amp;VAR:INDEX=5"}</definedName>
    <definedName name="_1277__FDSAUDITLINK__" hidden="1">{"fdsup://directions/FAT Viewer?action=UPDATE&amp;creator=factset&amp;DYN_ARGS=TRUE&amp;DOC_NAME=FAT:FQL_AUDITING_CLIENT_TEMPLATE.FAT&amp;display_string=Audit&amp;VAR:KEY=IJQHORCFCL&amp;VAR:QUERY=Q1NGX1NBTEVTKEFOTiwxMi8zMS8xOTgwLDEyLzMxLzIwMDksQVkp&amp;WINDOW=FIRST_POPUP&amp;HEIGHT=450&amp;WI","DTH=450&amp;START_MAXIMIZED=FALSE&amp;VAR:CALENDAR=US&amp;VAR:SYMBOL=POL&amp;VAR:INDEX=4"}</definedName>
    <definedName name="_1278__FDSAUDITLINK__" hidden="1">{"fdsup://directions/FAT Viewer?action=UPDATE&amp;creator=factset&amp;DYN_ARGS=TRUE&amp;DOC_NAME=FAT:FQL_AUDITING_CLIENT_TEMPLATE.FAT&amp;display_string=Audit&amp;VAR:KEY=IJQHORCFCL&amp;VAR:QUERY=Q1NGX1NBTEVTKEFOTiwxMi8zMS8xOTgwLDEyLzMxLzIwMDksQVkp&amp;WINDOW=FIRST_POPUP&amp;HEIGHT=450&amp;WI","DTH=450&amp;START_MAXIMIZED=FALSE&amp;VAR:CALENDAR=US&amp;VAR:SYMBOL=POL&amp;VAR:INDEX=3"}</definedName>
    <definedName name="_1279__FDSAUDITLINK__" hidden="1">{"fdsup://directions/FAT Viewer?action=UPDATE&amp;creator=factset&amp;DYN_ARGS=TRUE&amp;DOC_NAME=FAT:FQL_AUDITING_CLIENT_TEMPLATE.FAT&amp;display_string=Audit&amp;VAR:KEY=IJQHORCFCL&amp;VAR:QUERY=Q1NGX1NBTEVTKEFOTiwxMi8zMS8xOTgwLDEyLzMxLzIwMDksQVkp&amp;WINDOW=FIRST_POPUP&amp;HEIGHT=450&amp;WI","DTH=450&amp;START_MAXIMIZED=FALSE&amp;VAR:CALENDAR=US&amp;VAR:SYMBOL=POL&amp;VAR:INDEX=2"}</definedName>
    <definedName name="_128__FDSAUDITLINK__" hidden="1">{"fdsup://directions/FAT Viewer?action=UPDATE&amp;creator=factset&amp;DYN_ARGS=TRUE&amp;DOC_NAME=FAT:FQL_AUDITING_CLIENT_TEMPLATE.FAT&amp;display_string=Audit&amp;VAR:KEY=ABINOJOXEF&amp;VAR:QUERY=Q1NGX0VCSVRfT1BFUihRVFJfUiwtM0FZLDAsRlEp&amp;WINDOW=FIRST_POPUP&amp;HEIGHT=450&amp;WIDTH=450&amp;STAR","T_MAXIMIZED=FALSE&amp;VAR:CALENDAR=US&amp;VAR:SYMBOL=DD&amp;VAR:INDEX=2"}</definedName>
    <definedName name="_1280__FDSAUDITLINK__" hidden="1">{"fdsup://directions/FAT Viewer?action=UPDATE&amp;creator=factset&amp;DYN_ARGS=TRUE&amp;DOC_NAME=FAT:FQL_AUDITING_CLIENT_TEMPLATE.FAT&amp;display_string=Audit&amp;VAR:KEY=IJQHORCFCL&amp;VAR:QUERY=Q1NGX1NBTEVTKEFOTiwxMi8zMS8xOTgwLDEyLzMxLzIwMDksQVkp&amp;WINDOW=FIRST_POPUP&amp;HEIGHT=450&amp;WI","DTH=450&amp;START_MAXIMIZED=FALSE&amp;VAR:CALENDAR=US&amp;VAR:SYMBOL=POL&amp;VAR:INDEX=1"}</definedName>
    <definedName name="_1281__FDSAUDITLINK__" hidden="1">{"fdsup://directions/FAT Viewer?action=UPDATE&amp;creator=factset&amp;DYN_ARGS=TRUE&amp;DOC_NAME=FAT:FQL_AUDITING_CLIENT_TEMPLATE.FAT&amp;display_string=Audit&amp;VAR:KEY=IJQHORCFCL&amp;VAR:QUERY=Q1NGX1NBTEVTKEFOTiwxMi8zMS8xOTgwLDEyLzMxLzIwMDksQVkp&amp;WINDOW=FIRST_POPUP&amp;HEIGHT=450&amp;WI","DTH=450&amp;START_MAXIMIZED=FALSE&amp;VAR:CALENDAR=US&amp;VAR:SYMBOL=POL&amp;VAR:INDEX=0"}</definedName>
    <definedName name="_1282__FDSAUDITLINK__" hidden="1">{"fdsup://directions/FAT Viewer?action=UPDATE&amp;creator=factset&amp;DYN_ARGS=TRUE&amp;DOC_NAME=FAT:FQL_AUDITING_CLIENT_TEMPLATE.FAT&amp;display_string=Audit&amp;VAR:KEY=UNMFQBYTYH&amp;VAR:QUERY=Q1NGX1NBTEVTKEFOTiwxMi8zMS8xOTgwLDEyLzMxLzIwMDksQVkp&amp;WINDOW=FIRST_POPUP&amp;HEIGHT=450&amp;WI","DTH=450&amp;START_MAXIMIZED=FALSE&amp;VAR:CALENDAR=US&amp;VAR:SYMBOL=PENX&amp;VAR:INDEX=29"}</definedName>
    <definedName name="_1283__FDSAUDITLINK__" hidden="1">{"fdsup://directions/FAT Viewer?action=UPDATE&amp;creator=factset&amp;DYN_ARGS=TRUE&amp;DOC_NAME=FAT:FQL_AUDITING_CLIENT_TEMPLATE.FAT&amp;display_string=Audit&amp;VAR:KEY=UNMFQBYTYH&amp;VAR:QUERY=Q1NGX1NBTEVTKEFOTiwxMi8zMS8xOTgwLDEyLzMxLzIwMDksQVkp&amp;WINDOW=FIRST_POPUP&amp;HEIGHT=450&amp;WI","DTH=450&amp;START_MAXIMIZED=FALSE&amp;VAR:CALENDAR=US&amp;VAR:SYMBOL=PENX&amp;VAR:INDEX=28"}</definedName>
    <definedName name="_1284__FDSAUDITLINK__" hidden="1">{"fdsup://directions/FAT Viewer?action=UPDATE&amp;creator=factset&amp;DYN_ARGS=TRUE&amp;DOC_NAME=FAT:FQL_AUDITING_CLIENT_TEMPLATE.FAT&amp;display_string=Audit&amp;VAR:KEY=UNMFQBYTYH&amp;VAR:QUERY=Q1NGX1NBTEVTKEFOTiwxMi8zMS8xOTgwLDEyLzMxLzIwMDksQVkp&amp;WINDOW=FIRST_POPUP&amp;HEIGHT=450&amp;WI","DTH=450&amp;START_MAXIMIZED=FALSE&amp;VAR:CALENDAR=US&amp;VAR:SYMBOL=PENX&amp;VAR:INDEX=27"}</definedName>
    <definedName name="_1285__FDSAUDITLINK__" hidden="1">{"fdsup://directions/FAT Viewer?action=UPDATE&amp;creator=factset&amp;DYN_ARGS=TRUE&amp;DOC_NAME=FAT:FQL_AUDITING_CLIENT_TEMPLATE.FAT&amp;display_string=Audit&amp;VAR:KEY=UNMFQBYTYH&amp;VAR:QUERY=Q1NGX1NBTEVTKEFOTiwxMi8zMS8xOTgwLDEyLzMxLzIwMDksQVkp&amp;WINDOW=FIRST_POPUP&amp;HEIGHT=450&amp;WI","DTH=450&amp;START_MAXIMIZED=FALSE&amp;VAR:CALENDAR=US&amp;VAR:SYMBOL=PENX&amp;VAR:INDEX=26"}</definedName>
    <definedName name="_1286__FDSAUDITLINK__" hidden="1">{"fdsup://directions/FAT Viewer?action=UPDATE&amp;creator=factset&amp;DYN_ARGS=TRUE&amp;DOC_NAME=FAT:FQL_AUDITING_CLIENT_TEMPLATE.FAT&amp;display_string=Audit&amp;VAR:KEY=UNMFQBYTYH&amp;VAR:QUERY=Q1NGX1NBTEVTKEFOTiwxMi8zMS8xOTgwLDEyLzMxLzIwMDksQVkp&amp;WINDOW=FIRST_POPUP&amp;HEIGHT=450&amp;WI","DTH=450&amp;START_MAXIMIZED=FALSE&amp;VAR:CALENDAR=US&amp;VAR:SYMBOL=PENX&amp;VAR:INDEX=25"}</definedName>
    <definedName name="_1287__FDSAUDITLINK__" hidden="1">{"fdsup://directions/FAT Viewer?action=UPDATE&amp;creator=factset&amp;DYN_ARGS=TRUE&amp;DOC_NAME=FAT:FQL_AUDITING_CLIENT_TEMPLATE.FAT&amp;display_string=Audit&amp;VAR:KEY=UNMFQBYTYH&amp;VAR:QUERY=Q1NGX1NBTEVTKEFOTiwxMi8zMS8xOTgwLDEyLzMxLzIwMDksQVkp&amp;WINDOW=FIRST_POPUP&amp;HEIGHT=450&amp;WI","DTH=450&amp;START_MAXIMIZED=FALSE&amp;VAR:CALENDAR=US&amp;VAR:SYMBOL=PENX&amp;VAR:INDEX=24"}</definedName>
    <definedName name="_1288__FDSAUDITLINK__" hidden="1">{"fdsup://directions/FAT Viewer?action=UPDATE&amp;creator=factset&amp;DYN_ARGS=TRUE&amp;DOC_NAME=FAT:FQL_AUDITING_CLIENT_TEMPLATE.FAT&amp;display_string=Audit&amp;VAR:KEY=UNMFQBYTYH&amp;VAR:QUERY=Q1NGX1NBTEVTKEFOTiwxMi8zMS8xOTgwLDEyLzMxLzIwMDksQVkp&amp;WINDOW=FIRST_POPUP&amp;HEIGHT=450&amp;WI","DTH=450&amp;START_MAXIMIZED=FALSE&amp;VAR:CALENDAR=US&amp;VAR:SYMBOL=PENX&amp;VAR:INDEX=23"}</definedName>
    <definedName name="_1289__FDSAUDITLINK__" hidden="1">{"fdsup://directions/FAT Viewer?action=UPDATE&amp;creator=factset&amp;DYN_ARGS=TRUE&amp;DOC_NAME=FAT:FQL_AUDITING_CLIENT_TEMPLATE.FAT&amp;display_string=Audit&amp;VAR:KEY=UNMFQBYTYH&amp;VAR:QUERY=Q1NGX1NBTEVTKEFOTiwxMi8zMS8xOTgwLDEyLzMxLzIwMDksQVkp&amp;WINDOW=FIRST_POPUP&amp;HEIGHT=450&amp;WI","DTH=450&amp;START_MAXIMIZED=FALSE&amp;VAR:CALENDAR=US&amp;VAR:SYMBOL=PENX&amp;VAR:INDEX=22"}</definedName>
    <definedName name="_129__FDSAUDITLINK__" hidden="1">{"fdsup://directions/FAT Viewer?action=UPDATE&amp;creator=factset&amp;DYN_ARGS=TRUE&amp;DOC_NAME=FAT:FQL_AUDITING_CLIENT_TEMPLATE.FAT&amp;display_string=Audit&amp;VAR:KEY=ABINOJOXEF&amp;VAR:QUERY=Q1NGX0VCSVRfT1BFUihRVFJfUiwtM0FZLDAsRlEp&amp;WINDOW=FIRST_POPUP&amp;HEIGHT=450&amp;WIDTH=450&amp;STAR","T_MAXIMIZED=FALSE&amp;VAR:CALENDAR=US&amp;VAR:SYMBOL=DD&amp;VAR:INDEX=1"}</definedName>
    <definedName name="_1290__FDSAUDITLINK__" hidden="1">{"fdsup://directions/FAT Viewer?action=UPDATE&amp;creator=factset&amp;DYN_ARGS=TRUE&amp;DOC_NAME=FAT:FQL_AUDITING_CLIENT_TEMPLATE.FAT&amp;display_string=Audit&amp;VAR:KEY=UNMFQBYTYH&amp;VAR:QUERY=Q1NGX1NBTEVTKEFOTiwxMi8zMS8xOTgwLDEyLzMxLzIwMDksQVkp&amp;WINDOW=FIRST_POPUP&amp;HEIGHT=450&amp;WI","DTH=450&amp;START_MAXIMIZED=FALSE&amp;VAR:CALENDAR=US&amp;VAR:SYMBOL=PENX&amp;VAR:INDEX=21"}</definedName>
    <definedName name="_1291__FDSAUDITLINK__" hidden="1">{"fdsup://directions/FAT Viewer?action=UPDATE&amp;creator=factset&amp;DYN_ARGS=TRUE&amp;DOC_NAME=FAT:FQL_AUDITING_CLIENT_TEMPLATE.FAT&amp;display_string=Audit&amp;VAR:KEY=UNMFQBYTYH&amp;VAR:QUERY=Q1NGX1NBTEVTKEFOTiwxMi8zMS8xOTgwLDEyLzMxLzIwMDksQVkp&amp;WINDOW=FIRST_POPUP&amp;HEIGHT=450&amp;WI","DTH=450&amp;START_MAXIMIZED=FALSE&amp;VAR:CALENDAR=US&amp;VAR:SYMBOL=PENX&amp;VAR:INDEX=20"}</definedName>
    <definedName name="_1292__FDSAUDITLINK__" hidden="1">{"fdsup://directions/FAT Viewer?action=UPDATE&amp;creator=factset&amp;DYN_ARGS=TRUE&amp;DOC_NAME=FAT:FQL_AUDITING_CLIENT_TEMPLATE.FAT&amp;display_string=Audit&amp;VAR:KEY=UNMFQBYTYH&amp;VAR:QUERY=Q1NGX1NBTEVTKEFOTiwxMi8zMS8xOTgwLDEyLzMxLzIwMDksQVkp&amp;WINDOW=FIRST_POPUP&amp;HEIGHT=450&amp;WI","DTH=450&amp;START_MAXIMIZED=FALSE&amp;VAR:CALENDAR=US&amp;VAR:SYMBOL=PENX&amp;VAR:INDEX=19"}</definedName>
    <definedName name="_1293__FDSAUDITLINK__" hidden="1">{"fdsup://directions/FAT Viewer?action=UPDATE&amp;creator=factset&amp;DYN_ARGS=TRUE&amp;DOC_NAME=FAT:FQL_AUDITING_CLIENT_TEMPLATE.FAT&amp;display_string=Audit&amp;VAR:KEY=UNMFQBYTYH&amp;VAR:QUERY=Q1NGX1NBTEVTKEFOTiwxMi8zMS8xOTgwLDEyLzMxLzIwMDksQVkp&amp;WINDOW=FIRST_POPUP&amp;HEIGHT=450&amp;WI","DTH=450&amp;START_MAXIMIZED=FALSE&amp;VAR:CALENDAR=US&amp;VAR:SYMBOL=PENX&amp;VAR:INDEX=18"}</definedName>
    <definedName name="_1294__FDSAUDITLINK__" hidden="1">{"fdsup://directions/FAT Viewer?action=UPDATE&amp;creator=factset&amp;DYN_ARGS=TRUE&amp;DOC_NAME=FAT:FQL_AUDITING_CLIENT_TEMPLATE.FAT&amp;display_string=Audit&amp;VAR:KEY=UNMFQBYTYH&amp;VAR:QUERY=Q1NGX1NBTEVTKEFOTiwxMi8zMS8xOTgwLDEyLzMxLzIwMDksQVkp&amp;WINDOW=FIRST_POPUP&amp;HEIGHT=450&amp;WI","DTH=450&amp;START_MAXIMIZED=FALSE&amp;VAR:CALENDAR=US&amp;VAR:SYMBOL=PENX&amp;VAR:INDEX=17"}</definedName>
    <definedName name="_1295__FDSAUDITLINK__" hidden="1">{"fdsup://directions/FAT Viewer?action=UPDATE&amp;creator=factset&amp;DYN_ARGS=TRUE&amp;DOC_NAME=FAT:FQL_AUDITING_CLIENT_TEMPLATE.FAT&amp;display_string=Audit&amp;VAR:KEY=UNMFQBYTYH&amp;VAR:QUERY=Q1NGX1NBTEVTKEFOTiwxMi8zMS8xOTgwLDEyLzMxLzIwMDksQVkp&amp;WINDOW=FIRST_POPUP&amp;HEIGHT=450&amp;WI","DTH=450&amp;START_MAXIMIZED=FALSE&amp;VAR:CALENDAR=US&amp;VAR:SYMBOL=PENX&amp;VAR:INDEX=16"}</definedName>
    <definedName name="_1296__FDSAUDITLINK__" hidden="1">{"fdsup://directions/FAT Viewer?action=UPDATE&amp;creator=factset&amp;DYN_ARGS=TRUE&amp;DOC_NAME=FAT:FQL_AUDITING_CLIENT_TEMPLATE.FAT&amp;display_string=Audit&amp;VAR:KEY=UNMFQBYTYH&amp;VAR:QUERY=Q1NGX1NBTEVTKEFOTiwxMi8zMS8xOTgwLDEyLzMxLzIwMDksQVkp&amp;WINDOW=FIRST_POPUP&amp;HEIGHT=450&amp;WI","DTH=450&amp;START_MAXIMIZED=FALSE&amp;VAR:CALENDAR=US&amp;VAR:SYMBOL=PENX&amp;VAR:INDEX=15"}</definedName>
    <definedName name="_1297__FDSAUDITLINK__" hidden="1">{"fdsup://directions/FAT Viewer?action=UPDATE&amp;creator=factset&amp;DYN_ARGS=TRUE&amp;DOC_NAME=FAT:FQL_AUDITING_CLIENT_TEMPLATE.FAT&amp;display_string=Audit&amp;VAR:KEY=UNMFQBYTYH&amp;VAR:QUERY=Q1NGX1NBTEVTKEFOTiwxMi8zMS8xOTgwLDEyLzMxLzIwMDksQVkp&amp;WINDOW=FIRST_POPUP&amp;HEIGHT=450&amp;WI","DTH=450&amp;START_MAXIMIZED=FALSE&amp;VAR:CALENDAR=US&amp;VAR:SYMBOL=PENX&amp;VAR:INDEX=14"}</definedName>
    <definedName name="_1298__FDSAUDITLINK__" hidden="1">{"fdsup://directions/FAT Viewer?action=UPDATE&amp;creator=factset&amp;DYN_ARGS=TRUE&amp;DOC_NAME=FAT:FQL_AUDITING_CLIENT_TEMPLATE.FAT&amp;display_string=Audit&amp;VAR:KEY=UNMFQBYTYH&amp;VAR:QUERY=Q1NGX1NBTEVTKEFOTiwxMi8zMS8xOTgwLDEyLzMxLzIwMDksQVkp&amp;WINDOW=FIRST_POPUP&amp;HEIGHT=450&amp;WI","DTH=450&amp;START_MAXIMIZED=FALSE&amp;VAR:CALENDAR=US&amp;VAR:SYMBOL=PENX&amp;VAR:INDEX=13"}</definedName>
    <definedName name="_1299__FDSAUDITLINK__" hidden="1">{"fdsup://directions/FAT Viewer?action=UPDATE&amp;creator=factset&amp;DYN_ARGS=TRUE&amp;DOC_NAME=FAT:FQL_AUDITING_CLIENT_TEMPLATE.FAT&amp;display_string=Audit&amp;VAR:KEY=UNMFQBYTYH&amp;VAR:QUERY=Q1NGX1NBTEVTKEFOTiwxMi8zMS8xOTgwLDEyLzMxLzIwMDksQVkp&amp;WINDOW=FIRST_POPUP&amp;HEIGHT=450&amp;WI","DTH=450&amp;START_MAXIMIZED=FALSE&amp;VAR:CALENDAR=US&amp;VAR:SYMBOL=PENX&amp;VAR:INDEX=12"}</definedName>
    <definedName name="_13__FDSAUDITLINK__" hidden="1">{"fdsup://directions/FAT Viewer?action=UPDATE&amp;creator=factset&amp;DYN_ARGS=TRUE&amp;DOC_NAME=FAT:FQL_AUDITING_CLIENT_TEMPLATE.FAT&amp;display_string=Audit&amp;VAR:KEY=GRGBQPIXKN&amp;VAR:QUERY=Q1NGX0RFQlQoUVRSX1IsMCk=&amp;WINDOW=FIRST_POPUP&amp;HEIGHT=450&amp;WIDTH=450&amp;START_MAXIMIZED=FALS","E&amp;VAR:CALENDAR=US&amp;VAR:SYMBOL=SIAL&amp;VAR:INDEX=0"}</definedName>
    <definedName name="_130__FDSAUDITLINK__" hidden="1">{"fdsup://directions/FAT Viewer?action=UPDATE&amp;creator=factset&amp;DYN_ARGS=TRUE&amp;DOC_NAME=FAT:FQL_AUDITING_CLIENT_TEMPLATE.FAT&amp;display_string=Audit&amp;VAR:KEY=ABINOJOXEF&amp;VAR:QUERY=Q1NGX0VCSVRfT1BFUihRVFJfUiwtM0FZLDAsRlEp&amp;WINDOW=FIRST_POPUP&amp;HEIGHT=450&amp;WIDTH=450&amp;STAR","T_MAXIMIZED=FALSE&amp;VAR:CALENDAR=US&amp;VAR:SYMBOL=DD&amp;VAR:INDEX=0"}</definedName>
    <definedName name="_1300__FDSAUDITLINK__" hidden="1">{"fdsup://directions/FAT Viewer?action=UPDATE&amp;creator=factset&amp;DYN_ARGS=TRUE&amp;DOC_NAME=FAT:FQL_AUDITING_CLIENT_TEMPLATE.FAT&amp;display_string=Audit&amp;VAR:KEY=UNMFQBYTYH&amp;VAR:QUERY=Q1NGX1NBTEVTKEFOTiwxMi8zMS8xOTgwLDEyLzMxLzIwMDksQVkp&amp;WINDOW=FIRST_POPUP&amp;HEIGHT=450&amp;WI","DTH=450&amp;START_MAXIMIZED=FALSE&amp;VAR:CALENDAR=US&amp;VAR:SYMBOL=PENX&amp;VAR:INDEX=11"}</definedName>
    <definedName name="_1301__FDSAUDITLINK__" hidden="1">{"fdsup://directions/FAT Viewer?action=UPDATE&amp;creator=factset&amp;DYN_ARGS=TRUE&amp;DOC_NAME=FAT:FQL_AUDITING_CLIENT_TEMPLATE.FAT&amp;display_string=Audit&amp;VAR:KEY=UNMFQBYTYH&amp;VAR:QUERY=Q1NGX1NBTEVTKEFOTiwxMi8zMS8xOTgwLDEyLzMxLzIwMDksQVkp&amp;WINDOW=FIRST_POPUP&amp;HEIGHT=450&amp;WI","DTH=450&amp;START_MAXIMIZED=FALSE&amp;VAR:CALENDAR=US&amp;VAR:SYMBOL=PENX&amp;VAR:INDEX=10"}</definedName>
    <definedName name="_1302__FDSAUDITLINK__" hidden="1">{"fdsup://directions/FAT Viewer?action=UPDATE&amp;creator=factset&amp;DYN_ARGS=TRUE&amp;DOC_NAME=FAT:FQL_AUDITING_CLIENT_TEMPLATE.FAT&amp;display_string=Audit&amp;VAR:KEY=UNMFQBYTYH&amp;VAR:QUERY=Q1NGX1NBTEVTKEFOTiwxMi8zMS8xOTgwLDEyLzMxLzIwMDksQVkp&amp;WINDOW=FIRST_POPUP&amp;HEIGHT=450&amp;WI","DTH=450&amp;START_MAXIMIZED=FALSE&amp;VAR:CALENDAR=US&amp;VAR:SYMBOL=PENX&amp;VAR:INDEX=9"}</definedName>
    <definedName name="_1303__FDSAUDITLINK__" hidden="1">{"fdsup://directions/FAT Viewer?action=UPDATE&amp;creator=factset&amp;DYN_ARGS=TRUE&amp;DOC_NAME=FAT:FQL_AUDITING_CLIENT_TEMPLATE.FAT&amp;display_string=Audit&amp;VAR:KEY=UNMFQBYTYH&amp;VAR:QUERY=Q1NGX1NBTEVTKEFOTiwxMi8zMS8xOTgwLDEyLzMxLzIwMDksQVkp&amp;WINDOW=FIRST_POPUP&amp;HEIGHT=450&amp;WI","DTH=450&amp;START_MAXIMIZED=FALSE&amp;VAR:CALENDAR=US&amp;VAR:SYMBOL=PENX&amp;VAR:INDEX=8"}</definedName>
    <definedName name="_1304__FDSAUDITLINK__" hidden="1">{"fdsup://directions/FAT Viewer?action=UPDATE&amp;creator=factset&amp;DYN_ARGS=TRUE&amp;DOC_NAME=FAT:FQL_AUDITING_CLIENT_TEMPLATE.FAT&amp;display_string=Audit&amp;VAR:KEY=UNMFQBYTYH&amp;VAR:QUERY=Q1NGX1NBTEVTKEFOTiwxMi8zMS8xOTgwLDEyLzMxLzIwMDksQVkp&amp;WINDOW=FIRST_POPUP&amp;HEIGHT=450&amp;WI","DTH=450&amp;START_MAXIMIZED=FALSE&amp;VAR:CALENDAR=US&amp;VAR:SYMBOL=PENX&amp;VAR:INDEX=7"}</definedName>
    <definedName name="_1305__FDSAUDITLINK__" hidden="1">{"fdsup://directions/FAT Viewer?action=UPDATE&amp;creator=factset&amp;DYN_ARGS=TRUE&amp;DOC_NAME=FAT:FQL_AUDITING_CLIENT_TEMPLATE.FAT&amp;display_string=Audit&amp;VAR:KEY=UNMFQBYTYH&amp;VAR:QUERY=Q1NGX1NBTEVTKEFOTiwxMi8zMS8xOTgwLDEyLzMxLzIwMDksQVkp&amp;WINDOW=FIRST_POPUP&amp;HEIGHT=450&amp;WI","DTH=450&amp;START_MAXIMIZED=FALSE&amp;VAR:CALENDAR=US&amp;VAR:SYMBOL=PENX&amp;VAR:INDEX=6"}</definedName>
    <definedName name="_1306__FDSAUDITLINK__" hidden="1">{"fdsup://directions/FAT Viewer?action=UPDATE&amp;creator=factset&amp;DYN_ARGS=TRUE&amp;DOC_NAME=FAT:FQL_AUDITING_CLIENT_TEMPLATE.FAT&amp;display_string=Audit&amp;VAR:KEY=UNMFQBYTYH&amp;VAR:QUERY=Q1NGX1NBTEVTKEFOTiwxMi8zMS8xOTgwLDEyLzMxLzIwMDksQVkp&amp;WINDOW=FIRST_POPUP&amp;HEIGHT=450&amp;WI","DTH=450&amp;START_MAXIMIZED=FALSE&amp;VAR:CALENDAR=US&amp;VAR:SYMBOL=PENX&amp;VAR:INDEX=5"}</definedName>
    <definedName name="_1307__FDSAUDITLINK__" hidden="1">{"fdsup://directions/FAT Viewer?action=UPDATE&amp;creator=factset&amp;DYN_ARGS=TRUE&amp;DOC_NAME=FAT:FQL_AUDITING_CLIENT_TEMPLATE.FAT&amp;display_string=Audit&amp;VAR:KEY=UNMFQBYTYH&amp;VAR:QUERY=Q1NGX1NBTEVTKEFOTiwxMi8zMS8xOTgwLDEyLzMxLzIwMDksQVkp&amp;WINDOW=FIRST_POPUP&amp;HEIGHT=450&amp;WI","DTH=450&amp;START_MAXIMIZED=FALSE&amp;VAR:CALENDAR=US&amp;VAR:SYMBOL=PENX&amp;VAR:INDEX=4"}</definedName>
    <definedName name="_1308__FDSAUDITLINK__" hidden="1">{"fdsup://directions/FAT Viewer?action=UPDATE&amp;creator=factset&amp;DYN_ARGS=TRUE&amp;DOC_NAME=FAT:FQL_AUDITING_CLIENT_TEMPLATE.FAT&amp;display_string=Audit&amp;VAR:KEY=UNMFQBYTYH&amp;VAR:QUERY=Q1NGX1NBTEVTKEFOTiwxMi8zMS8xOTgwLDEyLzMxLzIwMDksQVkp&amp;WINDOW=FIRST_POPUP&amp;HEIGHT=450&amp;WI","DTH=450&amp;START_MAXIMIZED=FALSE&amp;VAR:CALENDAR=US&amp;VAR:SYMBOL=PENX&amp;VAR:INDEX=3"}</definedName>
    <definedName name="_1309__FDSAUDITLINK__" hidden="1">{"fdsup://directions/FAT Viewer?action=UPDATE&amp;creator=factset&amp;DYN_ARGS=TRUE&amp;DOC_NAME=FAT:FQL_AUDITING_CLIENT_TEMPLATE.FAT&amp;display_string=Audit&amp;VAR:KEY=UNMFQBYTYH&amp;VAR:QUERY=Q1NGX1NBTEVTKEFOTiwxMi8zMS8xOTgwLDEyLzMxLzIwMDksQVkp&amp;WINDOW=FIRST_POPUP&amp;HEIGHT=450&amp;WI","DTH=450&amp;START_MAXIMIZED=FALSE&amp;VAR:CALENDAR=US&amp;VAR:SYMBOL=PENX&amp;VAR:INDEX=2"}</definedName>
    <definedName name="_131__FDSAUDITLINK__" hidden="1">{"fdsup://directions/FAT Viewer?action=UPDATE&amp;creator=factset&amp;DYN_ARGS=TRUE&amp;DOC_NAME=FAT:FQL_AUDITING_CLIENT_TEMPLATE.FAT&amp;display_string=Audit&amp;VAR:KEY=SRSNGBYDMH&amp;VAR:QUERY=Q1NGX0lOVEFOR19PVEgoQU5OLDE5OTUsMCk=&amp;WINDOW=FIRST_POPUP&amp;HEIGHT=450&amp;WIDTH=450&amp;START_MA","XIMIZED=FALSE&amp;VAR:CALENDAR=US&amp;VAR:SYMBOL=DOW&amp;VAR:INDEX=14"}</definedName>
    <definedName name="_1310__FDSAUDITLINK__" hidden="1">{"fdsup://directions/FAT Viewer?action=UPDATE&amp;creator=factset&amp;DYN_ARGS=TRUE&amp;DOC_NAME=FAT:FQL_AUDITING_CLIENT_TEMPLATE.FAT&amp;display_string=Audit&amp;VAR:KEY=UNMFQBYTYH&amp;VAR:QUERY=Q1NGX1NBTEVTKEFOTiwxMi8zMS8xOTgwLDEyLzMxLzIwMDksQVkp&amp;WINDOW=FIRST_POPUP&amp;HEIGHT=450&amp;WI","DTH=450&amp;START_MAXIMIZED=FALSE&amp;VAR:CALENDAR=US&amp;VAR:SYMBOL=PENX&amp;VAR:INDEX=1"}</definedName>
    <definedName name="_1311__FDSAUDITLINK__" hidden="1">{"fdsup://directions/FAT Viewer?action=UPDATE&amp;creator=factset&amp;DYN_ARGS=TRUE&amp;DOC_NAME=FAT:FQL_AUDITING_CLIENT_TEMPLATE.FAT&amp;display_string=Audit&amp;VAR:KEY=UNMFQBYTYH&amp;VAR:QUERY=Q1NGX1NBTEVTKEFOTiwxMi8zMS8xOTgwLDEyLzMxLzIwMDksQVkp&amp;WINDOW=FIRST_POPUP&amp;HEIGHT=450&amp;WI","DTH=450&amp;START_MAXIMIZED=FALSE&amp;VAR:CALENDAR=US&amp;VAR:SYMBOL=PENX&amp;VAR:INDEX=0"}</definedName>
    <definedName name="_1312__FDSAUDITLINK__" hidden="1">{"fdsup://directions/FAT Viewer?action=UPDATE&amp;creator=factset&amp;DYN_ARGS=TRUE&amp;DOC_NAME=FAT:FQL_AUDITING_CLIENT_TEMPLATE.FAT&amp;display_string=Audit&amp;VAR:KEY=IDKZKDKNCZ&amp;VAR:QUERY=Q1NGX1NBTEVTKEFOTiwxMi8zMS8xOTgwLDEyLzMxLzIwMDksQVkp&amp;WINDOW=FIRST_POPUP&amp;HEIGHT=450&amp;WI","DTH=450&amp;START_MAXIMIZED=FALSE&amp;VAR:CALENDAR=US&amp;VAR:SYMBOL=OMG&amp;VAR:INDEX=29"}</definedName>
    <definedName name="_1313__FDSAUDITLINK__" hidden="1">{"fdsup://directions/FAT Viewer?action=UPDATE&amp;creator=factset&amp;DYN_ARGS=TRUE&amp;DOC_NAME=FAT:FQL_AUDITING_CLIENT_TEMPLATE.FAT&amp;display_string=Audit&amp;VAR:KEY=IDKZKDKNCZ&amp;VAR:QUERY=Q1NGX1NBTEVTKEFOTiwxMi8zMS8xOTgwLDEyLzMxLzIwMDksQVkp&amp;WINDOW=FIRST_POPUP&amp;HEIGHT=450&amp;WI","DTH=450&amp;START_MAXIMIZED=FALSE&amp;VAR:CALENDAR=US&amp;VAR:SYMBOL=OMG&amp;VAR:INDEX=28"}</definedName>
    <definedName name="_1314__FDSAUDITLINK__" hidden="1">{"fdsup://directions/FAT Viewer?action=UPDATE&amp;creator=factset&amp;DYN_ARGS=TRUE&amp;DOC_NAME=FAT:FQL_AUDITING_CLIENT_TEMPLATE.FAT&amp;display_string=Audit&amp;VAR:KEY=IDKZKDKNCZ&amp;VAR:QUERY=Q1NGX1NBTEVTKEFOTiwxMi8zMS8xOTgwLDEyLzMxLzIwMDksQVkp&amp;WINDOW=FIRST_POPUP&amp;HEIGHT=450&amp;WI","DTH=450&amp;START_MAXIMIZED=FALSE&amp;VAR:CALENDAR=US&amp;VAR:SYMBOL=OMG&amp;VAR:INDEX=27"}</definedName>
    <definedName name="_1315__FDSAUDITLINK__" hidden="1">{"fdsup://directions/FAT Viewer?action=UPDATE&amp;creator=factset&amp;DYN_ARGS=TRUE&amp;DOC_NAME=FAT:FQL_AUDITING_CLIENT_TEMPLATE.FAT&amp;display_string=Audit&amp;VAR:KEY=IDKZKDKNCZ&amp;VAR:QUERY=Q1NGX1NBTEVTKEFOTiwxMi8zMS8xOTgwLDEyLzMxLzIwMDksQVkp&amp;WINDOW=FIRST_POPUP&amp;HEIGHT=450&amp;WI","DTH=450&amp;START_MAXIMIZED=FALSE&amp;VAR:CALENDAR=US&amp;VAR:SYMBOL=OMG&amp;VAR:INDEX=26"}</definedName>
    <definedName name="_1316__FDSAUDITLINK__" hidden="1">{"fdsup://directions/FAT Viewer?action=UPDATE&amp;creator=factset&amp;DYN_ARGS=TRUE&amp;DOC_NAME=FAT:FQL_AUDITING_CLIENT_TEMPLATE.FAT&amp;display_string=Audit&amp;VAR:KEY=IDKZKDKNCZ&amp;VAR:QUERY=Q1NGX1NBTEVTKEFOTiwxMi8zMS8xOTgwLDEyLzMxLzIwMDksQVkp&amp;WINDOW=FIRST_POPUP&amp;HEIGHT=450&amp;WI","DTH=450&amp;START_MAXIMIZED=FALSE&amp;VAR:CALENDAR=US&amp;VAR:SYMBOL=OMG&amp;VAR:INDEX=25"}</definedName>
    <definedName name="_1317__FDSAUDITLINK__" hidden="1">{"fdsup://directions/FAT Viewer?action=UPDATE&amp;creator=factset&amp;DYN_ARGS=TRUE&amp;DOC_NAME=FAT:FQL_AUDITING_CLIENT_TEMPLATE.FAT&amp;display_string=Audit&amp;VAR:KEY=IDKZKDKNCZ&amp;VAR:QUERY=Q1NGX1NBTEVTKEFOTiwxMi8zMS8xOTgwLDEyLzMxLzIwMDksQVkp&amp;WINDOW=FIRST_POPUP&amp;HEIGHT=450&amp;WI","DTH=450&amp;START_MAXIMIZED=FALSE&amp;VAR:CALENDAR=US&amp;VAR:SYMBOL=OMG&amp;VAR:INDEX=24"}</definedName>
    <definedName name="_1318__FDSAUDITLINK__" hidden="1">{"fdsup://directions/FAT Viewer?action=UPDATE&amp;creator=factset&amp;DYN_ARGS=TRUE&amp;DOC_NAME=FAT:FQL_AUDITING_CLIENT_TEMPLATE.FAT&amp;display_string=Audit&amp;VAR:KEY=IDKZKDKNCZ&amp;VAR:QUERY=Q1NGX1NBTEVTKEFOTiwxMi8zMS8xOTgwLDEyLzMxLzIwMDksQVkp&amp;WINDOW=FIRST_POPUP&amp;HEIGHT=450&amp;WI","DTH=450&amp;START_MAXIMIZED=FALSE&amp;VAR:CALENDAR=US&amp;VAR:SYMBOL=OMG&amp;VAR:INDEX=23"}</definedName>
    <definedName name="_1319__FDSAUDITLINK__" hidden="1">{"fdsup://directions/FAT Viewer?action=UPDATE&amp;creator=factset&amp;DYN_ARGS=TRUE&amp;DOC_NAME=FAT:FQL_AUDITING_CLIENT_TEMPLATE.FAT&amp;display_string=Audit&amp;VAR:KEY=IDKZKDKNCZ&amp;VAR:QUERY=Q1NGX1NBTEVTKEFOTiwxMi8zMS8xOTgwLDEyLzMxLzIwMDksQVkp&amp;WINDOW=FIRST_POPUP&amp;HEIGHT=450&amp;WI","DTH=450&amp;START_MAXIMIZED=FALSE&amp;VAR:CALENDAR=US&amp;VAR:SYMBOL=OMG&amp;VAR:INDEX=22"}</definedName>
    <definedName name="_132__FDSAUDITLINK__" hidden="1">{"fdsup://directions/FAT Viewer?action=UPDATE&amp;creator=factset&amp;DYN_ARGS=TRUE&amp;DOC_NAME=FAT:FQL_AUDITING_CLIENT_TEMPLATE.FAT&amp;display_string=Audit&amp;VAR:KEY=SRSNGBYDMH&amp;VAR:QUERY=Q1NGX0lOVEFOR19PVEgoQU5OLDE5OTUsMCk=&amp;WINDOW=FIRST_POPUP&amp;HEIGHT=450&amp;WIDTH=450&amp;START_MA","XIMIZED=FALSE&amp;VAR:CALENDAR=US&amp;VAR:SYMBOL=DOW&amp;VAR:INDEX=13"}</definedName>
    <definedName name="_1320__FDSAUDITLINK__" hidden="1">{"fdsup://directions/FAT Viewer?action=UPDATE&amp;creator=factset&amp;DYN_ARGS=TRUE&amp;DOC_NAME=FAT:FQL_AUDITING_CLIENT_TEMPLATE.FAT&amp;display_string=Audit&amp;VAR:KEY=IDKZKDKNCZ&amp;VAR:QUERY=Q1NGX1NBTEVTKEFOTiwxMi8zMS8xOTgwLDEyLzMxLzIwMDksQVkp&amp;WINDOW=FIRST_POPUP&amp;HEIGHT=450&amp;WI","DTH=450&amp;START_MAXIMIZED=FALSE&amp;VAR:CALENDAR=US&amp;VAR:SYMBOL=OMG&amp;VAR:INDEX=21"}</definedName>
    <definedName name="_1321__FDSAUDITLINK__" hidden="1">{"fdsup://directions/FAT Viewer?action=UPDATE&amp;creator=factset&amp;DYN_ARGS=TRUE&amp;DOC_NAME=FAT:FQL_AUDITING_CLIENT_TEMPLATE.FAT&amp;display_string=Audit&amp;VAR:KEY=IDKZKDKNCZ&amp;VAR:QUERY=Q1NGX1NBTEVTKEFOTiwxMi8zMS8xOTgwLDEyLzMxLzIwMDksQVkp&amp;WINDOW=FIRST_POPUP&amp;HEIGHT=450&amp;WI","DTH=450&amp;START_MAXIMIZED=FALSE&amp;VAR:CALENDAR=US&amp;VAR:SYMBOL=OMG&amp;VAR:INDEX=20"}</definedName>
    <definedName name="_1322__FDSAUDITLINK__" hidden="1">{"fdsup://directions/FAT Viewer?action=UPDATE&amp;creator=factset&amp;DYN_ARGS=TRUE&amp;DOC_NAME=FAT:FQL_AUDITING_CLIENT_TEMPLATE.FAT&amp;display_string=Audit&amp;VAR:KEY=IDKZKDKNCZ&amp;VAR:QUERY=Q1NGX1NBTEVTKEFOTiwxMi8zMS8xOTgwLDEyLzMxLzIwMDksQVkp&amp;WINDOW=FIRST_POPUP&amp;HEIGHT=450&amp;WI","DTH=450&amp;START_MAXIMIZED=FALSE&amp;VAR:CALENDAR=US&amp;VAR:SYMBOL=OMG&amp;VAR:INDEX=19"}</definedName>
    <definedName name="_1323__FDSAUDITLINK__" hidden="1">{"fdsup://directions/FAT Viewer?action=UPDATE&amp;creator=factset&amp;DYN_ARGS=TRUE&amp;DOC_NAME=FAT:FQL_AUDITING_CLIENT_TEMPLATE.FAT&amp;display_string=Audit&amp;VAR:KEY=IDKZKDKNCZ&amp;VAR:QUERY=Q1NGX1NBTEVTKEFOTiwxMi8zMS8xOTgwLDEyLzMxLzIwMDksQVkp&amp;WINDOW=FIRST_POPUP&amp;HEIGHT=450&amp;WI","DTH=450&amp;START_MAXIMIZED=FALSE&amp;VAR:CALENDAR=US&amp;VAR:SYMBOL=OMG&amp;VAR:INDEX=18"}</definedName>
    <definedName name="_1324__FDSAUDITLINK__" hidden="1">{"fdsup://directions/FAT Viewer?action=UPDATE&amp;creator=factset&amp;DYN_ARGS=TRUE&amp;DOC_NAME=FAT:FQL_AUDITING_CLIENT_TEMPLATE.FAT&amp;display_string=Audit&amp;VAR:KEY=IDKZKDKNCZ&amp;VAR:QUERY=Q1NGX1NBTEVTKEFOTiwxMi8zMS8xOTgwLDEyLzMxLzIwMDksQVkp&amp;WINDOW=FIRST_POPUP&amp;HEIGHT=450&amp;WI","DTH=450&amp;START_MAXIMIZED=FALSE&amp;VAR:CALENDAR=US&amp;VAR:SYMBOL=OMG&amp;VAR:INDEX=17"}</definedName>
    <definedName name="_1325__FDSAUDITLINK__" hidden="1">{"fdsup://directions/FAT Viewer?action=UPDATE&amp;creator=factset&amp;DYN_ARGS=TRUE&amp;DOC_NAME=FAT:FQL_AUDITING_CLIENT_TEMPLATE.FAT&amp;display_string=Audit&amp;VAR:KEY=IDKZKDKNCZ&amp;VAR:QUERY=Q1NGX1NBTEVTKEFOTiwxMi8zMS8xOTgwLDEyLzMxLzIwMDksQVkp&amp;WINDOW=FIRST_POPUP&amp;HEIGHT=450&amp;WI","DTH=450&amp;START_MAXIMIZED=FALSE&amp;VAR:CALENDAR=US&amp;VAR:SYMBOL=OMG&amp;VAR:INDEX=16"}</definedName>
    <definedName name="_1326__FDSAUDITLINK__" hidden="1">{"fdsup://directions/FAT Viewer?action=UPDATE&amp;creator=factset&amp;DYN_ARGS=TRUE&amp;DOC_NAME=FAT:FQL_AUDITING_CLIENT_TEMPLATE.FAT&amp;display_string=Audit&amp;VAR:KEY=IDKZKDKNCZ&amp;VAR:QUERY=Q1NGX1NBTEVTKEFOTiwxMi8zMS8xOTgwLDEyLzMxLzIwMDksQVkp&amp;WINDOW=FIRST_POPUP&amp;HEIGHT=450&amp;WI","DTH=450&amp;START_MAXIMIZED=FALSE&amp;VAR:CALENDAR=US&amp;VAR:SYMBOL=OMG&amp;VAR:INDEX=15"}</definedName>
    <definedName name="_1327__FDSAUDITLINK__" hidden="1">{"fdsup://directions/FAT Viewer?action=UPDATE&amp;creator=factset&amp;DYN_ARGS=TRUE&amp;DOC_NAME=FAT:FQL_AUDITING_CLIENT_TEMPLATE.FAT&amp;display_string=Audit&amp;VAR:KEY=IDKZKDKNCZ&amp;VAR:QUERY=Q1NGX1NBTEVTKEFOTiwxMi8zMS8xOTgwLDEyLzMxLzIwMDksQVkp&amp;WINDOW=FIRST_POPUP&amp;HEIGHT=450&amp;WI","DTH=450&amp;START_MAXIMIZED=FALSE&amp;VAR:CALENDAR=US&amp;VAR:SYMBOL=OMG&amp;VAR:INDEX=14"}</definedName>
    <definedName name="_1328__FDSAUDITLINK__" hidden="1">{"fdsup://directions/FAT Viewer?action=UPDATE&amp;creator=factset&amp;DYN_ARGS=TRUE&amp;DOC_NAME=FAT:FQL_AUDITING_CLIENT_TEMPLATE.FAT&amp;display_string=Audit&amp;VAR:KEY=IDKZKDKNCZ&amp;VAR:QUERY=Q1NGX1NBTEVTKEFOTiwxMi8zMS8xOTgwLDEyLzMxLzIwMDksQVkp&amp;WINDOW=FIRST_POPUP&amp;HEIGHT=450&amp;WI","DTH=450&amp;START_MAXIMIZED=FALSE&amp;VAR:CALENDAR=US&amp;VAR:SYMBOL=OMG&amp;VAR:INDEX=13"}</definedName>
    <definedName name="_1329__FDSAUDITLINK__" hidden="1">{"fdsup://directions/FAT Viewer?action=UPDATE&amp;creator=factset&amp;DYN_ARGS=TRUE&amp;DOC_NAME=FAT:FQL_AUDITING_CLIENT_TEMPLATE.FAT&amp;display_string=Audit&amp;VAR:KEY=IDKZKDKNCZ&amp;VAR:QUERY=Q1NGX1NBTEVTKEFOTiwxMi8zMS8xOTgwLDEyLzMxLzIwMDksQVkp&amp;WINDOW=FIRST_POPUP&amp;HEIGHT=450&amp;WI","DTH=450&amp;START_MAXIMIZED=FALSE&amp;VAR:CALENDAR=US&amp;VAR:SYMBOL=OMG&amp;VAR:INDEX=12"}</definedName>
    <definedName name="_133__FDSAUDITLINK__" hidden="1">{"fdsup://directions/FAT Viewer?action=UPDATE&amp;creator=factset&amp;DYN_ARGS=TRUE&amp;DOC_NAME=FAT:FQL_AUDITING_CLIENT_TEMPLATE.FAT&amp;display_string=Audit&amp;VAR:KEY=SRSNGBYDMH&amp;VAR:QUERY=Q1NGX0lOVEFOR19PVEgoQU5OLDE5OTUsMCk=&amp;WINDOW=FIRST_POPUP&amp;HEIGHT=450&amp;WIDTH=450&amp;START_MA","XIMIZED=FALSE&amp;VAR:CALENDAR=US&amp;VAR:SYMBOL=DOW&amp;VAR:INDEX=12"}</definedName>
    <definedName name="_1330__FDSAUDITLINK__" hidden="1">{"fdsup://directions/FAT Viewer?action=UPDATE&amp;creator=factset&amp;DYN_ARGS=TRUE&amp;DOC_NAME=FAT:FQL_AUDITING_CLIENT_TEMPLATE.FAT&amp;display_string=Audit&amp;VAR:KEY=IDKZKDKNCZ&amp;VAR:QUERY=Q1NGX1NBTEVTKEFOTiwxMi8zMS8xOTgwLDEyLzMxLzIwMDksQVkp&amp;WINDOW=FIRST_POPUP&amp;HEIGHT=450&amp;WI","DTH=450&amp;START_MAXIMIZED=FALSE&amp;VAR:CALENDAR=US&amp;VAR:SYMBOL=OMG&amp;VAR:INDEX=11"}</definedName>
    <definedName name="_1331__FDSAUDITLINK__" hidden="1">{"fdsup://directions/FAT Viewer?action=UPDATE&amp;creator=factset&amp;DYN_ARGS=TRUE&amp;DOC_NAME=FAT:FQL_AUDITING_CLIENT_TEMPLATE.FAT&amp;display_string=Audit&amp;VAR:KEY=IDKZKDKNCZ&amp;VAR:QUERY=Q1NGX1NBTEVTKEFOTiwxMi8zMS8xOTgwLDEyLzMxLzIwMDksQVkp&amp;WINDOW=FIRST_POPUP&amp;HEIGHT=450&amp;WI","DTH=450&amp;START_MAXIMIZED=FALSE&amp;VAR:CALENDAR=US&amp;VAR:SYMBOL=OMG&amp;VAR:INDEX=10"}</definedName>
    <definedName name="_1332__FDSAUDITLINK__" hidden="1">{"fdsup://directions/FAT Viewer?action=UPDATE&amp;creator=factset&amp;DYN_ARGS=TRUE&amp;DOC_NAME=FAT:FQL_AUDITING_CLIENT_TEMPLATE.FAT&amp;display_string=Audit&amp;VAR:KEY=IDKZKDKNCZ&amp;VAR:QUERY=Q1NGX1NBTEVTKEFOTiwxMi8zMS8xOTgwLDEyLzMxLzIwMDksQVkp&amp;WINDOW=FIRST_POPUP&amp;HEIGHT=450&amp;WI","DTH=450&amp;START_MAXIMIZED=FALSE&amp;VAR:CALENDAR=US&amp;VAR:SYMBOL=OMG&amp;VAR:INDEX=9"}</definedName>
    <definedName name="_1333__FDSAUDITLINK__" hidden="1">{"fdsup://directions/FAT Viewer?action=UPDATE&amp;creator=factset&amp;DYN_ARGS=TRUE&amp;DOC_NAME=FAT:FQL_AUDITING_CLIENT_TEMPLATE.FAT&amp;display_string=Audit&amp;VAR:KEY=IDKZKDKNCZ&amp;VAR:QUERY=Q1NGX1NBTEVTKEFOTiwxMi8zMS8xOTgwLDEyLzMxLzIwMDksQVkp&amp;WINDOW=FIRST_POPUP&amp;HEIGHT=450&amp;WI","DTH=450&amp;START_MAXIMIZED=FALSE&amp;VAR:CALENDAR=US&amp;VAR:SYMBOL=OMG&amp;VAR:INDEX=8"}</definedName>
    <definedName name="_1334__FDSAUDITLINK__" hidden="1">{"fdsup://directions/FAT Viewer?action=UPDATE&amp;creator=factset&amp;DYN_ARGS=TRUE&amp;DOC_NAME=FAT:FQL_AUDITING_CLIENT_TEMPLATE.FAT&amp;display_string=Audit&amp;VAR:KEY=IDKZKDKNCZ&amp;VAR:QUERY=Q1NGX1NBTEVTKEFOTiwxMi8zMS8xOTgwLDEyLzMxLzIwMDksQVkp&amp;WINDOW=FIRST_POPUP&amp;HEIGHT=450&amp;WI","DTH=450&amp;START_MAXIMIZED=FALSE&amp;VAR:CALENDAR=US&amp;VAR:SYMBOL=OMG&amp;VAR:INDEX=7"}</definedName>
    <definedName name="_1335__FDSAUDITLINK__" hidden="1">{"fdsup://directions/FAT Viewer?action=UPDATE&amp;creator=factset&amp;DYN_ARGS=TRUE&amp;DOC_NAME=FAT:FQL_AUDITING_CLIENT_TEMPLATE.FAT&amp;display_string=Audit&amp;VAR:KEY=IDKZKDKNCZ&amp;VAR:QUERY=Q1NGX1NBTEVTKEFOTiwxMi8zMS8xOTgwLDEyLzMxLzIwMDksQVkp&amp;WINDOW=FIRST_POPUP&amp;HEIGHT=450&amp;WI","DTH=450&amp;START_MAXIMIZED=FALSE&amp;VAR:CALENDAR=US&amp;VAR:SYMBOL=OMG&amp;VAR:INDEX=6"}</definedName>
    <definedName name="_1336__FDSAUDITLINK__" hidden="1">{"fdsup://directions/FAT Viewer?action=UPDATE&amp;creator=factset&amp;DYN_ARGS=TRUE&amp;DOC_NAME=FAT:FQL_AUDITING_CLIENT_TEMPLATE.FAT&amp;display_string=Audit&amp;VAR:KEY=IDKZKDKNCZ&amp;VAR:QUERY=Q1NGX1NBTEVTKEFOTiwxMi8zMS8xOTgwLDEyLzMxLzIwMDksQVkp&amp;WINDOW=FIRST_POPUP&amp;HEIGHT=450&amp;WI","DTH=450&amp;START_MAXIMIZED=FALSE&amp;VAR:CALENDAR=US&amp;VAR:SYMBOL=OMG&amp;VAR:INDEX=5"}</definedName>
    <definedName name="_1337__FDSAUDITLINK__" hidden="1">{"fdsup://directions/FAT Viewer?action=UPDATE&amp;creator=factset&amp;DYN_ARGS=TRUE&amp;DOC_NAME=FAT:FQL_AUDITING_CLIENT_TEMPLATE.FAT&amp;display_string=Audit&amp;VAR:KEY=IDKZKDKNCZ&amp;VAR:QUERY=Q1NGX1NBTEVTKEFOTiwxMi8zMS8xOTgwLDEyLzMxLzIwMDksQVkp&amp;WINDOW=FIRST_POPUP&amp;HEIGHT=450&amp;WI","DTH=450&amp;START_MAXIMIZED=FALSE&amp;VAR:CALENDAR=US&amp;VAR:SYMBOL=OMG&amp;VAR:INDEX=4"}</definedName>
    <definedName name="_1338__FDSAUDITLINK__" hidden="1">{"fdsup://directions/FAT Viewer?action=UPDATE&amp;creator=factset&amp;DYN_ARGS=TRUE&amp;DOC_NAME=FAT:FQL_AUDITING_CLIENT_TEMPLATE.FAT&amp;display_string=Audit&amp;VAR:KEY=IDKZKDKNCZ&amp;VAR:QUERY=Q1NGX1NBTEVTKEFOTiwxMi8zMS8xOTgwLDEyLzMxLzIwMDksQVkp&amp;WINDOW=FIRST_POPUP&amp;HEIGHT=450&amp;WI","DTH=450&amp;START_MAXIMIZED=FALSE&amp;VAR:CALENDAR=US&amp;VAR:SYMBOL=OMG&amp;VAR:INDEX=3"}</definedName>
    <definedName name="_1339__FDSAUDITLINK__" hidden="1">{"fdsup://directions/FAT Viewer?action=UPDATE&amp;creator=factset&amp;DYN_ARGS=TRUE&amp;DOC_NAME=FAT:FQL_AUDITING_CLIENT_TEMPLATE.FAT&amp;display_string=Audit&amp;VAR:KEY=IDKZKDKNCZ&amp;VAR:QUERY=Q1NGX1NBTEVTKEFOTiwxMi8zMS8xOTgwLDEyLzMxLzIwMDksQVkp&amp;WINDOW=FIRST_POPUP&amp;HEIGHT=450&amp;WI","DTH=450&amp;START_MAXIMIZED=FALSE&amp;VAR:CALENDAR=US&amp;VAR:SYMBOL=OMG&amp;VAR:INDEX=2"}</definedName>
    <definedName name="_134__FDSAUDITLINK__" hidden="1">{"fdsup://directions/FAT Viewer?action=UPDATE&amp;creator=factset&amp;DYN_ARGS=TRUE&amp;DOC_NAME=FAT:FQL_AUDITING_CLIENT_TEMPLATE.FAT&amp;display_string=Audit&amp;VAR:KEY=SRSNGBYDMH&amp;VAR:QUERY=Q1NGX0lOVEFOR19PVEgoQU5OLDE5OTUsMCk=&amp;WINDOW=FIRST_POPUP&amp;HEIGHT=450&amp;WIDTH=450&amp;START_MA","XIMIZED=FALSE&amp;VAR:CALENDAR=US&amp;VAR:SYMBOL=DOW&amp;VAR:INDEX=11"}</definedName>
    <definedName name="_1340__FDSAUDITLINK__" hidden="1">{"fdsup://directions/FAT Viewer?action=UPDATE&amp;creator=factset&amp;DYN_ARGS=TRUE&amp;DOC_NAME=FAT:FQL_AUDITING_CLIENT_TEMPLATE.FAT&amp;display_string=Audit&amp;VAR:KEY=IDKZKDKNCZ&amp;VAR:QUERY=Q1NGX1NBTEVTKEFOTiwxMi8zMS8xOTgwLDEyLzMxLzIwMDksQVkp&amp;WINDOW=FIRST_POPUP&amp;HEIGHT=450&amp;WI","DTH=450&amp;START_MAXIMIZED=FALSE&amp;VAR:CALENDAR=US&amp;VAR:SYMBOL=OMG&amp;VAR:INDEX=1"}</definedName>
    <definedName name="_1341__FDSAUDITLINK__" hidden="1">{"fdsup://directions/FAT Viewer?action=UPDATE&amp;creator=factset&amp;DYN_ARGS=TRUE&amp;DOC_NAME=FAT:FQL_AUDITING_CLIENT_TEMPLATE.FAT&amp;display_string=Audit&amp;VAR:KEY=IDKZKDKNCZ&amp;VAR:QUERY=Q1NGX1NBTEVTKEFOTiwxMi8zMS8xOTgwLDEyLzMxLzIwMDksQVkp&amp;WINDOW=FIRST_POPUP&amp;HEIGHT=450&amp;WI","DTH=450&amp;START_MAXIMIZED=FALSE&amp;VAR:CALENDAR=US&amp;VAR:SYMBOL=OMG&amp;VAR:INDEX=0"}</definedName>
    <definedName name="_1342__FDSAUDITLINK__" hidden="1">{"fdsup://directions/FAT Viewer?action=UPDATE&amp;creator=factset&amp;DYN_ARGS=TRUE&amp;DOC_NAME=FAT:FQL_AUDITING_CLIENT_TEMPLATE.FAT&amp;display_string=Audit&amp;VAR:KEY=CDWZWLKFEL&amp;VAR:QUERY=Q1NGX1NBTEVTKEFOTiwxMi8zMS8xOTgwLDEyLzMxLzIwMDksQVkp&amp;WINDOW=FIRST_POPUP&amp;HEIGHT=450&amp;WI","DTH=450&amp;START_MAXIMIZED=FALSE&amp;VAR:CALENDAR=US&amp;VAR:SYMBOL=PX&amp;VAR:INDEX=29"}</definedName>
    <definedName name="_1343__FDSAUDITLINK__" hidden="1">{"fdsup://directions/FAT Viewer?action=UPDATE&amp;creator=factset&amp;DYN_ARGS=TRUE&amp;DOC_NAME=FAT:FQL_AUDITING_CLIENT_TEMPLATE.FAT&amp;display_string=Audit&amp;VAR:KEY=CDWZWLKFEL&amp;VAR:QUERY=Q1NGX1NBTEVTKEFOTiwxMi8zMS8xOTgwLDEyLzMxLzIwMDksQVkp&amp;WINDOW=FIRST_POPUP&amp;HEIGHT=450&amp;WI","DTH=450&amp;START_MAXIMIZED=FALSE&amp;VAR:CALENDAR=US&amp;VAR:SYMBOL=PX&amp;VAR:INDEX=28"}</definedName>
    <definedName name="_1344__FDSAUDITLINK__" hidden="1">{"fdsup://directions/FAT Viewer?action=UPDATE&amp;creator=factset&amp;DYN_ARGS=TRUE&amp;DOC_NAME=FAT:FQL_AUDITING_CLIENT_TEMPLATE.FAT&amp;display_string=Audit&amp;VAR:KEY=CDWZWLKFEL&amp;VAR:QUERY=Q1NGX1NBTEVTKEFOTiwxMi8zMS8xOTgwLDEyLzMxLzIwMDksQVkp&amp;WINDOW=FIRST_POPUP&amp;HEIGHT=450&amp;WI","DTH=450&amp;START_MAXIMIZED=FALSE&amp;VAR:CALENDAR=US&amp;VAR:SYMBOL=PX&amp;VAR:INDEX=27"}</definedName>
    <definedName name="_1345__FDSAUDITLINK__" hidden="1">{"fdsup://directions/FAT Viewer?action=UPDATE&amp;creator=factset&amp;DYN_ARGS=TRUE&amp;DOC_NAME=FAT:FQL_AUDITING_CLIENT_TEMPLATE.FAT&amp;display_string=Audit&amp;VAR:KEY=CDWZWLKFEL&amp;VAR:QUERY=Q1NGX1NBTEVTKEFOTiwxMi8zMS8xOTgwLDEyLzMxLzIwMDksQVkp&amp;WINDOW=FIRST_POPUP&amp;HEIGHT=450&amp;WI","DTH=450&amp;START_MAXIMIZED=FALSE&amp;VAR:CALENDAR=US&amp;VAR:SYMBOL=PX&amp;VAR:INDEX=26"}</definedName>
    <definedName name="_1346__FDSAUDITLINK__" hidden="1">{"fdsup://directions/FAT Viewer?action=UPDATE&amp;creator=factset&amp;DYN_ARGS=TRUE&amp;DOC_NAME=FAT:FQL_AUDITING_CLIENT_TEMPLATE.FAT&amp;display_string=Audit&amp;VAR:KEY=CDWZWLKFEL&amp;VAR:QUERY=Q1NGX1NBTEVTKEFOTiwxMi8zMS8xOTgwLDEyLzMxLzIwMDksQVkp&amp;WINDOW=FIRST_POPUP&amp;HEIGHT=450&amp;WI","DTH=450&amp;START_MAXIMIZED=FALSE&amp;VAR:CALENDAR=US&amp;VAR:SYMBOL=PX&amp;VAR:INDEX=25"}</definedName>
    <definedName name="_1347__FDSAUDITLINK__" hidden="1">{"fdsup://directions/FAT Viewer?action=UPDATE&amp;creator=factset&amp;DYN_ARGS=TRUE&amp;DOC_NAME=FAT:FQL_AUDITING_CLIENT_TEMPLATE.FAT&amp;display_string=Audit&amp;VAR:KEY=CDWZWLKFEL&amp;VAR:QUERY=Q1NGX1NBTEVTKEFOTiwxMi8zMS8xOTgwLDEyLzMxLzIwMDksQVkp&amp;WINDOW=FIRST_POPUP&amp;HEIGHT=450&amp;WI","DTH=450&amp;START_MAXIMIZED=FALSE&amp;VAR:CALENDAR=US&amp;VAR:SYMBOL=PX&amp;VAR:INDEX=24"}</definedName>
    <definedName name="_1348__FDSAUDITLINK__" hidden="1">{"fdsup://directions/FAT Viewer?action=UPDATE&amp;creator=factset&amp;DYN_ARGS=TRUE&amp;DOC_NAME=FAT:FQL_AUDITING_CLIENT_TEMPLATE.FAT&amp;display_string=Audit&amp;VAR:KEY=CDWZWLKFEL&amp;VAR:QUERY=Q1NGX1NBTEVTKEFOTiwxMi8zMS8xOTgwLDEyLzMxLzIwMDksQVkp&amp;WINDOW=FIRST_POPUP&amp;HEIGHT=450&amp;WI","DTH=450&amp;START_MAXIMIZED=FALSE&amp;VAR:CALENDAR=US&amp;VAR:SYMBOL=PX&amp;VAR:INDEX=23"}</definedName>
    <definedName name="_1349__FDSAUDITLINK__" hidden="1">{"fdsup://directions/FAT Viewer?action=UPDATE&amp;creator=factset&amp;DYN_ARGS=TRUE&amp;DOC_NAME=FAT:FQL_AUDITING_CLIENT_TEMPLATE.FAT&amp;display_string=Audit&amp;VAR:KEY=CDWZWLKFEL&amp;VAR:QUERY=Q1NGX1NBTEVTKEFOTiwxMi8zMS8xOTgwLDEyLzMxLzIwMDksQVkp&amp;WINDOW=FIRST_POPUP&amp;HEIGHT=450&amp;WI","DTH=450&amp;START_MAXIMIZED=FALSE&amp;VAR:CALENDAR=US&amp;VAR:SYMBOL=PX&amp;VAR:INDEX=22"}</definedName>
    <definedName name="_135__FDSAUDITLINK__" hidden="1">{"fdsup://directions/FAT Viewer?action=UPDATE&amp;creator=factset&amp;DYN_ARGS=TRUE&amp;DOC_NAME=FAT:FQL_AUDITING_CLIENT_TEMPLATE.FAT&amp;display_string=Audit&amp;VAR:KEY=SRSNGBYDMH&amp;VAR:QUERY=Q1NGX0lOVEFOR19PVEgoQU5OLDE5OTUsMCk=&amp;WINDOW=FIRST_POPUP&amp;HEIGHT=450&amp;WIDTH=450&amp;START_MA","XIMIZED=FALSE&amp;VAR:CALENDAR=US&amp;VAR:SYMBOL=DOW&amp;VAR:INDEX=10"}</definedName>
    <definedName name="_1350__FDSAUDITLINK__" hidden="1">{"fdsup://directions/FAT Viewer?action=UPDATE&amp;creator=factset&amp;DYN_ARGS=TRUE&amp;DOC_NAME=FAT:FQL_AUDITING_CLIENT_TEMPLATE.FAT&amp;display_string=Audit&amp;VAR:KEY=CDWZWLKFEL&amp;VAR:QUERY=Q1NGX1NBTEVTKEFOTiwxMi8zMS8xOTgwLDEyLzMxLzIwMDksQVkp&amp;WINDOW=FIRST_POPUP&amp;HEIGHT=450&amp;WI","DTH=450&amp;START_MAXIMIZED=FALSE&amp;VAR:CALENDAR=US&amp;VAR:SYMBOL=PX&amp;VAR:INDEX=21"}</definedName>
    <definedName name="_1351__FDSAUDITLINK__" hidden="1">{"fdsup://directions/FAT Viewer?action=UPDATE&amp;creator=factset&amp;DYN_ARGS=TRUE&amp;DOC_NAME=FAT:FQL_AUDITING_CLIENT_TEMPLATE.FAT&amp;display_string=Audit&amp;VAR:KEY=CDWZWLKFEL&amp;VAR:QUERY=Q1NGX1NBTEVTKEFOTiwxMi8zMS8xOTgwLDEyLzMxLzIwMDksQVkp&amp;WINDOW=FIRST_POPUP&amp;HEIGHT=450&amp;WI","DTH=450&amp;START_MAXIMIZED=FALSE&amp;VAR:CALENDAR=US&amp;VAR:SYMBOL=PX&amp;VAR:INDEX=20"}</definedName>
    <definedName name="_1352__FDSAUDITLINK__" hidden="1">{"fdsup://directions/FAT Viewer?action=UPDATE&amp;creator=factset&amp;DYN_ARGS=TRUE&amp;DOC_NAME=FAT:FQL_AUDITING_CLIENT_TEMPLATE.FAT&amp;display_string=Audit&amp;VAR:KEY=CDWZWLKFEL&amp;VAR:QUERY=Q1NGX1NBTEVTKEFOTiwxMi8zMS8xOTgwLDEyLzMxLzIwMDksQVkp&amp;WINDOW=FIRST_POPUP&amp;HEIGHT=450&amp;WI","DTH=450&amp;START_MAXIMIZED=FALSE&amp;VAR:CALENDAR=US&amp;VAR:SYMBOL=PX&amp;VAR:INDEX=19"}</definedName>
    <definedName name="_1353__FDSAUDITLINK__" hidden="1">{"fdsup://directions/FAT Viewer?action=UPDATE&amp;creator=factset&amp;DYN_ARGS=TRUE&amp;DOC_NAME=FAT:FQL_AUDITING_CLIENT_TEMPLATE.FAT&amp;display_string=Audit&amp;VAR:KEY=CDWZWLKFEL&amp;VAR:QUERY=Q1NGX1NBTEVTKEFOTiwxMi8zMS8xOTgwLDEyLzMxLzIwMDksQVkp&amp;WINDOW=FIRST_POPUP&amp;HEIGHT=450&amp;WI","DTH=450&amp;START_MAXIMIZED=FALSE&amp;VAR:CALENDAR=US&amp;VAR:SYMBOL=PX&amp;VAR:INDEX=18"}</definedName>
    <definedName name="_1354__FDSAUDITLINK__" hidden="1">{"fdsup://directions/FAT Viewer?action=UPDATE&amp;creator=factset&amp;DYN_ARGS=TRUE&amp;DOC_NAME=FAT:FQL_AUDITING_CLIENT_TEMPLATE.FAT&amp;display_string=Audit&amp;VAR:KEY=CDWZWLKFEL&amp;VAR:QUERY=Q1NGX1NBTEVTKEFOTiwxMi8zMS8xOTgwLDEyLzMxLzIwMDksQVkp&amp;WINDOW=FIRST_POPUP&amp;HEIGHT=450&amp;WI","DTH=450&amp;START_MAXIMIZED=FALSE&amp;VAR:CALENDAR=US&amp;VAR:SYMBOL=PX&amp;VAR:INDEX=17"}</definedName>
    <definedName name="_1355__FDSAUDITLINK__" hidden="1">{"fdsup://directions/FAT Viewer?action=UPDATE&amp;creator=factset&amp;DYN_ARGS=TRUE&amp;DOC_NAME=FAT:FQL_AUDITING_CLIENT_TEMPLATE.FAT&amp;display_string=Audit&amp;VAR:KEY=CDWZWLKFEL&amp;VAR:QUERY=Q1NGX1NBTEVTKEFOTiwxMi8zMS8xOTgwLDEyLzMxLzIwMDksQVkp&amp;WINDOW=FIRST_POPUP&amp;HEIGHT=450&amp;WI","DTH=450&amp;START_MAXIMIZED=FALSE&amp;VAR:CALENDAR=US&amp;VAR:SYMBOL=PX&amp;VAR:INDEX=16"}</definedName>
    <definedName name="_1356__FDSAUDITLINK__" hidden="1">{"fdsup://directions/FAT Viewer?action=UPDATE&amp;creator=factset&amp;DYN_ARGS=TRUE&amp;DOC_NAME=FAT:FQL_AUDITING_CLIENT_TEMPLATE.FAT&amp;display_string=Audit&amp;VAR:KEY=CDWZWLKFEL&amp;VAR:QUERY=Q1NGX1NBTEVTKEFOTiwxMi8zMS8xOTgwLDEyLzMxLzIwMDksQVkp&amp;WINDOW=FIRST_POPUP&amp;HEIGHT=450&amp;WI","DTH=450&amp;START_MAXIMIZED=FALSE&amp;VAR:CALENDAR=US&amp;VAR:SYMBOL=PX&amp;VAR:INDEX=15"}</definedName>
    <definedName name="_1357__FDSAUDITLINK__" hidden="1">{"fdsup://directions/FAT Viewer?action=UPDATE&amp;creator=factset&amp;DYN_ARGS=TRUE&amp;DOC_NAME=FAT:FQL_AUDITING_CLIENT_TEMPLATE.FAT&amp;display_string=Audit&amp;VAR:KEY=CDWZWLKFEL&amp;VAR:QUERY=Q1NGX1NBTEVTKEFOTiwxMi8zMS8xOTgwLDEyLzMxLzIwMDksQVkp&amp;WINDOW=FIRST_POPUP&amp;HEIGHT=450&amp;WI","DTH=450&amp;START_MAXIMIZED=FALSE&amp;VAR:CALENDAR=US&amp;VAR:SYMBOL=PX&amp;VAR:INDEX=14"}</definedName>
    <definedName name="_1358__FDSAUDITLINK__" hidden="1">{"fdsup://directions/FAT Viewer?action=UPDATE&amp;creator=factset&amp;DYN_ARGS=TRUE&amp;DOC_NAME=FAT:FQL_AUDITING_CLIENT_TEMPLATE.FAT&amp;display_string=Audit&amp;VAR:KEY=CDWZWLKFEL&amp;VAR:QUERY=Q1NGX1NBTEVTKEFOTiwxMi8zMS8xOTgwLDEyLzMxLzIwMDksQVkp&amp;WINDOW=FIRST_POPUP&amp;HEIGHT=450&amp;WI","DTH=450&amp;START_MAXIMIZED=FALSE&amp;VAR:CALENDAR=US&amp;VAR:SYMBOL=PX&amp;VAR:INDEX=13"}</definedName>
    <definedName name="_1359__FDSAUDITLINK__" hidden="1">{"fdsup://directions/FAT Viewer?action=UPDATE&amp;creator=factset&amp;DYN_ARGS=TRUE&amp;DOC_NAME=FAT:FQL_AUDITING_CLIENT_TEMPLATE.FAT&amp;display_string=Audit&amp;VAR:KEY=CDWZWLKFEL&amp;VAR:QUERY=Q1NGX1NBTEVTKEFOTiwxMi8zMS8xOTgwLDEyLzMxLzIwMDksQVkp&amp;WINDOW=FIRST_POPUP&amp;HEIGHT=450&amp;WI","DTH=450&amp;START_MAXIMIZED=FALSE&amp;VAR:CALENDAR=US&amp;VAR:SYMBOL=PX&amp;VAR:INDEX=12"}</definedName>
    <definedName name="_136__FDSAUDITLINK__" hidden="1">{"fdsup://directions/FAT Viewer?action=UPDATE&amp;creator=factset&amp;DYN_ARGS=TRUE&amp;DOC_NAME=FAT:FQL_AUDITING_CLIENT_TEMPLATE.FAT&amp;display_string=Audit&amp;VAR:KEY=SRSNGBYDMH&amp;VAR:QUERY=Q1NGX0lOVEFOR19PVEgoQU5OLDE5OTUsMCk=&amp;WINDOW=FIRST_POPUP&amp;HEIGHT=450&amp;WIDTH=450&amp;START_MA","XIMIZED=FALSE&amp;VAR:CALENDAR=US&amp;VAR:SYMBOL=DOW&amp;VAR:INDEX=9"}</definedName>
    <definedName name="_1360__FDSAUDITLINK__" hidden="1">{"fdsup://directions/FAT Viewer?action=UPDATE&amp;creator=factset&amp;DYN_ARGS=TRUE&amp;DOC_NAME=FAT:FQL_AUDITING_CLIENT_TEMPLATE.FAT&amp;display_string=Audit&amp;VAR:KEY=CDWZWLKFEL&amp;VAR:QUERY=Q1NGX1NBTEVTKEFOTiwxMi8zMS8xOTgwLDEyLzMxLzIwMDksQVkp&amp;WINDOW=FIRST_POPUP&amp;HEIGHT=450&amp;WI","DTH=450&amp;START_MAXIMIZED=FALSE&amp;VAR:CALENDAR=US&amp;VAR:SYMBOL=PX&amp;VAR:INDEX=11"}</definedName>
    <definedName name="_1361__FDSAUDITLINK__" hidden="1">{"fdsup://directions/FAT Viewer?action=UPDATE&amp;creator=factset&amp;DYN_ARGS=TRUE&amp;DOC_NAME=FAT:FQL_AUDITING_CLIENT_TEMPLATE.FAT&amp;display_string=Audit&amp;VAR:KEY=CDWZWLKFEL&amp;VAR:QUERY=Q1NGX1NBTEVTKEFOTiwxMi8zMS8xOTgwLDEyLzMxLzIwMDksQVkp&amp;WINDOW=FIRST_POPUP&amp;HEIGHT=450&amp;WI","DTH=450&amp;START_MAXIMIZED=FALSE&amp;VAR:CALENDAR=US&amp;VAR:SYMBOL=PX&amp;VAR:INDEX=10"}</definedName>
    <definedName name="_1362__FDSAUDITLINK__" hidden="1">{"fdsup://directions/FAT Viewer?action=UPDATE&amp;creator=factset&amp;DYN_ARGS=TRUE&amp;DOC_NAME=FAT:FQL_AUDITING_CLIENT_TEMPLATE.FAT&amp;display_string=Audit&amp;VAR:KEY=CDWZWLKFEL&amp;VAR:QUERY=Q1NGX1NBTEVTKEFOTiwxMi8zMS8xOTgwLDEyLzMxLzIwMDksQVkp&amp;WINDOW=FIRST_POPUP&amp;HEIGHT=450&amp;WI","DTH=450&amp;START_MAXIMIZED=FALSE&amp;VAR:CALENDAR=US&amp;VAR:SYMBOL=PX&amp;VAR:INDEX=9"}</definedName>
    <definedName name="_1363__FDSAUDITLINK__" hidden="1">{"fdsup://directions/FAT Viewer?action=UPDATE&amp;creator=factset&amp;DYN_ARGS=TRUE&amp;DOC_NAME=FAT:FQL_AUDITING_CLIENT_TEMPLATE.FAT&amp;display_string=Audit&amp;VAR:KEY=CDWZWLKFEL&amp;VAR:QUERY=Q1NGX1NBTEVTKEFOTiwxMi8zMS8xOTgwLDEyLzMxLzIwMDksQVkp&amp;WINDOW=FIRST_POPUP&amp;HEIGHT=450&amp;WI","DTH=450&amp;START_MAXIMIZED=FALSE&amp;VAR:CALENDAR=US&amp;VAR:SYMBOL=PX&amp;VAR:INDEX=8"}</definedName>
    <definedName name="_1364__FDSAUDITLINK__" hidden="1">{"fdsup://directions/FAT Viewer?action=UPDATE&amp;creator=factset&amp;DYN_ARGS=TRUE&amp;DOC_NAME=FAT:FQL_AUDITING_CLIENT_TEMPLATE.FAT&amp;display_string=Audit&amp;VAR:KEY=CDWZWLKFEL&amp;VAR:QUERY=Q1NGX1NBTEVTKEFOTiwxMi8zMS8xOTgwLDEyLzMxLzIwMDksQVkp&amp;WINDOW=FIRST_POPUP&amp;HEIGHT=450&amp;WI","DTH=450&amp;START_MAXIMIZED=FALSE&amp;VAR:CALENDAR=US&amp;VAR:SYMBOL=PX&amp;VAR:INDEX=7"}</definedName>
    <definedName name="_1365__FDSAUDITLINK__" hidden="1">{"fdsup://directions/FAT Viewer?action=UPDATE&amp;creator=factset&amp;DYN_ARGS=TRUE&amp;DOC_NAME=FAT:FQL_AUDITING_CLIENT_TEMPLATE.FAT&amp;display_string=Audit&amp;VAR:KEY=CDWZWLKFEL&amp;VAR:QUERY=Q1NGX1NBTEVTKEFOTiwxMi8zMS8xOTgwLDEyLzMxLzIwMDksQVkp&amp;WINDOW=FIRST_POPUP&amp;HEIGHT=450&amp;WI","DTH=450&amp;START_MAXIMIZED=FALSE&amp;VAR:CALENDAR=US&amp;VAR:SYMBOL=PX&amp;VAR:INDEX=6"}</definedName>
    <definedName name="_1366__FDSAUDITLINK__" hidden="1">{"fdsup://directions/FAT Viewer?action=UPDATE&amp;creator=factset&amp;DYN_ARGS=TRUE&amp;DOC_NAME=FAT:FQL_AUDITING_CLIENT_TEMPLATE.FAT&amp;display_string=Audit&amp;VAR:KEY=CDWZWLKFEL&amp;VAR:QUERY=Q1NGX1NBTEVTKEFOTiwxMi8zMS8xOTgwLDEyLzMxLzIwMDksQVkp&amp;WINDOW=FIRST_POPUP&amp;HEIGHT=450&amp;WI","DTH=450&amp;START_MAXIMIZED=FALSE&amp;VAR:CALENDAR=US&amp;VAR:SYMBOL=PX&amp;VAR:INDEX=5"}</definedName>
    <definedName name="_1367__FDSAUDITLINK__" hidden="1">{"fdsup://directions/FAT Viewer?action=UPDATE&amp;creator=factset&amp;DYN_ARGS=TRUE&amp;DOC_NAME=FAT:FQL_AUDITING_CLIENT_TEMPLATE.FAT&amp;display_string=Audit&amp;VAR:KEY=CDWZWLKFEL&amp;VAR:QUERY=Q1NGX1NBTEVTKEFOTiwxMi8zMS8xOTgwLDEyLzMxLzIwMDksQVkp&amp;WINDOW=FIRST_POPUP&amp;HEIGHT=450&amp;WI","DTH=450&amp;START_MAXIMIZED=FALSE&amp;VAR:CALENDAR=US&amp;VAR:SYMBOL=PX&amp;VAR:INDEX=4"}</definedName>
    <definedName name="_1368__FDSAUDITLINK__" hidden="1">{"fdsup://directions/FAT Viewer?action=UPDATE&amp;creator=factset&amp;DYN_ARGS=TRUE&amp;DOC_NAME=FAT:FQL_AUDITING_CLIENT_TEMPLATE.FAT&amp;display_string=Audit&amp;VAR:KEY=CDWZWLKFEL&amp;VAR:QUERY=Q1NGX1NBTEVTKEFOTiwxMi8zMS8xOTgwLDEyLzMxLzIwMDksQVkp&amp;WINDOW=FIRST_POPUP&amp;HEIGHT=450&amp;WI","DTH=450&amp;START_MAXIMIZED=FALSE&amp;VAR:CALENDAR=US&amp;VAR:SYMBOL=PX&amp;VAR:INDEX=3"}</definedName>
    <definedName name="_1369__FDSAUDITLINK__" hidden="1">{"fdsup://directions/FAT Viewer?action=UPDATE&amp;creator=factset&amp;DYN_ARGS=TRUE&amp;DOC_NAME=FAT:FQL_AUDITING_CLIENT_TEMPLATE.FAT&amp;display_string=Audit&amp;VAR:KEY=CDWZWLKFEL&amp;VAR:QUERY=Q1NGX1NBTEVTKEFOTiwxMi8zMS8xOTgwLDEyLzMxLzIwMDksQVkp&amp;WINDOW=FIRST_POPUP&amp;HEIGHT=450&amp;WI","DTH=450&amp;START_MAXIMIZED=FALSE&amp;VAR:CALENDAR=US&amp;VAR:SYMBOL=PX&amp;VAR:INDEX=2"}</definedName>
    <definedName name="_137__FDSAUDITLINK__" hidden="1">{"fdsup://directions/FAT Viewer?action=UPDATE&amp;creator=factset&amp;DYN_ARGS=TRUE&amp;DOC_NAME=FAT:FQL_AUDITING_CLIENT_TEMPLATE.FAT&amp;display_string=Audit&amp;VAR:KEY=SRSNGBYDMH&amp;VAR:QUERY=Q1NGX0lOVEFOR19PVEgoQU5OLDE5OTUsMCk=&amp;WINDOW=FIRST_POPUP&amp;HEIGHT=450&amp;WIDTH=450&amp;START_MA","XIMIZED=FALSE&amp;VAR:CALENDAR=US&amp;VAR:SYMBOL=DOW&amp;VAR:INDEX=8"}</definedName>
    <definedName name="_1370__FDSAUDITLINK__" hidden="1">{"fdsup://directions/FAT Viewer?action=UPDATE&amp;creator=factset&amp;DYN_ARGS=TRUE&amp;DOC_NAME=FAT:FQL_AUDITING_CLIENT_TEMPLATE.FAT&amp;display_string=Audit&amp;VAR:KEY=CDWZWLKFEL&amp;VAR:QUERY=Q1NGX1NBTEVTKEFOTiwxMi8zMS8xOTgwLDEyLzMxLzIwMDksQVkp&amp;WINDOW=FIRST_POPUP&amp;HEIGHT=450&amp;WI","DTH=450&amp;START_MAXIMIZED=FALSE&amp;VAR:CALENDAR=US&amp;VAR:SYMBOL=PX&amp;VAR:INDEX=1"}</definedName>
    <definedName name="_1371__FDSAUDITLINK__" hidden="1">{"fdsup://directions/FAT Viewer?action=UPDATE&amp;creator=factset&amp;DYN_ARGS=TRUE&amp;DOC_NAME=FAT:FQL_AUDITING_CLIENT_TEMPLATE.FAT&amp;display_string=Audit&amp;VAR:KEY=CDWZWLKFEL&amp;VAR:QUERY=Q1NGX1NBTEVTKEFOTiwxMi8zMS8xOTgwLDEyLzMxLzIwMDksQVkp&amp;WINDOW=FIRST_POPUP&amp;HEIGHT=450&amp;WI","DTH=450&amp;START_MAXIMIZED=FALSE&amp;VAR:CALENDAR=US&amp;VAR:SYMBOL=PX&amp;VAR:INDEX=0"}</definedName>
    <definedName name="_1372__FDSAUDITLINK__" hidden="1">{"fdsup://directions/FAT Viewer?action=UPDATE&amp;creator=factset&amp;DYN_ARGS=TRUE&amp;DOC_NAME=FAT:FQL_AUDITING_CLIENT_TEMPLATE.FAT&amp;display_string=Audit&amp;VAR:KEY=KTKNETSZGZ&amp;VAR:QUERY=Q1NGX1NBTEVTKEFOTiwxMi8zMS8xOTgwLDEyLzMxLzIwMDksQVkp&amp;WINDOW=FIRST_POPUP&amp;HEIGHT=450&amp;WI","DTH=450&amp;START_MAXIMIZED=FALSE&amp;VAR:CALENDAR=US&amp;VAR:SYMBOL=ARG&amp;VAR:INDEX=29"}</definedName>
    <definedName name="_1373__FDSAUDITLINK__" hidden="1">{"fdsup://directions/FAT Viewer?action=UPDATE&amp;creator=factset&amp;DYN_ARGS=TRUE&amp;DOC_NAME=FAT:FQL_AUDITING_CLIENT_TEMPLATE.FAT&amp;display_string=Audit&amp;VAR:KEY=KTKNETSZGZ&amp;VAR:QUERY=Q1NGX1NBTEVTKEFOTiwxMi8zMS8xOTgwLDEyLzMxLzIwMDksQVkp&amp;WINDOW=FIRST_POPUP&amp;HEIGHT=450&amp;WI","DTH=450&amp;START_MAXIMIZED=FALSE&amp;VAR:CALENDAR=US&amp;VAR:SYMBOL=ARG&amp;VAR:INDEX=28"}</definedName>
    <definedName name="_1374__FDSAUDITLINK__" hidden="1">{"fdsup://directions/FAT Viewer?action=UPDATE&amp;creator=factset&amp;DYN_ARGS=TRUE&amp;DOC_NAME=FAT:FQL_AUDITING_CLIENT_TEMPLATE.FAT&amp;display_string=Audit&amp;VAR:KEY=KTKNETSZGZ&amp;VAR:QUERY=Q1NGX1NBTEVTKEFOTiwxMi8zMS8xOTgwLDEyLzMxLzIwMDksQVkp&amp;WINDOW=FIRST_POPUP&amp;HEIGHT=450&amp;WI","DTH=450&amp;START_MAXIMIZED=FALSE&amp;VAR:CALENDAR=US&amp;VAR:SYMBOL=ARG&amp;VAR:INDEX=27"}</definedName>
    <definedName name="_1375__FDSAUDITLINK__" hidden="1">{"fdsup://directions/FAT Viewer?action=UPDATE&amp;creator=factset&amp;DYN_ARGS=TRUE&amp;DOC_NAME=FAT:FQL_AUDITING_CLIENT_TEMPLATE.FAT&amp;display_string=Audit&amp;VAR:KEY=KTKNETSZGZ&amp;VAR:QUERY=Q1NGX1NBTEVTKEFOTiwxMi8zMS8xOTgwLDEyLzMxLzIwMDksQVkp&amp;WINDOW=FIRST_POPUP&amp;HEIGHT=450&amp;WI","DTH=450&amp;START_MAXIMIZED=FALSE&amp;VAR:CALENDAR=US&amp;VAR:SYMBOL=ARG&amp;VAR:INDEX=26"}</definedName>
    <definedName name="_1376__FDSAUDITLINK__" hidden="1">{"fdsup://directions/FAT Viewer?action=UPDATE&amp;creator=factset&amp;DYN_ARGS=TRUE&amp;DOC_NAME=FAT:FQL_AUDITING_CLIENT_TEMPLATE.FAT&amp;display_string=Audit&amp;VAR:KEY=KTKNETSZGZ&amp;VAR:QUERY=Q1NGX1NBTEVTKEFOTiwxMi8zMS8xOTgwLDEyLzMxLzIwMDksQVkp&amp;WINDOW=FIRST_POPUP&amp;HEIGHT=450&amp;WI","DTH=450&amp;START_MAXIMIZED=FALSE&amp;VAR:CALENDAR=US&amp;VAR:SYMBOL=ARG&amp;VAR:INDEX=25"}</definedName>
    <definedName name="_1377__FDSAUDITLINK__" hidden="1">{"fdsup://directions/FAT Viewer?action=UPDATE&amp;creator=factset&amp;DYN_ARGS=TRUE&amp;DOC_NAME=FAT:FQL_AUDITING_CLIENT_TEMPLATE.FAT&amp;display_string=Audit&amp;VAR:KEY=KTKNETSZGZ&amp;VAR:QUERY=Q1NGX1NBTEVTKEFOTiwxMi8zMS8xOTgwLDEyLzMxLzIwMDksQVkp&amp;WINDOW=FIRST_POPUP&amp;HEIGHT=450&amp;WI","DTH=450&amp;START_MAXIMIZED=FALSE&amp;VAR:CALENDAR=US&amp;VAR:SYMBOL=ARG&amp;VAR:INDEX=24"}</definedName>
    <definedName name="_1378__FDSAUDITLINK__" hidden="1">{"fdsup://directions/FAT Viewer?action=UPDATE&amp;creator=factset&amp;DYN_ARGS=TRUE&amp;DOC_NAME=FAT:FQL_AUDITING_CLIENT_TEMPLATE.FAT&amp;display_string=Audit&amp;VAR:KEY=KTKNETSZGZ&amp;VAR:QUERY=Q1NGX1NBTEVTKEFOTiwxMi8zMS8xOTgwLDEyLzMxLzIwMDksQVkp&amp;WINDOW=FIRST_POPUP&amp;HEIGHT=450&amp;WI","DTH=450&amp;START_MAXIMIZED=FALSE&amp;VAR:CALENDAR=US&amp;VAR:SYMBOL=ARG&amp;VAR:INDEX=23"}</definedName>
    <definedName name="_1379__FDSAUDITLINK__" hidden="1">{"fdsup://directions/FAT Viewer?action=UPDATE&amp;creator=factset&amp;DYN_ARGS=TRUE&amp;DOC_NAME=FAT:FQL_AUDITING_CLIENT_TEMPLATE.FAT&amp;display_string=Audit&amp;VAR:KEY=KTKNETSZGZ&amp;VAR:QUERY=Q1NGX1NBTEVTKEFOTiwxMi8zMS8xOTgwLDEyLzMxLzIwMDksQVkp&amp;WINDOW=FIRST_POPUP&amp;HEIGHT=450&amp;WI","DTH=450&amp;START_MAXIMIZED=FALSE&amp;VAR:CALENDAR=US&amp;VAR:SYMBOL=ARG&amp;VAR:INDEX=22"}</definedName>
    <definedName name="_138__FDSAUDITLINK__" hidden="1">{"fdsup://directions/FAT Viewer?action=UPDATE&amp;creator=factset&amp;DYN_ARGS=TRUE&amp;DOC_NAME=FAT:FQL_AUDITING_CLIENT_TEMPLATE.FAT&amp;display_string=Audit&amp;VAR:KEY=SRSNGBYDMH&amp;VAR:QUERY=Q1NGX0lOVEFOR19PVEgoQU5OLDE5OTUsMCk=&amp;WINDOW=FIRST_POPUP&amp;HEIGHT=450&amp;WIDTH=450&amp;START_MA","XIMIZED=FALSE&amp;VAR:CALENDAR=US&amp;VAR:SYMBOL=DOW&amp;VAR:INDEX=7"}</definedName>
    <definedName name="_1380__FDSAUDITLINK__" hidden="1">{"fdsup://directions/FAT Viewer?action=UPDATE&amp;creator=factset&amp;DYN_ARGS=TRUE&amp;DOC_NAME=FAT:FQL_AUDITING_CLIENT_TEMPLATE.FAT&amp;display_string=Audit&amp;VAR:KEY=KTKNETSZGZ&amp;VAR:QUERY=Q1NGX1NBTEVTKEFOTiwxMi8zMS8xOTgwLDEyLzMxLzIwMDksQVkp&amp;WINDOW=FIRST_POPUP&amp;HEIGHT=450&amp;WI","DTH=450&amp;START_MAXIMIZED=FALSE&amp;VAR:CALENDAR=US&amp;VAR:SYMBOL=ARG&amp;VAR:INDEX=21"}</definedName>
    <definedName name="_1381__FDSAUDITLINK__" hidden="1">{"fdsup://directions/FAT Viewer?action=UPDATE&amp;creator=factset&amp;DYN_ARGS=TRUE&amp;DOC_NAME=FAT:FQL_AUDITING_CLIENT_TEMPLATE.FAT&amp;display_string=Audit&amp;VAR:KEY=KTKNETSZGZ&amp;VAR:QUERY=Q1NGX1NBTEVTKEFOTiwxMi8zMS8xOTgwLDEyLzMxLzIwMDksQVkp&amp;WINDOW=FIRST_POPUP&amp;HEIGHT=450&amp;WI","DTH=450&amp;START_MAXIMIZED=FALSE&amp;VAR:CALENDAR=US&amp;VAR:SYMBOL=ARG&amp;VAR:INDEX=20"}</definedName>
    <definedName name="_1382__FDSAUDITLINK__" hidden="1">{"fdsup://directions/FAT Viewer?action=UPDATE&amp;creator=factset&amp;DYN_ARGS=TRUE&amp;DOC_NAME=FAT:FQL_AUDITING_CLIENT_TEMPLATE.FAT&amp;display_string=Audit&amp;VAR:KEY=KTKNETSZGZ&amp;VAR:QUERY=Q1NGX1NBTEVTKEFOTiwxMi8zMS8xOTgwLDEyLzMxLzIwMDksQVkp&amp;WINDOW=FIRST_POPUP&amp;HEIGHT=450&amp;WI","DTH=450&amp;START_MAXIMIZED=FALSE&amp;VAR:CALENDAR=US&amp;VAR:SYMBOL=ARG&amp;VAR:INDEX=19"}</definedName>
    <definedName name="_1383__FDSAUDITLINK__" hidden="1">{"fdsup://directions/FAT Viewer?action=UPDATE&amp;creator=factset&amp;DYN_ARGS=TRUE&amp;DOC_NAME=FAT:FQL_AUDITING_CLIENT_TEMPLATE.FAT&amp;display_string=Audit&amp;VAR:KEY=KTKNETSZGZ&amp;VAR:QUERY=Q1NGX1NBTEVTKEFOTiwxMi8zMS8xOTgwLDEyLzMxLzIwMDksQVkp&amp;WINDOW=FIRST_POPUP&amp;HEIGHT=450&amp;WI","DTH=450&amp;START_MAXIMIZED=FALSE&amp;VAR:CALENDAR=US&amp;VAR:SYMBOL=ARG&amp;VAR:INDEX=18"}</definedName>
    <definedName name="_1384__FDSAUDITLINK__" hidden="1">{"fdsup://directions/FAT Viewer?action=UPDATE&amp;creator=factset&amp;DYN_ARGS=TRUE&amp;DOC_NAME=FAT:FQL_AUDITING_CLIENT_TEMPLATE.FAT&amp;display_string=Audit&amp;VAR:KEY=KTKNETSZGZ&amp;VAR:QUERY=Q1NGX1NBTEVTKEFOTiwxMi8zMS8xOTgwLDEyLzMxLzIwMDksQVkp&amp;WINDOW=FIRST_POPUP&amp;HEIGHT=450&amp;WI","DTH=450&amp;START_MAXIMIZED=FALSE&amp;VAR:CALENDAR=US&amp;VAR:SYMBOL=ARG&amp;VAR:INDEX=17"}</definedName>
    <definedName name="_1385__FDSAUDITLINK__" hidden="1">{"fdsup://directions/FAT Viewer?action=UPDATE&amp;creator=factset&amp;DYN_ARGS=TRUE&amp;DOC_NAME=FAT:FQL_AUDITING_CLIENT_TEMPLATE.FAT&amp;display_string=Audit&amp;VAR:KEY=KTKNETSZGZ&amp;VAR:QUERY=Q1NGX1NBTEVTKEFOTiwxMi8zMS8xOTgwLDEyLzMxLzIwMDksQVkp&amp;WINDOW=FIRST_POPUP&amp;HEIGHT=450&amp;WI","DTH=450&amp;START_MAXIMIZED=FALSE&amp;VAR:CALENDAR=US&amp;VAR:SYMBOL=ARG&amp;VAR:INDEX=16"}</definedName>
    <definedName name="_1386__FDSAUDITLINK__" hidden="1">{"fdsup://directions/FAT Viewer?action=UPDATE&amp;creator=factset&amp;DYN_ARGS=TRUE&amp;DOC_NAME=FAT:FQL_AUDITING_CLIENT_TEMPLATE.FAT&amp;display_string=Audit&amp;VAR:KEY=KTKNETSZGZ&amp;VAR:QUERY=Q1NGX1NBTEVTKEFOTiwxMi8zMS8xOTgwLDEyLzMxLzIwMDksQVkp&amp;WINDOW=FIRST_POPUP&amp;HEIGHT=450&amp;WI","DTH=450&amp;START_MAXIMIZED=FALSE&amp;VAR:CALENDAR=US&amp;VAR:SYMBOL=ARG&amp;VAR:INDEX=15"}</definedName>
    <definedName name="_1387__FDSAUDITLINK__" hidden="1">{"fdsup://directions/FAT Viewer?action=UPDATE&amp;creator=factset&amp;DYN_ARGS=TRUE&amp;DOC_NAME=FAT:FQL_AUDITING_CLIENT_TEMPLATE.FAT&amp;display_string=Audit&amp;VAR:KEY=KTKNETSZGZ&amp;VAR:QUERY=Q1NGX1NBTEVTKEFOTiwxMi8zMS8xOTgwLDEyLzMxLzIwMDksQVkp&amp;WINDOW=FIRST_POPUP&amp;HEIGHT=450&amp;WI","DTH=450&amp;START_MAXIMIZED=FALSE&amp;VAR:CALENDAR=US&amp;VAR:SYMBOL=ARG&amp;VAR:INDEX=14"}</definedName>
    <definedName name="_1388__FDSAUDITLINK__" hidden="1">{"fdsup://directions/FAT Viewer?action=UPDATE&amp;creator=factset&amp;DYN_ARGS=TRUE&amp;DOC_NAME=FAT:FQL_AUDITING_CLIENT_TEMPLATE.FAT&amp;display_string=Audit&amp;VAR:KEY=KTKNETSZGZ&amp;VAR:QUERY=Q1NGX1NBTEVTKEFOTiwxMi8zMS8xOTgwLDEyLzMxLzIwMDksQVkp&amp;WINDOW=FIRST_POPUP&amp;HEIGHT=450&amp;WI","DTH=450&amp;START_MAXIMIZED=FALSE&amp;VAR:CALENDAR=US&amp;VAR:SYMBOL=ARG&amp;VAR:INDEX=13"}</definedName>
    <definedName name="_1389__FDSAUDITLINK__" hidden="1">{"fdsup://directions/FAT Viewer?action=UPDATE&amp;creator=factset&amp;DYN_ARGS=TRUE&amp;DOC_NAME=FAT:FQL_AUDITING_CLIENT_TEMPLATE.FAT&amp;display_string=Audit&amp;VAR:KEY=KTKNETSZGZ&amp;VAR:QUERY=Q1NGX1NBTEVTKEFOTiwxMi8zMS8xOTgwLDEyLzMxLzIwMDksQVkp&amp;WINDOW=FIRST_POPUP&amp;HEIGHT=450&amp;WI","DTH=450&amp;START_MAXIMIZED=FALSE&amp;VAR:CALENDAR=US&amp;VAR:SYMBOL=ARG&amp;VAR:INDEX=12"}</definedName>
    <definedName name="_139__FDSAUDITLINK__" hidden="1">{"fdsup://directions/FAT Viewer?action=UPDATE&amp;creator=factset&amp;DYN_ARGS=TRUE&amp;DOC_NAME=FAT:FQL_AUDITING_CLIENT_TEMPLATE.FAT&amp;display_string=Audit&amp;VAR:KEY=SRSNGBYDMH&amp;VAR:QUERY=Q1NGX0lOVEFOR19PVEgoQU5OLDE5OTUsMCk=&amp;WINDOW=FIRST_POPUP&amp;HEIGHT=450&amp;WIDTH=450&amp;START_MA","XIMIZED=FALSE&amp;VAR:CALENDAR=US&amp;VAR:SYMBOL=DOW&amp;VAR:INDEX=6"}</definedName>
    <definedName name="_1390__FDSAUDITLINK__" hidden="1">{"fdsup://directions/FAT Viewer?action=UPDATE&amp;creator=factset&amp;DYN_ARGS=TRUE&amp;DOC_NAME=FAT:FQL_AUDITING_CLIENT_TEMPLATE.FAT&amp;display_string=Audit&amp;VAR:KEY=KTKNETSZGZ&amp;VAR:QUERY=Q1NGX1NBTEVTKEFOTiwxMi8zMS8xOTgwLDEyLzMxLzIwMDksQVkp&amp;WINDOW=FIRST_POPUP&amp;HEIGHT=450&amp;WI","DTH=450&amp;START_MAXIMIZED=FALSE&amp;VAR:CALENDAR=US&amp;VAR:SYMBOL=ARG&amp;VAR:INDEX=11"}</definedName>
    <definedName name="_1391__FDSAUDITLINK__" hidden="1">{"fdsup://directions/FAT Viewer?action=UPDATE&amp;creator=factset&amp;DYN_ARGS=TRUE&amp;DOC_NAME=FAT:FQL_AUDITING_CLIENT_TEMPLATE.FAT&amp;display_string=Audit&amp;VAR:KEY=KTKNETSZGZ&amp;VAR:QUERY=Q1NGX1NBTEVTKEFOTiwxMi8zMS8xOTgwLDEyLzMxLzIwMDksQVkp&amp;WINDOW=FIRST_POPUP&amp;HEIGHT=450&amp;WI","DTH=450&amp;START_MAXIMIZED=FALSE&amp;VAR:CALENDAR=US&amp;VAR:SYMBOL=ARG&amp;VAR:INDEX=10"}</definedName>
    <definedName name="_1392__FDSAUDITLINK__" hidden="1">{"fdsup://directions/FAT Viewer?action=UPDATE&amp;creator=factset&amp;DYN_ARGS=TRUE&amp;DOC_NAME=FAT:FQL_AUDITING_CLIENT_TEMPLATE.FAT&amp;display_string=Audit&amp;VAR:KEY=KTKNETSZGZ&amp;VAR:QUERY=Q1NGX1NBTEVTKEFOTiwxMi8zMS8xOTgwLDEyLzMxLzIwMDksQVkp&amp;WINDOW=FIRST_POPUP&amp;HEIGHT=450&amp;WI","DTH=450&amp;START_MAXIMIZED=FALSE&amp;VAR:CALENDAR=US&amp;VAR:SYMBOL=ARG&amp;VAR:INDEX=9"}</definedName>
    <definedName name="_1393__FDSAUDITLINK__" hidden="1">{"fdsup://directions/FAT Viewer?action=UPDATE&amp;creator=factset&amp;DYN_ARGS=TRUE&amp;DOC_NAME=FAT:FQL_AUDITING_CLIENT_TEMPLATE.FAT&amp;display_string=Audit&amp;VAR:KEY=KTKNETSZGZ&amp;VAR:QUERY=Q1NGX1NBTEVTKEFOTiwxMi8zMS8xOTgwLDEyLzMxLzIwMDksQVkp&amp;WINDOW=FIRST_POPUP&amp;HEIGHT=450&amp;WI","DTH=450&amp;START_MAXIMIZED=FALSE&amp;VAR:CALENDAR=US&amp;VAR:SYMBOL=ARG&amp;VAR:INDEX=8"}</definedName>
    <definedName name="_1394__FDSAUDITLINK__" hidden="1">{"fdsup://directions/FAT Viewer?action=UPDATE&amp;creator=factset&amp;DYN_ARGS=TRUE&amp;DOC_NAME=FAT:FQL_AUDITING_CLIENT_TEMPLATE.FAT&amp;display_string=Audit&amp;VAR:KEY=KTKNETSZGZ&amp;VAR:QUERY=Q1NGX1NBTEVTKEFOTiwxMi8zMS8xOTgwLDEyLzMxLzIwMDksQVkp&amp;WINDOW=FIRST_POPUP&amp;HEIGHT=450&amp;WI","DTH=450&amp;START_MAXIMIZED=FALSE&amp;VAR:CALENDAR=US&amp;VAR:SYMBOL=ARG&amp;VAR:INDEX=7"}</definedName>
    <definedName name="_1395__FDSAUDITLINK__" hidden="1">{"fdsup://directions/FAT Viewer?action=UPDATE&amp;creator=factset&amp;DYN_ARGS=TRUE&amp;DOC_NAME=FAT:FQL_AUDITING_CLIENT_TEMPLATE.FAT&amp;display_string=Audit&amp;VAR:KEY=KTKNETSZGZ&amp;VAR:QUERY=Q1NGX1NBTEVTKEFOTiwxMi8zMS8xOTgwLDEyLzMxLzIwMDksQVkp&amp;WINDOW=FIRST_POPUP&amp;HEIGHT=450&amp;WI","DTH=450&amp;START_MAXIMIZED=FALSE&amp;VAR:CALENDAR=US&amp;VAR:SYMBOL=ARG&amp;VAR:INDEX=6"}</definedName>
    <definedName name="_1396__FDSAUDITLINK__" hidden="1">{"fdsup://directions/FAT Viewer?action=UPDATE&amp;creator=factset&amp;DYN_ARGS=TRUE&amp;DOC_NAME=FAT:FQL_AUDITING_CLIENT_TEMPLATE.FAT&amp;display_string=Audit&amp;VAR:KEY=KTKNETSZGZ&amp;VAR:QUERY=Q1NGX1NBTEVTKEFOTiwxMi8zMS8xOTgwLDEyLzMxLzIwMDksQVkp&amp;WINDOW=FIRST_POPUP&amp;HEIGHT=450&amp;WI","DTH=450&amp;START_MAXIMIZED=FALSE&amp;VAR:CALENDAR=US&amp;VAR:SYMBOL=ARG&amp;VAR:INDEX=5"}</definedName>
    <definedName name="_1397__FDSAUDITLINK__" hidden="1">{"fdsup://directions/FAT Viewer?action=UPDATE&amp;creator=factset&amp;DYN_ARGS=TRUE&amp;DOC_NAME=FAT:FQL_AUDITING_CLIENT_TEMPLATE.FAT&amp;display_string=Audit&amp;VAR:KEY=KTKNETSZGZ&amp;VAR:QUERY=Q1NGX1NBTEVTKEFOTiwxMi8zMS8xOTgwLDEyLzMxLzIwMDksQVkp&amp;WINDOW=FIRST_POPUP&amp;HEIGHT=450&amp;WI","DTH=450&amp;START_MAXIMIZED=FALSE&amp;VAR:CALENDAR=US&amp;VAR:SYMBOL=ARG&amp;VAR:INDEX=4"}</definedName>
    <definedName name="_1398__FDSAUDITLINK__" hidden="1">{"fdsup://directions/FAT Viewer?action=UPDATE&amp;creator=factset&amp;DYN_ARGS=TRUE&amp;DOC_NAME=FAT:FQL_AUDITING_CLIENT_TEMPLATE.FAT&amp;display_string=Audit&amp;VAR:KEY=KTKNETSZGZ&amp;VAR:QUERY=Q1NGX1NBTEVTKEFOTiwxMi8zMS8xOTgwLDEyLzMxLzIwMDksQVkp&amp;WINDOW=FIRST_POPUP&amp;HEIGHT=450&amp;WI","DTH=450&amp;START_MAXIMIZED=FALSE&amp;VAR:CALENDAR=US&amp;VAR:SYMBOL=ARG&amp;VAR:INDEX=3"}</definedName>
    <definedName name="_1399__FDSAUDITLINK__" hidden="1">{"fdsup://directions/FAT Viewer?action=UPDATE&amp;creator=factset&amp;DYN_ARGS=TRUE&amp;DOC_NAME=FAT:FQL_AUDITING_CLIENT_TEMPLATE.FAT&amp;display_string=Audit&amp;VAR:KEY=KTKNETSZGZ&amp;VAR:QUERY=Q1NGX1NBTEVTKEFOTiwxMi8zMS8xOTgwLDEyLzMxLzIwMDksQVkp&amp;WINDOW=FIRST_POPUP&amp;HEIGHT=450&amp;WI","DTH=450&amp;START_MAXIMIZED=FALSE&amp;VAR:CALENDAR=US&amp;VAR:SYMBOL=ARG&amp;VAR:INDEX=2"}</definedName>
    <definedName name="_14__FDSAUDITLINK__" hidden="1">{"fdsup://directions/FAT Viewer?action=UPDATE&amp;creator=factset&amp;DYN_ARGS=TRUE&amp;DOC_NAME=FAT:FQL_AUDITING_CLIENT_TEMPLATE.FAT&amp;display_string=Audit&amp;VAR:KEY=WBWLALEFAD&amp;VAR:QUERY=Q1NGX0RFQlQoUVRSX1IsMCk=&amp;WINDOW=FIRST_POPUP&amp;HEIGHT=450&amp;WIDTH=450&amp;START_MAXIMIZED=FALS","E&amp;VAR:CALENDAR=US&amp;VAR:SYMBOL=DOW&amp;VAR:INDEX=0"}</definedName>
    <definedName name="_140__FDSAUDITLINK__" hidden="1">{"fdsup://directions/FAT Viewer?action=UPDATE&amp;creator=factset&amp;DYN_ARGS=TRUE&amp;DOC_NAME=FAT:FQL_AUDITING_CLIENT_TEMPLATE.FAT&amp;display_string=Audit&amp;VAR:KEY=SRSNGBYDMH&amp;VAR:QUERY=Q1NGX0lOVEFOR19PVEgoQU5OLDE5OTUsMCk=&amp;WINDOW=FIRST_POPUP&amp;HEIGHT=450&amp;WIDTH=450&amp;START_MA","XIMIZED=FALSE&amp;VAR:CALENDAR=US&amp;VAR:SYMBOL=DOW&amp;VAR:INDEX=5"}</definedName>
    <definedName name="_1400__FDSAUDITLINK__" hidden="1">{"fdsup://directions/FAT Viewer?action=UPDATE&amp;creator=factset&amp;DYN_ARGS=TRUE&amp;DOC_NAME=FAT:FQL_AUDITING_CLIENT_TEMPLATE.FAT&amp;display_string=Audit&amp;VAR:KEY=KTKNETSZGZ&amp;VAR:QUERY=Q1NGX1NBTEVTKEFOTiwxMi8zMS8xOTgwLDEyLzMxLzIwMDksQVkp&amp;WINDOW=FIRST_POPUP&amp;HEIGHT=450&amp;WI","DTH=450&amp;START_MAXIMIZED=FALSE&amp;VAR:CALENDAR=US&amp;VAR:SYMBOL=ARG&amp;VAR:INDEX=1"}</definedName>
    <definedName name="_1401__FDSAUDITLINK__" hidden="1">{"fdsup://directions/FAT Viewer?action=UPDATE&amp;creator=factset&amp;DYN_ARGS=TRUE&amp;DOC_NAME=FAT:FQL_AUDITING_CLIENT_TEMPLATE.FAT&amp;display_string=Audit&amp;VAR:KEY=KTKNETSZGZ&amp;VAR:QUERY=Q1NGX1NBTEVTKEFOTiwxMi8zMS8xOTgwLDEyLzMxLzIwMDksQVkp&amp;WINDOW=FIRST_POPUP&amp;HEIGHT=450&amp;WI","DTH=450&amp;START_MAXIMIZED=FALSE&amp;VAR:CALENDAR=US&amp;VAR:SYMBOL=ARG&amp;VAR:INDEX=0"}</definedName>
    <definedName name="_1402__FDSAUDITLINK__" hidden="1">{"fdsup://directions/FAT Viewer?action=UPDATE&amp;creator=factset&amp;DYN_ARGS=TRUE&amp;DOC_NAME=FAT:FQL_AUDITING_CLIENT_TEMPLATE.FAT&amp;display_string=Audit&amp;VAR:KEY=MLSHUPYJSJ&amp;VAR:QUERY=Q1NGX1NBTEVTKEFOTiwxMi8zMS8xOTgwLDEyLzMxLzIwMDksQVkp&amp;WINDOW=FIRST_POPUP&amp;HEIGHT=450&amp;WI","DTH=450&amp;START_MAXIMIZED=FALSE&amp;VAR:CALENDAR=US&amp;VAR:SYMBOL=MOS&amp;VAR:INDEX=29"}</definedName>
    <definedName name="_1403__FDSAUDITLINK__" hidden="1">{"fdsup://directions/FAT Viewer?action=UPDATE&amp;creator=factset&amp;DYN_ARGS=TRUE&amp;DOC_NAME=FAT:FQL_AUDITING_CLIENT_TEMPLATE.FAT&amp;display_string=Audit&amp;VAR:KEY=MLSHUPYJSJ&amp;VAR:QUERY=Q1NGX1NBTEVTKEFOTiwxMi8zMS8xOTgwLDEyLzMxLzIwMDksQVkp&amp;WINDOW=FIRST_POPUP&amp;HEIGHT=450&amp;WI","DTH=450&amp;START_MAXIMIZED=FALSE&amp;VAR:CALENDAR=US&amp;VAR:SYMBOL=MOS&amp;VAR:INDEX=28"}</definedName>
    <definedName name="_1404__FDSAUDITLINK__" hidden="1">{"fdsup://directions/FAT Viewer?action=UPDATE&amp;creator=factset&amp;DYN_ARGS=TRUE&amp;DOC_NAME=FAT:FQL_AUDITING_CLIENT_TEMPLATE.FAT&amp;display_string=Audit&amp;VAR:KEY=MLSHUPYJSJ&amp;VAR:QUERY=Q1NGX1NBTEVTKEFOTiwxMi8zMS8xOTgwLDEyLzMxLzIwMDksQVkp&amp;WINDOW=FIRST_POPUP&amp;HEIGHT=450&amp;WI","DTH=450&amp;START_MAXIMIZED=FALSE&amp;VAR:CALENDAR=US&amp;VAR:SYMBOL=MOS&amp;VAR:INDEX=27"}</definedName>
    <definedName name="_1405__FDSAUDITLINK__" hidden="1">{"fdsup://directions/FAT Viewer?action=UPDATE&amp;creator=factset&amp;DYN_ARGS=TRUE&amp;DOC_NAME=FAT:FQL_AUDITING_CLIENT_TEMPLATE.FAT&amp;display_string=Audit&amp;VAR:KEY=MLSHUPYJSJ&amp;VAR:QUERY=Q1NGX1NBTEVTKEFOTiwxMi8zMS8xOTgwLDEyLzMxLzIwMDksQVkp&amp;WINDOW=FIRST_POPUP&amp;HEIGHT=450&amp;WI","DTH=450&amp;START_MAXIMIZED=FALSE&amp;VAR:CALENDAR=US&amp;VAR:SYMBOL=MOS&amp;VAR:INDEX=26"}</definedName>
    <definedName name="_1406__FDSAUDITLINK__" hidden="1">{"fdsup://directions/FAT Viewer?action=UPDATE&amp;creator=factset&amp;DYN_ARGS=TRUE&amp;DOC_NAME=FAT:FQL_AUDITING_CLIENT_TEMPLATE.FAT&amp;display_string=Audit&amp;VAR:KEY=MLSHUPYJSJ&amp;VAR:QUERY=Q1NGX1NBTEVTKEFOTiwxMi8zMS8xOTgwLDEyLzMxLzIwMDksQVkp&amp;WINDOW=FIRST_POPUP&amp;HEIGHT=450&amp;WI","DTH=450&amp;START_MAXIMIZED=FALSE&amp;VAR:CALENDAR=US&amp;VAR:SYMBOL=MOS&amp;VAR:INDEX=25"}</definedName>
    <definedName name="_1407__FDSAUDITLINK__" hidden="1">{"fdsup://directions/FAT Viewer?action=UPDATE&amp;creator=factset&amp;DYN_ARGS=TRUE&amp;DOC_NAME=FAT:FQL_AUDITING_CLIENT_TEMPLATE.FAT&amp;display_string=Audit&amp;VAR:KEY=MLSHUPYJSJ&amp;VAR:QUERY=Q1NGX1NBTEVTKEFOTiwxMi8zMS8xOTgwLDEyLzMxLzIwMDksQVkp&amp;WINDOW=FIRST_POPUP&amp;HEIGHT=450&amp;WI","DTH=450&amp;START_MAXIMIZED=FALSE&amp;VAR:CALENDAR=US&amp;VAR:SYMBOL=MOS&amp;VAR:INDEX=24"}</definedName>
    <definedName name="_1408__FDSAUDITLINK__" hidden="1">{"fdsup://directions/FAT Viewer?action=UPDATE&amp;creator=factset&amp;DYN_ARGS=TRUE&amp;DOC_NAME=FAT:FQL_AUDITING_CLIENT_TEMPLATE.FAT&amp;display_string=Audit&amp;VAR:KEY=MLSHUPYJSJ&amp;VAR:QUERY=Q1NGX1NBTEVTKEFOTiwxMi8zMS8xOTgwLDEyLzMxLzIwMDksQVkp&amp;WINDOW=FIRST_POPUP&amp;HEIGHT=450&amp;WI","DTH=450&amp;START_MAXIMIZED=FALSE&amp;VAR:CALENDAR=US&amp;VAR:SYMBOL=MOS&amp;VAR:INDEX=23"}</definedName>
    <definedName name="_1409__FDSAUDITLINK__" hidden="1">{"fdsup://directions/FAT Viewer?action=UPDATE&amp;creator=factset&amp;DYN_ARGS=TRUE&amp;DOC_NAME=FAT:FQL_AUDITING_CLIENT_TEMPLATE.FAT&amp;display_string=Audit&amp;VAR:KEY=MLSHUPYJSJ&amp;VAR:QUERY=Q1NGX1NBTEVTKEFOTiwxMi8zMS8xOTgwLDEyLzMxLzIwMDksQVkp&amp;WINDOW=FIRST_POPUP&amp;HEIGHT=450&amp;WI","DTH=450&amp;START_MAXIMIZED=FALSE&amp;VAR:CALENDAR=US&amp;VAR:SYMBOL=MOS&amp;VAR:INDEX=22"}</definedName>
    <definedName name="_141__FDSAUDITLINK__" hidden="1">{"fdsup://directions/FAT Viewer?action=UPDATE&amp;creator=factset&amp;DYN_ARGS=TRUE&amp;DOC_NAME=FAT:FQL_AUDITING_CLIENT_TEMPLATE.FAT&amp;display_string=Audit&amp;VAR:KEY=SRSNGBYDMH&amp;VAR:QUERY=Q1NGX0lOVEFOR19PVEgoQU5OLDE5OTUsMCk=&amp;WINDOW=FIRST_POPUP&amp;HEIGHT=450&amp;WIDTH=450&amp;START_MA","XIMIZED=FALSE&amp;VAR:CALENDAR=US&amp;VAR:SYMBOL=DOW&amp;VAR:INDEX=4"}</definedName>
    <definedName name="_1410__FDSAUDITLINK__" hidden="1">{"fdsup://directions/FAT Viewer?action=UPDATE&amp;creator=factset&amp;DYN_ARGS=TRUE&amp;DOC_NAME=FAT:FQL_AUDITING_CLIENT_TEMPLATE.FAT&amp;display_string=Audit&amp;VAR:KEY=MLSHUPYJSJ&amp;VAR:QUERY=Q1NGX1NBTEVTKEFOTiwxMi8zMS8xOTgwLDEyLzMxLzIwMDksQVkp&amp;WINDOW=FIRST_POPUP&amp;HEIGHT=450&amp;WI","DTH=450&amp;START_MAXIMIZED=FALSE&amp;VAR:CALENDAR=US&amp;VAR:SYMBOL=MOS&amp;VAR:INDEX=21"}</definedName>
    <definedName name="_1411__FDSAUDITLINK__" hidden="1">{"fdsup://directions/FAT Viewer?action=UPDATE&amp;creator=factset&amp;DYN_ARGS=TRUE&amp;DOC_NAME=FAT:FQL_AUDITING_CLIENT_TEMPLATE.FAT&amp;display_string=Audit&amp;VAR:KEY=MLSHUPYJSJ&amp;VAR:QUERY=Q1NGX1NBTEVTKEFOTiwxMi8zMS8xOTgwLDEyLzMxLzIwMDksQVkp&amp;WINDOW=FIRST_POPUP&amp;HEIGHT=450&amp;WI","DTH=450&amp;START_MAXIMIZED=FALSE&amp;VAR:CALENDAR=US&amp;VAR:SYMBOL=MOS&amp;VAR:INDEX=20"}</definedName>
    <definedName name="_1412__FDSAUDITLINK__" hidden="1">{"fdsup://directions/FAT Viewer?action=UPDATE&amp;creator=factset&amp;DYN_ARGS=TRUE&amp;DOC_NAME=FAT:FQL_AUDITING_CLIENT_TEMPLATE.FAT&amp;display_string=Audit&amp;VAR:KEY=MLSHUPYJSJ&amp;VAR:QUERY=Q1NGX1NBTEVTKEFOTiwxMi8zMS8xOTgwLDEyLzMxLzIwMDksQVkp&amp;WINDOW=FIRST_POPUP&amp;HEIGHT=450&amp;WI","DTH=450&amp;START_MAXIMIZED=FALSE&amp;VAR:CALENDAR=US&amp;VAR:SYMBOL=MOS&amp;VAR:INDEX=19"}</definedName>
    <definedName name="_1413__FDSAUDITLINK__" hidden="1">{"fdsup://directions/FAT Viewer?action=UPDATE&amp;creator=factset&amp;DYN_ARGS=TRUE&amp;DOC_NAME=FAT:FQL_AUDITING_CLIENT_TEMPLATE.FAT&amp;display_string=Audit&amp;VAR:KEY=MLSHUPYJSJ&amp;VAR:QUERY=Q1NGX1NBTEVTKEFOTiwxMi8zMS8xOTgwLDEyLzMxLzIwMDksQVkp&amp;WINDOW=FIRST_POPUP&amp;HEIGHT=450&amp;WI","DTH=450&amp;START_MAXIMIZED=FALSE&amp;VAR:CALENDAR=US&amp;VAR:SYMBOL=MOS&amp;VAR:INDEX=18"}</definedName>
    <definedName name="_1414__FDSAUDITLINK__" hidden="1">{"fdsup://directions/FAT Viewer?action=UPDATE&amp;creator=factset&amp;DYN_ARGS=TRUE&amp;DOC_NAME=FAT:FQL_AUDITING_CLIENT_TEMPLATE.FAT&amp;display_string=Audit&amp;VAR:KEY=MLSHUPYJSJ&amp;VAR:QUERY=Q1NGX1NBTEVTKEFOTiwxMi8zMS8xOTgwLDEyLzMxLzIwMDksQVkp&amp;WINDOW=FIRST_POPUP&amp;HEIGHT=450&amp;WI","DTH=450&amp;START_MAXIMIZED=FALSE&amp;VAR:CALENDAR=US&amp;VAR:SYMBOL=MOS&amp;VAR:INDEX=17"}</definedName>
    <definedName name="_1415__FDSAUDITLINK__" hidden="1">{"fdsup://directions/FAT Viewer?action=UPDATE&amp;creator=factset&amp;DYN_ARGS=TRUE&amp;DOC_NAME=FAT:FQL_AUDITING_CLIENT_TEMPLATE.FAT&amp;display_string=Audit&amp;VAR:KEY=MLSHUPYJSJ&amp;VAR:QUERY=Q1NGX1NBTEVTKEFOTiwxMi8zMS8xOTgwLDEyLzMxLzIwMDksQVkp&amp;WINDOW=FIRST_POPUP&amp;HEIGHT=450&amp;WI","DTH=450&amp;START_MAXIMIZED=FALSE&amp;VAR:CALENDAR=US&amp;VAR:SYMBOL=MOS&amp;VAR:INDEX=16"}</definedName>
    <definedName name="_1416__FDSAUDITLINK__" hidden="1">{"fdsup://directions/FAT Viewer?action=UPDATE&amp;creator=factset&amp;DYN_ARGS=TRUE&amp;DOC_NAME=FAT:FQL_AUDITING_CLIENT_TEMPLATE.FAT&amp;display_string=Audit&amp;VAR:KEY=MLSHUPYJSJ&amp;VAR:QUERY=Q1NGX1NBTEVTKEFOTiwxMi8zMS8xOTgwLDEyLzMxLzIwMDksQVkp&amp;WINDOW=FIRST_POPUP&amp;HEIGHT=450&amp;WI","DTH=450&amp;START_MAXIMIZED=FALSE&amp;VAR:CALENDAR=US&amp;VAR:SYMBOL=MOS&amp;VAR:INDEX=15"}</definedName>
    <definedName name="_1417__FDSAUDITLINK__" hidden="1">{"fdsup://directions/FAT Viewer?action=UPDATE&amp;creator=factset&amp;DYN_ARGS=TRUE&amp;DOC_NAME=FAT:FQL_AUDITING_CLIENT_TEMPLATE.FAT&amp;display_string=Audit&amp;VAR:KEY=MLSHUPYJSJ&amp;VAR:QUERY=Q1NGX1NBTEVTKEFOTiwxMi8zMS8xOTgwLDEyLzMxLzIwMDksQVkp&amp;WINDOW=FIRST_POPUP&amp;HEIGHT=450&amp;WI","DTH=450&amp;START_MAXIMIZED=FALSE&amp;VAR:CALENDAR=US&amp;VAR:SYMBOL=MOS&amp;VAR:INDEX=14"}</definedName>
    <definedName name="_1418__FDSAUDITLINK__" hidden="1">{"fdsup://directions/FAT Viewer?action=UPDATE&amp;creator=factset&amp;DYN_ARGS=TRUE&amp;DOC_NAME=FAT:FQL_AUDITING_CLIENT_TEMPLATE.FAT&amp;display_string=Audit&amp;VAR:KEY=MLSHUPYJSJ&amp;VAR:QUERY=Q1NGX1NBTEVTKEFOTiwxMi8zMS8xOTgwLDEyLzMxLzIwMDksQVkp&amp;WINDOW=FIRST_POPUP&amp;HEIGHT=450&amp;WI","DTH=450&amp;START_MAXIMIZED=FALSE&amp;VAR:CALENDAR=US&amp;VAR:SYMBOL=MOS&amp;VAR:INDEX=13"}</definedName>
    <definedName name="_1419__FDSAUDITLINK__" hidden="1">{"fdsup://directions/FAT Viewer?action=UPDATE&amp;creator=factset&amp;DYN_ARGS=TRUE&amp;DOC_NAME=FAT:FQL_AUDITING_CLIENT_TEMPLATE.FAT&amp;display_string=Audit&amp;VAR:KEY=MLSHUPYJSJ&amp;VAR:QUERY=Q1NGX1NBTEVTKEFOTiwxMi8zMS8xOTgwLDEyLzMxLzIwMDksQVkp&amp;WINDOW=FIRST_POPUP&amp;HEIGHT=450&amp;WI","DTH=450&amp;START_MAXIMIZED=FALSE&amp;VAR:CALENDAR=US&amp;VAR:SYMBOL=MOS&amp;VAR:INDEX=12"}</definedName>
    <definedName name="_142__FDSAUDITLINK__" hidden="1">{"fdsup://directions/FAT Viewer?action=UPDATE&amp;creator=factset&amp;DYN_ARGS=TRUE&amp;DOC_NAME=FAT:FQL_AUDITING_CLIENT_TEMPLATE.FAT&amp;display_string=Audit&amp;VAR:KEY=SRSNGBYDMH&amp;VAR:QUERY=Q1NGX0lOVEFOR19PVEgoQU5OLDE5OTUsMCk=&amp;WINDOW=FIRST_POPUP&amp;HEIGHT=450&amp;WIDTH=450&amp;START_MA","XIMIZED=FALSE&amp;VAR:CALENDAR=US&amp;VAR:SYMBOL=DOW&amp;VAR:INDEX=3"}</definedName>
    <definedName name="_1420__FDSAUDITLINK__" hidden="1">{"fdsup://directions/FAT Viewer?action=UPDATE&amp;creator=factset&amp;DYN_ARGS=TRUE&amp;DOC_NAME=FAT:FQL_AUDITING_CLIENT_TEMPLATE.FAT&amp;display_string=Audit&amp;VAR:KEY=MLSHUPYJSJ&amp;VAR:QUERY=Q1NGX1NBTEVTKEFOTiwxMi8zMS8xOTgwLDEyLzMxLzIwMDksQVkp&amp;WINDOW=FIRST_POPUP&amp;HEIGHT=450&amp;WI","DTH=450&amp;START_MAXIMIZED=FALSE&amp;VAR:CALENDAR=US&amp;VAR:SYMBOL=MOS&amp;VAR:INDEX=11"}</definedName>
    <definedName name="_1421__FDSAUDITLINK__" hidden="1">{"fdsup://directions/FAT Viewer?action=UPDATE&amp;creator=factset&amp;DYN_ARGS=TRUE&amp;DOC_NAME=FAT:FQL_AUDITING_CLIENT_TEMPLATE.FAT&amp;display_string=Audit&amp;VAR:KEY=MLSHUPYJSJ&amp;VAR:QUERY=Q1NGX1NBTEVTKEFOTiwxMi8zMS8xOTgwLDEyLzMxLzIwMDksQVkp&amp;WINDOW=FIRST_POPUP&amp;HEIGHT=450&amp;WI","DTH=450&amp;START_MAXIMIZED=FALSE&amp;VAR:CALENDAR=US&amp;VAR:SYMBOL=MOS&amp;VAR:INDEX=10"}</definedName>
    <definedName name="_1422__FDSAUDITLINK__" hidden="1">{"fdsup://directions/FAT Viewer?action=UPDATE&amp;creator=factset&amp;DYN_ARGS=TRUE&amp;DOC_NAME=FAT:FQL_AUDITING_CLIENT_TEMPLATE.FAT&amp;display_string=Audit&amp;VAR:KEY=MLSHUPYJSJ&amp;VAR:QUERY=Q1NGX1NBTEVTKEFOTiwxMi8zMS8xOTgwLDEyLzMxLzIwMDksQVkp&amp;WINDOW=FIRST_POPUP&amp;HEIGHT=450&amp;WI","DTH=450&amp;START_MAXIMIZED=FALSE&amp;VAR:CALENDAR=US&amp;VAR:SYMBOL=MOS&amp;VAR:INDEX=9"}</definedName>
    <definedName name="_1423__FDSAUDITLINK__" hidden="1">{"fdsup://directions/FAT Viewer?action=UPDATE&amp;creator=factset&amp;DYN_ARGS=TRUE&amp;DOC_NAME=FAT:FQL_AUDITING_CLIENT_TEMPLATE.FAT&amp;display_string=Audit&amp;VAR:KEY=MLSHUPYJSJ&amp;VAR:QUERY=Q1NGX1NBTEVTKEFOTiwxMi8zMS8xOTgwLDEyLzMxLzIwMDksQVkp&amp;WINDOW=FIRST_POPUP&amp;HEIGHT=450&amp;WI","DTH=450&amp;START_MAXIMIZED=FALSE&amp;VAR:CALENDAR=US&amp;VAR:SYMBOL=MOS&amp;VAR:INDEX=8"}</definedName>
    <definedName name="_1424__FDSAUDITLINK__" hidden="1">{"fdsup://directions/FAT Viewer?action=UPDATE&amp;creator=factset&amp;DYN_ARGS=TRUE&amp;DOC_NAME=FAT:FQL_AUDITING_CLIENT_TEMPLATE.FAT&amp;display_string=Audit&amp;VAR:KEY=MLSHUPYJSJ&amp;VAR:QUERY=Q1NGX1NBTEVTKEFOTiwxMi8zMS8xOTgwLDEyLzMxLzIwMDksQVkp&amp;WINDOW=FIRST_POPUP&amp;HEIGHT=450&amp;WI","DTH=450&amp;START_MAXIMIZED=FALSE&amp;VAR:CALENDAR=US&amp;VAR:SYMBOL=MOS&amp;VAR:INDEX=7"}</definedName>
    <definedName name="_1425__FDSAUDITLINK__" hidden="1">{"fdsup://directions/FAT Viewer?action=UPDATE&amp;creator=factset&amp;DYN_ARGS=TRUE&amp;DOC_NAME=FAT:FQL_AUDITING_CLIENT_TEMPLATE.FAT&amp;display_string=Audit&amp;VAR:KEY=MLSHUPYJSJ&amp;VAR:QUERY=Q1NGX1NBTEVTKEFOTiwxMi8zMS8xOTgwLDEyLzMxLzIwMDksQVkp&amp;WINDOW=FIRST_POPUP&amp;HEIGHT=450&amp;WI","DTH=450&amp;START_MAXIMIZED=FALSE&amp;VAR:CALENDAR=US&amp;VAR:SYMBOL=MOS&amp;VAR:INDEX=6"}</definedName>
    <definedName name="_1426__FDSAUDITLINK__" hidden="1">{"fdsup://directions/FAT Viewer?action=UPDATE&amp;creator=factset&amp;DYN_ARGS=TRUE&amp;DOC_NAME=FAT:FQL_AUDITING_CLIENT_TEMPLATE.FAT&amp;display_string=Audit&amp;VAR:KEY=MLSHUPYJSJ&amp;VAR:QUERY=Q1NGX1NBTEVTKEFOTiwxMi8zMS8xOTgwLDEyLzMxLzIwMDksQVkp&amp;WINDOW=FIRST_POPUP&amp;HEIGHT=450&amp;WI","DTH=450&amp;START_MAXIMIZED=FALSE&amp;VAR:CALENDAR=US&amp;VAR:SYMBOL=MOS&amp;VAR:INDEX=5"}</definedName>
    <definedName name="_1427__FDSAUDITLINK__" hidden="1">{"fdsup://directions/FAT Viewer?action=UPDATE&amp;creator=factset&amp;DYN_ARGS=TRUE&amp;DOC_NAME=FAT:FQL_AUDITING_CLIENT_TEMPLATE.FAT&amp;display_string=Audit&amp;VAR:KEY=MLSHUPYJSJ&amp;VAR:QUERY=Q1NGX1NBTEVTKEFOTiwxMi8zMS8xOTgwLDEyLzMxLzIwMDksQVkp&amp;WINDOW=FIRST_POPUP&amp;HEIGHT=450&amp;WI","DTH=450&amp;START_MAXIMIZED=FALSE&amp;VAR:CALENDAR=US&amp;VAR:SYMBOL=MOS&amp;VAR:INDEX=4"}</definedName>
    <definedName name="_1428__FDSAUDITLINK__" hidden="1">{"fdsup://directions/FAT Viewer?action=UPDATE&amp;creator=factset&amp;DYN_ARGS=TRUE&amp;DOC_NAME=FAT:FQL_AUDITING_CLIENT_TEMPLATE.FAT&amp;display_string=Audit&amp;VAR:KEY=MLSHUPYJSJ&amp;VAR:QUERY=Q1NGX1NBTEVTKEFOTiwxMi8zMS8xOTgwLDEyLzMxLzIwMDksQVkp&amp;WINDOW=FIRST_POPUP&amp;HEIGHT=450&amp;WI","DTH=450&amp;START_MAXIMIZED=FALSE&amp;VAR:CALENDAR=US&amp;VAR:SYMBOL=MOS&amp;VAR:INDEX=3"}</definedName>
    <definedName name="_1429__FDSAUDITLINK__" hidden="1">{"fdsup://directions/FAT Viewer?action=UPDATE&amp;creator=factset&amp;DYN_ARGS=TRUE&amp;DOC_NAME=FAT:FQL_AUDITING_CLIENT_TEMPLATE.FAT&amp;display_string=Audit&amp;VAR:KEY=MLSHUPYJSJ&amp;VAR:QUERY=Q1NGX1NBTEVTKEFOTiwxMi8zMS8xOTgwLDEyLzMxLzIwMDksQVkp&amp;WINDOW=FIRST_POPUP&amp;HEIGHT=450&amp;WI","DTH=450&amp;START_MAXIMIZED=FALSE&amp;VAR:CALENDAR=US&amp;VAR:SYMBOL=MOS&amp;VAR:INDEX=2"}</definedName>
    <definedName name="_143__FDSAUDITLINK__" hidden="1">{"fdsup://directions/FAT Viewer?action=UPDATE&amp;creator=factset&amp;DYN_ARGS=TRUE&amp;DOC_NAME=FAT:FQL_AUDITING_CLIENT_TEMPLATE.FAT&amp;display_string=Audit&amp;VAR:KEY=SRSNGBYDMH&amp;VAR:QUERY=Q1NGX0lOVEFOR19PVEgoQU5OLDE5OTUsMCk=&amp;WINDOW=FIRST_POPUP&amp;HEIGHT=450&amp;WIDTH=450&amp;START_MA","XIMIZED=FALSE&amp;VAR:CALENDAR=US&amp;VAR:SYMBOL=DOW&amp;VAR:INDEX=2"}</definedName>
    <definedName name="_1430__FDSAUDITLINK__" hidden="1">{"fdsup://directions/FAT Viewer?action=UPDATE&amp;creator=factset&amp;DYN_ARGS=TRUE&amp;DOC_NAME=FAT:FQL_AUDITING_CLIENT_TEMPLATE.FAT&amp;display_string=Audit&amp;VAR:KEY=MLSHUPYJSJ&amp;VAR:QUERY=Q1NGX1NBTEVTKEFOTiwxMi8zMS8xOTgwLDEyLzMxLzIwMDksQVkp&amp;WINDOW=FIRST_POPUP&amp;HEIGHT=450&amp;WI","DTH=450&amp;START_MAXIMIZED=FALSE&amp;VAR:CALENDAR=US&amp;VAR:SYMBOL=MOS&amp;VAR:INDEX=1"}</definedName>
    <definedName name="_1431__FDSAUDITLINK__" hidden="1">{"fdsup://directions/FAT Viewer?action=UPDATE&amp;creator=factset&amp;DYN_ARGS=TRUE&amp;DOC_NAME=FAT:FQL_AUDITING_CLIENT_TEMPLATE.FAT&amp;display_string=Audit&amp;VAR:KEY=MLSHUPYJSJ&amp;VAR:QUERY=Q1NGX1NBTEVTKEFOTiwxMi8zMS8xOTgwLDEyLzMxLzIwMDksQVkp&amp;WINDOW=FIRST_POPUP&amp;HEIGHT=450&amp;WI","DTH=450&amp;START_MAXIMIZED=FALSE&amp;VAR:CALENDAR=US&amp;VAR:SYMBOL=MOS&amp;VAR:INDEX=0"}</definedName>
    <definedName name="_1432__FDSAUDITLINK__" hidden="1">{"fdsup://directions/FAT Viewer?action=UPDATE&amp;creator=factset&amp;DYN_ARGS=TRUE&amp;DOC_NAME=FAT:FQL_AUDITING_CLIENT_TEMPLATE.FAT&amp;display_string=Audit&amp;VAR:KEY=QDKZIHCFYF&amp;VAR:QUERY=Q1NGX1NBTEVTKEFOTiwxMi8zMS8xOTgwLDEyLzMxLzIwMDksQVkp&amp;WINDOW=FIRST_POPUP&amp;HEIGHT=450&amp;WI","DTH=450&amp;START_MAXIMIZED=FALSE&amp;VAR:CALENDAR=US&amp;VAR:SYMBOL=MON&amp;VAR:INDEX=29"}</definedName>
    <definedName name="_1433__FDSAUDITLINK__" hidden="1">{"fdsup://directions/FAT Viewer?action=UPDATE&amp;creator=factset&amp;DYN_ARGS=TRUE&amp;DOC_NAME=FAT:FQL_AUDITING_CLIENT_TEMPLATE.FAT&amp;display_string=Audit&amp;VAR:KEY=QDKZIHCFYF&amp;VAR:QUERY=Q1NGX1NBTEVTKEFOTiwxMi8zMS8xOTgwLDEyLzMxLzIwMDksQVkp&amp;WINDOW=FIRST_POPUP&amp;HEIGHT=450&amp;WI","DTH=450&amp;START_MAXIMIZED=FALSE&amp;VAR:CALENDAR=US&amp;VAR:SYMBOL=MON&amp;VAR:INDEX=28"}</definedName>
    <definedName name="_1434__FDSAUDITLINK__" hidden="1">{"fdsup://directions/FAT Viewer?action=UPDATE&amp;creator=factset&amp;DYN_ARGS=TRUE&amp;DOC_NAME=FAT:FQL_AUDITING_CLIENT_TEMPLATE.FAT&amp;display_string=Audit&amp;VAR:KEY=QDKZIHCFYF&amp;VAR:QUERY=Q1NGX1NBTEVTKEFOTiwxMi8zMS8xOTgwLDEyLzMxLzIwMDksQVkp&amp;WINDOW=FIRST_POPUP&amp;HEIGHT=450&amp;WI","DTH=450&amp;START_MAXIMIZED=FALSE&amp;VAR:CALENDAR=US&amp;VAR:SYMBOL=MON&amp;VAR:INDEX=27"}</definedName>
    <definedName name="_1435__FDSAUDITLINK__" hidden="1">{"fdsup://directions/FAT Viewer?action=UPDATE&amp;creator=factset&amp;DYN_ARGS=TRUE&amp;DOC_NAME=FAT:FQL_AUDITING_CLIENT_TEMPLATE.FAT&amp;display_string=Audit&amp;VAR:KEY=QDKZIHCFYF&amp;VAR:QUERY=Q1NGX1NBTEVTKEFOTiwxMi8zMS8xOTgwLDEyLzMxLzIwMDksQVkp&amp;WINDOW=FIRST_POPUP&amp;HEIGHT=450&amp;WI","DTH=450&amp;START_MAXIMIZED=FALSE&amp;VAR:CALENDAR=US&amp;VAR:SYMBOL=MON&amp;VAR:INDEX=26"}</definedName>
    <definedName name="_1436__FDSAUDITLINK__" hidden="1">{"fdsup://directions/FAT Viewer?action=UPDATE&amp;creator=factset&amp;DYN_ARGS=TRUE&amp;DOC_NAME=FAT:FQL_AUDITING_CLIENT_TEMPLATE.FAT&amp;display_string=Audit&amp;VAR:KEY=QDKZIHCFYF&amp;VAR:QUERY=Q1NGX1NBTEVTKEFOTiwxMi8zMS8xOTgwLDEyLzMxLzIwMDksQVkp&amp;WINDOW=FIRST_POPUP&amp;HEIGHT=450&amp;WI","DTH=450&amp;START_MAXIMIZED=FALSE&amp;VAR:CALENDAR=US&amp;VAR:SYMBOL=MON&amp;VAR:INDEX=25"}</definedName>
    <definedName name="_1437__FDSAUDITLINK__" hidden="1">{"fdsup://directions/FAT Viewer?action=UPDATE&amp;creator=factset&amp;DYN_ARGS=TRUE&amp;DOC_NAME=FAT:FQL_AUDITING_CLIENT_TEMPLATE.FAT&amp;display_string=Audit&amp;VAR:KEY=QDKZIHCFYF&amp;VAR:QUERY=Q1NGX1NBTEVTKEFOTiwxMi8zMS8xOTgwLDEyLzMxLzIwMDksQVkp&amp;WINDOW=FIRST_POPUP&amp;HEIGHT=450&amp;WI","DTH=450&amp;START_MAXIMIZED=FALSE&amp;VAR:CALENDAR=US&amp;VAR:SYMBOL=MON&amp;VAR:INDEX=24"}</definedName>
    <definedName name="_1438__FDSAUDITLINK__" hidden="1">{"fdsup://directions/FAT Viewer?action=UPDATE&amp;creator=factset&amp;DYN_ARGS=TRUE&amp;DOC_NAME=FAT:FQL_AUDITING_CLIENT_TEMPLATE.FAT&amp;display_string=Audit&amp;VAR:KEY=QDKZIHCFYF&amp;VAR:QUERY=Q1NGX1NBTEVTKEFOTiwxMi8zMS8xOTgwLDEyLzMxLzIwMDksQVkp&amp;WINDOW=FIRST_POPUP&amp;HEIGHT=450&amp;WI","DTH=450&amp;START_MAXIMIZED=FALSE&amp;VAR:CALENDAR=US&amp;VAR:SYMBOL=MON&amp;VAR:INDEX=23"}</definedName>
    <definedName name="_1439__FDSAUDITLINK__" hidden="1">{"fdsup://directions/FAT Viewer?action=UPDATE&amp;creator=factset&amp;DYN_ARGS=TRUE&amp;DOC_NAME=FAT:FQL_AUDITING_CLIENT_TEMPLATE.FAT&amp;display_string=Audit&amp;VAR:KEY=QDKZIHCFYF&amp;VAR:QUERY=Q1NGX1NBTEVTKEFOTiwxMi8zMS8xOTgwLDEyLzMxLzIwMDksQVkp&amp;WINDOW=FIRST_POPUP&amp;HEIGHT=450&amp;WI","DTH=450&amp;START_MAXIMIZED=FALSE&amp;VAR:CALENDAR=US&amp;VAR:SYMBOL=MON&amp;VAR:INDEX=22"}</definedName>
    <definedName name="_144__FDSAUDITLINK__" hidden="1">{"fdsup://directions/FAT Viewer?action=UPDATE&amp;creator=factset&amp;DYN_ARGS=TRUE&amp;DOC_NAME=FAT:FQL_AUDITING_CLIENT_TEMPLATE.FAT&amp;display_string=Audit&amp;VAR:KEY=SRSNGBYDMH&amp;VAR:QUERY=Q1NGX0lOVEFOR19PVEgoQU5OLDE5OTUsMCk=&amp;WINDOW=FIRST_POPUP&amp;HEIGHT=450&amp;WIDTH=450&amp;START_MA","XIMIZED=FALSE&amp;VAR:CALENDAR=US&amp;VAR:SYMBOL=DOW&amp;VAR:INDEX=1"}</definedName>
    <definedName name="_1440__FDSAUDITLINK__" hidden="1">{"fdsup://directions/FAT Viewer?action=UPDATE&amp;creator=factset&amp;DYN_ARGS=TRUE&amp;DOC_NAME=FAT:FQL_AUDITING_CLIENT_TEMPLATE.FAT&amp;display_string=Audit&amp;VAR:KEY=QDKZIHCFYF&amp;VAR:QUERY=Q1NGX1NBTEVTKEFOTiwxMi8zMS8xOTgwLDEyLzMxLzIwMDksQVkp&amp;WINDOW=FIRST_POPUP&amp;HEIGHT=450&amp;WI","DTH=450&amp;START_MAXIMIZED=FALSE&amp;VAR:CALENDAR=US&amp;VAR:SYMBOL=MON&amp;VAR:INDEX=21"}</definedName>
    <definedName name="_1441__FDSAUDITLINK__" hidden="1">{"fdsup://directions/FAT Viewer?action=UPDATE&amp;creator=factset&amp;DYN_ARGS=TRUE&amp;DOC_NAME=FAT:FQL_AUDITING_CLIENT_TEMPLATE.FAT&amp;display_string=Audit&amp;VAR:KEY=QDKZIHCFYF&amp;VAR:QUERY=Q1NGX1NBTEVTKEFOTiwxMi8zMS8xOTgwLDEyLzMxLzIwMDksQVkp&amp;WINDOW=FIRST_POPUP&amp;HEIGHT=450&amp;WI","DTH=450&amp;START_MAXIMIZED=FALSE&amp;VAR:CALENDAR=US&amp;VAR:SYMBOL=MON&amp;VAR:INDEX=20"}</definedName>
    <definedName name="_1442__FDSAUDITLINK__" hidden="1">{"fdsup://directions/FAT Viewer?action=UPDATE&amp;creator=factset&amp;DYN_ARGS=TRUE&amp;DOC_NAME=FAT:FQL_AUDITING_CLIENT_TEMPLATE.FAT&amp;display_string=Audit&amp;VAR:KEY=QDKZIHCFYF&amp;VAR:QUERY=Q1NGX1NBTEVTKEFOTiwxMi8zMS8xOTgwLDEyLzMxLzIwMDksQVkp&amp;WINDOW=FIRST_POPUP&amp;HEIGHT=450&amp;WI","DTH=450&amp;START_MAXIMIZED=FALSE&amp;VAR:CALENDAR=US&amp;VAR:SYMBOL=MON&amp;VAR:INDEX=19"}</definedName>
    <definedName name="_1443__FDSAUDITLINK__" hidden="1">{"fdsup://directions/FAT Viewer?action=UPDATE&amp;creator=factset&amp;DYN_ARGS=TRUE&amp;DOC_NAME=FAT:FQL_AUDITING_CLIENT_TEMPLATE.FAT&amp;display_string=Audit&amp;VAR:KEY=QDKZIHCFYF&amp;VAR:QUERY=Q1NGX1NBTEVTKEFOTiwxMi8zMS8xOTgwLDEyLzMxLzIwMDksQVkp&amp;WINDOW=FIRST_POPUP&amp;HEIGHT=450&amp;WI","DTH=450&amp;START_MAXIMIZED=FALSE&amp;VAR:CALENDAR=US&amp;VAR:SYMBOL=MON&amp;VAR:INDEX=18"}</definedName>
    <definedName name="_1444__FDSAUDITLINK__" hidden="1">{"fdsup://directions/FAT Viewer?action=UPDATE&amp;creator=factset&amp;DYN_ARGS=TRUE&amp;DOC_NAME=FAT:FQL_AUDITING_CLIENT_TEMPLATE.FAT&amp;display_string=Audit&amp;VAR:KEY=QDKZIHCFYF&amp;VAR:QUERY=Q1NGX1NBTEVTKEFOTiwxMi8zMS8xOTgwLDEyLzMxLzIwMDksQVkp&amp;WINDOW=FIRST_POPUP&amp;HEIGHT=450&amp;WI","DTH=450&amp;START_MAXIMIZED=FALSE&amp;VAR:CALENDAR=US&amp;VAR:SYMBOL=MON&amp;VAR:INDEX=17"}</definedName>
    <definedName name="_1445__FDSAUDITLINK__" hidden="1">{"fdsup://directions/FAT Viewer?action=UPDATE&amp;creator=factset&amp;DYN_ARGS=TRUE&amp;DOC_NAME=FAT:FQL_AUDITING_CLIENT_TEMPLATE.FAT&amp;display_string=Audit&amp;VAR:KEY=QDKZIHCFYF&amp;VAR:QUERY=Q1NGX1NBTEVTKEFOTiwxMi8zMS8xOTgwLDEyLzMxLzIwMDksQVkp&amp;WINDOW=FIRST_POPUP&amp;HEIGHT=450&amp;WI","DTH=450&amp;START_MAXIMIZED=FALSE&amp;VAR:CALENDAR=US&amp;VAR:SYMBOL=MON&amp;VAR:INDEX=16"}</definedName>
    <definedName name="_1446__FDSAUDITLINK__" hidden="1">{"fdsup://directions/FAT Viewer?action=UPDATE&amp;creator=factset&amp;DYN_ARGS=TRUE&amp;DOC_NAME=FAT:FQL_AUDITING_CLIENT_TEMPLATE.FAT&amp;display_string=Audit&amp;VAR:KEY=QDKZIHCFYF&amp;VAR:QUERY=Q1NGX1NBTEVTKEFOTiwxMi8zMS8xOTgwLDEyLzMxLzIwMDksQVkp&amp;WINDOW=FIRST_POPUP&amp;HEIGHT=450&amp;WI","DTH=450&amp;START_MAXIMIZED=FALSE&amp;VAR:CALENDAR=US&amp;VAR:SYMBOL=MON&amp;VAR:INDEX=15"}</definedName>
    <definedName name="_1447__FDSAUDITLINK__" hidden="1">{"fdsup://directions/FAT Viewer?action=UPDATE&amp;creator=factset&amp;DYN_ARGS=TRUE&amp;DOC_NAME=FAT:FQL_AUDITING_CLIENT_TEMPLATE.FAT&amp;display_string=Audit&amp;VAR:KEY=QDKZIHCFYF&amp;VAR:QUERY=Q1NGX1NBTEVTKEFOTiwxMi8zMS8xOTgwLDEyLzMxLzIwMDksQVkp&amp;WINDOW=FIRST_POPUP&amp;HEIGHT=450&amp;WI","DTH=450&amp;START_MAXIMIZED=FALSE&amp;VAR:CALENDAR=US&amp;VAR:SYMBOL=MON&amp;VAR:INDEX=14"}</definedName>
    <definedName name="_1448__FDSAUDITLINK__" hidden="1">{"fdsup://directions/FAT Viewer?action=UPDATE&amp;creator=factset&amp;DYN_ARGS=TRUE&amp;DOC_NAME=FAT:FQL_AUDITING_CLIENT_TEMPLATE.FAT&amp;display_string=Audit&amp;VAR:KEY=QDKZIHCFYF&amp;VAR:QUERY=Q1NGX1NBTEVTKEFOTiwxMi8zMS8xOTgwLDEyLzMxLzIwMDksQVkp&amp;WINDOW=FIRST_POPUP&amp;HEIGHT=450&amp;WI","DTH=450&amp;START_MAXIMIZED=FALSE&amp;VAR:CALENDAR=US&amp;VAR:SYMBOL=MON&amp;VAR:INDEX=13"}</definedName>
    <definedName name="_1449__FDSAUDITLINK__" hidden="1">{"fdsup://directions/FAT Viewer?action=UPDATE&amp;creator=factset&amp;DYN_ARGS=TRUE&amp;DOC_NAME=FAT:FQL_AUDITING_CLIENT_TEMPLATE.FAT&amp;display_string=Audit&amp;VAR:KEY=QDKZIHCFYF&amp;VAR:QUERY=Q1NGX1NBTEVTKEFOTiwxMi8zMS8xOTgwLDEyLzMxLzIwMDksQVkp&amp;WINDOW=FIRST_POPUP&amp;HEIGHT=450&amp;WI","DTH=450&amp;START_MAXIMIZED=FALSE&amp;VAR:CALENDAR=US&amp;VAR:SYMBOL=MON&amp;VAR:INDEX=12"}</definedName>
    <definedName name="_145__FDSAUDITLINK__" hidden="1">{"fdsup://directions/FAT Viewer?action=UPDATE&amp;creator=factset&amp;DYN_ARGS=TRUE&amp;DOC_NAME=FAT:FQL_AUDITING_CLIENT_TEMPLATE.FAT&amp;display_string=Audit&amp;VAR:KEY=SRSNGBYDMH&amp;VAR:QUERY=Q1NGX0lOVEFOR19PVEgoQU5OLDE5OTUsMCk=&amp;WINDOW=FIRST_POPUP&amp;HEIGHT=450&amp;WIDTH=450&amp;START_MA","XIMIZED=FALSE&amp;VAR:CALENDAR=US&amp;VAR:SYMBOL=DOW&amp;VAR:INDEX=0"}</definedName>
    <definedName name="_1450__FDSAUDITLINK__" hidden="1">{"fdsup://directions/FAT Viewer?action=UPDATE&amp;creator=factset&amp;DYN_ARGS=TRUE&amp;DOC_NAME=FAT:FQL_AUDITING_CLIENT_TEMPLATE.FAT&amp;display_string=Audit&amp;VAR:KEY=QDKZIHCFYF&amp;VAR:QUERY=Q1NGX1NBTEVTKEFOTiwxMi8zMS8xOTgwLDEyLzMxLzIwMDksQVkp&amp;WINDOW=FIRST_POPUP&amp;HEIGHT=450&amp;WI","DTH=450&amp;START_MAXIMIZED=FALSE&amp;VAR:CALENDAR=US&amp;VAR:SYMBOL=MON&amp;VAR:INDEX=11"}</definedName>
    <definedName name="_1451__FDSAUDITLINK__" hidden="1">{"fdsup://directions/FAT Viewer?action=UPDATE&amp;creator=factset&amp;DYN_ARGS=TRUE&amp;DOC_NAME=FAT:FQL_AUDITING_CLIENT_TEMPLATE.FAT&amp;display_string=Audit&amp;VAR:KEY=QDKZIHCFYF&amp;VAR:QUERY=Q1NGX1NBTEVTKEFOTiwxMi8zMS8xOTgwLDEyLzMxLzIwMDksQVkp&amp;WINDOW=FIRST_POPUP&amp;HEIGHT=450&amp;WI","DTH=450&amp;START_MAXIMIZED=FALSE&amp;VAR:CALENDAR=US&amp;VAR:SYMBOL=MON&amp;VAR:INDEX=10"}</definedName>
    <definedName name="_1452__FDSAUDITLINK__" hidden="1">{"fdsup://directions/FAT Viewer?action=UPDATE&amp;creator=factset&amp;DYN_ARGS=TRUE&amp;DOC_NAME=FAT:FQL_AUDITING_CLIENT_TEMPLATE.FAT&amp;display_string=Audit&amp;VAR:KEY=QDKZIHCFYF&amp;VAR:QUERY=Q1NGX1NBTEVTKEFOTiwxMi8zMS8xOTgwLDEyLzMxLzIwMDksQVkp&amp;WINDOW=FIRST_POPUP&amp;HEIGHT=450&amp;WI","DTH=450&amp;START_MAXIMIZED=FALSE&amp;VAR:CALENDAR=US&amp;VAR:SYMBOL=MON&amp;VAR:INDEX=9"}</definedName>
    <definedName name="_1453__FDSAUDITLINK__" hidden="1">{"fdsup://directions/FAT Viewer?action=UPDATE&amp;creator=factset&amp;DYN_ARGS=TRUE&amp;DOC_NAME=FAT:FQL_AUDITING_CLIENT_TEMPLATE.FAT&amp;display_string=Audit&amp;VAR:KEY=QDKZIHCFYF&amp;VAR:QUERY=Q1NGX1NBTEVTKEFOTiwxMi8zMS8xOTgwLDEyLzMxLzIwMDksQVkp&amp;WINDOW=FIRST_POPUP&amp;HEIGHT=450&amp;WI","DTH=450&amp;START_MAXIMIZED=FALSE&amp;VAR:CALENDAR=US&amp;VAR:SYMBOL=MON&amp;VAR:INDEX=8"}</definedName>
    <definedName name="_1454__FDSAUDITLINK__" hidden="1">{"fdsup://directions/FAT Viewer?action=UPDATE&amp;creator=factset&amp;DYN_ARGS=TRUE&amp;DOC_NAME=FAT:FQL_AUDITING_CLIENT_TEMPLATE.FAT&amp;display_string=Audit&amp;VAR:KEY=QDKZIHCFYF&amp;VAR:QUERY=Q1NGX1NBTEVTKEFOTiwxMi8zMS8xOTgwLDEyLzMxLzIwMDksQVkp&amp;WINDOW=FIRST_POPUP&amp;HEIGHT=450&amp;WI","DTH=450&amp;START_MAXIMIZED=FALSE&amp;VAR:CALENDAR=US&amp;VAR:SYMBOL=MON&amp;VAR:INDEX=7"}</definedName>
    <definedName name="_1455__FDSAUDITLINK__" hidden="1">{"fdsup://directions/FAT Viewer?action=UPDATE&amp;creator=factset&amp;DYN_ARGS=TRUE&amp;DOC_NAME=FAT:FQL_AUDITING_CLIENT_TEMPLATE.FAT&amp;display_string=Audit&amp;VAR:KEY=QDKZIHCFYF&amp;VAR:QUERY=Q1NGX1NBTEVTKEFOTiwxMi8zMS8xOTgwLDEyLzMxLzIwMDksQVkp&amp;WINDOW=FIRST_POPUP&amp;HEIGHT=450&amp;WI","DTH=450&amp;START_MAXIMIZED=FALSE&amp;VAR:CALENDAR=US&amp;VAR:SYMBOL=MON&amp;VAR:INDEX=6"}</definedName>
    <definedName name="_1456__FDSAUDITLINK__" hidden="1">{"fdsup://directions/FAT Viewer?action=UPDATE&amp;creator=factset&amp;DYN_ARGS=TRUE&amp;DOC_NAME=FAT:FQL_AUDITING_CLIENT_TEMPLATE.FAT&amp;display_string=Audit&amp;VAR:KEY=QDKZIHCFYF&amp;VAR:QUERY=Q1NGX1NBTEVTKEFOTiwxMi8zMS8xOTgwLDEyLzMxLzIwMDksQVkp&amp;WINDOW=FIRST_POPUP&amp;HEIGHT=450&amp;WI","DTH=450&amp;START_MAXIMIZED=FALSE&amp;VAR:CALENDAR=US&amp;VAR:SYMBOL=MON&amp;VAR:INDEX=5"}</definedName>
    <definedName name="_1457__FDSAUDITLINK__" hidden="1">{"fdsup://directions/FAT Viewer?action=UPDATE&amp;creator=factset&amp;DYN_ARGS=TRUE&amp;DOC_NAME=FAT:FQL_AUDITING_CLIENT_TEMPLATE.FAT&amp;display_string=Audit&amp;VAR:KEY=QDKZIHCFYF&amp;VAR:QUERY=Q1NGX1NBTEVTKEFOTiwxMi8zMS8xOTgwLDEyLzMxLzIwMDksQVkp&amp;WINDOW=FIRST_POPUP&amp;HEIGHT=450&amp;WI","DTH=450&amp;START_MAXIMIZED=FALSE&amp;VAR:CALENDAR=US&amp;VAR:SYMBOL=MON&amp;VAR:INDEX=4"}</definedName>
    <definedName name="_1458__FDSAUDITLINK__" hidden="1">{"fdsup://directions/FAT Viewer?action=UPDATE&amp;creator=factset&amp;DYN_ARGS=TRUE&amp;DOC_NAME=FAT:FQL_AUDITING_CLIENT_TEMPLATE.FAT&amp;display_string=Audit&amp;VAR:KEY=QDKZIHCFYF&amp;VAR:QUERY=Q1NGX1NBTEVTKEFOTiwxMi8zMS8xOTgwLDEyLzMxLzIwMDksQVkp&amp;WINDOW=FIRST_POPUP&amp;HEIGHT=450&amp;WI","DTH=450&amp;START_MAXIMIZED=FALSE&amp;VAR:CALENDAR=US&amp;VAR:SYMBOL=MON&amp;VAR:INDEX=3"}</definedName>
    <definedName name="_1459__FDSAUDITLINK__" hidden="1">{"fdsup://directions/FAT Viewer?action=UPDATE&amp;creator=factset&amp;DYN_ARGS=TRUE&amp;DOC_NAME=FAT:FQL_AUDITING_CLIENT_TEMPLATE.FAT&amp;display_string=Audit&amp;VAR:KEY=QDKZIHCFYF&amp;VAR:QUERY=Q1NGX1NBTEVTKEFOTiwxMi8zMS8xOTgwLDEyLzMxLzIwMDksQVkp&amp;WINDOW=FIRST_POPUP&amp;HEIGHT=450&amp;WI","DTH=450&amp;START_MAXIMIZED=FALSE&amp;VAR:CALENDAR=US&amp;VAR:SYMBOL=MON&amp;VAR:INDEX=2"}</definedName>
    <definedName name="_146__FDSAUDITLINK__" hidden="1">{"fdsup://directions/FAT Viewer?action=UPDATE&amp;creator=factset&amp;DYN_ARGS=TRUE&amp;DOC_NAME=FAT:FQL_AUDITING_CLIENT_TEMPLATE.FAT&amp;display_string=Audit&amp;VAR:KEY=KHAFGFGXWF&amp;VAR:QUERY=Q1NGX0lOVkVOKFFUUl9SLC00KS1DU0ZfSU5WRU4oUVRSX1IsMCk=&amp;WINDOW=FIRST_POPUP&amp;HEIGHT=450&amp;WI","DTH=450&amp;START_MAXIMIZED=FALSE&amp;VAR:CALENDAR=US&amp;VAR:SYMBOL=DOW&amp;VAR:INDEX=0"}</definedName>
    <definedName name="_1460__FDSAUDITLINK__" hidden="1">{"fdsup://directions/FAT Viewer?action=UPDATE&amp;creator=factset&amp;DYN_ARGS=TRUE&amp;DOC_NAME=FAT:FQL_AUDITING_CLIENT_TEMPLATE.FAT&amp;display_string=Audit&amp;VAR:KEY=QDKZIHCFYF&amp;VAR:QUERY=Q1NGX1NBTEVTKEFOTiwxMi8zMS8xOTgwLDEyLzMxLzIwMDksQVkp&amp;WINDOW=FIRST_POPUP&amp;HEIGHT=450&amp;WI","DTH=450&amp;START_MAXIMIZED=FALSE&amp;VAR:CALENDAR=US&amp;VAR:SYMBOL=MON&amp;VAR:INDEX=1"}</definedName>
    <definedName name="_1461__FDSAUDITLINK__" hidden="1">{"fdsup://directions/FAT Viewer?action=UPDATE&amp;creator=factset&amp;DYN_ARGS=TRUE&amp;DOC_NAME=FAT:FQL_AUDITING_CLIENT_TEMPLATE.FAT&amp;display_string=Audit&amp;VAR:KEY=QDKZIHCFYF&amp;VAR:QUERY=Q1NGX1NBTEVTKEFOTiwxMi8zMS8xOTgwLDEyLzMxLzIwMDksQVkp&amp;WINDOW=FIRST_POPUP&amp;HEIGHT=450&amp;WI","DTH=450&amp;START_MAXIMIZED=FALSE&amp;VAR:CALENDAR=US&amp;VAR:SYMBOL=MON&amp;VAR:INDEX=0"}</definedName>
    <definedName name="_1462__FDSAUDITLINK__" hidden="1">{"fdsup://directions/FAT Viewer?action=UPDATE&amp;creator=factset&amp;DYN_ARGS=TRUE&amp;DOC_NAME=FAT:FQL_AUDITING_CLIENT_TEMPLATE.FAT&amp;display_string=Audit&amp;VAR:KEY=INWPSLATKP&amp;VAR:QUERY=Q1NGX1NBTEVTKEFOTiwxMi8zMS8xOTgwLDEyLzMxLzIwMDksQVkp&amp;WINDOW=FIRST_POPUP&amp;HEIGHT=450&amp;WI","DTH=450&amp;START_MAXIMIZED=FALSE&amp;VAR:CALENDAR=US&amp;VAR:SYMBOL=IPI&amp;VAR:INDEX=29"}</definedName>
    <definedName name="_1463__FDSAUDITLINK__" hidden="1">{"fdsup://directions/FAT Viewer?action=UPDATE&amp;creator=factset&amp;DYN_ARGS=TRUE&amp;DOC_NAME=FAT:FQL_AUDITING_CLIENT_TEMPLATE.FAT&amp;display_string=Audit&amp;VAR:KEY=INWPSLATKP&amp;VAR:QUERY=Q1NGX1NBTEVTKEFOTiwxMi8zMS8xOTgwLDEyLzMxLzIwMDksQVkp&amp;WINDOW=FIRST_POPUP&amp;HEIGHT=450&amp;WI","DTH=450&amp;START_MAXIMIZED=FALSE&amp;VAR:CALENDAR=US&amp;VAR:SYMBOL=IPI&amp;VAR:INDEX=28"}</definedName>
    <definedName name="_1464__FDSAUDITLINK__" hidden="1">{"fdsup://directions/FAT Viewer?action=UPDATE&amp;creator=factset&amp;DYN_ARGS=TRUE&amp;DOC_NAME=FAT:FQL_AUDITING_CLIENT_TEMPLATE.FAT&amp;display_string=Audit&amp;VAR:KEY=INWPSLATKP&amp;VAR:QUERY=Q1NGX1NBTEVTKEFOTiwxMi8zMS8xOTgwLDEyLzMxLzIwMDksQVkp&amp;WINDOW=FIRST_POPUP&amp;HEIGHT=450&amp;WI","DTH=450&amp;START_MAXIMIZED=FALSE&amp;VAR:CALENDAR=US&amp;VAR:SYMBOL=IPI&amp;VAR:INDEX=27"}</definedName>
    <definedName name="_1465__FDSAUDITLINK__" hidden="1">{"fdsup://directions/FAT Viewer?action=UPDATE&amp;creator=factset&amp;DYN_ARGS=TRUE&amp;DOC_NAME=FAT:FQL_AUDITING_CLIENT_TEMPLATE.FAT&amp;display_string=Audit&amp;VAR:KEY=INWPSLATKP&amp;VAR:QUERY=Q1NGX1NBTEVTKEFOTiwxMi8zMS8xOTgwLDEyLzMxLzIwMDksQVkp&amp;WINDOW=FIRST_POPUP&amp;HEIGHT=450&amp;WI","DTH=450&amp;START_MAXIMIZED=FALSE&amp;VAR:CALENDAR=US&amp;VAR:SYMBOL=IPI&amp;VAR:INDEX=26"}</definedName>
    <definedName name="_1466__FDSAUDITLINK__" hidden="1">{"fdsup://directions/FAT Viewer?action=UPDATE&amp;creator=factset&amp;DYN_ARGS=TRUE&amp;DOC_NAME=FAT:FQL_AUDITING_CLIENT_TEMPLATE.FAT&amp;display_string=Audit&amp;VAR:KEY=INWPSLATKP&amp;VAR:QUERY=Q1NGX1NBTEVTKEFOTiwxMi8zMS8xOTgwLDEyLzMxLzIwMDksQVkp&amp;WINDOW=FIRST_POPUP&amp;HEIGHT=450&amp;WI","DTH=450&amp;START_MAXIMIZED=FALSE&amp;VAR:CALENDAR=US&amp;VAR:SYMBOL=IPI&amp;VAR:INDEX=25"}</definedName>
    <definedName name="_1467__FDSAUDITLINK__" hidden="1">{"fdsup://directions/FAT Viewer?action=UPDATE&amp;creator=factset&amp;DYN_ARGS=TRUE&amp;DOC_NAME=FAT:FQL_AUDITING_CLIENT_TEMPLATE.FAT&amp;display_string=Audit&amp;VAR:KEY=INWPSLATKP&amp;VAR:QUERY=Q1NGX1NBTEVTKEFOTiwxMi8zMS8xOTgwLDEyLzMxLzIwMDksQVkp&amp;WINDOW=FIRST_POPUP&amp;HEIGHT=450&amp;WI","DTH=450&amp;START_MAXIMIZED=FALSE&amp;VAR:CALENDAR=US&amp;VAR:SYMBOL=IPI&amp;VAR:INDEX=24"}</definedName>
    <definedName name="_1468__FDSAUDITLINK__" hidden="1">{"fdsup://directions/FAT Viewer?action=UPDATE&amp;creator=factset&amp;DYN_ARGS=TRUE&amp;DOC_NAME=FAT:FQL_AUDITING_CLIENT_TEMPLATE.FAT&amp;display_string=Audit&amp;VAR:KEY=INWPSLATKP&amp;VAR:QUERY=Q1NGX1NBTEVTKEFOTiwxMi8zMS8xOTgwLDEyLzMxLzIwMDksQVkp&amp;WINDOW=FIRST_POPUP&amp;HEIGHT=450&amp;WI","DTH=450&amp;START_MAXIMIZED=FALSE&amp;VAR:CALENDAR=US&amp;VAR:SYMBOL=IPI&amp;VAR:INDEX=23"}</definedName>
    <definedName name="_1469__FDSAUDITLINK__" hidden="1">{"fdsup://directions/FAT Viewer?action=UPDATE&amp;creator=factset&amp;DYN_ARGS=TRUE&amp;DOC_NAME=FAT:FQL_AUDITING_CLIENT_TEMPLATE.FAT&amp;display_string=Audit&amp;VAR:KEY=INWPSLATKP&amp;VAR:QUERY=Q1NGX1NBTEVTKEFOTiwxMi8zMS8xOTgwLDEyLzMxLzIwMDksQVkp&amp;WINDOW=FIRST_POPUP&amp;HEIGHT=450&amp;WI","DTH=450&amp;START_MAXIMIZED=FALSE&amp;VAR:CALENDAR=US&amp;VAR:SYMBOL=IPI&amp;VAR:INDEX=22"}</definedName>
    <definedName name="_147__FDSAUDITLINK__" hidden="1">{"fdsup://directions/FAT Viewer?action=UPDATE&amp;creator=factset&amp;DYN_ARGS=TRUE&amp;DOC_NAME=FAT:FQL_AUDITING_CLIENT_TEMPLATE.FAT&amp;display_string=Audit&amp;VAR:KEY=CLWDWJSBEP&amp;VAR:QUERY=Q1NGX0lOVF9FWFBfTkVUKExUTV9SLDAp&amp;WINDOW=FIRST_POPUP&amp;HEIGHT=450&amp;WIDTH=450&amp;START_MAXIMI","ZED=FALSE&amp;VAR:CALENDAR=US&amp;VAR:SYMBOL=DOW&amp;VAR:INDEX=0"}</definedName>
    <definedName name="_1470__FDSAUDITLINK__" hidden="1">{"fdsup://directions/FAT Viewer?action=UPDATE&amp;creator=factset&amp;DYN_ARGS=TRUE&amp;DOC_NAME=FAT:FQL_AUDITING_CLIENT_TEMPLATE.FAT&amp;display_string=Audit&amp;VAR:KEY=INWPSLATKP&amp;VAR:QUERY=Q1NGX1NBTEVTKEFOTiwxMi8zMS8xOTgwLDEyLzMxLzIwMDksQVkp&amp;WINDOW=FIRST_POPUP&amp;HEIGHT=450&amp;WI","DTH=450&amp;START_MAXIMIZED=FALSE&amp;VAR:CALENDAR=US&amp;VAR:SYMBOL=IPI&amp;VAR:INDEX=21"}</definedName>
    <definedName name="_1471__FDSAUDITLINK__" hidden="1">{"fdsup://directions/FAT Viewer?action=UPDATE&amp;creator=factset&amp;DYN_ARGS=TRUE&amp;DOC_NAME=FAT:FQL_AUDITING_CLIENT_TEMPLATE.FAT&amp;display_string=Audit&amp;VAR:KEY=INWPSLATKP&amp;VAR:QUERY=Q1NGX1NBTEVTKEFOTiwxMi8zMS8xOTgwLDEyLzMxLzIwMDksQVkp&amp;WINDOW=FIRST_POPUP&amp;HEIGHT=450&amp;WI","DTH=450&amp;START_MAXIMIZED=FALSE&amp;VAR:CALENDAR=US&amp;VAR:SYMBOL=IPI&amp;VAR:INDEX=20"}</definedName>
    <definedName name="_1472__FDSAUDITLINK__" hidden="1">{"fdsup://directions/FAT Viewer?action=UPDATE&amp;creator=factset&amp;DYN_ARGS=TRUE&amp;DOC_NAME=FAT:FQL_AUDITING_CLIENT_TEMPLATE.FAT&amp;display_string=Audit&amp;VAR:KEY=INWPSLATKP&amp;VAR:QUERY=Q1NGX1NBTEVTKEFOTiwxMi8zMS8xOTgwLDEyLzMxLzIwMDksQVkp&amp;WINDOW=FIRST_POPUP&amp;HEIGHT=450&amp;WI","DTH=450&amp;START_MAXIMIZED=FALSE&amp;VAR:CALENDAR=US&amp;VAR:SYMBOL=IPI&amp;VAR:INDEX=19"}</definedName>
    <definedName name="_1473__FDSAUDITLINK__" hidden="1">{"fdsup://directions/FAT Viewer?action=UPDATE&amp;creator=factset&amp;DYN_ARGS=TRUE&amp;DOC_NAME=FAT:FQL_AUDITING_CLIENT_TEMPLATE.FAT&amp;display_string=Audit&amp;VAR:KEY=INWPSLATKP&amp;VAR:QUERY=Q1NGX1NBTEVTKEFOTiwxMi8zMS8xOTgwLDEyLzMxLzIwMDksQVkp&amp;WINDOW=FIRST_POPUP&amp;HEIGHT=450&amp;WI","DTH=450&amp;START_MAXIMIZED=FALSE&amp;VAR:CALENDAR=US&amp;VAR:SYMBOL=IPI&amp;VAR:INDEX=18"}</definedName>
    <definedName name="_1474__FDSAUDITLINK__" hidden="1">{"fdsup://directions/FAT Viewer?action=UPDATE&amp;creator=factset&amp;DYN_ARGS=TRUE&amp;DOC_NAME=FAT:FQL_AUDITING_CLIENT_TEMPLATE.FAT&amp;display_string=Audit&amp;VAR:KEY=INWPSLATKP&amp;VAR:QUERY=Q1NGX1NBTEVTKEFOTiwxMi8zMS8xOTgwLDEyLzMxLzIwMDksQVkp&amp;WINDOW=FIRST_POPUP&amp;HEIGHT=450&amp;WI","DTH=450&amp;START_MAXIMIZED=FALSE&amp;VAR:CALENDAR=US&amp;VAR:SYMBOL=IPI&amp;VAR:INDEX=17"}</definedName>
    <definedName name="_1475__FDSAUDITLINK__" hidden="1">{"fdsup://directions/FAT Viewer?action=UPDATE&amp;creator=factset&amp;DYN_ARGS=TRUE&amp;DOC_NAME=FAT:FQL_AUDITING_CLIENT_TEMPLATE.FAT&amp;display_string=Audit&amp;VAR:KEY=INWPSLATKP&amp;VAR:QUERY=Q1NGX1NBTEVTKEFOTiwxMi8zMS8xOTgwLDEyLzMxLzIwMDksQVkp&amp;WINDOW=FIRST_POPUP&amp;HEIGHT=450&amp;WI","DTH=450&amp;START_MAXIMIZED=FALSE&amp;VAR:CALENDAR=US&amp;VAR:SYMBOL=IPI&amp;VAR:INDEX=16"}</definedName>
    <definedName name="_1476__FDSAUDITLINK__" hidden="1">{"fdsup://directions/FAT Viewer?action=UPDATE&amp;creator=factset&amp;DYN_ARGS=TRUE&amp;DOC_NAME=FAT:FQL_AUDITING_CLIENT_TEMPLATE.FAT&amp;display_string=Audit&amp;VAR:KEY=INWPSLATKP&amp;VAR:QUERY=Q1NGX1NBTEVTKEFOTiwxMi8zMS8xOTgwLDEyLzMxLzIwMDksQVkp&amp;WINDOW=FIRST_POPUP&amp;HEIGHT=450&amp;WI","DTH=450&amp;START_MAXIMIZED=FALSE&amp;VAR:CALENDAR=US&amp;VAR:SYMBOL=IPI&amp;VAR:INDEX=15"}</definedName>
    <definedName name="_1477__FDSAUDITLINK__" hidden="1">{"fdsup://directions/FAT Viewer?action=UPDATE&amp;creator=factset&amp;DYN_ARGS=TRUE&amp;DOC_NAME=FAT:FQL_AUDITING_CLIENT_TEMPLATE.FAT&amp;display_string=Audit&amp;VAR:KEY=INWPSLATKP&amp;VAR:QUERY=Q1NGX1NBTEVTKEFOTiwxMi8zMS8xOTgwLDEyLzMxLzIwMDksQVkp&amp;WINDOW=FIRST_POPUP&amp;HEIGHT=450&amp;WI","DTH=450&amp;START_MAXIMIZED=FALSE&amp;VAR:CALENDAR=US&amp;VAR:SYMBOL=IPI&amp;VAR:INDEX=14"}</definedName>
    <definedName name="_1478__FDSAUDITLINK__" hidden="1">{"fdsup://directions/FAT Viewer?action=UPDATE&amp;creator=factset&amp;DYN_ARGS=TRUE&amp;DOC_NAME=FAT:FQL_AUDITING_CLIENT_TEMPLATE.FAT&amp;display_string=Audit&amp;VAR:KEY=INWPSLATKP&amp;VAR:QUERY=Q1NGX1NBTEVTKEFOTiwxMi8zMS8xOTgwLDEyLzMxLzIwMDksQVkp&amp;WINDOW=FIRST_POPUP&amp;HEIGHT=450&amp;WI","DTH=450&amp;START_MAXIMIZED=FALSE&amp;VAR:CALENDAR=US&amp;VAR:SYMBOL=IPI&amp;VAR:INDEX=13"}</definedName>
    <definedName name="_1479__FDSAUDITLINK__" hidden="1">{"fdsup://directions/FAT Viewer?action=UPDATE&amp;creator=factset&amp;DYN_ARGS=TRUE&amp;DOC_NAME=FAT:FQL_AUDITING_CLIENT_TEMPLATE.FAT&amp;display_string=Audit&amp;VAR:KEY=INWPSLATKP&amp;VAR:QUERY=Q1NGX1NBTEVTKEFOTiwxMi8zMS8xOTgwLDEyLzMxLzIwMDksQVkp&amp;WINDOW=FIRST_POPUP&amp;HEIGHT=450&amp;WI","DTH=450&amp;START_MAXIMIZED=FALSE&amp;VAR:CALENDAR=US&amp;VAR:SYMBOL=IPI&amp;VAR:INDEX=12"}</definedName>
    <definedName name="_148__FDSAUDITLINK__" hidden="1">{"fdsup://directions/FAT Viewer?action=UPDATE&amp;creator=factset&amp;DYN_ARGS=TRUE&amp;DOC_NAME=FAT:FQL_AUDITING_CLIENT_TEMPLATE.FAT&amp;display_string=Audit&amp;VAR:KEY=EJEHEJIFGT&amp;VAR:QUERY=Q1NGX0lOVF9FWFBfTkVUKEFOTiwxOTk1LDAp&amp;WINDOW=FIRST_POPUP&amp;HEIGHT=450&amp;WIDTH=450&amp;START_MA","XIMIZED=FALSE&amp;VAR:CALENDAR=US&amp;VAR:SYMBOL=DOW&amp;VAR:INDEX=14"}</definedName>
    <definedName name="_1480__FDSAUDITLINK__" hidden="1">{"fdsup://directions/FAT Viewer?action=UPDATE&amp;creator=factset&amp;DYN_ARGS=TRUE&amp;DOC_NAME=FAT:FQL_AUDITING_CLIENT_TEMPLATE.FAT&amp;display_string=Audit&amp;VAR:KEY=INWPSLATKP&amp;VAR:QUERY=Q1NGX1NBTEVTKEFOTiwxMi8zMS8xOTgwLDEyLzMxLzIwMDksQVkp&amp;WINDOW=FIRST_POPUP&amp;HEIGHT=450&amp;WI","DTH=450&amp;START_MAXIMIZED=FALSE&amp;VAR:CALENDAR=US&amp;VAR:SYMBOL=IPI&amp;VAR:INDEX=11"}</definedName>
    <definedName name="_1481__FDSAUDITLINK__" hidden="1">{"fdsup://directions/FAT Viewer?action=UPDATE&amp;creator=factset&amp;DYN_ARGS=TRUE&amp;DOC_NAME=FAT:FQL_AUDITING_CLIENT_TEMPLATE.FAT&amp;display_string=Audit&amp;VAR:KEY=INWPSLATKP&amp;VAR:QUERY=Q1NGX1NBTEVTKEFOTiwxMi8zMS8xOTgwLDEyLzMxLzIwMDksQVkp&amp;WINDOW=FIRST_POPUP&amp;HEIGHT=450&amp;WI","DTH=450&amp;START_MAXIMIZED=FALSE&amp;VAR:CALENDAR=US&amp;VAR:SYMBOL=IPI&amp;VAR:INDEX=10"}</definedName>
    <definedName name="_1482__FDSAUDITLINK__" hidden="1">{"fdsup://directions/FAT Viewer?action=UPDATE&amp;creator=factset&amp;DYN_ARGS=TRUE&amp;DOC_NAME=FAT:FQL_AUDITING_CLIENT_TEMPLATE.FAT&amp;display_string=Audit&amp;VAR:KEY=INWPSLATKP&amp;VAR:QUERY=Q1NGX1NBTEVTKEFOTiwxMi8zMS8xOTgwLDEyLzMxLzIwMDksQVkp&amp;WINDOW=FIRST_POPUP&amp;HEIGHT=450&amp;WI","DTH=450&amp;START_MAXIMIZED=FALSE&amp;VAR:CALENDAR=US&amp;VAR:SYMBOL=IPI&amp;VAR:INDEX=9"}</definedName>
    <definedName name="_1483__FDSAUDITLINK__" hidden="1">{"fdsup://directions/FAT Viewer?action=UPDATE&amp;creator=factset&amp;DYN_ARGS=TRUE&amp;DOC_NAME=FAT:FQL_AUDITING_CLIENT_TEMPLATE.FAT&amp;display_string=Audit&amp;VAR:KEY=INWPSLATKP&amp;VAR:QUERY=Q1NGX1NBTEVTKEFOTiwxMi8zMS8xOTgwLDEyLzMxLzIwMDksQVkp&amp;WINDOW=FIRST_POPUP&amp;HEIGHT=450&amp;WI","DTH=450&amp;START_MAXIMIZED=FALSE&amp;VAR:CALENDAR=US&amp;VAR:SYMBOL=IPI&amp;VAR:INDEX=8"}</definedName>
    <definedName name="_1484__FDSAUDITLINK__" hidden="1">{"fdsup://directions/FAT Viewer?action=UPDATE&amp;creator=factset&amp;DYN_ARGS=TRUE&amp;DOC_NAME=FAT:FQL_AUDITING_CLIENT_TEMPLATE.FAT&amp;display_string=Audit&amp;VAR:KEY=INWPSLATKP&amp;VAR:QUERY=Q1NGX1NBTEVTKEFOTiwxMi8zMS8xOTgwLDEyLzMxLzIwMDksQVkp&amp;WINDOW=FIRST_POPUP&amp;HEIGHT=450&amp;WI","DTH=450&amp;START_MAXIMIZED=FALSE&amp;VAR:CALENDAR=US&amp;VAR:SYMBOL=IPI&amp;VAR:INDEX=7"}</definedName>
    <definedName name="_1485__FDSAUDITLINK__" hidden="1">{"fdsup://directions/FAT Viewer?action=UPDATE&amp;creator=factset&amp;DYN_ARGS=TRUE&amp;DOC_NAME=FAT:FQL_AUDITING_CLIENT_TEMPLATE.FAT&amp;display_string=Audit&amp;VAR:KEY=INWPSLATKP&amp;VAR:QUERY=Q1NGX1NBTEVTKEFOTiwxMi8zMS8xOTgwLDEyLzMxLzIwMDksQVkp&amp;WINDOW=FIRST_POPUP&amp;HEIGHT=450&amp;WI","DTH=450&amp;START_MAXIMIZED=FALSE&amp;VAR:CALENDAR=US&amp;VAR:SYMBOL=IPI&amp;VAR:INDEX=6"}</definedName>
    <definedName name="_1486__FDSAUDITLINK__" hidden="1">{"fdsup://directions/FAT Viewer?action=UPDATE&amp;creator=factset&amp;DYN_ARGS=TRUE&amp;DOC_NAME=FAT:FQL_AUDITING_CLIENT_TEMPLATE.FAT&amp;display_string=Audit&amp;VAR:KEY=INWPSLATKP&amp;VAR:QUERY=Q1NGX1NBTEVTKEFOTiwxMi8zMS8xOTgwLDEyLzMxLzIwMDksQVkp&amp;WINDOW=FIRST_POPUP&amp;HEIGHT=450&amp;WI","DTH=450&amp;START_MAXIMIZED=FALSE&amp;VAR:CALENDAR=US&amp;VAR:SYMBOL=IPI&amp;VAR:INDEX=5"}</definedName>
    <definedName name="_1487__FDSAUDITLINK__" hidden="1">{"fdsup://directions/FAT Viewer?action=UPDATE&amp;creator=factset&amp;DYN_ARGS=TRUE&amp;DOC_NAME=FAT:FQL_AUDITING_CLIENT_TEMPLATE.FAT&amp;display_string=Audit&amp;VAR:KEY=INWPSLATKP&amp;VAR:QUERY=Q1NGX1NBTEVTKEFOTiwxMi8zMS8xOTgwLDEyLzMxLzIwMDksQVkp&amp;WINDOW=FIRST_POPUP&amp;HEIGHT=450&amp;WI","DTH=450&amp;START_MAXIMIZED=FALSE&amp;VAR:CALENDAR=US&amp;VAR:SYMBOL=IPI&amp;VAR:INDEX=4"}</definedName>
    <definedName name="_1488__FDSAUDITLINK__" hidden="1">{"fdsup://directions/FAT Viewer?action=UPDATE&amp;creator=factset&amp;DYN_ARGS=TRUE&amp;DOC_NAME=FAT:FQL_AUDITING_CLIENT_TEMPLATE.FAT&amp;display_string=Audit&amp;VAR:KEY=INWPSLATKP&amp;VAR:QUERY=Q1NGX1NBTEVTKEFOTiwxMi8zMS8xOTgwLDEyLzMxLzIwMDksQVkp&amp;WINDOW=FIRST_POPUP&amp;HEIGHT=450&amp;WI","DTH=450&amp;START_MAXIMIZED=FALSE&amp;VAR:CALENDAR=US&amp;VAR:SYMBOL=IPI&amp;VAR:INDEX=3"}</definedName>
    <definedName name="_1489__FDSAUDITLINK__" hidden="1">{"fdsup://directions/FAT Viewer?action=UPDATE&amp;creator=factset&amp;DYN_ARGS=TRUE&amp;DOC_NAME=FAT:FQL_AUDITING_CLIENT_TEMPLATE.FAT&amp;display_string=Audit&amp;VAR:KEY=INWPSLATKP&amp;VAR:QUERY=Q1NGX1NBTEVTKEFOTiwxMi8zMS8xOTgwLDEyLzMxLzIwMDksQVkp&amp;WINDOW=FIRST_POPUP&amp;HEIGHT=450&amp;WI","DTH=450&amp;START_MAXIMIZED=FALSE&amp;VAR:CALENDAR=US&amp;VAR:SYMBOL=IPI&amp;VAR:INDEX=2"}</definedName>
    <definedName name="_149__FDSAUDITLINK__" hidden="1">{"fdsup://directions/FAT Viewer?action=UPDATE&amp;creator=factset&amp;DYN_ARGS=TRUE&amp;DOC_NAME=FAT:FQL_AUDITING_CLIENT_TEMPLATE.FAT&amp;display_string=Audit&amp;VAR:KEY=EJEHEJIFGT&amp;VAR:QUERY=Q1NGX0lOVF9FWFBfTkVUKEFOTiwxOTk1LDAp&amp;WINDOW=FIRST_POPUP&amp;HEIGHT=450&amp;WIDTH=450&amp;START_MA","XIMIZED=FALSE&amp;VAR:CALENDAR=US&amp;VAR:SYMBOL=DOW&amp;VAR:INDEX=13"}</definedName>
    <definedName name="_1490__FDSAUDITLINK__" hidden="1">{"fdsup://directions/FAT Viewer?action=UPDATE&amp;creator=factset&amp;DYN_ARGS=TRUE&amp;DOC_NAME=FAT:FQL_AUDITING_CLIENT_TEMPLATE.FAT&amp;display_string=Audit&amp;VAR:KEY=INWPSLATKP&amp;VAR:QUERY=Q1NGX1NBTEVTKEFOTiwxMi8zMS8xOTgwLDEyLzMxLzIwMDksQVkp&amp;WINDOW=FIRST_POPUP&amp;HEIGHT=450&amp;WI","DTH=450&amp;START_MAXIMIZED=FALSE&amp;VAR:CALENDAR=US&amp;VAR:SYMBOL=IPI&amp;VAR:INDEX=1"}</definedName>
    <definedName name="_1491__FDSAUDITLINK__" hidden="1">{"fdsup://directions/FAT Viewer?action=UPDATE&amp;creator=factset&amp;DYN_ARGS=TRUE&amp;DOC_NAME=FAT:FQL_AUDITING_CLIENT_TEMPLATE.FAT&amp;display_string=Audit&amp;VAR:KEY=INWPSLATKP&amp;VAR:QUERY=Q1NGX1NBTEVTKEFOTiwxMi8zMS8xOTgwLDEyLzMxLzIwMDksQVkp&amp;WINDOW=FIRST_POPUP&amp;HEIGHT=450&amp;WI","DTH=450&amp;START_MAXIMIZED=FALSE&amp;VAR:CALENDAR=US&amp;VAR:SYMBOL=IPI&amp;VAR:INDEX=0"}</definedName>
    <definedName name="_1492__FDSAUDITLINK__" hidden="1">{"fdsup://directions/FAT Viewer?action=UPDATE&amp;creator=factset&amp;DYN_ARGS=TRUE&amp;DOC_NAME=FAT:FQL_AUDITING_CLIENT_TEMPLATE.FAT&amp;display_string=Audit&amp;VAR:KEY=SNYHAJMZSV&amp;VAR:QUERY=Q1NGX1NBTEVTKEFOTiwxMi8zMS8xOTgwLDEyLzMxLzIwMDksQVkp&amp;WINDOW=FIRST_POPUP&amp;HEIGHT=450&amp;WI","DTH=450&amp;START_MAXIMIZED=FALSE&amp;VAR:CALENDAR=US&amp;VAR:SYMBOL=CF&amp;VAR:INDEX=29"}</definedName>
    <definedName name="_1493__FDSAUDITLINK__" hidden="1">{"fdsup://directions/FAT Viewer?action=UPDATE&amp;creator=factset&amp;DYN_ARGS=TRUE&amp;DOC_NAME=FAT:FQL_AUDITING_CLIENT_TEMPLATE.FAT&amp;display_string=Audit&amp;VAR:KEY=SNYHAJMZSV&amp;VAR:QUERY=Q1NGX1NBTEVTKEFOTiwxMi8zMS8xOTgwLDEyLzMxLzIwMDksQVkp&amp;WINDOW=FIRST_POPUP&amp;HEIGHT=450&amp;WI","DTH=450&amp;START_MAXIMIZED=FALSE&amp;VAR:CALENDAR=US&amp;VAR:SYMBOL=CF&amp;VAR:INDEX=28"}</definedName>
    <definedName name="_1494__FDSAUDITLINK__" hidden="1">{"fdsup://directions/FAT Viewer?action=UPDATE&amp;creator=factset&amp;DYN_ARGS=TRUE&amp;DOC_NAME=FAT:FQL_AUDITING_CLIENT_TEMPLATE.FAT&amp;display_string=Audit&amp;VAR:KEY=SNYHAJMZSV&amp;VAR:QUERY=Q1NGX1NBTEVTKEFOTiwxMi8zMS8xOTgwLDEyLzMxLzIwMDksQVkp&amp;WINDOW=FIRST_POPUP&amp;HEIGHT=450&amp;WI","DTH=450&amp;START_MAXIMIZED=FALSE&amp;VAR:CALENDAR=US&amp;VAR:SYMBOL=CF&amp;VAR:INDEX=27"}</definedName>
    <definedName name="_1495__FDSAUDITLINK__" hidden="1">{"fdsup://directions/FAT Viewer?action=UPDATE&amp;creator=factset&amp;DYN_ARGS=TRUE&amp;DOC_NAME=FAT:FQL_AUDITING_CLIENT_TEMPLATE.FAT&amp;display_string=Audit&amp;VAR:KEY=SNYHAJMZSV&amp;VAR:QUERY=Q1NGX1NBTEVTKEFOTiwxMi8zMS8xOTgwLDEyLzMxLzIwMDksQVkp&amp;WINDOW=FIRST_POPUP&amp;HEIGHT=450&amp;WI","DTH=450&amp;START_MAXIMIZED=FALSE&amp;VAR:CALENDAR=US&amp;VAR:SYMBOL=CF&amp;VAR:INDEX=26"}</definedName>
    <definedName name="_1496__FDSAUDITLINK__" hidden="1">{"fdsup://directions/FAT Viewer?action=UPDATE&amp;creator=factset&amp;DYN_ARGS=TRUE&amp;DOC_NAME=FAT:FQL_AUDITING_CLIENT_TEMPLATE.FAT&amp;display_string=Audit&amp;VAR:KEY=SNYHAJMZSV&amp;VAR:QUERY=Q1NGX1NBTEVTKEFOTiwxMi8zMS8xOTgwLDEyLzMxLzIwMDksQVkp&amp;WINDOW=FIRST_POPUP&amp;HEIGHT=450&amp;WI","DTH=450&amp;START_MAXIMIZED=FALSE&amp;VAR:CALENDAR=US&amp;VAR:SYMBOL=CF&amp;VAR:INDEX=25"}</definedName>
    <definedName name="_1497__FDSAUDITLINK__" hidden="1">{"fdsup://directions/FAT Viewer?action=UPDATE&amp;creator=factset&amp;DYN_ARGS=TRUE&amp;DOC_NAME=FAT:FQL_AUDITING_CLIENT_TEMPLATE.FAT&amp;display_string=Audit&amp;VAR:KEY=SNYHAJMZSV&amp;VAR:QUERY=Q1NGX1NBTEVTKEFOTiwxMi8zMS8xOTgwLDEyLzMxLzIwMDksQVkp&amp;WINDOW=FIRST_POPUP&amp;HEIGHT=450&amp;WI","DTH=450&amp;START_MAXIMIZED=FALSE&amp;VAR:CALENDAR=US&amp;VAR:SYMBOL=CF&amp;VAR:INDEX=24"}</definedName>
    <definedName name="_1498__FDSAUDITLINK__" hidden="1">{"fdsup://directions/FAT Viewer?action=UPDATE&amp;creator=factset&amp;DYN_ARGS=TRUE&amp;DOC_NAME=FAT:FQL_AUDITING_CLIENT_TEMPLATE.FAT&amp;display_string=Audit&amp;VAR:KEY=SNYHAJMZSV&amp;VAR:QUERY=Q1NGX1NBTEVTKEFOTiwxMi8zMS8xOTgwLDEyLzMxLzIwMDksQVkp&amp;WINDOW=FIRST_POPUP&amp;HEIGHT=450&amp;WI","DTH=450&amp;START_MAXIMIZED=FALSE&amp;VAR:CALENDAR=US&amp;VAR:SYMBOL=CF&amp;VAR:INDEX=23"}</definedName>
    <definedName name="_1499__FDSAUDITLINK__" hidden="1">{"fdsup://directions/FAT Viewer?action=UPDATE&amp;creator=factset&amp;DYN_ARGS=TRUE&amp;DOC_NAME=FAT:FQL_AUDITING_CLIENT_TEMPLATE.FAT&amp;display_string=Audit&amp;VAR:KEY=SNYHAJMZSV&amp;VAR:QUERY=Q1NGX1NBTEVTKEFOTiwxMi8zMS8xOTgwLDEyLzMxLzIwMDksQVkp&amp;WINDOW=FIRST_POPUP&amp;HEIGHT=450&amp;WI","DTH=450&amp;START_MAXIMIZED=FALSE&amp;VAR:CALENDAR=US&amp;VAR:SYMBOL=CF&amp;VAR:INDEX=22"}</definedName>
    <definedName name="_15__FDSAUDITLINK__" hidden="1">{"fdsup://directions/FAT Viewer?action=UPDATE&amp;creator=factset&amp;DYN_ARGS=TRUE&amp;DOC_NAME=FAT:FQL_AUDITING_CLIENT_TEMPLATE.FAT&amp;display_string=Audit&amp;VAR:KEY=OXCRWLQDMJ&amp;VAR:QUERY=Q1NGX0RFQlQoUVRSX1IsMCk=&amp;WINDOW=FIRST_POPUP&amp;HEIGHT=450&amp;WIDTH=450&amp;START_MAXIMIZED=FALS","E&amp;VAR:CALENDAR=US&amp;VAR:SYMBOL=FMC&amp;VAR:INDEX=0"}</definedName>
    <definedName name="_150__FDSAUDITLINK__" hidden="1">{"fdsup://directions/FAT Viewer?action=UPDATE&amp;creator=factset&amp;DYN_ARGS=TRUE&amp;DOC_NAME=FAT:FQL_AUDITING_CLIENT_TEMPLATE.FAT&amp;display_string=Audit&amp;VAR:KEY=EJEHEJIFGT&amp;VAR:QUERY=Q1NGX0lOVF9FWFBfTkVUKEFOTiwxOTk1LDAp&amp;WINDOW=FIRST_POPUP&amp;HEIGHT=450&amp;WIDTH=450&amp;START_MA","XIMIZED=FALSE&amp;VAR:CALENDAR=US&amp;VAR:SYMBOL=DOW&amp;VAR:INDEX=12"}</definedName>
    <definedName name="_1500__FDSAUDITLINK__" hidden="1">{"fdsup://directions/FAT Viewer?action=UPDATE&amp;creator=factset&amp;DYN_ARGS=TRUE&amp;DOC_NAME=FAT:FQL_AUDITING_CLIENT_TEMPLATE.FAT&amp;display_string=Audit&amp;VAR:KEY=SNYHAJMZSV&amp;VAR:QUERY=Q1NGX1NBTEVTKEFOTiwxMi8zMS8xOTgwLDEyLzMxLzIwMDksQVkp&amp;WINDOW=FIRST_POPUP&amp;HEIGHT=450&amp;WI","DTH=450&amp;START_MAXIMIZED=FALSE&amp;VAR:CALENDAR=US&amp;VAR:SYMBOL=CF&amp;VAR:INDEX=21"}</definedName>
    <definedName name="_1501__FDSAUDITLINK__" hidden="1">{"fdsup://directions/FAT Viewer?action=UPDATE&amp;creator=factset&amp;DYN_ARGS=TRUE&amp;DOC_NAME=FAT:FQL_AUDITING_CLIENT_TEMPLATE.FAT&amp;display_string=Audit&amp;VAR:KEY=SNYHAJMZSV&amp;VAR:QUERY=Q1NGX1NBTEVTKEFOTiwxMi8zMS8xOTgwLDEyLzMxLzIwMDksQVkp&amp;WINDOW=FIRST_POPUP&amp;HEIGHT=450&amp;WI","DTH=450&amp;START_MAXIMIZED=FALSE&amp;VAR:CALENDAR=US&amp;VAR:SYMBOL=CF&amp;VAR:INDEX=20"}</definedName>
    <definedName name="_1502__FDSAUDITLINK__" hidden="1">{"fdsup://directions/FAT Viewer?action=UPDATE&amp;creator=factset&amp;DYN_ARGS=TRUE&amp;DOC_NAME=FAT:FQL_AUDITING_CLIENT_TEMPLATE.FAT&amp;display_string=Audit&amp;VAR:KEY=SNYHAJMZSV&amp;VAR:QUERY=Q1NGX1NBTEVTKEFOTiwxMi8zMS8xOTgwLDEyLzMxLzIwMDksQVkp&amp;WINDOW=FIRST_POPUP&amp;HEIGHT=450&amp;WI","DTH=450&amp;START_MAXIMIZED=FALSE&amp;VAR:CALENDAR=US&amp;VAR:SYMBOL=CF&amp;VAR:INDEX=19"}</definedName>
    <definedName name="_1503__FDSAUDITLINK__" hidden="1">{"fdsup://directions/FAT Viewer?action=UPDATE&amp;creator=factset&amp;DYN_ARGS=TRUE&amp;DOC_NAME=FAT:FQL_AUDITING_CLIENT_TEMPLATE.FAT&amp;display_string=Audit&amp;VAR:KEY=SNYHAJMZSV&amp;VAR:QUERY=Q1NGX1NBTEVTKEFOTiwxMi8zMS8xOTgwLDEyLzMxLzIwMDksQVkp&amp;WINDOW=FIRST_POPUP&amp;HEIGHT=450&amp;WI","DTH=450&amp;START_MAXIMIZED=FALSE&amp;VAR:CALENDAR=US&amp;VAR:SYMBOL=CF&amp;VAR:INDEX=18"}</definedName>
    <definedName name="_1504__FDSAUDITLINK__" hidden="1">{"fdsup://directions/FAT Viewer?action=UPDATE&amp;creator=factset&amp;DYN_ARGS=TRUE&amp;DOC_NAME=FAT:FQL_AUDITING_CLIENT_TEMPLATE.FAT&amp;display_string=Audit&amp;VAR:KEY=SNYHAJMZSV&amp;VAR:QUERY=Q1NGX1NBTEVTKEFOTiwxMi8zMS8xOTgwLDEyLzMxLzIwMDksQVkp&amp;WINDOW=FIRST_POPUP&amp;HEIGHT=450&amp;WI","DTH=450&amp;START_MAXIMIZED=FALSE&amp;VAR:CALENDAR=US&amp;VAR:SYMBOL=CF&amp;VAR:INDEX=17"}</definedName>
    <definedName name="_1505__FDSAUDITLINK__" hidden="1">{"fdsup://directions/FAT Viewer?action=UPDATE&amp;creator=factset&amp;DYN_ARGS=TRUE&amp;DOC_NAME=FAT:FQL_AUDITING_CLIENT_TEMPLATE.FAT&amp;display_string=Audit&amp;VAR:KEY=SNYHAJMZSV&amp;VAR:QUERY=Q1NGX1NBTEVTKEFOTiwxMi8zMS8xOTgwLDEyLzMxLzIwMDksQVkp&amp;WINDOW=FIRST_POPUP&amp;HEIGHT=450&amp;WI","DTH=450&amp;START_MAXIMIZED=FALSE&amp;VAR:CALENDAR=US&amp;VAR:SYMBOL=CF&amp;VAR:INDEX=16"}</definedName>
    <definedName name="_1506__FDSAUDITLINK__" hidden="1">{"fdsup://directions/FAT Viewer?action=UPDATE&amp;creator=factset&amp;DYN_ARGS=TRUE&amp;DOC_NAME=FAT:FQL_AUDITING_CLIENT_TEMPLATE.FAT&amp;display_string=Audit&amp;VAR:KEY=SNYHAJMZSV&amp;VAR:QUERY=Q1NGX1NBTEVTKEFOTiwxMi8zMS8xOTgwLDEyLzMxLzIwMDksQVkp&amp;WINDOW=FIRST_POPUP&amp;HEIGHT=450&amp;WI","DTH=450&amp;START_MAXIMIZED=FALSE&amp;VAR:CALENDAR=US&amp;VAR:SYMBOL=CF&amp;VAR:INDEX=15"}</definedName>
    <definedName name="_1507__FDSAUDITLINK__" hidden="1">{"fdsup://directions/FAT Viewer?action=UPDATE&amp;creator=factset&amp;DYN_ARGS=TRUE&amp;DOC_NAME=FAT:FQL_AUDITING_CLIENT_TEMPLATE.FAT&amp;display_string=Audit&amp;VAR:KEY=SNYHAJMZSV&amp;VAR:QUERY=Q1NGX1NBTEVTKEFOTiwxMi8zMS8xOTgwLDEyLzMxLzIwMDksQVkp&amp;WINDOW=FIRST_POPUP&amp;HEIGHT=450&amp;WI","DTH=450&amp;START_MAXIMIZED=FALSE&amp;VAR:CALENDAR=US&amp;VAR:SYMBOL=CF&amp;VAR:INDEX=14"}</definedName>
    <definedName name="_1508__FDSAUDITLINK__" hidden="1">{"fdsup://directions/FAT Viewer?action=UPDATE&amp;creator=factset&amp;DYN_ARGS=TRUE&amp;DOC_NAME=FAT:FQL_AUDITING_CLIENT_TEMPLATE.FAT&amp;display_string=Audit&amp;VAR:KEY=SNYHAJMZSV&amp;VAR:QUERY=Q1NGX1NBTEVTKEFOTiwxMi8zMS8xOTgwLDEyLzMxLzIwMDksQVkp&amp;WINDOW=FIRST_POPUP&amp;HEIGHT=450&amp;WI","DTH=450&amp;START_MAXIMIZED=FALSE&amp;VAR:CALENDAR=US&amp;VAR:SYMBOL=CF&amp;VAR:INDEX=13"}</definedName>
    <definedName name="_1509__FDSAUDITLINK__" hidden="1">{"fdsup://directions/FAT Viewer?action=UPDATE&amp;creator=factset&amp;DYN_ARGS=TRUE&amp;DOC_NAME=FAT:FQL_AUDITING_CLIENT_TEMPLATE.FAT&amp;display_string=Audit&amp;VAR:KEY=SNYHAJMZSV&amp;VAR:QUERY=Q1NGX1NBTEVTKEFOTiwxMi8zMS8xOTgwLDEyLzMxLzIwMDksQVkp&amp;WINDOW=FIRST_POPUP&amp;HEIGHT=450&amp;WI","DTH=450&amp;START_MAXIMIZED=FALSE&amp;VAR:CALENDAR=US&amp;VAR:SYMBOL=CF&amp;VAR:INDEX=12"}</definedName>
    <definedName name="_151__FDSAUDITLINK__" hidden="1">{"fdsup://directions/FAT Viewer?action=UPDATE&amp;creator=factset&amp;DYN_ARGS=TRUE&amp;DOC_NAME=FAT:FQL_AUDITING_CLIENT_TEMPLATE.FAT&amp;display_string=Audit&amp;VAR:KEY=EJEHEJIFGT&amp;VAR:QUERY=Q1NGX0lOVF9FWFBfTkVUKEFOTiwxOTk1LDAp&amp;WINDOW=FIRST_POPUP&amp;HEIGHT=450&amp;WIDTH=450&amp;START_MA","XIMIZED=FALSE&amp;VAR:CALENDAR=US&amp;VAR:SYMBOL=DOW&amp;VAR:INDEX=11"}</definedName>
    <definedName name="_1510__FDSAUDITLINK__" hidden="1">{"fdsup://directions/FAT Viewer?action=UPDATE&amp;creator=factset&amp;DYN_ARGS=TRUE&amp;DOC_NAME=FAT:FQL_AUDITING_CLIENT_TEMPLATE.FAT&amp;display_string=Audit&amp;VAR:KEY=SNYHAJMZSV&amp;VAR:QUERY=Q1NGX1NBTEVTKEFOTiwxMi8zMS8xOTgwLDEyLzMxLzIwMDksQVkp&amp;WINDOW=FIRST_POPUP&amp;HEIGHT=450&amp;WI","DTH=450&amp;START_MAXIMIZED=FALSE&amp;VAR:CALENDAR=US&amp;VAR:SYMBOL=CF&amp;VAR:INDEX=11"}</definedName>
    <definedName name="_1511__FDSAUDITLINK__" hidden="1">{"fdsup://directions/FAT Viewer?action=UPDATE&amp;creator=factset&amp;DYN_ARGS=TRUE&amp;DOC_NAME=FAT:FQL_AUDITING_CLIENT_TEMPLATE.FAT&amp;display_string=Audit&amp;VAR:KEY=SNYHAJMZSV&amp;VAR:QUERY=Q1NGX1NBTEVTKEFOTiwxMi8zMS8xOTgwLDEyLzMxLzIwMDksQVkp&amp;WINDOW=FIRST_POPUP&amp;HEIGHT=450&amp;WI","DTH=450&amp;START_MAXIMIZED=FALSE&amp;VAR:CALENDAR=US&amp;VAR:SYMBOL=CF&amp;VAR:INDEX=10"}</definedName>
    <definedName name="_1512__FDSAUDITLINK__" hidden="1">{"fdsup://directions/FAT Viewer?action=UPDATE&amp;creator=factset&amp;DYN_ARGS=TRUE&amp;DOC_NAME=FAT:FQL_AUDITING_CLIENT_TEMPLATE.FAT&amp;display_string=Audit&amp;VAR:KEY=SNYHAJMZSV&amp;VAR:QUERY=Q1NGX1NBTEVTKEFOTiwxMi8zMS8xOTgwLDEyLzMxLzIwMDksQVkp&amp;WINDOW=FIRST_POPUP&amp;HEIGHT=450&amp;WI","DTH=450&amp;START_MAXIMIZED=FALSE&amp;VAR:CALENDAR=US&amp;VAR:SYMBOL=CF&amp;VAR:INDEX=9"}</definedName>
    <definedName name="_1513__FDSAUDITLINK__" hidden="1">{"fdsup://directions/FAT Viewer?action=UPDATE&amp;creator=factset&amp;DYN_ARGS=TRUE&amp;DOC_NAME=FAT:FQL_AUDITING_CLIENT_TEMPLATE.FAT&amp;display_string=Audit&amp;VAR:KEY=SNYHAJMZSV&amp;VAR:QUERY=Q1NGX1NBTEVTKEFOTiwxMi8zMS8xOTgwLDEyLzMxLzIwMDksQVkp&amp;WINDOW=FIRST_POPUP&amp;HEIGHT=450&amp;WI","DTH=450&amp;START_MAXIMIZED=FALSE&amp;VAR:CALENDAR=US&amp;VAR:SYMBOL=CF&amp;VAR:INDEX=8"}</definedName>
    <definedName name="_1514__FDSAUDITLINK__" hidden="1">{"fdsup://directions/FAT Viewer?action=UPDATE&amp;creator=factset&amp;DYN_ARGS=TRUE&amp;DOC_NAME=FAT:FQL_AUDITING_CLIENT_TEMPLATE.FAT&amp;display_string=Audit&amp;VAR:KEY=SNYHAJMZSV&amp;VAR:QUERY=Q1NGX1NBTEVTKEFOTiwxMi8zMS8xOTgwLDEyLzMxLzIwMDksQVkp&amp;WINDOW=FIRST_POPUP&amp;HEIGHT=450&amp;WI","DTH=450&amp;START_MAXIMIZED=FALSE&amp;VAR:CALENDAR=US&amp;VAR:SYMBOL=CF&amp;VAR:INDEX=7"}</definedName>
    <definedName name="_1515__FDSAUDITLINK__" hidden="1">{"fdsup://directions/FAT Viewer?action=UPDATE&amp;creator=factset&amp;DYN_ARGS=TRUE&amp;DOC_NAME=FAT:FQL_AUDITING_CLIENT_TEMPLATE.FAT&amp;display_string=Audit&amp;VAR:KEY=SNYHAJMZSV&amp;VAR:QUERY=Q1NGX1NBTEVTKEFOTiwxMi8zMS8xOTgwLDEyLzMxLzIwMDksQVkp&amp;WINDOW=FIRST_POPUP&amp;HEIGHT=450&amp;WI","DTH=450&amp;START_MAXIMIZED=FALSE&amp;VAR:CALENDAR=US&amp;VAR:SYMBOL=CF&amp;VAR:INDEX=6"}</definedName>
    <definedName name="_1516__FDSAUDITLINK__" hidden="1">{"fdsup://directions/FAT Viewer?action=UPDATE&amp;creator=factset&amp;DYN_ARGS=TRUE&amp;DOC_NAME=FAT:FQL_AUDITING_CLIENT_TEMPLATE.FAT&amp;display_string=Audit&amp;VAR:KEY=SNYHAJMZSV&amp;VAR:QUERY=Q1NGX1NBTEVTKEFOTiwxMi8zMS8xOTgwLDEyLzMxLzIwMDksQVkp&amp;WINDOW=FIRST_POPUP&amp;HEIGHT=450&amp;WI","DTH=450&amp;START_MAXIMIZED=FALSE&amp;VAR:CALENDAR=US&amp;VAR:SYMBOL=CF&amp;VAR:INDEX=5"}</definedName>
    <definedName name="_1517__FDSAUDITLINK__" hidden="1">{"fdsup://directions/FAT Viewer?action=UPDATE&amp;creator=factset&amp;DYN_ARGS=TRUE&amp;DOC_NAME=FAT:FQL_AUDITING_CLIENT_TEMPLATE.FAT&amp;display_string=Audit&amp;VAR:KEY=SNYHAJMZSV&amp;VAR:QUERY=Q1NGX1NBTEVTKEFOTiwxMi8zMS8xOTgwLDEyLzMxLzIwMDksQVkp&amp;WINDOW=FIRST_POPUP&amp;HEIGHT=450&amp;WI","DTH=450&amp;START_MAXIMIZED=FALSE&amp;VAR:CALENDAR=US&amp;VAR:SYMBOL=CF&amp;VAR:INDEX=4"}</definedName>
    <definedName name="_1518__FDSAUDITLINK__" hidden="1">{"fdsup://directions/FAT Viewer?action=UPDATE&amp;creator=factset&amp;DYN_ARGS=TRUE&amp;DOC_NAME=FAT:FQL_AUDITING_CLIENT_TEMPLATE.FAT&amp;display_string=Audit&amp;VAR:KEY=SNYHAJMZSV&amp;VAR:QUERY=Q1NGX1NBTEVTKEFOTiwxMi8zMS8xOTgwLDEyLzMxLzIwMDksQVkp&amp;WINDOW=FIRST_POPUP&amp;HEIGHT=450&amp;WI","DTH=450&amp;START_MAXIMIZED=FALSE&amp;VAR:CALENDAR=US&amp;VAR:SYMBOL=CF&amp;VAR:INDEX=3"}</definedName>
    <definedName name="_1519__FDSAUDITLINK__" hidden="1">{"fdsup://directions/FAT Viewer?action=UPDATE&amp;creator=factset&amp;DYN_ARGS=TRUE&amp;DOC_NAME=FAT:FQL_AUDITING_CLIENT_TEMPLATE.FAT&amp;display_string=Audit&amp;VAR:KEY=SNYHAJMZSV&amp;VAR:QUERY=Q1NGX1NBTEVTKEFOTiwxMi8zMS8xOTgwLDEyLzMxLzIwMDksQVkp&amp;WINDOW=FIRST_POPUP&amp;HEIGHT=450&amp;WI","DTH=450&amp;START_MAXIMIZED=FALSE&amp;VAR:CALENDAR=US&amp;VAR:SYMBOL=CF&amp;VAR:INDEX=2"}</definedName>
    <definedName name="_152__FDSAUDITLINK__" hidden="1">{"fdsup://directions/FAT Viewer?action=UPDATE&amp;creator=factset&amp;DYN_ARGS=TRUE&amp;DOC_NAME=FAT:FQL_AUDITING_CLIENT_TEMPLATE.FAT&amp;display_string=Audit&amp;VAR:KEY=EJEHEJIFGT&amp;VAR:QUERY=Q1NGX0lOVF9FWFBfTkVUKEFOTiwxOTk1LDAp&amp;WINDOW=FIRST_POPUP&amp;HEIGHT=450&amp;WIDTH=450&amp;START_MA","XIMIZED=FALSE&amp;VAR:CALENDAR=US&amp;VAR:SYMBOL=DOW&amp;VAR:INDEX=10"}</definedName>
    <definedName name="_1520__FDSAUDITLINK__" hidden="1">{"fdsup://directions/FAT Viewer?action=UPDATE&amp;creator=factset&amp;DYN_ARGS=TRUE&amp;DOC_NAME=FAT:FQL_AUDITING_CLIENT_TEMPLATE.FAT&amp;display_string=Audit&amp;VAR:KEY=SNYHAJMZSV&amp;VAR:QUERY=Q1NGX1NBTEVTKEFOTiwxMi8zMS8xOTgwLDEyLzMxLzIwMDksQVkp&amp;WINDOW=FIRST_POPUP&amp;HEIGHT=450&amp;WI","DTH=450&amp;START_MAXIMIZED=FALSE&amp;VAR:CALENDAR=US&amp;VAR:SYMBOL=CF&amp;VAR:INDEX=1"}</definedName>
    <definedName name="_1521__FDSAUDITLINK__" hidden="1">{"fdsup://directions/FAT Viewer?action=UPDATE&amp;creator=factset&amp;DYN_ARGS=TRUE&amp;DOC_NAME=FAT:FQL_AUDITING_CLIENT_TEMPLATE.FAT&amp;display_string=Audit&amp;VAR:KEY=SNYHAJMZSV&amp;VAR:QUERY=Q1NGX1NBTEVTKEFOTiwxMi8zMS8xOTgwLDEyLzMxLzIwMDksQVkp&amp;WINDOW=FIRST_POPUP&amp;HEIGHT=450&amp;WI","DTH=450&amp;START_MAXIMIZED=FALSE&amp;VAR:CALENDAR=US&amp;VAR:SYMBOL=CF&amp;VAR:INDEX=0"}</definedName>
    <definedName name="_1522__FDSAUDITLINK__" hidden="1">{"fdsup://directions/FAT Viewer?action=UPDATE&amp;creator=factset&amp;DYN_ARGS=TRUE&amp;DOC_NAME=FAT:FQL_AUDITING_CLIENT_TEMPLATE.FAT&amp;display_string=Audit&amp;VAR:KEY=QDKZQDUHSX&amp;VAR:QUERY=Q1NGX1NBTEVTKEFOTiwxMi8zMS8xOTgwLDEyLzMxLzIwMDksQVkp&amp;WINDOW=FIRST_POPUP&amp;HEIGHT=450&amp;WI","DTH=450&amp;START_MAXIMIZED=FALSE&amp;VAR:CALENDAR=US&amp;VAR:SYMBOL=AGU&amp;VAR:INDEX=29"}</definedName>
    <definedName name="_1523__FDSAUDITLINK__" hidden="1">{"fdsup://directions/FAT Viewer?action=UPDATE&amp;creator=factset&amp;DYN_ARGS=TRUE&amp;DOC_NAME=FAT:FQL_AUDITING_CLIENT_TEMPLATE.FAT&amp;display_string=Audit&amp;VAR:KEY=QDKZQDUHSX&amp;VAR:QUERY=Q1NGX1NBTEVTKEFOTiwxMi8zMS8xOTgwLDEyLzMxLzIwMDksQVkp&amp;WINDOW=FIRST_POPUP&amp;HEIGHT=450&amp;WI","DTH=450&amp;START_MAXIMIZED=FALSE&amp;VAR:CALENDAR=US&amp;VAR:SYMBOL=AGU&amp;VAR:INDEX=28"}</definedName>
    <definedName name="_1524__FDSAUDITLINK__" hidden="1">{"fdsup://directions/FAT Viewer?action=UPDATE&amp;creator=factset&amp;DYN_ARGS=TRUE&amp;DOC_NAME=FAT:FQL_AUDITING_CLIENT_TEMPLATE.FAT&amp;display_string=Audit&amp;VAR:KEY=QDKZQDUHSX&amp;VAR:QUERY=Q1NGX1NBTEVTKEFOTiwxMi8zMS8xOTgwLDEyLzMxLzIwMDksQVkp&amp;WINDOW=FIRST_POPUP&amp;HEIGHT=450&amp;WI","DTH=450&amp;START_MAXIMIZED=FALSE&amp;VAR:CALENDAR=US&amp;VAR:SYMBOL=AGU&amp;VAR:INDEX=27"}</definedName>
    <definedName name="_1525__FDSAUDITLINK__" hidden="1">{"fdsup://directions/FAT Viewer?action=UPDATE&amp;creator=factset&amp;DYN_ARGS=TRUE&amp;DOC_NAME=FAT:FQL_AUDITING_CLIENT_TEMPLATE.FAT&amp;display_string=Audit&amp;VAR:KEY=QDKZQDUHSX&amp;VAR:QUERY=Q1NGX1NBTEVTKEFOTiwxMi8zMS8xOTgwLDEyLzMxLzIwMDksQVkp&amp;WINDOW=FIRST_POPUP&amp;HEIGHT=450&amp;WI","DTH=450&amp;START_MAXIMIZED=FALSE&amp;VAR:CALENDAR=US&amp;VAR:SYMBOL=AGU&amp;VAR:INDEX=26"}</definedName>
    <definedName name="_1526__FDSAUDITLINK__" hidden="1">{"fdsup://directions/FAT Viewer?action=UPDATE&amp;creator=factset&amp;DYN_ARGS=TRUE&amp;DOC_NAME=FAT:FQL_AUDITING_CLIENT_TEMPLATE.FAT&amp;display_string=Audit&amp;VAR:KEY=QDKZQDUHSX&amp;VAR:QUERY=Q1NGX1NBTEVTKEFOTiwxMi8zMS8xOTgwLDEyLzMxLzIwMDksQVkp&amp;WINDOW=FIRST_POPUP&amp;HEIGHT=450&amp;WI","DTH=450&amp;START_MAXIMIZED=FALSE&amp;VAR:CALENDAR=US&amp;VAR:SYMBOL=AGU&amp;VAR:INDEX=25"}</definedName>
    <definedName name="_1527__FDSAUDITLINK__" hidden="1">{"fdsup://directions/FAT Viewer?action=UPDATE&amp;creator=factset&amp;DYN_ARGS=TRUE&amp;DOC_NAME=FAT:FQL_AUDITING_CLIENT_TEMPLATE.FAT&amp;display_string=Audit&amp;VAR:KEY=QDKZQDUHSX&amp;VAR:QUERY=Q1NGX1NBTEVTKEFOTiwxMi8zMS8xOTgwLDEyLzMxLzIwMDksQVkp&amp;WINDOW=FIRST_POPUP&amp;HEIGHT=450&amp;WI","DTH=450&amp;START_MAXIMIZED=FALSE&amp;VAR:CALENDAR=US&amp;VAR:SYMBOL=AGU&amp;VAR:INDEX=24"}</definedName>
    <definedName name="_1528__FDSAUDITLINK__" hidden="1">{"fdsup://directions/FAT Viewer?action=UPDATE&amp;creator=factset&amp;DYN_ARGS=TRUE&amp;DOC_NAME=FAT:FQL_AUDITING_CLIENT_TEMPLATE.FAT&amp;display_string=Audit&amp;VAR:KEY=QDKZQDUHSX&amp;VAR:QUERY=Q1NGX1NBTEVTKEFOTiwxMi8zMS8xOTgwLDEyLzMxLzIwMDksQVkp&amp;WINDOW=FIRST_POPUP&amp;HEIGHT=450&amp;WI","DTH=450&amp;START_MAXIMIZED=FALSE&amp;VAR:CALENDAR=US&amp;VAR:SYMBOL=AGU&amp;VAR:INDEX=23"}</definedName>
    <definedName name="_1529__FDSAUDITLINK__" hidden="1">{"fdsup://directions/FAT Viewer?action=UPDATE&amp;creator=factset&amp;DYN_ARGS=TRUE&amp;DOC_NAME=FAT:FQL_AUDITING_CLIENT_TEMPLATE.FAT&amp;display_string=Audit&amp;VAR:KEY=QDKZQDUHSX&amp;VAR:QUERY=Q1NGX1NBTEVTKEFOTiwxMi8zMS8xOTgwLDEyLzMxLzIwMDksQVkp&amp;WINDOW=FIRST_POPUP&amp;HEIGHT=450&amp;WI","DTH=450&amp;START_MAXIMIZED=FALSE&amp;VAR:CALENDAR=US&amp;VAR:SYMBOL=AGU&amp;VAR:INDEX=22"}</definedName>
    <definedName name="_153__FDSAUDITLINK__" hidden="1">{"fdsup://directions/FAT Viewer?action=UPDATE&amp;creator=factset&amp;DYN_ARGS=TRUE&amp;DOC_NAME=FAT:FQL_AUDITING_CLIENT_TEMPLATE.FAT&amp;display_string=Audit&amp;VAR:KEY=EJEHEJIFGT&amp;VAR:QUERY=Q1NGX0lOVF9FWFBfTkVUKEFOTiwxOTk1LDAp&amp;WINDOW=FIRST_POPUP&amp;HEIGHT=450&amp;WIDTH=450&amp;START_MA","XIMIZED=FALSE&amp;VAR:CALENDAR=US&amp;VAR:SYMBOL=DOW&amp;VAR:INDEX=9"}</definedName>
    <definedName name="_1530__FDSAUDITLINK__" hidden="1">{"fdsup://directions/FAT Viewer?action=UPDATE&amp;creator=factset&amp;DYN_ARGS=TRUE&amp;DOC_NAME=FAT:FQL_AUDITING_CLIENT_TEMPLATE.FAT&amp;display_string=Audit&amp;VAR:KEY=QDKZQDUHSX&amp;VAR:QUERY=Q1NGX1NBTEVTKEFOTiwxMi8zMS8xOTgwLDEyLzMxLzIwMDksQVkp&amp;WINDOW=FIRST_POPUP&amp;HEIGHT=450&amp;WI","DTH=450&amp;START_MAXIMIZED=FALSE&amp;VAR:CALENDAR=US&amp;VAR:SYMBOL=AGU&amp;VAR:INDEX=21"}</definedName>
    <definedName name="_1531__FDSAUDITLINK__" hidden="1">{"fdsup://directions/FAT Viewer?action=UPDATE&amp;creator=factset&amp;DYN_ARGS=TRUE&amp;DOC_NAME=FAT:FQL_AUDITING_CLIENT_TEMPLATE.FAT&amp;display_string=Audit&amp;VAR:KEY=QDKZQDUHSX&amp;VAR:QUERY=Q1NGX1NBTEVTKEFOTiwxMi8zMS8xOTgwLDEyLzMxLzIwMDksQVkp&amp;WINDOW=FIRST_POPUP&amp;HEIGHT=450&amp;WI","DTH=450&amp;START_MAXIMIZED=FALSE&amp;VAR:CALENDAR=US&amp;VAR:SYMBOL=AGU&amp;VAR:INDEX=20"}</definedName>
    <definedName name="_1532__FDSAUDITLINK__" hidden="1">{"fdsup://directions/FAT Viewer?action=UPDATE&amp;creator=factset&amp;DYN_ARGS=TRUE&amp;DOC_NAME=FAT:FQL_AUDITING_CLIENT_TEMPLATE.FAT&amp;display_string=Audit&amp;VAR:KEY=QDKZQDUHSX&amp;VAR:QUERY=Q1NGX1NBTEVTKEFOTiwxMi8zMS8xOTgwLDEyLzMxLzIwMDksQVkp&amp;WINDOW=FIRST_POPUP&amp;HEIGHT=450&amp;WI","DTH=450&amp;START_MAXIMIZED=FALSE&amp;VAR:CALENDAR=US&amp;VAR:SYMBOL=AGU&amp;VAR:INDEX=19"}</definedName>
    <definedName name="_1533__FDSAUDITLINK__" hidden="1">{"fdsup://directions/FAT Viewer?action=UPDATE&amp;creator=factset&amp;DYN_ARGS=TRUE&amp;DOC_NAME=FAT:FQL_AUDITING_CLIENT_TEMPLATE.FAT&amp;display_string=Audit&amp;VAR:KEY=QDKZQDUHSX&amp;VAR:QUERY=Q1NGX1NBTEVTKEFOTiwxMi8zMS8xOTgwLDEyLzMxLzIwMDksQVkp&amp;WINDOW=FIRST_POPUP&amp;HEIGHT=450&amp;WI","DTH=450&amp;START_MAXIMIZED=FALSE&amp;VAR:CALENDAR=US&amp;VAR:SYMBOL=AGU&amp;VAR:INDEX=18"}</definedName>
    <definedName name="_1534__FDSAUDITLINK__" hidden="1">{"fdsup://directions/FAT Viewer?action=UPDATE&amp;creator=factset&amp;DYN_ARGS=TRUE&amp;DOC_NAME=FAT:FQL_AUDITING_CLIENT_TEMPLATE.FAT&amp;display_string=Audit&amp;VAR:KEY=QDKZQDUHSX&amp;VAR:QUERY=Q1NGX1NBTEVTKEFOTiwxMi8zMS8xOTgwLDEyLzMxLzIwMDksQVkp&amp;WINDOW=FIRST_POPUP&amp;HEIGHT=450&amp;WI","DTH=450&amp;START_MAXIMIZED=FALSE&amp;VAR:CALENDAR=US&amp;VAR:SYMBOL=AGU&amp;VAR:INDEX=17"}</definedName>
    <definedName name="_1535__FDSAUDITLINK__" hidden="1">{"fdsup://directions/FAT Viewer?action=UPDATE&amp;creator=factset&amp;DYN_ARGS=TRUE&amp;DOC_NAME=FAT:FQL_AUDITING_CLIENT_TEMPLATE.FAT&amp;display_string=Audit&amp;VAR:KEY=QDKZQDUHSX&amp;VAR:QUERY=Q1NGX1NBTEVTKEFOTiwxMi8zMS8xOTgwLDEyLzMxLzIwMDksQVkp&amp;WINDOW=FIRST_POPUP&amp;HEIGHT=450&amp;WI","DTH=450&amp;START_MAXIMIZED=FALSE&amp;VAR:CALENDAR=US&amp;VAR:SYMBOL=AGU&amp;VAR:INDEX=16"}</definedName>
    <definedName name="_1536__FDSAUDITLINK__" hidden="1">{"fdsup://directions/FAT Viewer?action=UPDATE&amp;creator=factset&amp;DYN_ARGS=TRUE&amp;DOC_NAME=FAT:FQL_AUDITING_CLIENT_TEMPLATE.FAT&amp;display_string=Audit&amp;VAR:KEY=QDKZQDUHSX&amp;VAR:QUERY=Q1NGX1NBTEVTKEFOTiwxMi8zMS8xOTgwLDEyLzMxLzIwMDksQVkp&amp;WINDOW=FIRST_POPUP&amp;HEIGHT=450&amp;WI","DTH=450&amp;START_MAXIMIZED=FALSE&amp;VAR:CALENDAR=US&amp;VAR:SYMBOL=AGU&amp;VAR:INDEX=15"}</definedName>
    <definedName name="_1537__FDSAUDITLINK__" hidden="1">{"fdsup://directions/FAT Viewer?action=UPDATE&amp;creator=factset&amp;DYN_ARGS=TRUE&amp;DOC_NAME=FAT:FQL_AUDITING_CLIENT_TEMPLATE.FAT&amp;display_string=Audit&amp;VAR:KEY=QDKZQDUHSX&amp;VAR:QUERY=Q1NGX1NBTEVTKEFOTiwxMi8zMS8xOTgwLDEyLzMxLzIwMDksQVkp&amp;WINDOW=FIRST_POPUP&amp;HEIGHT=450&amp;WI","DTH=450&amp;START_MAXIMIZED=FALSE&amp;VAR:CALENDAR=US&amp;VAR:SYMBOL=AGU&amp;VAR:INDEX=14"}</definedName>
    <definedName name="_1538__FDSAUDITLINK__" hidden="1">{"fdsup://directions/FAT Viewer?action=UPDATE&amp;creator=factset&amp;DYN_ARGS=TRUE&amp;DOC_NAME=FAT:FQL_AUDITING_CLIENT_TEMPLATE.FAT&amp;display_string=Audit&amp;VAR:KEY=QDKZQDUHSX&amp;VAR:QUERY=Q1NGX1NBTEVTKEFOTiwxMi8zMS8xOTgwLDEyLzMxLzIwMDksQVkp&amp;WINDOW=FIRST_POPUP&amp;HEIGHT=450&amp;WI","DTH=450&amp;START_MAXIMIZED=FALSE&amp;VAR:CALENDAR=US&amp;VAR:SYMBOL=AGU&amp;VAR:INDEX=13"}</definedName>
    <definedName name="_1539__FDSAUDITLINK__" hidden="1">{"fdsup://directions/FAT Viewer?action=UPDATE&amp;creator=factset&amp;DYN_ARGS=TRUE&amp;DOC_NAME=FAT:FQL_AUDITING_CLIENT_TEMPLATE.FAT&amp;display_string=Audit&amp;VAR:KEY=QDKZQDUHSX&amp;VAR:QUERY=Q1NGX1NBTEVTKEFOTiwxMi8zMS8xOTgwLDEyLzMxLzIwMDksQVkp&amp;WINDOW=FIRST_POPUP&amp;HEIGHT=450&amp;WI","DTH=450&amp;START_MAXIMIZED=FALSE&amp;VAR:CALENDAR=US&amp;VAR:SYMBOL=AGU&amp;VAR:INDEX=12"}</definedName>
    <definedName name="_154__FDSAUDITLINK__" hidden="1">{"fdsup://directions/FAT Viewer?action=UPDATE&amp;creator=factset&amp;DYN_ARGS=TRUE&amp;DOC_NAME=FAT:FQL_AUDITING_CLIENT_TEMPLATE.FAT&amp;display_string=Audit&amp;VAR:KEY=EJEHEJIFGT&amp;VAR:QUERY=Q1NGX0lOVF9FWFBfTkVUKEFOTiwxOTk1LDAp&amp;WINDOW=FIRST_POPUP&amp;HEIGHT=450&amp;WIDTH=450&amp;START_MA","XIMIZED=FALSE&amp;VAR:CALENDAR=US&amp;VAR:SYMBOL=DOW&amp;VAR:INDEX=8"}</definedName>
    <definedName name="_1540__FDSAUDITLINK__" hidden="1">{"fdsup://directions/FAT Viewer?action=UPDATE&amp;creator=factset&amp;DYN_ARGS=TRUE&amp;DOC_NAME=FAT:FQL_AUDITING_CLIENT_TEMPLATE.FAT&amp;display_string=Audit&amp;VAR:KEY=QDKZQDUHSX&amp;VAR:QUERY=Q1NGX1NBTEVTKEFOTiwxMi8zMS8xOTgwLDEyLzMxLzIwMDksQVkp&amp;WINDOW=FIRST_POPUP&amp;HEIGHT=450&amp;WI","DTH=450&amp;START_MAXIMIZED=FALSE&amp;VAR:CALENDAR=US&amp;VAR:SYMBOL=AGU&amp;VAR:INDEX=11"}</definedName>
    <definedName name="_1541__FDSAUDITLINK__" hidden="1">{"fdsup://directions/FAT Viewer?action=UPDATE&amp;creator=factset&amp;DYN_ARGS=TRUE&amp;DOC_NAME=FAT:FQL_AUDITING_CLIENT_TEMPLATE.FAT&amp;display_string=Audit&amp;VAR:KEY=QDKZQDUHSX&amp;VAR:QUERY=Q1NGX1NBTEVTKEFOTiwxMi8zMS8xOTgwLDEyLzMxLzIwMDksQVkp&amp;WINDOW=FIRST_POPUP&amp;HEIGHT=450&amp;WI","DTH=450&amp;START_MAXIMIZED=FALSE&amp;VAR:CALENDAR=US&amp;VAR:SYMBOL=AGU&amp;VAR:INDEX=10"}</definedName>
    <definedName name="_1542__FDSAUDITLINK__" hidden="1">{"fdsup://directions/FAT Viewer?action=UPDATE&amp;creator=factset&amp;DYN_ARGS=TRUE&amp;DOC_NAME=FAT:FQL_AUDITING_CLIENT_TEMPLATE.FAT&amp;display_string=Audit&amp;VAR:KEY=QDKZQDUHSX&amp;VAR:QUERY=Q1NGX1NBTEVTKEFOTiwxMi8zMS8xOTgwLDEyLzMxLzIwMDksQVkp&amp;WINDOW=FIRST_POPUP&amp;HEIGHT=450&amp;WI","DTH=450&amp;START_MAXIMIZED=FALSE&amp;VAR:CALENDAR=US&amp;VAR:SYMBOL=AGU&amp;VAR:INDEX=9"}</definedName>
    <definedName name="_1543__FDSAUDITLINK__" hidden="1">{"fdsup://directions/FAT Viewer?action=UPDATE&amp;creator=factset&amp;DYN_ARGS=TRUE&amp;DOC_NAME=FAT:FQL_AUDITING_CLIENT_TEMPLATE.FAT&amp;display_string=Audit&amp;VAR:KEY=QDKZQDUHSX&amp;VAR:QUERY=Q1NGX1NBTEVTKEFOTiwxMi8zMS8xOTgwLDEyLzMxLzIwMDksQVkp&amp;WINDOW=FIRST_POPUP&amp;HEIGHT=450&amp;WI","DTH=450&amp;START_MAXIMIZED=FALSE&amp;VAR:CALENDAR=US&amp;VAR:SYMBOL=AGU&amp;VAR:INDEX=8"}</definedName>
    <definedName name="_1544__FDSAUDITLINK__" hidden="1">{"fdsup://directions/FAT Viewer?action=UPDATE&amp;creator=factset&amp;DYN_ARGS=TRUE&amp;DOC_NAME=FAT:FQL_AUDITING_CLIENT_TEMPLATE.FAT&amp;display_string=Audit&amp;VAR:KEY=QDKZQDUHSX&amp;VAR:QUERY=Q1NGX1NBTEVTKEFOTiwxMi8zMS8xOTgwLDEyLzMxLzIwMDksQVkp&amp;WINDOW=FIRST_POPUP&amp;HEIGHT=450&amp;WI","DTH=450&amp;START_MAXIMIZED=FALSE&amp;VAR:CALENDAR=US&amp;VAR:SYMBOL=AGU&amp;VAR:INDEX=7"}</definedName>
    <definedName name="_1545__FDSAUDITLINK__" hidden="1">{"fdsup://directions/FAT Viewer?action=UPDATE&amp;creator=factset&amp;DYN_ARGS=TRUE&amp;DOC_NAME=FAT:FQL_AUDITING_CLIENT_TEMPLATE.FAT&amp;display_string=Audit&amp;VAR:KEY=QDKZQDUHSX&amp;VAR:QUERY=Q1NGX1NBTEVTKEFOTiwxMi8zMS8xOTgwLDEyLzMxLzIwMDksQVkp&amp;WINDOW=FIRST_POPUP&amp;HEIGHT=450&amp;WI","DTH=450&amp;START_MAXIMIZED=FALSE&amp;VAR:CALENDAR=US&amp;VAR:SYMBOL=AGU&amp;VAR:INDEX=6"}</definedName>
    <definedName name="_1546__FDSAUDITLINK__" hidden="1">{"fdsup://directions/FAT Viewer?action=UPDATE&amp;creator=factset&amp;DYN_ARGS=TRUE&amp;DOC_NAME=FAT:FQL_AUDITING_CLIENT_TEMPLATE.FAT&amp;display_string=Audit&amp;VAR:KEY=QDKZQDUHSX&amp;VAR:QUERY=Q1NGX1NBTEVTKEFOTiwxMi8zMS8xOTgwLDEyLzMxLzIwMDksQVkp&amp;WINDOW=FIRST_POPUP&amp;HEIGHT=450&amp;WI","DTH=450&amp;START_MAXIMIZED=FALSE&amp;VAR:CALENDAR=US&amp;VAR:SYMBOL=AGU&amp;VAR:INDEX=5"}</definedName>
    <definedName name="_1547__FDSAUDITLINK__" hidden="1">{"fdsup://directions/FAT Viewer?action=UPDATE&amp;creator=factset&amp;DYN_ARGS=TRUE&amp;DOC_NAME=FAT:FQL_AUDITING_CLIENT_TEMPLATE.FAT&amp;display_string=Audit&amp;VAR:KEY=QDKZQDUHSX&amp;VAR:QUERY=Q1NGX1NBTEVTKEFOTiwxMi8zMS8xOTgwLDEyLzMxLzIwMDksQVkp&amp;WINDOW=FIRST_POPUP&amp;HEIGHT=450&amp;WI","DTH=450&amp;START_MAXIMIZED=FALSE&amp;VAR:CALENDAR=US&amp;VAR:SYMBOL=AGU&amp;VAR:INDEX=4"}</definedName>
    <definedName name="_1548__FDSAUDITLINK__" hidden="1">{"fdsup://directions/FAT Viewer?action=UPDATE&amp;creator=factset&amp;DYN_ARGS=TRUE&amp;DOC_NAME=FAT:FQL_AUDITING_CLIENT_TEMPLATE.FAT&amp;display_string=Audit&amp;VAR:KEY=QDKZQDUHSX&amp;VAR:QUERY=Q1NGX1NBTEVTKEFOTiwxMi8zMS8xOTgwLDEyLzMxLzIwMDksQVkp&amp;WINDOW=FIRST_POPUP&amp;HEIGHT=450&amp;WI","DTH=450&amp;START_MAXIMIZED=FALSE&amp;VAR:CALENDAR=US&amp;VAR:SYMBOL=AGU&amp;VAR:INDEX=3"}</definedName>
    <definedName name="_1549__FDSAUDITLINK__" hidden="1">{"fdsup://directions/FAT Viewer?action=UPDATE&amp;creator=factset&amp;DYN_ARGS=TRUE&amp;DOC_NAME=FAT:FQL_AUDITING_CLIENT_TEMPLATE.FAT&amp;display_string=Audit&amp;VAR:KEY=QDKZQDUHSX&amp;VAR:QUERY=Q1NGX1NBTEVTKEFOTiwxMi8zMS8xOTgwLDEyLzMxLzIwMDksQVkp&amp;WINDOW=FIRST_POPUP&amp;HEIGHT=450&amp;WI","DTH=450&amp;START_MAXIMIZED=FALSE&amp;VAR:CALENDAR=US&amp;VAR:SYMBOL=AGU&amp;VAR:INDEX=2"}</definedName>
    <definedName name="_155__FDSAUDITLINK__" hidden="1">{"fdsup://directions/FAT Viewer?action=UPDATE&amp;creator=factset&amp;DYN_ARGS=TRUE&amp;DOC_NAME=FAT:FQL_AUDITING_CLIENT_TEMPLATE.FAT&amp;display_string=Audit&amp;VAR:KEY=EJEHEJIFGT&amp;VAR:QUERY=Q1NGX0lOVF9FWFBfTkVUKEFOTiwxOTk1LDAp&amp;WINDOW=FIRST_POPUP&amp;HEIGHT=450&amp;WIDTH=450&amp;START_MA","XIMIZED=FALSE&amp;VAR:CALENDAR=US&amp;VAR:SYMBOL=DOW&amp;VAR:INDEX=7"}</definedName>
    <definedName name="_1550__FDSAUDITLINK__" hidden="1">{"fdsup://directions/FAT Viewer?action=UPDATE&amp;creator=factset&amp;DYN_ARGS=TRUE&amp;DOC_NAME=FAT:FQL_AUDITING_CLIENT_TEMPLATE.FAT&amp;display_string=Audit&amp;VAR:KEY=QDKZQDUHSX&amp;VAR:QUERY=Q1NGX1NBTEVTKEFOTiwxMi8zMS8xOTgwLDEyLzMxLzIwMDksQVkp&amp;WINDOW=FIRST_POPUP&amp;HEIGHT=450&amp;WI","DTH=450&amp;START_MAXIMIZED=FALSE&amp;VAR:CALENDAR=US&amp;VAR:SYMBOL=AGU&amp;VAR:INDEX=1"}</definedName>
    <definedName name="_1551__FDSAUDITLINK__" hidden="1">{"fdsup://directions/FAT Viewer?action=UPDATE&amp;creator=factset&amp;DYN_ARGS=TRUE&amp;DOC_NAME=FAT:FQL_AUDITING_CLIENT_TEMPLATE.FAT&amp;display_string=Audit&amp;VAR:KEY=QDKZQDUHSX&amp;VAR:QUERY=Q1NGX1NBTEVTKEFOTiwxMi8zMS8xOTgwLDEyLzMxLzIwMDksQVkp&amp;WINDOW=FIRST_POPUP&amp;HEIGHT=450&amp;WI","DTH=450&amp;START_MAXIMIZED=FALSE&amp;VAR:CALENDAR=US&amp;VAR:SYMBOL=AGU&amp;VAR:INDEX=0"}</definedName>
    <definedName name="_1552__FDSAUDITLINK__" hidden="1">{"fdsup://directions/FAT Viewer?action=UPDATE&amp;creator=factset&amp;DYN_ARGS=TRUE&amp;DOC_NAME=FAT:FQL_AUDITING_CLIENT_TEMPLATE.FAT&amp;display_string=Audit&amp;VAR:KEY=WLGDUJUHIT&amp;VAR:QUERY=Q1NGX1NBTEVTKEFOTiwxMi8zMS8xOTgwLDEyLzMxLzIwMDksQVkp&amp;WINDOW=FIRST_POPUP&amp;HEIGHT=450&amp;WI","DTH=450&amp;START_MAXIMIZED=FALSE&amp;VAR:CALENDAR=US&amp;VAR:SYMBOL=WLK&amp;VAR:INDEX=29"}</definedName>
    <definedName name="_1553__FDSAUDITLINK__" hidden="1">{"fdsup://directions/FAT Viewer?action=UPDATE&amp;creator=factset&amp;DYN_ARGS=TRUE&amp;DOC_NAME=FAT:FQL_AUDITING_CLIENT_TEMPLATE.FAT&amp;display_string=Audit&amp;VAR:KEY=WLGDUJUHIT&amp;VAR:QUERY=Q1NGX1NBTEVTKEFOTiwxMi8zMS8xOTgwLDEyLzMxLzIwMDksQVkp&amp;WINDOW=FIRST_POPUP&amp;HEIGHT=450&amp;WI","DTH=450&amp;START_MAXIMIZED=FALSE&amp;VAR:CALENDAR=US&amp;VAR:SYMBOL=WLK&amp;VAR:INDEX=28"}</definedName>
    <definedName name="_1554__FDSAUDITLINK__" hidden="1">{"fdsup://directions/FAT Viewer?action=UPDATE&amp;creator=factset&amp;DYN_ARGS=TRUE&amp;DOC_NAME=FAT:FQL_AUDITING_CLIENT_TEMPLATE.FAT&amp;display_string=Audit&amp;VAR:KEY=WLGDUJUHIT&amp;VAR:QUERY=Q1NGX1NBTEVTKEFOTiwxMi8zMS8xOTgwLDEyLzMxLzIwMDksQVkp&amp;WINDOW=FIRST_POPUP&amp;HEIGHT=450&amp;WI","DTH=450&amp;START_MAXIMIZED=FALSE&amp;VAR:CALENDAR=US&amp;VAR:SYMBOL=WLK&amp;VAR:INDEX=27"}</definedName>
    <definedName name="_1555__FDSAUDITLINK__" hidden="1">{"fdsup://directions/FAT Viewer?action=UPDATE&amp;creator=factset&amp;DYN_ARGS=TRUE&amp;DOC_NAME=FAT:FQL_AUDITING_CLIENT_TEMPLATE.FAT&amp;display_string=Audit&amp;VAR:KEY=WLGDUJUHIT&amp;VAR:QUERY=Q1NGX1NBTEVTKEFOTiwxMi8zMS8xOTgwLDEyLzMxLzIwMDksQVkp&amp;WINDOW=FIRST_POPUP&amp;HEIGHT=450&amp;WI","DTH=450&amp;START_MAXIMIZED=FALSE&amp;VAR:CALENDAR=US&amp;VAR:SYMBOL=WLK&amp;VAR:INDEX=26"}</definedName>
    <definedName name="_1556__FDSAUDITLINK__" hidden="1">{"fdsup://directions/FAT Viewer?action=UPDATE&amp;creator=factset&amp;DYN_ARGS=TRUE&amp;DOC_NAME=FAT:FQL_AUDITING_CLIENT_TEMPLATE.FAT&amp;display_string=Audit&amp;VAR:KEY=WLGDUJUHIT&amp;VAR:QUERY=Q1NGX1NBTEVTKEFOTiwxMi8zMS8xOTgwLDEyLzMxLzIwMDksQVkp&amp;WINDOW=FIRST_POPUP&amp;HEIGHT=450&amp;WI","DTH=450&amp;START_MAXIMIZED=FALSE&amp;VAR:CALENDAR=US&amp;VAR:SYMBOL=WLK&amp;VAR:INDEX=25"}</definedName>
    <definedName name="_1557__FDSAUDITLINK__" hidden="1">{"fdsup://directions/FAT Viewer?action=UPDATE&amp;creator=factset&amp;DYN_ARGS=TRUE&amp;DOC_NAME=FAT:FQL_AUDITING_CLIENT_TEMPLATE.FAT&amp;display_string=Audit&amp;VAR:KEY=WLGDUJUHIT&amp;VAR:QUERY=Q1NGX1NBTEVTKEFOTiwxMi8zMS8xOTgwLDEyLzMxLzIwMDksQVkp&amp;WINDOW=FIRST_POPUP&amp;HEIGHT=450&amp;WI","DTH=450&amp;START_MAXIMIZED=FALSE&amp;VAR:CALENDAR=US&amp;VAR:SYMBOL=WLK&amp;VAR:INDEX=24"}</definedName>
    <definedName name="_1558__FDSAUDITLINK__" hidden="1">{"fdsup://directions/FAT Viewer?action=UPDATE&amp;creator=factset&amp;DYN_ARGS=TRUE&amp;DOC_NAME=FAT:FQL_AUDITING_CLIENT_TEMPLATE.FAT&amp;display_string=Audit&amp;VAR:KEY=WLGDUJUHIT&amp;VAR:QUERY=Q1NGX1NBTEVTKEFOTiwxMi8zMS8xOTgwLDEyLzMxLzIwMDksQVkp&amp;WINDOW=FIRST_POPUP&amp;HEIGHT=450&amp;WI","DTH=450&amp;START_MAXIMIZED=FALSE&amp;VAR:CALENDAR=US&amp;VAR:SYMBOL=WLK&amp;VAR:INDEX=23"}</definedName>
    <definedName name="_1559__FDSAUDITLINK__" hidden="1">{"fdsup://directions/FAT Viewer?action=UPDATE&amp;creator=factset&amp;DYN_ARGS=TRUE&amp;DOC_NAME=FAT:FQL_AUDITING_CLIENT_TEMPLATE.FAT&amp;display_string=Audit&amp;VAR:KEY=WLGDUJUHIT&amp;VAR:QUERY=Q1NGX1NBTEVTKEFOTiwxMi8zMS8xOTgwLDEyLzMxLzIwMDksQVkp&amp;WINDOW=FIRST_POPUP&amp;HEIGHT=450&amp;WI","DTH=450&amp;START_MAXIMIZED=FALSE&amp;VAR:CALENDAR=US&amp;VAR:SYMBOL=WLK&amp;VAR:INDEX=22"}</definedName>
    <definedName name="_156__FDSAUDITLINK__" hidden="1">{"fdsup://directions/FAT Viewer?action=UPDATE&amp;creator=factset&amp;DYN_ARGS=TRUE&amp;DOC_NAME=FAT:FQL_AUDITING_CLIENT_TEMPLATE.FAT&amp;display_string=Audit&amp;VAR:KEY=EJEHEJIFGT&amp;VAR:QUERY=Q1NGX0lOVF9FWFBfTkVUKEFOTiwxOTk1LDAp&amp;WINDOW=FIRST_POPUP&amp;HEIGHT=450&amp;WIDTH=450&amp;START_MA","XIMIZED=FALSE&amp;VAR:CALENDAR=US&amp;VAR:SYMBOL=DOW&amp;VAR:INDEX=6"}</definedName>
    <definedName name="_1560__FDSAUDITLINK__" hidden="1">{"fdsup://directions/FAT Viewer?action=UPDATE&amp;creator=factset&amp;DYN_ARGS=TRUE&amp;DOC_NAME=FAT:FQL_AUDITING_CLIENT_TEMPLATE.FAT&amp;display_string=Audit&amp;VAR:KEY=WLGDUJUHIT&amp;VAR:QUERY=Q1NGX1NBTEVTKEFOTiwxMi8zMS8xOTgwLDEyLzMxLzIwMDksQVkp&amp;WINDOW=FIRST_POPUP&amp;HEIGHT=450&amp;WI","DTH=450&amp;START_MAXIMIZED=FALSE&amp;VAR:CALENDAR=US&amp;VAR:SYMBOL=WLK&amp;VAR:INDEX=21"}</definedName>
    <definedName name="_1561__FDSAUDITLINK__" hidden="1">{"fdsup://directions/FAT Viewer?action=UPDATE&amp;creator=factset&amp;DYN_ARGS=TRUE&amp;DOC_NAME=FAT:FQL_AUDITING_CLIENT_TEMPLATE.FAT&amp;display_string=Audit&amp;VAR:KEY=WLGDUJUHIT&amp;VAR:QUERY=Q1NGX1NBTEVTKEFOTiwxMi8zMS8xOTgwLDEyLzMxLzIwMDksQVkp&amp;WINDOW=FIRST_POPUP&amp;HEIGHT=450&amp;WI","DTH=450&amp;START_MAXIMIZED=FALSE&amp;VAR:CALENDAR=US&amp;VAR:SYMBOL=WLK&amp;VAR:INDEX=20"}</definedName>
    <definedName name="_1562__FDSAUDITLINK__" hidden="1">{"fdsup://directions/FAT Viewer?action=UPDATE&amp;creator=factset&amp;DYN_ARGS=TRUE&amp;DOC_NAME=FAT:FQL_AUDITING_CLIENT_TEMPLATE.FAT&amp;display_string=Audit&amp;VAR:KEY=WLGDUJUHIT&amp;VAR:QUERY=Q1NGX1NBTEVTKEFOTiwxMi8zMS8xOTgwLDEyLzMxLzIwMDksQVkp&amp;WINDOW=FIRST_POPUP&amp;HEIGHT=450&amp;WI","DTH=450&amp;START_MAXIMIZED=FALSE&amp;VAR:CALENDAR=US&amp;VAR:SYMBOL=WLK&amp;VAR:INDEX=19"}</definedName>
    <definedName name="_1563__FDSAUDITLINK__" hidden="1">{"fdsup://directions/FAT Viewer?action=UPDATE&amp;creator=factset&amp;DYN_ARGS=TRUE&amp;DOC_NAME=FAT:FQL_AUDITING_CLIENT_TEMPLATE.FAT&amp;display_string=Audit&amp;VAR:KEY=WLGDUJUHIT&amp;VAR:QUERY=Q1NGX1NBTEVTKEFOTiwxMi8zMS8xOTgwLDEyLzMxLzIwMDksQVkp&amp;WINDOW=FIRST_POPUP&amp;HEIGHT=450&amp;WI","DTH=450&amp;START_MAXIMIZED=FALSE&amp;VAR:CALENDAR=US&amp;VAR:SYMBOL=WLK&amp;VAR:INDEX=18"}</definedName>
    <definedName name="_1564__FDSAUDITLINK__" hidden="1">{"fdsup://directions/FAT Viewer?action=UPDATE&amp;creator=factset&amp;DYN_ARGS=TRUE&amp;DOC_NAME=FAT:FQL_AUDITING_CLIENT_TEMPLATE.FAT&amp;display_string=Audit&amp;VAR:KEY=WLGDUJUHIT&amp;VAR:QUERY=Q1NGX1NBTEVTKEFOTiwxMi8zMS8xOTgwLDEyLzMxLzIwMDksQVkp&amp;WINDOW=FIRST_POPUP&amp;HEIGHT=450&amp;WI","DTH=450&amp;START_MAXIMIZED=FALSE&amp;VAR:CALENDAR=US&amp;VAR:SYMBOL=WLK&amp;VAR:INDEX=17"}</definedName>
    <definedName name="_1565__FDSAUDITLINK__" hidden="1">{"fdsup://directions/FAT Viewer?action=UPDATE&amp;creator=factset&amp;DYN_ARGS=TRUE&amp;DOC_NAME=FAT:FQL_AUDITING_CLIENT_TEMPLATE.FAT&amp;display_string=Audit&amp;VAR:KEY=WLGDUJUHIT&amp;VAR:QUERY=Q1NGX1NBTEVTKEFOTiwxMi8zMS8xOTgwLDEyLzMxLzIwMDksQVkp&amp;WINDOW=FIRST_POPUP&amp;HEIGHT=450&amp;WI","DTH=450&amp;START_MAXIMIZED=FALSE&amp;VAR:CALENDAR=US&amp;VAR:SYMBOL=WLK&amp;VAR:INDEX=16"}</definedName>
    <definedName name="_1566__FDSAUDITLINK__" hidden="1">{"fdsup://directions/FAT Viewer?action=UPDATE&amp;creator=factset&amp;DYN_ARGS=TRUE&amp;DOC_NAME=FAT:FQL_AUDITING_CLIENT_TEMPLATE.FAT&amp;display_string=Audit&amp;VAR:KEY=WLGDUJUHIT&amp;VAR:QUERY=Q1NGX1NBTEVTKEFOTiwxMi8zMS8xOTgwLDEyLzMxLzIwMDksQVkp&amp;WINDOW=FIRST_POPUP&amp;HEIGHT=450&amp;WI","DTH=450&amp;START_MAXIMIZED=FALSE&amp;VAR:CALENDAR=US&amp;VAR:SYMBOL=WLK&amp;VAR:INDEX=15"}</definedName>
    <definedName name="_1567__FDSAUDITLINK__" hidden="1">{"fdsup://directions/FAT Viewer?action=UPDATE&amp;creator=factset&amp;DYN_ARGS=TRUE&amp;DOC_NAME=FAT:FQL_AUDITING_CLIENT_TEMPLATE.FAT&amp;display_string=Audit&amp;VAR:KEY=WLGDUJUHIT&amp;VAR:QUERY=Q1NGX1NBTEVTKEFOTiwxMi8zMS8xOTgwLDEyLzMxLzIwMDksQVkp&amp;WINDOW=FIRST_POPUP&amp;HEIGHT=450&amp;WI","DTH=450&amp;START_MAXIMIZED=FALSE&amp;VAR:CALENDAR=US&amp;VAR:SYMBOL=WLK&amp;VAR:INDEX=14"}</definedName>
    <definedName name="_1568__FDSAUDITLINK__" hidden="1">{"fdsup://directions/FAT Viewer?action=UPDATE&amp;creator=factset&amp;DYN_ARGS=TRUE&amp;DOC_NAME=FAT:FQL_AUDITING_CLIENT_TEMPLATE.FAT&amp;display_string=Audit&amp;VAR:KEY=WLGDUJUHIT&amp;VAR:QUERY=Q1NGX1NBTEVTKEFOTiwxMi8zMS8xOTgwLDEyLzMxLzIwMDksQVkp&amp;WINDOW=FIRST_POPUP&amp;HEIGHT=450&amp;WI","DTH=450&amp;START_MAXIMIZED=FALSE&amp;VAR:CALENDAR=US&amp;VAR:SYMBOL=WLK&amp;VAR:INDEX=13"}</definedName>
    <definedName name="_1569__FDSAUDITLINK__" hidden="1">{"fdsup://directions/FAT Viewer?action=UPDATE&amp;creator=factset&amp;DYN_ARGS=TRUE&amp;DOC_NAME=FAT:FQL_AUDITING_CLIENT_TEMPLATE.FAT&amp;display_string=Audit&amp;VAR:KEY=WLGDUJUHIT&amp;VAR:QUERY=Q1NGX1NBTEVTKEFOTiwxMi8zMS8xOTgwLDEyLzMxLzIwMDksQVkp&amp;WINDOW=FIRST_POPUP&amp;HEIGHT=450&amp;WI","DTH=450&amp;START_MAXIMIZED=FALSE&amp;VAR:CALENDAR=US&amp;VAR:SYMBOL=WLK&amp;VAR:INDEX=12"}</definedName>
    <definedName name="_157__FDSAUDITLINK__" hidden="1">{"fdsup://directions/FAT Viewer?action=UPDATE&amp;creator=factset&amp;DYN_ARGS=TRUE&amp;DOC_NAME=FAT:FQL_AUDITING_CLIENT_TEMPLATE.FAT&amp;display_string=Audit&amp;VAR:KEY=EJEHEJIFGT&amp;VAR:QUERY=Q1NGX0lOVF9FWFBfTkVUKEFOTiwxOTk1LDAp&amp;WINDOW=FIRST_POPUP&amp;HEIGHT=450&amp;WIDTH=450&amp;START_MA","XIMIZED=FALSE&amp;VAR:CALENDAR=US&amp;VAR:SYMBOL=DOW&amp;VAR:INDEX=5"}</definedName>
    <definedName name="_1570__FDSAUDITLINK__" hidden="1">{"fdsup://directions/FAT Viewer?action=UPDATE&amp;creator=factset&amp;DYN_ARGS=TRUE&amp;DOC_NAME=FAT:FQL_AUDITING_CLIENT_TEMPLATE.FAT&amp;display_string=Audit&amp;VAR:KEY=WLGDUJUHIT&amp;VAR:QUERY=Q1NGX1NBTEVTKEFOTiwxMi8zMS8xOTgwLDEyLzMxLzIwMDksQVkp&amp;WINDOW=FIRST_POPUP&amp;HEIGHT=450&amp;WI","DTH=450&amp;START_MAXIMIZED=FALSE&amp;VAR:CALENDAR=US&amp;VAR:SYMBOL=WLK&amp;VAR:INDEX=11"}</definedName>
    <definedName name="_1571__FDSAUDITLINK__" hidden="1">{"fdsup://directions/FAT Viewer?action=UPDATE&amp;creator=factset&amp;DYN_ARGS=TRUE&amp;DOC_NAME=FAT:FQL_AUDITING_CLIENT_TEMPLATE.FAT&amp;display_string=Audit&amp;VAR:KEY=WLGDUJUHIT&amp;VAR:QUERY=Q1NGX1NBTEVTKEFOTiwxMi8zMS8xOTgwLDEyLzMxLzIwMDksQVkp&amp;WINDOW=FIRST_POPUP&amp;HEIGHT=450&amp;WI","DTH=450&amp;START_MAXIMIZED=FALSE&amp;VAR:CALENDAR=US&amp;VAR:SYMBOL=WLK&amp;VAR:INDEX=10"}</definedName>
    <definedName name="_1572__FDSAUDITLINK__" hidden="1">{"fdsup://directions/FAT Viewer?action=UPDATE&amp;creator=factset&amp;DYN_ARGS=TRUE&amp;DOC_NAME=FAT:FQL_AUDITING_CLIENT_TEMPLATE.FAT&amp;display_string=Audit&amp;VAR:KEY=WLGDUJUHIT&amp;VAR:QUERY=Q1NGX1NBTEVTKEFOTiwxMi8zMS8xOTgwLDEyLzMxLzIwMDksQVkp&amp;WINDOW=FIRST_POPUP&amp;HEIGHT=450&amp;WI","DTH=450&amp;START_MAXIMIZED=FALSE&amp;VAR:CALENDAR=US&amp;VAR:SYMBOL=WLK&amp;VAR:INDEX=9"}</definedName>
    <definedName name="_1573__FDSAUDITLINK__" hidden="1">{"fdsup://directions/FAT Viewer?action=UPDATE&amp;creator=factset&amp;DYN_ARGS=TRUE&amp;DOC_NAME=FAT:FQL_AUDITING_CLIENT_TEMPLATE.FAT&amp;display_string=Audit&amp;VAR:KEY=WLGDUJUHIT&amp;VAR:QUERY=Q1NGX1NBTEVTKEFOTiwxMi8zMS8xOTgwLDEyLzMxLzIwMDksQVkp&amp;WINDOW=FIRST_POPUP&amp;HEIGHT=450&amp;WI","DTH=450&amp;START_MAXIMIZED=FALSE&amp;VAR:CALENDAR=US&amp;VAR:SYMBOL=WLK&amp;VAR:INDEX=8"}</definedName>
    <definedName name="_1574__FDSAUDITLINK__" hidden="1">{"fdsup://directions/FAT Viewer?action=UPDATE&amp;creator=factset&amp;DYN_ARGS=TRUE&amp;DOC_NAME=FAT:FQL_AUDITING_CLIENT_TEMPLATE.FAT&amp;display_string=Audit&amp;VAR:KEY=WLGDUJUHIT&amp;VAR:QUERY=Q1NGX1NBTEVTKEFOTiwxMi8zMS8xOTgwLDEyLzMxLzIwMDksQVkp&amp;WINDOW=FIRST_POPUP&amp;HEIGHT=450&amp;WI","DTH=450&amp;START_MAXIMIZED=FALSE&amp;VAR:CALENDAR=US&amp;VAR:SYMBOL=WLK&amp;VAR:INDEX=7"}</definedName>
    <definedName name="_1575__FDSAUDITLINK__" hidden="1">{"fdsup://directions/FAT Viewer?action=UPDATE&amp;creator=factset&amp;DYN_ARGS=TRUE&amp;DOC_NAME=FAT:FQL_AUDITING_CLIENT_TEMPLATE.FAT&amp;display_string=Audit&amp;VAR:KEY=WLGDUJUHIT&amp;VAR:QUERY=Q1NGX1NBTEVTKEFOTiwxMi8zMS8xOTgwLDEyLzMxLzIwMDksQVkp&amp;WINDOW=FIRST_POPUP&amp;HEIGHT=450&amp;WI","DTH=450&amp;START_MAXIMIZED=FALSE&amp;VAR:CALENDAR=US&amp;VAR:SYMBOL=WLK&amp;VAR:INDEX=6"}</definedName>
    <definedName name="_1576__FDSAUDITLINK__" hidden="1">{"fdsup://directions/FAT Viewer?action=UPDATE&amp;creator=factset&amp;DYN_ARGS=TRUE&amp;DOC_NAME=FAT:FQL_AUDITING_CLIENT_TEMPLATE.FAT&amp;display_string=Audit&amp;VAR:KEY=WLGDUJUHIT&amp;VAR:QUERY=Q1NGX1NBTEVTKEFOTiwxMi8zMS8xOTgwLDEyLzMxLzIwMDksQVkp&amp;WINDOW=FIRST_POPUP&amp;HEIGHT=450&amp;WI","DTH=450&amp;START_MAXIMIZED=FALSE&amp;VAR:CALENDAR=US&amp;VAR:SYMBOL=WLK&amp;VAR:INDEX=5"}</definedName>
    <definedName name="_1577__FDSAUDITLINK__" hidden="1">{"fdsup://directions/FAT Viewer?action=UPDATE&amp;creator=factset&amp;DYN_ARGS=TRUE&amp;DOC_NAME=FAT:FQL_AUDITING_CLIENT_TEMPLATE.FAT&amp;display_string=Audit&amp;VAR:KEY=WLGDUJUHIT&amp;VAR:QUERY=Q1NGX1NBTEVTKEFOTiwxMi8zMS8xOTgwLDEyLzMxLzIwMDksQVkp&amp;WINDOW=FIRST_POPUP&amp;HEIGHT=450&amp;WI","DTH=450&amp;START_MAXIMIZED=FALSE&amp;VAR:CALENDAR=US&amp;VAR:SYMBOL=WLK&amp;VAR:INDEX=4"}</definedName>
    <definedName name="_1578__FDSAUDITLINK__" hidden="1">{"fdsup://directions/FAT Viewer?action=UPDATE&amp;creator=factset&amp;DYN_ARGS=TRUE&amp;DOC_NAME=FAT:FQL_AUDITING_CLIENT_TEMPLATE.FAT&amp;display_string=Audit&amp;VAR:KEY=WLGDUJUHIT&amp;VAR:QUERY=Q1NGX1NBTEVTKEFOTiwxMi8zMS8xOTgwLDEyLzMxLzIwMDksQVkp&amp;WINDOW=FIRST_POPUP&amp;HEIGHT=450&amp;WI","DTH=450&amp;START_MAXIMIZED=FALSE&amp;VAR:CALENDAR=US&amp;VAR:SYMBOL=WLK&amp;VAR:INDEX=3"}</definedName>
    <definedName name="_1579__FDSAUDITLINK__" hidden="1">{"fdsup://directions/FAT Viewer?action=UPDATE&amp;creator=factset&amp;DYN_ARGS=TRUE&amp;DOC_NAME=FAT:FQL_AUDITING_CLIENT_TEMPLATE.FAT&amp;display_string=Audit&amp;VAR:KEY=WLGDUJUHIT&amp;VAR:QUERY=Q1NGX1NBTEVTKEFOTiwxMi8zMS8xOTgwLDEyLzMxLzIwMDksQVkp&amp;WINDOW=FIRST_POPUP&amp;HEIGHT=450&amp;WI","DTH=450&amp;START_MAXIMIZED=FALSE&amp;VAR:CALENDAR=US&amp;VAR:SYMBOL=WLK&amp;VAR:INDEX=2"}</definedName>
    <definedName name="_158__FDSAUDITLINK__" hidden="1">{"fdsup://directions/FAT Viewer?action=UPDATE&amp;creator=factset&amp;DYN_ARGS=TRUE&amp;DOC_NAME=FAT:FQL_AUDITING_CLIENT_TEMPLATE.FAT&amp;display_string=Audit&amp;VAR:KEY=EJEHEJIFGT&amp;VAR:QUERY=Q1NGX0lOVF9FWFBfTkVUKEFOTiwxOTk1LDAp&amp;WINDOW=FIRST_POPUP&amp;HEIGHT=450&amp;WIDTH=450&amp;START_MA","XIMIZED=FALSE&amp;VAR:CALENDAR=US&amp;VAR:SYMBOL=DOW&amp;VAR:INDEX=4"}</definedName>
    <definedName name="_1580__FDSAUDITLINK__" hidden="1">{"fdsup://directions/FAT Viewer?action=UPDATE&amp;creator=factset&amp;DYN_ARGS=TRUE&amp;DOC_NAME=FAT:FQL_AUDITING_CLIENT_TEMPLATE.FAT&amp;display_string=Audit&amp;VAR:KEY=WLGDUJUHIT&amp;VAR:QUERY=Q1NGX1NBTEVTKEFOTiwxMi8zMS8xOTgwLDEyLzMxLzIwMDksQVkp&amp;WINDOW=FIRST_POPUP&amp;HEIGHT=450&amp;WI","DTH=450&amp;START_MAXIMIZED=FALSE&amp;VAR:CALENDAR=US&amp;VAR:SYMBOL=WLK&amp;VAR:INDEX=1"}</definedName>
    <definedName name="_1581__FDSAUDITLINK__" hidden="1">{"fdsup://directions/FAT Viewer?action=UPDATE&amp;creator=factset&amp;DYN_ARGS=TRUE&amp;DOC_NAME=FAT:FQL_AUDITING_CLIENT_TEMPLATE.FAT&amp;display_string=Audit&amp;VAR:KEY=WLGDUJUHIT&amp;VAR:QUERY=Q1NGX1NBTEVTKEFOTiwxMi8zMS8xOTgwLDEyLzMxLzIwMDksQVkp&amp;WINDOW=FIRST_POPUP&amp;HEIGHT=450&amp;WI","DTH=450&amp;START_MAXIMIZED=FALSE&amp;VAR:CALENDAR=US&amp;VAR:SYMBOL=WLK&amp;VAR:INDEX=0"}</definedName>
    <definedName name="_1582__FDSAUDITLINK__" hidden="1">{"fdsup://directions/FAT Viewer?action=UPDATE&amp;creator=factset&amp;DYN_ARGS=TRUE&amp;DOC_NAME=FAT:FQL_AUDITING_CLIENT_TEMPLATE.FAT&amp;display_string=Audit&amp;VAR:KEY=WRKVWLAHET&amp;VAR:QUERY=Q1NGX1NBTEVTKEFOTiwxMi8zMS8xOTgwLDEyLzMxLzIwMDksQVkp&amp;WINDOW=FIRST_POPUP&amp;HEIGHT=450&amp;WI","DTH=450&amp;START_MAXIMIZED=FALSE&amp;VAR:CALENDAR=US&amp;VAR:SYMBOL=SOA&amp;VAR:INDEX=29"}</definedName>
    <definedName name="_1583__FDSAUDITLINK__" hidden="1">{"fdsup://directions/FAT Viewer?action=UPDATE&amp;creator=factset&amp;DYN_ARGS=TRUE&amp;DOC_NAME=FAT:FQL_AUDITING_CLIENT_TEMPLATE.FAT&amp;display_string=Audit&amp;VAR:KEY=WRKVWLAHET&amp;VAR:QUERY=Q1NGX1NBTEVTKEFOTiwxMi8zMS8xOTgwLDEyLzMxLzIwMDksQVkp&amp;WINDOW=FIRST_POPUP&amp;HEIGHT=450&amp;WI","DTH=450&amp;START_MAXIMIZED=FALSE&amp;VAR:CALENDAR=US&amp;VAR:SYMBOL=SOA&amp;VAR:INDEX=28"}</definedName>
    <definedName name="_1584__FDSAUDITLINK__" hidden="1">{"fdsup://directions/FAT Viewer?action=UPDATE&amp;creator=factset&amp;DYN_ARGS=TRUE&amp;DOC_NAME=FAT:FQL_AUDITING_CLIENT_TEMPLATE.FAT&amp;display_string=Audit&amp;VAR:KEY=WRKVWLAHET&amp;VAR:QUERY=Q1NGX1NBTEVTKEFOTiwxMi8zMS8xOTgwLDEyLzMxLzIwMDksQVkp&amp;WINDOW=FIRST_POPUP&amp;HEIGHT=450&amp;WI","DTH=450&amp;START_MAXIMIZED=FALSE&amp;VAR:CALENDAR=US&amp;VAR:SYMBOL=SOA&amp;VAR:INDEX=27"}</definedName>
    <definedName name="_1585__FDSAUDITLINK__" hidden="1">{"fdsup://directions/FAT Viewer?action=UPDATE&amp;creator=factset&amp;DYN_ARGS=TRUE&amp;DOC_NAME=FAT:FQL_AUDITING_CLIENT_TEMPLATE.FAT&amp;display_string=Audit&amp;VAR:KEY=WRKVWLAHET&amp;VAR:QUERY=Q1NGX1NBTEVTKEFOTiwxMi8zMS8xOTgwLDEyLzMxLzIwMDksQVkp&amp;WINDOW=FIRST_POPUP&amp;HEIGHT=450&amp;WI","DTH=450&amp;START_MAXIMIZED=FALSE&amp;VAR:CALENDAR=US&amp;VAR:SYMBOL=SOA&amp;VAR:INDEX=26"}</definedName>
    <definedName name="_1586__FDSAUDITLINK__" hidden="1">{"fdsup://directions/FAT Viewer?action=UPDATE&amp;creator=factset&amp;DYN_ARGS=TRUE&amp;DOC_NAME=FAT:FQL_AUDITING_CLIENT_TEMPLATE.FAT&amp;display_string=Audit&amp;VAR:KEY=WRKVWLAHET&amp;VAR:QUERY=Q1NGX1NBTEVTKEFOTiwxMi8zMS8xOTgwLDEyLzMxLzIwMDksQVkp&amp;WINDOW=FIRST_POPUP&amp;HEIGHT=450&amp;WI","DTH=450&amp;START_MAXIMIZED=FALSE&amp;VAR:CALENDAR=US&amp;VAR:SYMBOL=SOA&amp;VAR:INDEX=25"}</definedName>
    <definedName name="_1587__FDSAUDITLINK__" hidden="1">{"fdsup://directions/FAT Viewer?action=UPDATE&amp;creator=factset&amp;DYN_ARGS=TRUE&amp;DOC_NAME=FAT:FQL_AUDITING_CLIENT_TEMPLATE.FAT&amp;display_string=Audit&amp;VAR:KEY=WRKVWLAHET&amp;VAR:QUERY=Q1NGX1NBTEVTKEFOTiwxMi8zMS8xOTgwLDEyLzMxLzIwMDksQVkp&amp;WINDOW=FIRST_POPUP&amp;HEIGHT=450&amp;WI","DTH=450&amp;START_MAXIMIZED=FALSE&amp;VAR:CALENDAR=US&amp;VAR:SYMBOL=SOA&amp;VAR:INDEX=24"}</definedName>
    <definedName name="_1588__FDSAUDITLINK__" hidden="1">{"fdsup://directions/FAT Viewer?action=UPDATE&amp;creator=factset&amp;DYN_ARGS=TRUE&amp;DOC_NAME=FAT:FQL_AUDITING_CLIENT_TEMPLATE.FAT&amp;display_string=Audit&amp;VAR:KEY=WRKVWLAHET&amp;VAR:QUERY=Q1NGX1NBTEVTKEFOTiwxMi8zMS8xOTgwLDEyLzMxLzIwMDksQVkp&amp;WINDOW=FIRST_POPUP&amp;HEIGHT=450&amp;WI","DTH=450&amp;START_MAXIMIZED=FALSE&amp;VAR:CALENDAR=US&amp;VAR:SYMBOL=SOA&amp;VAR:INDEX=23"}</definedName>
    <definedName name="_1589__FDSAUDITLINK__" hidden="1">{"fdsup://directions/FAT Viewer?action=UPDATE&amp;creator=factset&amp;DYN_ARGS=TRUE&amp;DOC_NAME=FAT:FQL_AUDITING_CLIENT_TEMPLATE.FAT&amp;display_string=Audit&amp;VAR:KEY=WRKVWLAHET&amp;VAR:QUERY=Q1NGX1NBTEVTKEFOTiwxMi8zMS8xOTgwLDEyLzMxLzIwMDksQVkp&amp;WINDOW=FIRST_POPUP&amp;HEIGHT=450&amp;WI","DTH=450&amp;START_MAXIMIZED=FALSE&amp;VAR:CALENDAR=US&amp;VAR:SYMBOL=SOA&amp;VAR:INDEX=22"}</definedName>
    <definedName name="_159__FDSAUDITLINK__" hidden="1">{"fdsup://directions/FAT Viewer?action=UPDATE&amp;creator=factset&amp;DYN_ARGS=TRUE&amp;DOC_NAME=FAT:FQL_AUDITING_CLIENT_TEMPLATE.FAT&amp;display_string=Audit&amp;VAR:KEY=EJEHEJIFGT&amp;VAR:QUERY=Q1NGX0lOVF9FWFBfTkVUKEFOTiwxOTk1LDAp&amp;WINDOW=FIRST_POPUP&amp;HEIGHT=450&amp;WIDTH=450&amp;START_MA","XIMIZED=FALSE&amp;VAR:CALENDAR=US&amp;VAR:SYMBOL=DOW&amp;VAR:INDEX=3"}</definedName>
    <definedName name="_1590__FDSAUDITLINK__" hidden="1">{"fdsup://directions/FAT Viewer?action=UPDATE&amp;creator=factset&amp;DYN_ARGS=TRUE&amp;DOC_NAME=FAT:FQL_AUDITING_CLIENT_TEMPLATE.FAT&amp;display_string=Audit&amp;VAR:KEY=WRKVWLAHET&amp;VAR:QUERY=Q1NGX1NBTEVTKEFOTiwxMi8zMS8xOTgwLDEyLzMxLzIwMDksQVkp&amp;WINDOW=FIRST_POPUP&amp;HEIGHT=450&amp;WI","DTH=450&amp;START_MAXIMIZED=FALSE&amp;VAR:CALENDAR=US&amp;VAR:SYMBOL=SOA&amp;VAR:INDEX=21"}</definedName>
    <definedName name="_1591__FDSAUDITLINK__" hidden="1">{"fdsup://directions/FAT Viewer?action=UPDATE&amp;creator=factset&amp;DYN_ARGS=TRUE&amp;DOC_NAME=FAT:FQL_AUDITING_CLIENT_TEMPLATE.FAT&amp;display_string=Audit&amp;VAR:KEY=WRKVWLAHET&amp;VAR:QUERY=Q1NGX1NBTEVTKEFOTiwxMi8zMS8xOTgwLDEyLzMxLzIwMDksQVkp&amp;WINDOW=FIRST_POPUP&amp;HEIGHT=450&amp;WI","DTH=450&amp;START_MAXIMIZED=FALSE&amp;VAR:CALENDAR=US&amp;VAR:SYMBOL=SOA&amp;VAR:INDEX=20"}</definedName>
    <definedName name="_1592__FDSAUDITLINK__" hidden="1">{"fdsup://directions/FAT Viewer?action=UPDATE&amp;creator=factset&amp;DYN_ARGS=TRUE&amp;DOC_NAME=FAT:FQL_AUDITING_CLIENT_TEMPLATE.FAT&amp;display_string=Audit&amp;VAR:KEY=WRKVWLAHET&amp;VAR:QUERY=Q1NGX1NBTEVTKEFOTiwxMi8zMS8xOTgwLDEyLzMxLzIwMDksQVkp&amp;WINDOW=FIRST_POPUP&amp;HEIGHT=450&amp;WI","DTH=450&amp;START_MAXIMIZED=FALSE&amp;VAR:CALENDAR=US&amp;VAR:SYMBOL=SOA&amp;VAR:INDEX=19"}</definedName>
    <definedName name="_1593__FDSAUDITLINK__" hidden="1">{"fdsup://directions/FAT Viewer?action=UPDATE&amp;creator=factset&amp;DYN_ARGS=TRUE&amp;DOC_NAME=FAT:FQL_AUDITING_CLIENT_TEMPLATE.FAT&amp;display_string=Audit&amp;VAR:KEY=WRKVWLAHET&amp;VAR:QUERY=Q1NGX1NBTEVTKEFOTiwxMi8zMS8xOTgwLDEyLzMxLzIwMDksQVkp&amp;WINDOW=FIRST_POPUP&amp;HEIGHT=450&amp;WI","DTH=450&amp;START_MAXIMIZED=FALSE&amp;VAR:CALENDAR=US&amp;VAR:SYMBOL=SOA&amp;VAR:INDEX=18"}</definedName>
    <definedName name="_1594__FDSAUDITLINK__" hidden="1">{"fdsup://directions/FAT Viewer?action=UPDATE&amp;creator=factset&amp;DYN_ARGS=TRUE&amp;DOC_NAME=FAT:FQL_AUDITING_CLIENT_TEMPLATE.FAT&amp;display_string=Audit&amp;VAR:KEY=WRKVWLAHET&amp;VAR:QUERY=Q1NGX1NBTEVTKEFOTiwxMi8zMS8xOTgwLDEyLzMxLzIwMDksQVkp&amp;WINDOW=FIRST_POPUP&amp;HEIGHT=450&amp;WI","DTH=450&amp;START_MAXIMIZED=FALSE&amp;VAR:CALENDAR=US&amp;VAR:SYMBOL=SOA&amp;VAR:INDEX=17"}</definedName>
    <definedName name="_1595__FDSAUDITLINK__" hidden="1">{"fdsup://directions/FAT Viewer?action=UPDATE&amp;creator=factset&amp;DYN_ARGS=TRUE&amp;DOC_NAME=FAT:FQL_AUDITING_CLIENT_TEMPLATE.FAT&amp;display_string=Audit&amp;VAR:KEY=WRKVWLAHET&amp;VAR:QUERY=Q1NGX1NBTEVTKEFOTiwxMi8zMS8xOTgwLDEyLzMxLzIwMDksQVkp&amp;WINDOW=FIRST_POPUP&amp;HEIGHT=450&amp;WI","DTH=450&amp;START_MAXIMIZED=FALSE&amp;VAR:CALENDAR=US&amp;VAR:SYMBOL=SOA&amp;VAR:INDEX=16"}</definedName>
    <definedName name="_1596__FDSAUDITLINK__" hidden="1">{"fdsup://directions/FAT Viewer?action=UPDATE&amp;creator=factset&amp;DYN_ARGS=TRUE&amp;DOC_NAME=FAT:FQL_AUDITING_CLIENT_TEMPLATE.FAT&amp;display_string=Audit&amp;VAR:KEY=WRKVWLAHET&amp;VAR:QUERY=Q1NGX1NBTEVTKEFOTiwxMi8zMS8xOTgwLDEyLzMxLzIwMDksQVkp&amp;WINDOW=FIRST_POPUP&amp;HEIGHT=450&amp;WI","DTH=450&amp;START_MAXIMIZED=FALSE&amp;VAR:CALENDAR=US&amp;VAR:SYMBOL=SOA&amp;VAR:INDEX=15"}</definedName>
    <definedName name="_1597__FDSAUDITLINK__" hidden="1">{"fdsup://directions/FAT Viewer?action=UPDATE&amp;creator=factset&amp;DYN_ARGS=TRUE&amp;DOC_NAME=FAT:FQL_AUDITING_CLIENT_TEMPLATE.FAT&amp;display_string=Audit&amp;VAR:KEY=WRKVWLAHET&amp;VAR:QUERY=Q1NGX1NBTEVTKEFOTiwxMi8zMS8xOTgwLDEyLzMxLzIwMDksQVkp&amp;WINDOW=FIRST_POPUP&amp;HEIGHT=450&amp;WI","DTH=450&amp;START_MAXIMIZED=FALSE&amp;VAR:CALENDAR=US&amp;VAR:SYMBOL=SOA&amp;VAR:INDEX=14"}</definedName>
    <definedName name="_1598__FDSAUDITLINK__" hidden="1">{"fdsup://directions/FAT Viewer?action=UPDATE&amp;creator=factset&amp;DYN_ARGS=TRUE&amp;DOC_NAME=FAT:FQL_AUDITING_CLIENT_TEMPLATE.FAT&amp;display_string=Audit&amp;VAR:KEY=WRKVWLAHET&amp;VAR:QUERY=Q1NGX1NBTEVTKEFOTiwxMi8zMS8xOTgwLDEyLzMxLzIwMDksQVkp&amp;WINDOW=FIRST_POPUP&amp;HEIGHT=450&amp;WI","DTH=450&amp;START_MAXIMIZED=FALSE&amp;VAR:CALENDAR=US&amp;VAR:SYMBOL=SOA&amp;VAR:INDEX=13"}</definedName>
    <definedName name="_1599__FDSAUDITLINK__" hidden="1">{"fdsup://directions/FAT Viewer?action=UPDATE&amp;creator=factset&amp;DYN_ARGS=TRUE&amp;DOC_NAME=FAT:FQL_AUDITING_CLIENT_TEMPLATE.FAT&amp;display_string=Audit&amp;VAR:KEY=WRKVWLAHET&amp;VAR:QUERY=Q1NGX1NBTEVTKEFOTiwxMi8zMS8xOTgwLDEyLzMxLzIwMDksQVkp&amp;WINDOW=FIRST_POPUP&amp;HEIGHT=450&amp;WI","DTH=450&amp;START_MAXIMIZED=FALSE&amp;VAR:CALENDAR=US&amp;VAR:SYMBOL=SOA&amp;VAR:INDEX=12"}</definedName>
    <definedName name="_16__FDSAUDITLINK__" hidden="1">{"fdsup://directions/FAT Viewer?action=UPDATE&amp;creator=factset&amp;DYN_ARGS=TRUE&amp;DOC_NAME=FAT:FQL_AUDITING_CLIENT_TEMPLATE.FAT&amp;display_string=Audit&amp;VAR:KEY=UDWDCDSHAP&amp;VAR:QUERY=Q1NGX0VCSVREQV9PUEVSKExUTV9SLDAp&amp;WINDOW=FIRST_POPUP&amp;HEIGHT=450&amp;WIDTH=450&amp;START_MAXIMI","ZED=FALSE&amp;VAR:CALENDAR=US&amp;VAR:SYMBOL=SIAL&amp;VAR:INDEX=0"}</definedName>
    <definedName name="_160__FDSAUDITLINK__" hidden="1">{"fdsup://directions/FAT Viewer?action=UPDATE&amp;creator=factset&amp;DYN_ARGS=TRUE&amp;DOC_NAME=FAT:FQL_AUDITING_CLIENT_TEMPLATE.FAT&amp;display_string=Audit&amp;VAR:KEY=EJEHEJIFGT&amp;VAR:QUERY=Q1NGX0lOVF9FWFBfTkVUKEFOTiwxOTk1LDAp&amp;WINDOW=FIRST_POPUP&amp;HEIGHT=450&amp;WIDTH=450&amp;START_MA","XIMIZED=FALSE&amp;VAR:CALENDAR=US&amp;VAR:SYMBOL=DOW&amp;VAR:INDEX=2"}</definedName>
    <definedName name="_1600__FDSAUDITLINK__" hidden="1">{"fdsup://directions/FAT Viewer?action=UPDATE&amp;creator=factset&amp;DYN_ARGS=TRUE&amp;DOC_NAME=FAT:FQL_AUDITING_CLIENT_TEMPLATE.FAT&amp;display_string=Audit&amp;VAR:KEY=WRKVWLAHET&amp;VAR:QUERY=Q1NGX1NBTEVTKEFOTiwxMi8zMS8xOTgwLDEyLzMxLzIwMDksQVkp&amp;WINDOW=FIRST_POPUP&amp;HEIGHT=450&amp;WI","DTH=450&amp;START_MAXIMIZED=FALSE&amp;VAR:CALENDAR=US&amp;VAR:SYMBOL=SOA&amp;VAR:INDEX=11"}</definedName>
    <definedName name="_1601__FDSAUDITLINK__" hidden="1">{"fdsup://directions/FAT Viewer?action=UPDATE&amp;creator=factset&amp;DYN_ARGS=TRUE&amp;DOC_NAME=FAT:FQL_AUDITING_CLIENT_TEMPLATE.FAT&amp;display_string=Audit&amp;VAR:KEY=WRKVWLAHET&amp;VAR:QUERY=Q1NGX1NBTEVTKEFOTiwxMi8zMS8xOTgwLDEyLzMxLzIwMDksQVkp&amp;WINDOW=FIRST_POPUP&amp;HEIGHT=450&amp;WI","DTH=450&amp;START_MAXIMIZED=FALSE&amp;VAR:CALENDAR=US&amp;VAR:SYMBOL=SOA&amp;VAR:INDEX=10"}</definedName>
    <definedName name="_1602__FDSAUDITLINK__" hidden="1">{"fdsup://directions/FAT Viewer?action=UPDATE&amp;creator=factset&amp;DYN_ARGS=TRUE&amp;DOC_NAME=FAT:FQL_AUDITING_CLIENT_TEMPLATE.FAT&amp;display_string=Audit&amp;VAR:KEY=WRKVWLAHET&amp;VAR:QUERY=Q1NGX1NBTEVTKEFOTiwxMi8zMS8xOTgwLDEyLzMxLzIwMDksQVkp&amp;WINDOW=FIRST_POPUP&amp;HEIGHT=450&amp;WI","DTH=450&amp;START_MAXIMIZED=FALSE&amp;VAR:CALENDAR=US&amp;VAR:SYMBOL=SOA&amp;VAR:INDEX=9"}</definedName>
    <definedName name="_1603__FDSAUDITLINK__" hidden="1">{"fdsup://directions/FAT Viewer?action=UPDATE&amp;creator=factset&amp;DYN_ARGS=TRUE&amp;DOC_NAME=FAT:FQL_AUDITING_CLIENT_TEMPLATE.FAT&amp;display_string=Audit&amp;VAR:KEY=WRKVWLAHET&amp;VAR:QUERY=Q1NGX1NBTEVTKEFOTiwxMi8zMS8xOTgwLDEyLzMxLzIwMDksQVkp&amp;WINDOW=FIRST_POPUP&amp;HEIGHT=450&amp;WI","DTH=450&amp;START_MAXIMIZED=FALSE&amp;VAR:CALENDAR=US&amp;VAR:SYMBOL=SOA&amp;VAR:INDEX=8"}</definedName>
    <definedName name="_1604__FDSAUDITLINK__" hidden="1">{"fdsup://directions/FAT Viewer?action=UPDATE&amp;creator=factset&amp;DYN_ARGS=TRUE&amp;DOC_NAME=FAT:FQL_AUDITING_CLIENT_TEMPLATE.FAT&amp;display_string=Audit&amp;VAR:KEY=WRKVWLAHET&amp;VAR:QUERY=Q1NGX1NBTEVTKEFOTiwxMi8zMS8xOTgwLDEyLzMxLzIwMDksQVkp&amp;WINDOW=FIRST_POPUP&amp;HEIGHT=450&amp;WI","DTH=450&amp;START_MAXIMIZED=FALSE&amp;VAR:CALENDAR=US&amp;VAR:SYMBOL=SOA&amp;VAR:INDEX=7"}</definedName>
    <definedName name="_1605__FDSAUDITLINK__" hidden="1">{"fdsup://directions/FAT Viewer?action=UPDATE&amp;creator=factset&amp;DYN_ARGS=TRUE&amp;DOC_NAME=FAT:FQL_AUDITING_CLIENT_TEMPLATE.FAT&amp;display_string=Audit&amp;VAR:KEY=WRKVWLAHET&amp;VAR:QUERY=Q1NGX1NBTEVTKEFOTiwxMi8zMS8xOTgwLDEyLzMxLzIwMDksQVkp&amp;WINDOW=FIRST_POPUP&amp;HEIGHT=450&amp;WI","DTH=450&amp;START_MAXIMIZED=FALSE&amp;VAR:CALENDAR=US&amp;VAR:SYMBOL=SOA&amp;VAR:INDEX=6"}</definedName>
    <definedName name="_1606__FDSAUDITLINK__" hidden="1">{"fdsup://directions/FAT Viewer?action=UPDATE&amp;creator=factset&amp;DYN_ARGS=TRUE&amp;DOC_NAME=FAT:FQL_AUDITING_CLIENT_TEMPLATE.FAT&amp;display_string=Audit&amp;VAR:KEY=WRKVWLAHET&amp;VAR:QUERY=Q1NGX1NBTEVTKEFOTiwxMi8zMS8xOTgwLDEyLzMxLzIwMDksQVkp&amp;WINDOW=FIRST_POPUP&amp;HEIGHT=450&amp;WI","DTH=450&amp;START_MAXIMIZED=FALSE&amp;VAR:CALENDAR=US&amp;VAR:SYMBOL=SOA&amp;VAR:INDEX=5"}</definedName>
    <definedName name="_1607__FDSAUDITLINK__" hidden="1">{"fdsup://directions/FAT Viewer?action=UPDATE&amp;creator=factset&amp;DYN_ARGS=TRUE&amp;DOC_NAME=FAT:FQL_AUDITING_CLIENT_TEMPLATE.FAT&amp;display_string=Audit&amp;VAR:KEY=WRKVWLAHET&amp;VAR:QUERY=Q1NGX1NBTEVTKEFOTiwxMi8zMS8xOTgwLDEyLzMxLzIwMDksQVkp&amp;WINDOW=FIRST_POPUP&amp;HEIGHT=450&amp;WI","DTH=450&amp;START_MAXIMIZED=FALSE&amp;VAR:CALENDAR=US&amp;VAR:SYMBOL=SOA&amp;VAR:INDEX=4"}</definedName>
    <definedName name="_1608__FDSAUDITLINK__" hidden="1">{"fdsup://directions/FAT Viewer?action=UPDATE&amp;creator=factset&amp;DYN_ARGS=TRUE&amp;DOC_NAME=FAT:FQL_AUDITING_CLIENT_TEMPLATE.FAT&amp;display_string=Audit&amp;VAR:KEY=WRKVWLAHET&amp;VAR:QUERY=Q1NGX1NBTEVTKEFOTiwxMi8zMS8xOTgwLDEyLzMxLzIwMDksQVkp&amp;WINDOW=FIRST_POPUP&amp;HEIGHT=450&amp;WI","DTH=450&amp;START_MAXIMIZED=FALSE&amp;VAR:CALENDAR=US&amp;VAR:SYMBOL=SOA&amp;VAR:INDEX=3"}</definedName>
    <definedName name="_1609__FDSAUDITLINK__" hidden="1">{"fdsup://directions/FAT Viewer?action=UPDATE&amp;creator=factset&amp;DYN_ARGS=TRUE&amp;DOC_NAME=FAT:FQL_AUDITING_CLIENT_TEMPLATE.FAT&amp;display_string=Audit&amp;VAR:KEY=WRKVWLAHET&amp;VAR:QUERY=Q1NGX1NBTEVTKEFOTiwxMi8zMS8xOTgwLDEyLzMxLzIwMDksQVkp&amp;WINDOW=FIRST_POPUP&amp;HEIGHT=450&amp;WI","DTH=450&amp;START_MAXIMIZED=FALSE&amp;VAR:CALENDAR=US&amp;VAR:SYMBOL=SOA&amp;VAR:INDEX=2"}</definedName>
    <definedName name="_161__FDSAUDITLINK__" hidden="1">{"fdsup://directions/FAT Viewer?action=UPDATE&amp;creator=factset&amp;DYN_ARGS=TRUE&amp;DOC_NAME=FAT:FQL_AUDITING_CLIENT_TEMPLATE.FAT&amp;display_string=Audit&amp;VAR:KEY=EJEHEJIFGT&amp;VAR:QUERY=Q1NGX0lOVF9FWFBfTkVUKEFOTiwxOTk1LDAp&amp;WINDOW=FIRST_POPUP&amp;HEIGHT=450&amp;WIDTH=450&amp;START_MA","XIMIZED=FALSE&amp;VAR:CALENDAR=US&amp;VAR:SYMBOL=DOW&amp;VAR:INDEX=1"}</definedName>
    <definedName name="_1610__FDSAUDITLINK__" hidden="1">{"fdsup://directions/FAT Viewer?action=UPDATE&amp;creator=factset&amp;DYN_ARGS=TRUE&amp;DOC_NAME=FAT:FQL_AUDITING_CLIENT_TEMPLATE.FAT&amp;display_string=Audit&amp;VAR:KEY=WRKVWLAHET&amp;VAR:QUERY=Q1NGX1NBTEVTKEFOTiwxMi8zMS8xOTgwLDEyLzMxLzIwMDksQVkp&amp;WINDOW=FIRST_POPUP&amp;HEIGHT=450&amp;WI","DTH=450&amp;START_MAXIMIZED=FALSE&amp;VAR:CALENDAR=US&amp;VAR:SYMBOL=SOA&amp;VAR:INDEX=1"}</definedName>
    <definedName name="_1611__FDSAUDITLINK__" hidden="1">{"fdsup://directions/FAT Viewer?action=UPDATE&amp;creator=factset&amp;DYN_ARGS=TRUE&amp;DOC_NAME=FAT:FQL_AUDITING_CLIENT_TEMPLATE.FAT&amp;display_string=Audit&amp;VAR:KEY=WRKVWLAHET&amp;VAR:QUERY=Q1NGX1NBTEVTKEFOTiwxMi8zMS8xOTgwLDEyLzMxLzIwMDksQVkp&amp;WINDOW=FIRST_POPUP&amp;HEIGHT=450&amp;WI","DTH=450&amp;START_MAXIMIZED=FALSE&amp;VAR:CALENDAR=US&amp;VAR:SYMBOL=SOA&amp;VAR:INDEX=0"}</definedName>
    <definedName name="_1612__FDSAUDITLINK__" hidden="1">{"fdsup://directions/FAT Viewer?action=UPDATE&amp;creator=factset&amp;DYN_ARGS=TRUE&amp;DOC_NAME=FAT:FQL_AUDITING_CLIENT_TEMPLATE.FAT&amp;display_string=Audit&amp;VAR:KEY=GVYNUTSJKR&amp;VAR:QUERY=Q1NGX1NBTEVTKEFOTiwxMi8zMS8xOTgwLDEyLzMxLzIwMDksQVkp&amp;WINDOW=FIRST_POPUP&amp;HEIGHT=450&amp;WI","DTH=450&amp;START_MAXIMIZED=FALSE&amp;VAR:CALENDAR=US&amp;VAR:SYMBOL=MTX&amp;VAR:INDEX=29"}</definedName>
    <definedName name="_1613__FDSAUDITLINK__" hidden="1">{"fdsup://directions/FAT Viewer?action=UPDATE&amp;creator=factset&amp;DYN_ARGS=TRUE&amp;DOC_NAME=FAT:FQL_AUDITING_CLIENT_TEMPLATE.FAT&amp;display_string=Audit&amp;VAR:KEY=GVYNUTSJKR&amp;VAR:QUERY=Q1NGX1NBTEVTKEFOTiwxMi8zMS8xOTgwLDEyLzMxLzIwMDksQVkp&amp;WINDOW=FIRST_POPUP&amp;HEIGHT=450&amp;WI","DTH=450&amp;START_MAXIMIZED=FALSE&amp;VAR:CALENDAR=US&amp;VAR:SYMBOL=MTX&amp;VAR:INDEX=28"}</definedName>
    <definedName name="_1614__FDSAUDITLINK__" hidden="1">{"fdsup://directions/FAT Viewer?action=UPDATE&amp;creator=factset&amp;DYN_ARGS=TRUE&amp;DOC_NAME=FAT:FQL_AUDITING_CLIENT_TEMPLATE.FAT&amp;display_string=Audit&amp;VAR:KEY=GVYNUTSJKR&amp;VAR:QUERY=Q1NGX1NBTEVTKEFOTiwxMi8zMS8xOTgwLDEyLzMxLzIwMDksQVkp&amp;WINDOW=FIRST_POPUP&amp;HEIGHT=450&amp;WI","DTH=450&amp;START_MAXIMIZED=FALSE&amp;VAR:CALENDAR=US&amp;VAR:SYMBOL=MTX&amp;VAR:INDEX=27"}</definedName>
    <definedName name="_1615__FDSAUDITLINK__" hidden="1">{"fdsup://directions/FAT Viewer?action=UPDATE&amp;creator=factset&amp;DYN_ARGS=TRUE&amp;DOC_NAME=FAT:FQL_AUDITING_CLIENT_TEMPLATE.FAT&amp;display_string=Audit&amp;VAR:KEY=GVYNUTSJKR&amp;VAR:QUERY=Q1NGX1NBTEVTKEFOTiwxMi8zMS8xOTgwLDEyLzMxLzIwMDksQVkp&amp;WINDOW=FIRST_POPUP&amp;HEIGHT=450&amp;WI","DTH=450&amp;START_MAXIMIZED=FALSE&amp;VAR:CALENDAR=US&amp;VAR:SYMBOL=MTX&amp;VAR:INDEX=26"}</definedName>
    <definedName name="_1616__FDSAUDITLINK__" hidden="1">{"fdsup://directions/FAT Viewer?action=UPDATE&amp;creator=factset&amp;DYN_ARGS=TRUE&amp;DOC_NAME=FAT:FQL_AUDITING_CLIENT_TEMPLATE.FAT&amp;display_string=Audit&amp;VAR:KEY=GVYNUTSJKR&amp;VAR:QUERY=Q1NGX1NBTEVTKEFOTiwxMi8zMS8xOTgwLDEyLzMxLzIwMDksQVkp&amp;WINDOW=FIRST_POPUP&amp;HEIGHT=450&amp;WI","DTH=450&amp;START_MAXIMIZED=FALSE&amp;VAR:CALENDAR=US&amp;VAR:SYMBOL=MTX&amp;VAR:INDEX=25"}</definedName>
    <definedName name="_1617__FDSAUDITLINK__" hidden="1">{"fdsup://directions/FAT Viewer?action=UPDATE&amp;creator=factset&amp;DYN_ARGS=TRUE&amp;DOC_NAME=FAT:FQL_AUDITING_CLIENT_TEMPLATE.FAT&amp;display_string=Audit&amp;VAR:KEY=GVYNUTSJKR&amp;VAR:QUERY=Q1NGX1NBTEVTKEFOTiwxMi8zMS8xOTgwLDEyLzMxLzIwMDksQVkp&amp;WINDOW=FIRST_POPUP&amp;HEIGHT=450&amp;WI","DTH=450&amp;START_MAXIMIZED=FALSE&amp;VAR:CALENDAR=US&amp;VAR:SYMBOL=MTX&amp;VAR:INDEX=24"}</definedName>
    <definedName name="_1618__FDSAUDITLINK__" hidden="1">{"fdsup://directions/FAT Viewer?action=UPDATE&amp;creator=factset&amp;DYN_ARGS=TRUE&amp;DOC_NAME=FAT:FQL_AUDITING_CLIENT_TEMPLATE.FAT&amp;display_string=Audit&amp;VAR:KEY=GVYNUTSJKR&amp;VAR:QUERY=Q1NGX1NBTEVTKEFOTiwxMi8zMS8xOTgwLDEyLzMxLzIwMDksQVkp&amp;WINDOW=FIRST_POPUP&amp;HEIGHT=450&amp;WI","DTH=450&amp;START_MAXIMIZED=FALSE&amp;VAR:CALENDAR=US&amp;VAR:SYMBOL=MTX&amp;VAR:INDEX=23"}</definedName>
    <definedName name="_1619__FDSAUDITLINK__" hidden="1">{"fdsup://directions/FAT Viewer?action=UPDATE&amp;creator=factset&amp;DYN_ARGS=TRUE&amp;DOC_NAME=FAT:FQL_AUDITING_CLIENT_TEMPLATE.FAT&amp;display_string=Audit&amp;VAR:KEY=GVYNUTSJKR&amp;VAR:QUERY=Q1NGX1NBTEVTKEFOTiwxMi8zMS8xOTgwLDEyLzMxLzIwMDksQVkp&amp;WINDOW=FIRST_POPUP&amp;HEIGHT=450&amp;WI","DTH=450&amp;START_MAXIMIZED=FALSE&amp;VAR:CALENDAR=US&amp;VAR:SYMBOL=MTX&amp;VAR:INDEX=22"}</definedName>
    <definedName name="_162__FDSAUDITLINK__" hidden="1">{"fdsup://directions/FAT Viewer?action=UPDATE&amp;creator=factset&amp;DYN_ARGS=TRUE&amp;DOC_NAME=FAT:FQL_AUDITING_CLIENT_TEMPLATE.FAT&amp;display_string=Audit&amp;VAR:KEY=EJEHEJIFGT&amp;VAR:QUERY=Q1NGX0lOVF9FWFBfTkVUKEFOTiwxOTk1LDAp&amp;WINDOW=FIRST_POPUP&amp;HEIGHT=450&amp;WIDTH=450&amp;START_MA","XIMIZED=FALSE&amp;VAR:CALENDAR=US&amp;VAR:SYMBOL=DOW&amp;VAR:INDEX=0"}</definedName>
    <definedName name="_1620__FDSAUDITLINK__" hidden="1">{"fdsup://directions/FAT Viewer?action=UPDATE&amp;creator=factset&amp;DYN_ARGS=TRUE&amp;DOC_NAME=FAT:FQL_AUDITING_CLIENT_TEMPLATE.FAT&amp;display_string=Audit&amp;VAR:KEY=GVYNUTSJKR&amp;VAR:QUERY=Q1NGX1NBTEVTKEFOTiwxMi8zMS8xOTgwLDEyLzMxLzIwMDksQVkp&amp;WINDOW=FIRST_POPUP&amp;HEIGHT=450&amp;WI","DTH=450&amp;START_MAXIMIZED=FALSE&amp;VAR:CALENDAR=US&amp;VAR:SYMBOL=MTX&amp;VAR:INDEX=21"}</definedName>
    <definedName name="_1621__FDSAUDITLINK__" hidden="1">{"fdsup://directions/FAT Viewer?action=UPDATE&amp;creator=factset&amp;DYN_ARGS=TRUE&amp;DOC_NAME=FAT:FQL_AUDITING_CLIENT_TEMPLATE.FAT&amp;display_string=Audit&amp;VAR:KEY=GVYNUTSJKR&amp;VAR:QUERY=Q1NGX1NBTEVTKEFOTiwxMi8zMS8xOTgwLDEyLzMxLzIwMDksQVkp&amp;WINDOW=FIRST_POPUP&amp;HEIGHT=450&amp;WI","DTH=450&amp;START_MAXIMIZED=FALSE&amp;VAR:CALENDAR=US&amp;VAR:SYMBOL=MTX&amp;VAR:INDEX=20"}</definedName>
    <definedName name="_1622__FDSAUDITLINK__" hidden="1">{"fdsup://directions/FAT Viewer?action=UPDATE&amp;creator=factset&amp;DYN_ARGS=TRUE&amp;DOC_NAME=FAT:FQL_AUDITING_CLIENT_TEMPLATE.FAT&amp;display_string=Audit&amp;VAR:KEY=GVYNUTSJKR&amp;VAR:QUERY=Q1NGX1NBTEVTKEFOTiwxMi8zMS8xOTgwLDEyLzMxLzIwMDksQVkp&amp;WINDOW=FIRST_POPUP&amp;HEIGHT=450&amp;WI","DTH=450&amp;START_MAXIMIZED=FALSE&amp;VAR:CALENDAR=US&amp;VAR:SYMBOL=MTX&amp;VAR:INDEX=19"}</definedName>
    <definedName name="_1623__FDSAUDITLINK__" hidden="1">{"fdsup://directions/FAT Viewer?action=UPDATE&amp;creator=factset&amp;DYN_ARGS=TRUE&amp;DOC_NAME=FAT:FQL_AUDITING_CLIENT_TEMPLATE.FAT&amp;display_string=Audit&amp;VAR:KEY=GVYNUTSJKR&amp;VAR:QUERY=Q1NGX1NBTEVTKEFOTiwxMi8zMS8xOTgwLDEyLzMxLzIwMDksQVkp&amp;WINDOW=FIRST_POPUP&amp;HEIGHT=450&amp;WI","DTH=450&amp;START_MAXIMIZED=FALSE&amp;VAR:CALENDAR=US&amp;VAR:SYMBOL=MTX&amp;VAR:INDEX=18"}</definedName>
    <definedName name="_1624__FDSAUDITLINK__" hidden="1">{"fdsup://directions/FAT Viewer?action=UPDATE&amp;creator=factset&amp;DYN_ARGS=TRUE&amp;DOC_NAME=FAT:FQL_AUDITING_CLIENT_TEMPLATE.FAT&amp;display_string=Audit&amp;VAR:KEY=GVYNUTSJKR&amp;VAR:QUERY=Q1NGX1NBTEVTKEFOTiwxMi8zMS8xOTgwLDEyLzMxLzIwMDksQVkp&amp;WINDOW=FIRST_POPUP&amp;HEIGHT=450&amp;WI","DTH=450&amp;START_MAXIMIZED=FALSE&amp;VAR:CALENDAR=US&amp;VAR:SYMBOL=MTX&amp;VAR:INDEX=17"}</definedName>
    <definedName name="_1625__FDSAUDITLINK__" hidden="1">{"fdsup://directions/FAT Viewer?action=UPDATE&amp;creator=factset&amp;DYN_ARGS=TRUE&amp;DOC_NAME=FAT:FQL_AUDITING_CLIENT_TEMPLATE.FAT&amp;display_string=Audit&amp;VAR:KEY=GVYNUTSJKR&amp;VAR:QUERY=Q1NGX1NBTEVTKEFOTiwxMi8zMS8xOTgwLDEyLzMxLzIwMDksQVkp&amp;WINDOW=FIRST_POPUP&amp;HEIGHT=450&amp;WI","DTH=450&amp;START_MAXIMIZED=FALSE&amp;VAR:CALENDAR=US&amp;VAR:SYMBOL=MTX&amp;VAR:INDEX=16"}</definedName>
    <definedName name="_1626__FDSAUDITLINK__" hidden="1">{"fdsup://directions/FAT Viewer?action=UPDATE&amp;creator=factset&amp;DYN_ARGS=TRUE&amp;DOC_NAME=FAT:FQL_AUDITING_CLIENT_TEMPLATE.FAT&amp;display_string=Audit&amp;VAR:KEY=GVYNUTSJKR&amp;VAR:QUERY=Q1NGX1NBTEVTKEFOTiwxMi8zMS8xOTgwLDEyLzMxLzIwMDksQVkp&amp;WINDOW=FIRST_POPUP&amp;HEIGHT=450&amp;WI","DTH=450&amp;START_MAXIMIZED=FALSE&amp;VAR:CALENDAR=US&amp;VAR:SYMBOL=MTX&amp;VAR:INDEX=15"}</definedName>
    <definedName name="_1627__FDSAUDITLINK__" hidden="1">{"fdsup://directions/FAT Viewer?action=UPDATE&amp;creator=factset&amp;DYN_ARGS=TRUE&amp;DOC_NAME=FAT:FQL_AUDITING_CLIENT_TEMPLATE.FAT&amp;display_string=Audit&amp;VAR:KEY=GVYNUTSJKR&amp;VAR:QUERY=Q1NGX1NBTEVTKEFOTiwxMi8zMS8xOTgwLDEyLzMxLzIwMDksQVkp&amp;WINDOW=FIRST_POPUP&amp;HEIGHT=450&amp;WI","DTH=450&amp;START_MAXIMIZED=FALSE&amp;VAR:CALENDAR=US&amp;VAR:SYMBOL=MTX&amp;VAR:INDEX=14"}</definedName>
    <definedName name="_1628__FDSAUDITLINK__" hidden="1">{"fdsup://directions/FAT Viewer?action=UPDATE&amp;creator=factset&amp;DYN_ARGS=TRUE&amp;DOC_NAME=FAT:FQL_AUDITING_CLIENT_TEMPLATE.FAT&amp;display_string=Audit&amp;VAR:KEY=GVYNUTSJKR&amp;VAR:QUERY=Q1NGX1NBTEVTKEFOTiwxMi8zMS8xOTgwLDEyLzMxLzIwMDksQVkp&amp;WINDOW=FIRST_POPUP&amp;HEIGHT=450&amp;WI","DTH=450&amp;START_MAXIMIZED=FALSE&amp;VAR:CALENDAR=US&amp;VAR:SYMBOL=MTX&amp;VAR:INDEX=13"}</definedName>
    <definedName name="_1629__FDSAUDITLINK__" hidden="1">{"fdsup://directions/FAT Viewer?action=UPDATE&amp;creator=factset&amp;DYN_ARGS=TRUE&amp;DOC_NAME=FAT:FQL_AUDITING_CLIENT_TEMPLATE.FAT&amp;display_string=Audit&amp;VAR:KEY=GVYNUTSJKR&amp;VAR:QUERY=Q1NGX1NBTEVTKEFOTiwxMi8zMS8xOTgwLDEyLzMxLzIwMDksQVkp&amp;WINDOW=FIRST_POPUP&amp;HEIGHT=450&amp;WI","DTH=450&amp;START_MAXIMIZED=FALSE&amp;VAR:CALENDAR=US&amp;VAR:SYMBOL=MTX&amp;VAR:INDEX=12"}</definedName>
    <definedName name="_163__FDSAUDITLINK__" hidden="1">{"fdsup://directions/FAT Viewer?action=UPDATE&amp;creator=factset&amp;DYN_ARGS=TRUE&amp;DOC_NAME=FAT:FQL_AUDITING_CLIENT_TEMPLATE.FAT&amp;display_string=Audit&amp;VAR:KEY=QJEZITKFOT&amp;VAR:QUERY=Q1NGX0NPR1MoTFRNX1IsMCk=&amp;WINDOW=FIRST_POPUP&amp;HEIGHT=450&amp;WIDTH=450&amp;START_MAXIMIZED=FALS","E&amp;VAR:CALENDAR=US&amp;VAR:SYMBOL=DOW&amp;VAR:INDEX=0"}</definedName>
    <definedName name="_1630__FDSAUDITLINK__" hidden="1">{"fdsup://directions/FAT Viewer?action=UPDATE&amp;creator=factset&amp;DYN_ARGS=TRUE&amp;DOC_NAME=FAT:FQL_AUDITING_CLIENT_TEMPLATE.FAT&amp;display_string=Audit&amp;VAR:KEY=GVYNUTSJKR&amp;VAR:QUERY=Q1NGX1NBTEVTKEFOTiwxMi8zMS8xOTgwLDEyLzMxLzIwMDksQVkp&amp;WINDOW=FIRST_POPUP&amp;HEIGHT=450&amp;WI","DTH=450&amp;START_MAXIMIZED=FALSE&amp;VAR:CALENDAR=US&amp;VAR:SYMBOL=MTX&amp;VAR:INDEX=11"}</definedName>
    <definedName name="_1631__FDSAUDITLINK__" hidden="1">{"fdsup://directions/FAT Viewer?action=UPDATE&amp;creator=factset&amp;DYN_ARGS=TRUE&amp;DOC_NAME=FAT:FQL_AUDITING_CLIENT_TEMPLATE.FAT&amp;display_string=Audit&amp;VAR:KEY=GVYNUTSJKR&amp;VAR:QUERY=Q1NGX1NBTEVTKEFOTiwxMi8zMS8xOTgwLDEyLzMxLzIwMDksQVkp&amp;WINDOW=FIRST_POPUP&amp;HEIGHT=450&amp;WI","DTH=450&amp;START_MAXIMIZED=FALSE&amp;VAR:CALENDAR=US&amp;VAR:SYMBOL=MTX&amp;VAR:INDEX=10"}</definedName>
    <definedName name="_1632__FDSAUDITLINK__" hidden="1">{"fdsup://directions/FAT Viewer?action=UPDATE&amp;creator=factset&amp;DYN_ARGS=TRUE&amp;DOC_NAME=FAT:FQL_AUDITING_CLIENT_TEMPLATE.FAT&amp;display_string=Audit&amp;VAR:KEY=GVYNUTSJKR&amp;VAR:QUERY=Q1NGX1NBTEVTKEFOTiwxMi8zMS8xOTgwLDEyLzMxLzIwMDksQVkp&amp;WINDOW=FIRST_POPUP&amp;HEIGHT=450&amp;WI","DTH=450&amp;START_MAXIMIZED=FALSE&amp;VAR:CALENDAR=US&amp;VAR:SYMBOL=MTX&amp;VAR:INDEX=9"}</definedName>
    <definedName name="_1633__FDSAUDITLINK__" hidden="1">{"fdsup://directions/FAT Viewer?action=UPDATE&amp;creator=factset&amp;DYN_ARGS=TRUE&amp;DOC_NAME=FAT:FQL_AUDITING_CLIENT_TEMPLATE.FAT&amp;display_string=Audit&amp;VAR:KEY=GVYNUTSJKR&amp;VAR:QUERY=Q1NGX1NBTEVTKEFOTiwxMi8zMS8xOTgwLDEyLzMxLzIwMDksQVkp&amp;WINDOW=FIRST_POPUP&amp;HEIGHT=450&amp;WI","DTH=450&amp;START_MAXIMIZED=FALSE&amp;VAR:CALENDAR=US&amp;VAR:SYMBOL=MTX&amp;VAR:INDEX=8"}</definedName>
    <definedName name="_1634__FDSAUDITLINK__" hidden="1">{"fdsup://directions/FAT Viewer?action=UPDATE&amp;creator=factset&amp;DYN_ARGS=TRUE&amp;DOC_NAME=FAT:FQL_AUDITING_CLIENT_TEMPLATE.FAT&amp;display_string=Audit&amp;VAR:KEY=GVYNUTSJKR&amp;VAR:QUERY=Q1NGX1NBTEVTKEFOTiwxMi8zMS8xOTgwLDEyLzMxLzIwMDksQVkp&amp;WINDOW=FIRST_POPUP&amp;HEIGHT=450&amp;WI","DTH=450&amp;START_MAXIMIZED=FALSE&amp;VAR:CALENDAR=US&amp;VAR:SYMBOL=MTX&amp;VAR:INDEX=7"}</definedName>
    <definedName name="_1635__FDSAUDITLINK__" hidden="1">{"fdsup://directions/FAT Viewer?action=UPDATE&amp;creator=factset&amp;DYN_ARGS=TRUE&amp;DOC_NAME=FAT:FQL_AUDITING_CLIENT_TEMPLATE.FAT&amp;display_string=Audit&amp;VAR:KEY=GVYNUTSJKR&amp;VAR:QUERY=Q1NGX1NBTEVTKEFOTiwxMi8zMS8xOTgwLDEyLzMxLzIwMDksQVkp&amp;WINDOW=FIRST_POPUP&amp;HEIGHT=450&amp;WI","DTH=450&amp;START_MAXIMIZED=FALSE&amp;VAR:CALENDAR=US&amp;VAR:SYMBOL=MTX&amp;VAR:INDEX=6"}</definedName>
    <definedName name="_1636__FDSAUDITLINK__" hidden="1">{"fdsup://directions/FAT Viewer?action=UPDATE&amp;creator=factset&amp;DYN_ARGS=TRUE&amp;DOC_NAME=FAT:FQL_AUDITING_CLIENT_TEMPLATE.FAT&amp;display_string=Audit&amp;VAR:KEY=GVYNUTSJKR&amp;VAR:QUERY=Q1NGX1NBTEVTKEFOTiwxMi8zMS8xOTgwLDEyLzMxLzIwMDksQVkp&amp;WINDOW=FIRST_POPUP&amp;HEIGHT=450&amp;WI","DTH=450&amp;START_MAXIMIZED=FALSE&amp;VAR:CALENDAR=US&amp;VAR:SYMBOL=MTX&amp;VAR:INDEX=5"}</definedName>
    <definedName name="_1637__FDSAUDITLINK__" hidden="1">{"fdsup://directions/FAT Viewer?action=UPDATE&amp;creator=factset&amp;DYN_ARGS=TRUE&amp;DOC_NAME=FAT:FQL_AUDITING_CLIENT_TEMPLATE.FAT&amp;display_string=Audit&amp;VAR:KEY=GVYNUTSJKR&amp;VAR:QUERY=Q1NGX1NBTEVTKEFOTiwxMi8zMS8xOTgwLDEyLzMxLzIwMDksQVkp&amp;WINDOW=FIRST_POPUP&amp;HEIGHT=450&amp;WI","DTH=450&amp;START_MAXIMIZED=FALSE&amp;VAR:CALENDAR=US&amp;VAR:SYMBOL=MTX&amp;VAR:INDEX=4"}</definedName>
    <definedName name="_1638__FDSAUDITLINK__" hidden="1">{"fdsup://directions/FAT Viewer?action=UPDATE&amp;creator=factset&amp;DYN_ARGS=TRUE&amp;DOC_NAME=FAT:FQL_AUDITING_CLIENT_TEMPLATE.FAT&amp;display_string=Audit&amp;VAR:KEY=GVYNUTSJKR&amp;VAR:QUERY=Q1NGX1NBTEVTKEFOTiwxMi8zMS8xOTgwLDEyLzMxLzIwMDksQVkp&amp;WINDOW=FIRST_POPUP&amp;HEIGHT=450&amp;WI","DTH=450&amp;START_MAXIMIZED=FALSE&amp;VAR:CALENDAR=US&amp;VAR:SYMBOL=MTX&amp;VAR:INDEX=3"}</definedName>
    <definedName name="_1639__FDSAUDITLINK__" hidden="1">{"fdsup://directions/FAT Viewer?action=UPDATE&amp;creator=factset&amp;DYN_ARGS=TRUE&amp;DOC_NAME=FAT:FQL_AUDITING_CLIENT_TEMPLATE.FAT&amp;display_string=Audit&amp;VAR:KEY=GVYNUTSJKR&amp;VAR:QUERY=Q1NGX1NBTEVTKEFOTiwxMi8zMS8xOTgwLDEyLzMxLzIwMDksQVkp&amp;WINDOW=FIRST_POPUP&amp;HEIGHT=450&amp;WI","DTH=450&amp;START_MAXIMIZED=FALSE&amp;VAR:CALENDAR=US&amp;VAR:SYMBOL=MTX&amp;VAR:INDEX=2"}</definedName>
    <definedName name="_164__FDSAUDITLINK__" hidden="1">{"fdsup://directions/FAT Viewer?action=UPDATE&amp;creator=factset&amp;DYN_ARGS=TRUE&amp;DOC_NAME=FAT:FQL_AUDITING_CLIENT_TEMPLATE.FAT&amp;display_string=Audit&amp;VAR:KEY=QRGHGNUFIT&amp;VAR:QUERY=Q1NGX0NPR1MoQU5OLDE5OTUsMjAwOSk=&amp;WINDOW=FIRST_POPUP&amp;HEIGHT=450&amp;WIDTH=450&amp;START_MAXIMI","ZED=FALSE&amp;VAR:CALENDAR=US&amp;VAR:SYMBOL=DOW&amp;VAR:INDEX=14"}</definedName>
    <definedName name="_1640__FDSAUDITLINK__" hidden="1">{"fdsup://directions/FAT Viewer?action=UPDATE&amp;creator=factset&amp;DYN_ARGS=TRUE&amp;DOC_NAME=FAT:FQL_AUDITING_CLIENT_TEMPLATE.FAT&amp;display_string=Audit&amp;VAR:KEY=GVYNUTSJKR&amp;VAR:QUERY=Q1NGX1NBTEVTKEFOTiwxMi8zMS8xOTgwLDEyLzMxLzIwMDksQVkp&amp;WINDOW=FIRST_POPUP&amp;HEIGHT=450&amp;WI","DTH=450&amp;START_MAXIMIZED=FALSE&amp;VAR:CALENDAR=US&amp;VAR:SYMBOL=MTX&amp;VAR:INDEX=1"}</definedName>
    <definedName name="_1641__FDSAUDITLINK__" hidden="1">{"fdsup://directions/FAT Viewer?action=UPDATE&amp;creator=factset&amp;DYN_ARGS=TRUE&amp;DOC_NAME=FAT:FQL_AUDITING_CLIENT_TEMPLATE.FAT&amp;display_string=Audit&amp;VAR:KEY=GVYNUTSJKR&amp;VAR:QUERY=Q1NGX1NBTEVTKEFOTiwxMi8zMS8xOTgwLDEyLzMxLzIwMDksQVkp&amp;WINDOW=FIRST_POPUP&amp;HEIGHT=450&amp;WI","DTH=450&amp;START_MAXIMIZED=FALSE&amp;VAR:CALENDAR=US&amp;VAR:SYMBOL=MTX&amp;VAR:INDEX=0"}</definedName>
    <definedName name="_1642__FDSAUDITLINK__" hidden="1">{"fdsup://directions/FAT Viewer?action=UPDATE&amp;creator=factset&amp;DYN_ARGS=TRUE&amp;DOC_NAME=FAT:FQL_AUDITING_CLIENT_TEMPLATE.FAT&amp;display_string=Audit&amp;VAR:KEY=MXQRWFSNAL&amp;VAR:QUERY=Q1NGX1NBTEVTKEFOTiwxMi8zMS8xOTgwLDEyLzMxLzIwMDksQVkp&amp;WINDOW=FIRST_POPUP&amp;HEIGHT=450&amp;WI","DTH=450&amp;START_MAXIMIZED=FALSE&amp;VAR:CALENDAR=US&amp;VAR:SYMBOL=KRA&amp;VAR:INDEX=29"}</definedName>
    <definedName name="_1643__FDSAUDITLINK__" hidden="1">{"fdsup://directions/FAT Viewer?action=UPDATE&amp;creator=factset&amp;DYN_ARGS=TRUE&amp;DOC_NAME=FAT:FQL_AUDITING_CLIENT_TEMPLATE.FAT&amp;display_string=Audit&amp;VAR:KEY=MXQRWFSNAL&amp;VAR:QUERY=Q1NGX1NBTEVTKEFOTiwxMi8zMS8xOTgwLDEyLzMxLzIwMDksQVkp&amp;WINDOW=FIRST_POPUP&amp;HEIGHT=450&amp;WI","DTH=450&amp;START_MAXIMIZED=FALSE&amp;VAR:CALENDAR=US&amp;VAR:SYMBOL=KRA&amp;VAR:INDEX=28"}</definedName>
    <definedName name="_1644__FDSAUDITLINK__" hidden="1">{"fdsup://directions/FAT Viewer?action=UPDATE&amp;creator=factset&amp;DYN_ARGS=TRUE&amp;DOC_NAME=FAT:FQL_AUDITING_CLIENT_TEMPLATE.FAT&amp;display_string=Audit&amp;VAR:KEY=MXQRWFSNAL&amp;VAR:QUERY=Q1NGX1NBTEVTKEFOTiwxMi8zMS8xOTgwLDEyLzMxLzIwMDksQVkp&amp;WINDOW=FIRST_POPUP&amp;HEIGHT=450&amp;WI","DTH=450&amp;START_MAXIMIZED=FALSE&amp;VAR:CALENDAR=US&amp;VAR:SYMBOL=KRA&amp;VAR:INDEX=27"}</definedName>
    <definedName name="_1645__FDSAUDITLINK__" hidden="1">{"fdsup://directions/FAT Viewer?action=UPDATE&amp;creator=factset&amp;DYN_ARGS=TRUE&amp;DOC_NAME=FAT:FQL_AUDITING_CLIENT_TEMPLATE.FAT&amp;display_string=Audit&amp;VAR:KEY=MXQRWFSNAL&amp;VAR:QUERY=Q1NGX1NBTEVTKEFOTiwxMi8zMS8xOTgwLDEyLzMxLzIwMDksQVkp&amp;WINDOW=FIRST_POPUP&amp;HEIGHT=450&amp;WI","DTH=450&amp;START_MAXIMIZED=FALSE&amp;VAR:CALENDAR=US&amp;VAR:SYMBOL=KRA&amp;VAR:INDEX=26"}</definedName>
    <definedName name="_1646__FDSAUDITLINK__" hidden="1">{"fdsup://directions/FAT Viewer?action=UPDATE&amp;creator=factset&amp;DYN_ARGS=TRUE&amp;DOC_NAME=FAT:FQL_AUDITING_CLIENT_TEMPLATE.FAT&amp;display_string=Audit&amp;VAR:KEY=MXQRWFSNAL&amp;VAR:QUERY=Q1NGX1NBTEVTKEFOTiwxMi8zMS8xOTgwLDEyLzMxLzIwMDksQVkp&amp;WINDOW=FIRST_POPUP&amp;HEIGHT=450&amp;WI","DTH=450&amp;START_MAXIMIZED=FALSE&amp;VAR:CALENDAR=US&amp;VAR:SYMBOL=KRA&amp;VAR:INDEX=25"}</definedName>
    <definedName name="_1647__FDSAUDITLINK__" hidden="1">{"fdsup://directions/FAT Viewer?action=UPDATE&amp;creator=factset&amp;DYN_ARGS=TRUE&amp;DOC_NAME=FAT:FQL_AUDITING_CLIENT_TEMPLATE.FAT&amp;display_string=Audit&amp;VAR:KEY=MXQRWFSNAL&amp;VAR:QUERY=Q1NGX1NBTEVTKEFOTiwxMi8zMS8xOTgwLDEyLzMxLzIwMDksQVkp&amp;WINDOW=FIRST_POPUP&amp;HEIGHT=450&amp;WI","DTH=450&amp;START_MAXIMIZED=FALSE&amp;VAR:CALENDAR=US&amp;VAR:SYMBOL=KRA&amp;VAR:INDEX=24"}</definedName>
    <definedName name="_1648__FDSAUDITLINK__" hidden="1">{"fdsup://directions/FAT Viewer?action=UPDATE&amp;creator=factset&amp;DYN_ARGS=TRUE&amp;DOC_NAME=FAT:FQL_AUDITING_CLIENT_TEMPLATE.FAT&amp;display_string=Audit&amp;VAR:KEY=MXQRWFSNAL&amp;VAR:QUERY=Q1NGX1NBTEVTKEFOTiwxMi8zMS8xOTgwLDEyLzMxLzIwMDksQVkp&amp;WINDOW=FIRST_POPUP&amp;HEIGHT=450&amp;WI","DTH=450&amp;START_MAXIMIZED=FALSE&amp;VAR:CALENDAR=US&amp;VAR:SYMBOL=KRA&amp;VAR:INDEX=23"}</definedName>
    <definedName name="_1649__FDSAUDITLINK__" hidden="1">{"fdsup://directions/FAT Viewer?action=UPDATE&amp;creator=factset&amp;DYN_ARGS=TRUE&amp;DOC_NAME=FAT:FQL_AUDITING_CLIENT_TEMPLATE.FAT&amp;display_string=Audit&amp;VAR:KEY=MXQRWFSNAL&amp;VAR:QUERY=Q1NGX1NBTEVTKEFOTiwxMi8zMS8xOTgwLDEyLzMxLzIwMDksQVkp&amp;WINDOW=FIRST_POPUP&amp;HEIGHT=450&amp;WI","DTH=450&amp;START_MAXIMIZED=FALSE&amp;VAR:CALENDAR=US&amp;VAR:SYMBOL=KRA&amp;VAR:INDEX=22"}</definedName>
    <definedName name="_165__FDSAUDITLINK__" hidden="1">{"fdsup://directions/FAT Viewer?action=UPDATE&amp;creator=factset&amp;DYN_ARGS=TRUE&amp;DOC_NAME=FAT:FQL_AUDITING_CLIENT_TEMPLATE.FAT&amp;display_string=Audit&amp;VAR:KEY=QRGHGNUFIT&amp;VAR:QUERY=Q1NGX0NPR1MoQU5OLDE5OTUsMjAwOSk=&amp;WINDOW=FIRST_POPUP&amp;HEIGHT=450&amp;WIDTH=450&amp;START_MAXIMI","ZED=FALSE&amp;VAR:CALENDAR=US&amp;VAR:SYMBOL=DOW&amp;VAR:INDEX=13"}</definedName>
    <definedName name="_1650__FDSAUDITLINK__" hidden="1">{"fdsup://directions/FAT Viewer?action=UPDATE&amp;creator=factset&amp;DYN_ARGS=TRUE&amp;DOC_NAME=FAT:FQL_AUDITING_CLIENT_TEMPLATE.FAT&amp;display_string=Audit&amp;VAR:KEY=MXQRWFSNAL&amp;VAR:QUERY=Q1NGX1NBTEVTKEFOTiwxMi8zMS8xOTgwLDEyLzMxLzIwMDksQVkp&amp;WINDOW=FIRST_POPUP&amp;HEIGHT=450&amp;WI","DTH=450&amp;START_MAXIMIZED=FALSE&amp;VAR:CALENDAR=US&amp;VAR:SYMBOL=KRA&amp;VAR:INDEX=21"}</definedName>
    <definedName name="_1651__FDSAUDITLINK__" hidden="1">{"fdsup://directions/FAT Viewer?action=UPDATE&amp;creator=factset&amp;DYN_ARGS=TRUE&amp;DOC_NAME=FAT:FQL_AUDITING_CLIENT_TEMPLATE.FAT&amp;display_string=Audit&amp;VAR:KEY=MXQRWFSNAL&amp;VAR:QUERY=Q1NGX1NBTEVTKEFOTiwxMi8zMS8xOTgwLDEyLzMxLzIwMDksQVkp&amp;WINDOW=FIRST_POPUP&amp;HEIGHT=450&amp;WI","DTH=450&amp;START_MAXIMIZED=FALSE&amp;VAR:CALENDAR=US&amp;VAR:SYMBOL=KRA&amp;VAR:INDEX=20"}</definedName>
    <definedName name="_1652__FDSAUDITLINK__" hidden="1">{"fdsup://directions/FAT Viewer?action=UPDATE&amp;creator=factset&amp;DYN_ARGS=TRUE&amp;DOC_NAME=FAT:FQL_AUDITING_CLIENT_TEMPLATE.FAT&amp;display_string=Audit&amp;VAR:KEY=MXQRWFSNAL&amp;VAR:QUERY=Q1NGX1NBTEVTKEFOTiwxMi8zMS8xOTgwLDEyLzMxLzIwMDksQVkp&amp;WINDOW=FIRST_POPUP&amp;HEIGHT=450&amp;WI","DTH=450&amp;START_MAXIMIZED=FALSE&amp;VAR:CALENDAR=US&amp;VAR:SYMBOL=KRA&amp;VAR:INDEX=19"}</definedName>
    <definedName name="_1653__FDSAUDITLINK__" hidden="1">{"fdsup://directions/FAT Viewer?action=UPDATE&amp;creator=factset&amp;DYN_ARGS=TRUE&amp;DOC_NAME=FAT:FQL_AUDITING_CLIENT_TEMPLATE.FAT&amp;display_string=Audit&amp;VAR:KEY=MXQRWFSNAL&amp;VAR:QUERY=Q1NGX1NBTEVTKEFOTiwxMi8zMS8xOTgwLDEyLzMxLzIwMDksQVkp&amp;WINDOW=FIRST_POPUP&amp;HEIGHT=450&amp;WI","DTH=450&amp;START_MAXIMIZED=FALSE&amp;VAR:CALENDAR=US&amp;VAR:SYMBOL=KRA&amp;VAR:INDEX=18"}</definedName>
    <definedName name="_1654__FDSAUDITLINK__" hidden="1">{"fdsup://directions/FAT Viewer?action=UPDATE&amp;creator=factset&amp;DYN_ARGS=TRUE&amp;DOC_NAME=FAT:FQL_AUDITING_CLIENT_TEMPLATE.FAT&amp;display_string=Audit&amp;VAR:KEY=MXQRWFSNAL&amp;VAR:QUERY=Q1NGX1NBTEVTKEFOTiwxMi8zMS8xOTgwLDEyLzMxLzIwMDksQVkp&amp;WINDOW=FIRST_POPUP&amp;HEIGHT=450&amp;WI","DTH=450&amp;START_MAXIMIZED=FALSE&amp;VAR:CALENDAR=US&amp;VAR:SYMBOL=KRA&amp;VAR:INDEX=17"}</definedName>
    <definedName name="_1655__FDSAUDITLINK__" hidden="1">{"fdsup://directions/FAT Viewer?action=UPDATE&amp;creator=factset&amp;DYN_ARGS=TRUE&amp;DOC_NAME=FAT:FQL_AUDITING_CLIENT_TEMPLATE.FAT&amp;display_string=Audit&amp;VAR:KEY=MXQRWFSNAL&amp;VAR:QUERY=Q1NGX1NBTEVTKEFOTiwxMi8zMS8xOTgwLDEyLzMxLzIwMDksQVkp&amp;WINDOW=FIRST_POPUP&amp;HEIGHT=450&amp;WI","DTH=450&amp;START_MAXIMIZED=FALSE&amp;VAR:CALENDAR=US&amp;VAR:SYMBOL=KRA&amp;VAR:INDEX=16"}</definedName>
    <definedName name="_1656__FDSAUDITLINK__" hidden="1">{"fdsup://directions/FAT Viewer?action=UPDATE&amp;creator=factset&amp;DYN_ARGS=TRUE&amp;DOC_NAME=FAT:FQL_AUDITING_CLIENT_TEMPLATE.FAT&amp;display_string=Audit&amp;VAR:KEY=MXQRWFSNAL&amp;VAR:QUERY=Q1NGX1NBTEVTKEFOTiwxMi8zMS8xOTgwLDEyLzMxLzIwMDksQVkp&amp;WINDOW=FIRST_POPUP&amp;HEIGHT=450&amp;WI","DTH=450&amp;START_MAXIMIZED=FALSE&amp;VAR:CALENDAR=US&amp;VAR:SYMBOL=KRA&amp;VAR:INDEX=15"}</definedName>
    <definedName name="_1657__FDSAUDITLINK__" hidden="1">{"fdsup://directions/FAT Viewer?action=UPDATE&amp;creator=factset&amp;DYN_ARGS=TRUE&amp;DOC_NAME=FAT:FQL_AUDITING_CLIENT_TEMPLATE.FAT&amp;display_string=Audit&amp;VAR:KEY=MXQRWFSNAL&amp;VAR:QUERY=Q1NGX1NBTEVTKEFOTiwxMi8zMS8xOTgwLDEyLzMxLzIwMDksQVkp&amp;WINDOW=FIRST_POPUP&amp;HEIGHT=450&amp;WI","DTH=450&amp;START_MAXIMIZED=FALSE&amp;VAR:CALENDAR=US&amp;VAR:SYMBOL=KRA&amp;VAR:INDEX=14"}</definedName>
    <definedName name="_1658__FDSAUDITLINK__" hidden="1">{"fdsup://directions/FAT Viewer?action=UPDATE&amp;creator=factset&amp;DYN_ARGS=TRUE&amp;DOC_NAME=FAT:FQL_AUDITING_CLIENT_TEMPLATE.FAT&amp;display_string=Audit&amp;VAR:KEY=MXQRWFSNAL&amp;VAR:QUERY=Q1NGX1NBTEVTKEFOTiwxMi8zMS8xOTgwLDEyLzMxLzIwMDksQVkp&amp;WINDOW=FIRST_POPUP&amp;HEIGHT=450&amp;WI","DTH=450&amp;START_MAXIMIZED=FALSE&amp;VAR:CALENDAR=US&amp;VAR:SYMBOL=KRA&amp;VAR:INDEX=13"}</definedName>
    <definedName name="_1659__FDSAUDITLINK__" hidden="1">{"fdsup://directions/FAT Viewer?action=UPDATE&amp;creator=factset&amp;DYN_ARGS=TRUE&amp;DOC_NAME=FAT:FQL_AUDITING_CLIENT_TEMPLATE.FAT&amp;display_string=Audit&amp;VAR:KEY=MXQRWFSNAL&amp;VAR:QUERY=Q1NGX1NBTEVTKEFOTiwxMi8zMS8xOTgwLDEyLzMxLzIwMDksQVkp&amp;WINDOW=FIRST_POPUP&amp;HEIGHT=450&amp;WI","DTH=450&amp;START_MAXIMIZED=FALSE&amp;VAR:CALENDAR=US&amp;VAR:SYMBOL=KRA&amp;VAR:INDEX=12"}</definedName>
    <definedName name="_166__FDSAUDITLINK__" hidden="1">{"fdsup://directions/FAT Viewer?action=UPDATE&amp;creator=factset&amp;DYN_ARGS=TRUE&amp;DOC_NAME=FAT:FQL_AUDITING_CLIENT_TEMPLATE.FAT&amp;display_string=Audit&amp;VAR:KEY=QRGHGNUFIT&amp;VAR:QUERY=Q1NGX0NPR1MoQU5OLDE5OTUsMjAwOSk=&amp;WINDOW=FIRST_POPUP&amp;HEIGHT=450&amp;WIDTH=450&amp;START_MAXIMI","ZED=FALSE&amp;VAR:CALENDAR=US&amp;VAR:SYMBOL=DOW&amp;VAR:INDEX=12"}</definedName>
    <definedName name="_1660__FDSAUDITLINK__" hidden="1">{"fdsup://directions/FAT Viewer?action=UPDATE&amp;creator=factset&amp;DYN_ARGS=TRUE&amp;DOC_NAME=FAT:FQL_AUDITING_CLIENT_TEMPLATE.FAT&amp;display_string=Audit&amp;VAR:KEY=MXQRWFSNAL&amp;VAR:QUERY=Q1NGX1NBTEVTKEFOTiwxMi8zMS8xOTgwLDEyLzMxLzIwMDksQVkp&amp;WINDOW=FIRST_POPUP&amp;HEIGHT=450&amp;WI","DTH=450&amp;START_MAXIMIZED=FALSE&amp;VAR:CALENDAR=US&amp;VAR:SYMBOL=KRA&amp;VAR:INDEX=11"}</definedName>
    <definedName name="_1661__FDSAUDITLINK__" hidden="1">{"fdsup://directions/FAT Viewer?action=UPDATE&amp;creator=factset&amp;DYN_ARGS=TRUE&amp;DOC_NAME=FAT:FQL_AUDITING_CLIENT_TEMPLATE.FAT&amp;display_string=Audit&amp;VAR:KEY=MXQRWFSNAL&amp;VAR:QUERY=Q1NGX1NBTEVTKEFOTiwxMi8zMS8xOTgwLDEyLzMxLzIwMDksQVkp&amp;WINDOW=FIRST_POPUP&amp;HEIGHT=450&amp;WI","DTH=450&amp;START_MAXIMIZED=FALSE&amp;VAR:CALENDAR=US&amp;VAR:SYMBOL=KRA&amp;VAR:INDEX=10"}</definedName>
    <definedName name="_1662__FDSAUDITLINK__" hidden="1">{"fdsup://directions/FAT Viewer?action=UPDATE&amp;creator=factset&amp;DYN_ARGS=TRUE&amp;DOC_NAME=FAT:FQL_AUDITING_CLIENT_TEMPLATE.FAT&amp;display_string=Audit&amp;VAR:KEY=MXQRWFSNAL&amp;VAR:QUERY=Q1NGX1NBTEVTKEFOTiwxMi8zMS8xOTgwLDEyLzMxLzIwMDksQVkp&amp;WINDOW=FIRST_POPUP&amp;HEIGHT=450&amp;WI","DTH=450&amp;START_MAXIMIZED=FALSE&amp;VAR:CALENDAR=US&amp;VAR:SYMBOL=KRA&amp;VAR:INDEX=9"}</definedName>
    <definedName name="_1663__FDSAUDITLINK__" hidden="1">{"fdsup://directions/FAT Viewer?action=UPDATE&amp;creator=factset&amp;DYN_ARGS=TRUE&amp;DOC_NAME=FAT:FQL_AUDITING_CLIENT_TEMPLATE.FAT&amp;display_string=Audit&amp;VAR:KEY=MXQRWFSNAL&amp;VAR:QUERY=Q1NGX1NBTEVTKEFOTiwxMi8zMS8xOTgwLDEyLzMxLzIwMDksQVkp&amp;WINDOW=FIRST_POPUP&amp;HEIGHT=450&amp;WI","DTH=450&amp;START_MAXIMIZED=FALSE&amp;VAR:CALENDAR=US&amp;VAR:SYMBOL=KRA&amp;VAR:INDEX=8"}</definedName>
    <definedName name="_1664__FDSAUDITLINK__" hidden="1">{"fdsup://directions/FAT Viewer?action=UPDATE&amp;creator=factset&amp;DYN_ARGS=TRUE&amp;DOC_NAME=FAT:FQL_AUDITING_CLIENT_TEMPLATE.FAT&amp;display_string=Audit&amp;VAR:KEY=MXQRWFSNAL&amp;VAR:QUERY=Q1NGX1NBTEVTKEFOTiwxMi8zMS8xOTgwLDEyLzMxLzIwMDksQVkp&amp;WINDOW=FIRST_POPUP&amp;HEIGHT=450&amp;WI","DTH=450&amp;START_MAXIMIZED=FALSE&amp;VAR:CALENDAR=US&amp;VAR:SYMBOL=KRA&amp;VAR:INDEX=7"}</definedName>
    <definedName name="_1665__FDSAUDITLINK__" hidden="1">{"fdsup://directions/FAT Viewer?action=UPDATE&amp;creator=factset&amp;DYN_ARGS=TRUE&amp;DOC_NAME=FAT:FQL_AUDITING_CLIENT_TEMPLATE.FAT&amp;display_string=Audit&amp;VAR:KEY=MXQRWFSNAL&amp;VAR:QUERY=Q1NGX1NBTEVTKEFOTiwxMi8zMS8xOTgwLDEyLzMxLzIwMDksQVkp&amp;WINDOW=FIRST_POPUP&amp;HEIGHT=450&amp;WI","DTH=450&amp;START_MAXIMIZED=FALSE&amp;VAR:CALENDAR=US&amp;VAR:SYMBOL=KRA&amp;VAR:INDEX=6"}</definedName>
    <definedName name="_1666__FDSAUDITLINK__" hidden="1">{"fdsup://directions/FAT Viewer?action=UPDATE&amp;creator=factset&amp;DYN_ARGS=TRUE&amp;DOC_NAME=FAT:FQL_AUDITING_CLIENT_TEMPLATE.FAT&amp;display_string=Audit&amp;VAR:KEY=MXQRWFSNAL&amp;VAR:QUERY=Q1NGX1NBTEVTKEFOTiwxMi8zMS8xOTgwLDEyLzMxLzIwMDksQVkp&amp;WINDOW=FIRST_POPUP&amp;HEIGHT=450&amp;WI","DTH=450&amp;START_MAXIMIZED=FALSE&amp;VAR:CALENDAR=US&amp;VAR:SYMBOL=KRA&amp;VAR:INDEX=5"}</definedName>
    <definedName name="_1667__FDSAUDITLINK__" hidden="1">{"fdsup://directions/FAT Viewer?action=UPDATE&amp;creator=factset&amp;DYN_ARGS=TRUE&amp;DOC_NAME=FAT:FQL_AUDITING_CLIENT_TEMPLATE.FAT&amp;display_string=Audit&amp;VAR:KEY=MXQRWFSNAL&amp;VAR:QUERY=Q1NGX1NBTEVTKEFOTiwxMi8zMS8xOTgwLDEyLzMxLzIwMDksQVkp&amp;WINDOW=FIRST_POPUP&amp;HEIGHT=450&amp;WI","DTH=450&amp;START_MAXIMIZED=FALSE&amp;VAR:CALENDAR=US&amp;VAR:SYMBOL=KRA&amp;VAR:INDEX=4"}</definedName>
    <definedName name="_1668__FDSAUDITLINK__" hidden="1">{"fdsup://directions/FAT Viewer?action=UPDATE&amp;creator=factset&amp;DYN_ARGS=TRUE&amp;DOC_NAME=FAT:FQL_AUDITING_CLIENT_TEMPLATE.FAT&amp;display_string=Audit&amp;VAR:KEY=MXQRWFSNAL&amp;VAR:QUERY=Q1NGX1NBTEVTKEFOTiwxMi8zMS8xOTgwLDEyLzMxLzIwMDksQVkp&amp;WINDOW=FIRST_POPUP&amp;HEIGHT=450&amp;WI","DTH=450&amp;START_MAXIMIZED=FALSE&amp;VAR:CALENDAR=US&amp;VAR:SYMBOL=KRA&amp;VAR:INDEX=3"}</definedName>
    <definedName name="_1669__FDSAUDITLINK__" hidden="1">{"fdsup://directions/FAT Viewer?action=UPDATE&amp;creator=factset&amp;DYN_ARGS=TRUE&amp;DOC_NAME=FAT:FQL_AUDITING_CLIENT_TEMPLATE.FAT&amp;display_string=Audit&amp;VAR:KEY=MXQRWFSNAL&amp;VAR:QUERY=Q1NGX1NBTEVTKEFOTiwxMi8zMS8xOTgwLDEyLzMxLzIwMDksQVkp&amp;WINDOW=FIRST_POPUP&amp;HEIGHT=450&amp;WI","DTH=450&amp;START_MAXIMIZED=FALSE&amp;VAR:CALENDAR=US&amp;VAR:SYMBOL=KRA&amp;VAR:INDEX=2"}</definedName>
    <definedName name="_167__FDSAUDITLINK__" hidden="1">{"fdsup://directions/FAT Viewer?action=UPDATE&amp;creator=factset&amp;DYN_ARGS=TRUE&amp;DOC_NAME=FAT:FQL_AUDITING_CLIENT_TEMPLATE.FAT&amp;display_string=Audit&amp;VAR:KEY=QRGHGNUFIT&amp;VAR:QUERY=Q1NGX0NPR1MoQU5OLDE5OTUsMjAwOSk=&amp;WINDOW=FIRST_POPUP&amp;HEIGHT=450&amp;WIDTH=450&amp;START_MAXIMI","ZED=FALSE&amp;VAR:CALENDAR=US&amp;VAR:SYMBOL=DOW&amp;VAR:INDEX=11"}</definedName>
    <definedName name="_1670__FDSAUDITLINK__" hidden="1">{"fdsup://directions/FAT Viewer?action=UPDATE&amp;creator=factset&amp;DYN_ARGS=TRUE&amp;DOC_NAME=FAT:FQL_AUDITING_CLIENT_TEMPLATE.FAT&amp;display_string=Audit&amp;VAR:KEY=MXQRWFSNAL&amp;VAR:QUERY=Q1NGX1NBTEVTKEFOTiwxMi8zMS8xOTgwLDEyLzMxLzIwMDksQVkp&amp;WINDOW=FIRST_POPUP&amp;HEIGHT=450&amp;WI","DTH=450&amp;START_MAXIMIZED=FALSE&amp;VAR:CALENDAR=US&amp;VAR:SYMBOL=KRA&amp;VAR:INDEX=1"}</definedName>
    <definedName name="_1671__FDSAUDITLINK__" hidden="1">{"fdsup://directions/FAT Viewer?action=UPDATE&amp;creator=factset&amp;DYN_ARGS=TRUE&amp;DOC_NAME=FAT:FQL_AUDITING_CLIENT_TEMPLATE.FAT&amp;display_string=Audit&amp;VAR:KEY=MXQRWFSNAL&amp;VAR:QUERY=Q1NGX1NBTEVTKEFOTiwxMi8zMS8xOTgwLDEyLzMxLzIwMDksQVkp&amp;WINDOW=FIRST_POPUP&amp;HEIGHT=450&amp;WI","DTH=450&amp;START_MAXIMIZED=FALSE&amp;VAR:CALENDAR=US&amp;VAR:SYMBOL=KRA&amp;VAR:INDEX=0"}</definedName>
    <definedName name="_1672__FDSAUDITLINK__" hidden="1">{"fdsup://directions/FAT Viewer?action=UPDATE&amp;creator=factset&amp;DYN_ARGS=TRUE&amp;DOC_NAME=FAT:FQL_AUDITING_CLIENT_TEMPLATE.FAT&amp;display_string=Audit&amp;VAR:KEY=UHUZEZSTAR&amp;VAR:QUERY=Q1NGX1NBTEVTKEFOTiwxMi8zMS8xOTgwLDEyLzMxLzIwMDksQVkp&amp;WINDOW=FIRST_POPUP&amp;HEIGHT=450&amp;WI","DTH=450&amp;START_MAXIMIZED=FALSE&amp;VAR:CALENDAR=US&amp;VAR:SYMBOL=HUN&amp;VAR:INDEX=29"}</definedName>
    <definedName name="_1673__FDSAUDITLINK__" hidden="1">{"fdsup://directions/FAT Viewer?action=UPDATE&amp;creator=factset&amp;DYN_ARGS=TRUE&amp;DOC_NAME=FAT:FQL_AUDITING_CLIENT_TEMPLATE.FAT&amp;display_string=Audit&amp;VAR:KEY=UHUZEZSTAR&amp;VAR:QUERY=Q1NGX1NBTEVTKEFOTiwxMi8zMS8xOTgwLDEyLzMxLzIwMDksQVkp&amp;WINDOW=FIRST_POPUP&amp;HEIGHT=450&amp;WI","DTH=450&amp;START_MAXIMIZED=FALSE&amp;VAR:CALENDAR=US&amp;VAR:SYMBOL=HUN&amp;VAR:INDEX=28"}</definedName>
    <definedName name="_1674__FDSAUDITLINK__" hidden="1">{"fdsup://directions/FAT Viewer?action=UPDATE&amp;creator=factset&amp;DYN_ARGS=TRUE&amp;DOC_NAME=FAT:FQL_AUDITING_CLIENT_TEMPLATE.FAT&amp;display_string=Audit&amp;VAR:KEY=UHUZEZSTAR&amp;VAR:QUERY=Q1NGX1NBTEVTKEFOTiwxMi8zMS8xOTgwLDEyLzMxLzIwMDksQVkp&amp;WINDOW=FIRST_POPUP&amp;HEIGHT=450&amp;WI","DTH=450&amp;START_MAXIMIZED=FALSE&amp;VAR:CALENDAR=US&amp;VAR:SYMBOL=HUN&amp;VAR:INDEX=27"}</definedName>
    <definedName name="_1675__FDSAUDITLINK__" hidden="1">{"fdsup://directions/FAT Viewer?action=UPDATE&amp;creator=factset&amp;DYN_ARGS=TRUE&amp;DOC_NAME=FAT:FQL_AUDITING_CLIENT_TEMPLATE.FAT&amp;display_string=Audit&amp;VAR:KEY=UHUZEZSTAR&amp;VAR:QUERY=Q1NGX1NBTEVTKEFOTiwxMi8zMS8xOTgwLDEyLzMxLzIwMDksQVkp&amp;WINDOW=FIRST_POPUP&amp;HEIGHT=450&amp;WI","DTH=450&amp;START_MAXIMIZED=FALSE&amp;VAR:CALENDAR=US&amp;VAR:SYMBOL=HUN&amp;VAR:INDEX=26"}</definedName>
    <definedName name="_1676__FDSAUDITLINK__" hidden="1">{"fdsup://directions/FAT Viewer?action=UPDATE&amp;creator=factset&amp;DYN_ARGS=TRUE&amp;DOC_NAME=FAT:FQL_AUDITING_CLIENT_TEMPLATE.FAT&amp;display_string=Audit&amp;VAR:KEY=UHUZEZSTAR&amp;VAR:QUERY=Q1NGX1NBTEVTKEFOTiwxMi8zMS8xOTgwLDEyLzMxLzIwMDksQVkp&amp;WINDOW=FIRST_POPUP&amp;HEIGHT=450&amp;WI","DTH=450&amp;START_MAXIMIZED=FALSE&amp;VAR:CALENDAR=US&amp;VAR:SYMBOL=HUN&amp;VAR:INDEX=25"}</definedName>
    <definedName name="_1677__FDSAUDITLINK__" hidden="1">{"fdsup://directions/FAT Viewer?action=UPDATE&amp;creator=factset&amp;DYN_ARGS=TRUE&amp;DOC_NAME=FAT:FQL_AUDITING_CLIENT_TEMPLATE.FAT&amp;display_string=Audit&amp;VAR:KEY=UHUZEZSTAR&amp;VAR:QUERY=Q1NGX1NBTEVTKEFOTiwxMi8zMS8xOTgwLDEyLzMxLzIwMDksQVkp&amp;WINDOW=FIRST_POPUP&amp;HEIGHT=450&amp;WI","DTH=450&amp;START_MAXIMIZED=FALSE&amp;VAR:CALENDAR=US&amp;VAR:SYMBOL=HUN&amp;VAR:INDEX=24"}</definedName>
    <definedName name="_1678__FDSAUDITLINK__" hidden="1">{"fdsup://directions/FAT Viewer?action=UPDATE&amp;creator=factset&amp;DYN_ARGS=TRUE&amp;DOC_NAME=FAT:FQL_AUDITING_CLIENT_TEMPLATE.FAT&amp;display_string=Audit&amp;VAR:KEY=UHUZEZSTAR&amp;VAR:QUERY=Q1NGX1NBTEVTKEFOTiwxMi8zMS8xOTgwLDEyLzMxLzIwMDksQVkp&amp;WINDOW=FIRST_POPUP&amp;HEIGHT=450&amp;WI","DTH=450&amp;START_MAXIMIZED=FALSE&amp;VAR:CALENDAR=US&amp;VAR:SYMBOL=HUN&amp;VAR:INDEX=23"}</definedName>
    <definedName name="_1679__FDSAUDITLINK__" hidden="1">{"fdsup://directions/FAT Viewer?action=UPDATE&amp;creator=factset&amp;DYN_ARGS=TRUE&amp;DOC_NAME=FAT:FQL_AUDITING_CLIENT_TEMPLATE.FAT&amp;display_string=Audit&amp;VAR:KEY=UHUZEZSTAR&amp;VAR:QUERY=Q1NGX1NBTEVTKEFOTiwxMi8zMS8xOTgwLDEyLzMxLzIwMDksQVkp&amp;WINDOW=FIRST_POPUP&amp;HEIGHT=450&amp;WI","DTH=450&amp;START_MAXIMIZED=FALSE&amp;VAR:CALENDAR=US&amp;VAR:SYMBOL=HUN&amp;VAR:INDEX=22"}</definedName>
    <definedName name="_168__FDSAUDITLINK__" hidden="1">{"fdsup://directions/FAT Viewer?action=UPDATE&amp;creator=factset&amp;DYN_ARGS=TRUE&amp;DOC_NAME=FAT:FQL_AUDITING_CLIENT_TEMPLATE.FAT&amp;display_string=Audit&amp;VAR:KEY=QRGHGNUFIT&amp;VAR:QUERY=Q1NGX0NPR1MoQU5OLDE5OTUsMjAwOSk=&amp;WINDOW=FIRST_POPUP&amp;HEIGHT=450&amp;WIDTH=450&amp;START_MAXIMI","ZED=FALSE&amp;VAR:CALENDAR=US&amp;VAR:SYMBOL=DOW&amp;VAR:INDEX=10"}</definedName>
    <definedName name="_1680__FDSAUDITLINK__" hidden="1">{"fdsup://directions/FAT Viewer?action=UPDATE&amp;creator=factset&amp;DYN_ARGS=TRUE&amp;DOC_NAME=FAT:FQL_AUDITING_CLIENT_TEMPLATE.FAT&amp;display_string=Audit&amp;VAR:KEY=UHUZEZSTAR&amp;VAR:QUERY=Q1NGX1NBTEVTKEFOTiwxMi8zMS8xOTgwLDEyLzMxLzIwMDksQVkp&amp;WINDOW=FIRST_POPUP&amp;HEIGHT=450&amp;WI","DTH=450&amp;START_MAXIMIZED=FALSE&amp;VAR:CALENDAR=US&amp;VAR:SYMBOL=HUN&amp;VAR:INDEX=21"}</definedName>
    <definedName name="_1681__FDSAUDITLINK__" hidden="1">{"fdsup://directions/FAT Viewer?action=UPDATE&amp;creator=factset&amp;DYN_ARGS=TRUE&amp;DOC_NAME=FAT:FQL_AUDITING_CLIENT_TEMPLATE.FAT&amp;display_string=Audit&amp;VAR:KEY=UHUZEZSTAR&amp;VAR:QUERY=Q1NGX1NBTEVTKEFOTiwxMi8zMS8xOTgwLDEyLzMxLzIwMDksQVkp&amp;WINDOW=FIRST_POPUP&amp;HEIGHT=450&amp;WI","DTH=450&amp;START_MAXIMIZED=FALSE&amp;VAR:CALENDAR=US&amp;VAR:SYMBOL=HUN&amp;VAR:INDEX=20"}</definedName>
    <definedName name="_1682__FDSAUDITLINK__" hidden="1">{"fdsup://directions/FAT Viewer?action=UPDATE&amp;creator=factset&amp;DYN_ARGS=TRUE&amp;DOC_NAME=FAT:FQL_AUDITING_CLIENT_TEMPLATE.FAT&amp;display_string=Audit&amp;VAR:KEY=UHUZEZSTAR&amp;VAR:QUERY=Q1NGX1NBTEVTKEFOTiwxMi8zMS8xOTgwLDEyLzMxLzIwMDksQVkp&amp;WINDOW=FIRST_POPUP&amp;HEIGHT=450&amp;WI","DTH=450&amp;START_MAXIMIZED=FALSE&amp;VAR:CALENDAR=US&amp;VAR:SYMBOL=HUN&amp;VAR:INDEX=19"}</definedName>
    <definedName name="_1683__FDSAUDITLINK__" hidden="1">{"fdsup://directions/FAT Viewer?action=UPDATE&amp;creator=factset&amp;DYN_ARGS=TRUE&amp;DOC_NAME=FAT:FQL_AUDITING_CLIENT_TEMPLATE.FAT&amp;display_string=Audit&amp;VAR:KEY=UHUZEZSTAR&amp;VAR:QUERY=Q1NGX1NBTEVTKEFOTiwxMi8zMS8xOTgwLDEyLzMxLzIwMDksQVkp&amp;WINDOW=FIRST_POPUP&amp;HEIGHT=450&amp;WI","DTH=450&amp;START_MAXIMIZED=FALSE&amp;VAR:CALENDAR=US&amp;VAR:SYMBOL=HUN&amp;VAR:INDEX=18"}</definedName>
    <definedName name="_1684__FDSAUDITLINK__" hidden="1">{"fdsup://directions/FAT Viewer?action=UPDATE&amp;creator=factset&amp;DYN_ARGS=TRUE&amp;DOC_NAME=FAT:FQL_AUDITING_CLIENT_TEMPLATE.FAT&amp;display_string=Audit&amp;VAR:KEY=UHUZEZSTAR&amp;VAR:QUERY=Q1NGX1NBTEVTKEFOTiwxMi8zMS8xOTgwLDEyLzMxLzIwMDksQVkp&amp;WINDOW=FIRST_POPUP&amp;HEIGHT=450&amp;WI","DTH=450&amp;START_MAXIMIZED=FALSE&amp;VAR:CALENDAR=US&amp;VAR:SYMBOL=HUN&amp;VAR:INDEX=17"}</definedName>
    <definedName name="_1685__FDSAUDITLINK__" hidden="1">{"fdsup://directions/FAT Viewer?action=UPDATE&amp;creator=factset&amp;DYN_ARGS=TRUE&amp;DOC_NAME=FAT:FQL_AUDITING_CLIENT_TEMPLATE.FAT&amp;display_string=Audit&amp;VAR:KEY=UHUZEZSTAR&amp;VAR:QUERY=Q1NGX1NBTEVTKEFOTiwxMi8zMS8xOTgwLDEyLzMxLzIwMDksQVkp&amp;WINDOW=FIRST_POPUP&amp;HEIGHT=450&amp;WI","DTH=450&amp;START_MAXIMIZED=FALSE&amp;VAR:CALENDAR=US&amp;VAR:SYMBOL=HUN&amp;VAR:INDEX=16"}</definedName>
    <definedName name="_1686__FDSAUDITLINK__" hidden="1">{"fdsup://directions/FAT Viewer?action=UPDATE&amp;creator=factset&amp;DYN_ARGS=TRUE&amp;DOC_NAME=FAT:FQL_AUDITING_CLIENT_TEMPLATE.FAT&amp;display_string=Audit&amp;VAR:KEY=UHUZEZSTAR&amp;VAR:QUERY=Q1NGX1NBTEVTKEFOTiwxMi8zMS8xOTgwLDEyLzMxLzIwMDksQVkp&amp;WINDOW=FIRST_POPUP&amp;HEIGHT=450&amp;WI","DTH=450&amp;START_MAXIMIZED=FALSE&amp;VAR:CALENDAR=US&amp;VAR:SYMBOL=HUN&amp;VAR:INDEX=15"}</definedName>
    <definedName name="_1687__FDSAUDITLINK__" hidden="1">{"fdsup://directions/FAT Viewer?action=UPDATE&amp;creator=factset&amp;DYN_ARGS=TRUE&amp;DOC_NAME=FAT:FQL_AUDITING_CLIENT_TEMPLATE.FAT&amp;display_string=Audit&amp;VAR:KEY=UHUZEZSTAR&amp;VAR:QUERY=Q1NGX1NBTEVTKEFOTiwxMi8zMS8xOTgwLDEyLzMxLzIwMDksQVkp&amp;WINDOW=FIRST_POPUP&amp;HEIGHT=450&amp;WI","DTH=450&amp;START_MAXIMIZED=FALSE&amp;VAR:CALENDAR=US&amp;VAR:SYMBOL=HUN&amp;VAR:INDEX=14"}</definedName>
    <definedName name="_1688__FDSAUDITLINK__" hidden="1">{"fdsup://directions/FAT Viewer?action=UPDATE&amp;creator=factset&amp;DYN_ARGS=TRUE&amp;DOC_NAME=FAT:FQL_AUDITING_CLIENT_TEMPLATE.FAT&amp;display_string=Audit&amp;VAR:KEY=UHUZEZSTAR&amp;VAR:QUERY=Q1NGX1NBTEVTKEFOTiwxMi8zMS8xOTgwLDEyLzMxLzIwMDksQVkp&amp;WINDOW=FIRST_POPUP&amp;HEIGHT=450&amp;WI","DTH=450&amp;START_MAXIMIZED=FALSE&amp;VAR:CALENDAR=US&amp;VAR:SYMBOL=HUN&amp;VAR:INDEX=13"}</definedName>
    <definedName name="_1689__FDSAUDITLINK__" hidden="1">{"fdsup://directions/FAT Viewer?action=UPDATE&amp;creator=factset&amp;DYN_ARGS=TRUE&amp;DOC_NAME=FAT:FQL_AUDITING_CLIENT_TEMPLATE.FAT&amp;display_string=Audit&amp;VAR:KEY=UHUZEZSTAR&amp;VAR:QUERY=Q1NGX1NBTEVTKEFOTiwxMi8zMS8xOTgwLDEyLzMxLzIwMDksQVkp&amp;WINDOW=FIRST_POPUP&amp;HEIGHT=450&amp;WI","DTH=450&amp;START_MAXIMIZED=FALSE&amp;VAR:CALENDAR=US&amp;VAR:SYMBOL=HUN&amp;VAR:INDEX=12"}</definedName>
    <definedName name="_169__FDSAUDITLINK__" hidden="1">{"fdsup://directions/FAT Viewer?action=UPDATE&amp;creator=factset&amp;DYN_ARGS=TRUE&amp;DOC_NAME=FAT:FQL_AUDITING_CLIENT_TEMPLATE.FAT&amp;display_string=Audit&amp;VAR:KEY=QRGHGNUFIT&amp;VAR:QUERY=Q1NGX0NPR1MoQU5OLDE5OTUsMjAwOSk=&amp;WINDOW=FIRST_POPUP&amp;HEIGHT=450&amp;WIDTH=450&amp;START_MAXIMI","ZED=FALSE&amp;VAR:CALENDAR=US&amp;VAR:SYMBOL=DOW&amp;VAR:INDEX=9"}</definedName>
    <definedName name="_1690__FDSAUDITLINK__" hidden="1">{"fdsup://directions/FAT Viewer?action=UPDATE&amp;creator=factset&amp;DYN_ARGS=TRUE&amp;DOC_NAME=FAT:FQL_AUDITING_CLIENT_TEMPLATE.FAT&amp;display_string=Audit&amp;VAR:KEY=UHUZEZSTAR&amp;VAR:QUERY=Q1NGX1NBTEVTKEFOTiwxMi8zMS8xOTgwLDEyLzMxLzIwMDksQVkp&amp;WINDOW=FIRST_POPUP&amp;HEIGHT=450&amp;WI","DTH=450&amp;START_MAXIMIZED=FALSE&amp;VAR:CALENDAR=US&amp;VAR:SYMBOL=HUN&amp;VAR:INDEX=11"}</definedName>
    <definedName name="_1691__FDSAUDITLINK__" hidden="1">{"fdsup://directions/FAT Viewer?action=UPDATE&amp;creator=factset&amp;DYN_ARGS=TRUE&amp;DOC_NAME=FAT:FQL_AUDITING_CLIENT_TEMPLATE.FAT&amp;display_string=Audit&amp;VAR:KEY=UHUZEZSTAR&amp;VAR:QUERY=Q1NGX1NBTEVTKEFOTiwxMi8zMS8xOTgwLDEyLzMxLzIwMDksQVkp&amp;WINDOW=FIRST_POPUP&amp;HEIGHT=450&amp;WI","DTH=450&amp;START_MAXIMIZED=FALSE&amp;VAR:CALENDAR=US&amp;VAR:SYMBOL=HUN&amp;VAR:INDEX=10"}</definedName>
    <definedName name="_1692__FDSAUDITLINK__" hidden="1">{"fdsup://directions/FAT Viewer?action=UPDATE&amp;creator=factset&amp;DYN_ARGS=TRUE&amp;DOC_NAME=FAT:FQL_AUDITING_CLIENT_TEMPLATE.FAT&amp;display_string=Audit&amp;VAR:KEY=UHUZEZSTAR&amp;VAR:QUERY=Q1NGX1NBTEVTKEFOTiwxMi8zMS8xOTgwLDEyLzMxLzIwMDksQVkp&amp;WINDOW=FIRST_POPUP&amp;HEIGHT=450&amp;WI","DTH=450&amp;START_MAXIMIZED=FALSE&amp;VAR:CALENDAR=US&amp;VAR:SYMBOL=HUN&amp;VAR:INDEX=9"}</definedName>
    <definedName name="_1693__FDSAUDITLINK__" hidden="1">{"fdsup://directions/FAT Viewer?action=UPDATE&amp;creator=factset&amp;DYN_ARGS=TRUE&amp;DOC_NAME=FAT:FQL_AUDITING_CLIENT_TEMPLATE.FAT&amp;display_string=Audit&amp;VAR:KEY=UHUZEZSTAR&amp;VAR:QUERY=Q1NGX1NBTEVTKEFOTiwxMi8zMS8xOTgwLDEyLzMxLzIwMDksQVkp&amp;WINDOW=FIRST_POPUP&amp;HEIGHT=450&amp;WI","DTH=450&amp;START_MAXIMIZED=FALSE&amp;VAR:CALENDAR=US&amp;VAR:SYMBOL=HUN&amp;VAR:INDEX=8"}</definedName>
    <definedName name="_1694__FDSAUDITLINK__" hidden="1">{"fdsup://directions/FAT Viewer?action=UPDATE&amp;creator=factset&amp;DYN_ARGS=TRUE&amp;DOC_NAME=FAT:FQL_AUDITING_CLIENT_TEMPLATE.FAT&amp;display_string=Audit&amp;VAR:KEY=UHUZEZSTAR&amp;VAR:QUERY=Q1NGX1NBTEVTKEFOTiwxMi8zMS8xOTgwLDEyLzMxLzIwMDksQVkp&amp;WINDOW=FIRST_POPUP&amp;HEIGHT=450&amp;WI","DTH=450&amp;START_MAXIMIZED=FALSE&amp;VAR:CALENDAR=US&amp;VAR:SYMBOL=HUN&amp;VAR:INDEX=7"}</definedName>
    <definedName name="_1695__FDSAUDITLINK__" hidden="1">{"fdsup://directions/FAT Viewer?action=UPDATE&amp;creator=factset&amp;DYN_ARGS=TRUE&amp;DOC_NAME=FAT:FQL_AUDITING_CLIENT_TEMPLATE.FAT&amp;display_string=Audit&amp;VAR:KEY=UHUZEZSTAR&amp;VAR:QUERY=Q1NGX1NBTEVTKEFOTiwxMi8zMS8xOTgwLDEyLzMxLzIwMDksQVkp&amp;WINDOW=FIRST_POPUP&amp;HEIGHT=450&amp;WI","DTH=450&amp;START_MAXIMIZED=FALSE&amp;VAR:CALENDAR=US&amp;VAR:SYMBOL=HUN&amp;VAR:INDEX=6"}</definedName>
    <definedName name="_1696__FDSAUDITLINK__" hidden="1">{"fdsup://directions/FAT Viewer?action=UPDATE&amp;creator=factset&amp;DYN_ARGS=TRUE&amp;DOC_NAME=FAT:FQL_AUDITING_CLIENT_TEMPLATE.FAT&amp;display_string=Audit&amp;VAR:KEY=UHUZEZSTAR&amp;VAR:QUERY=Q1NGX1NBTEVTKEFOTiwxMi8zMS8xOTgwLDEyLzMxLzIwMDksQVkp&amp;WINDOW=FIRST_POPUP&amp;HEIGHT=450&amp;WI","DTH=450&amp;START_MAXIMIZED=FALSE&amp;VAR:CALENDAR=US&amp;VAR:SYMBOL=HUN&amp;VAR:INDEX=5"}</definedName>
    <definedName name="_1697__FDSAUDITLINK__" hidden="1">{"fdsup://directions/FAT Viewer?action=UPDATE&amp;creator=factset&amp;DYN_ARGS=TRUE&amp;DOC_NAME=FAT:FQL_AUDITING_CLIENT_TEMPLATE.FAT&amp;display_string=Audit&amp;VAR:KEY=UHUZEZSTAR&amp;VAR:QUERY=Q1NGX1NBTEVTKEFOTiwxMi8zMS8xOTgwLDEyLzMxLzIwMDksQVkp&amp;WINDOW=FIRST_POPUP&amp;HEIGHT=450&amp;WI","DTH=450&amp;START_MAXIMIZED=FALSE&amp;VAR:CALENDAR=US&amp;VAR:SYMBOL=HUN&amp;VAR:INDEX=4"}</definedName>
    <definedName name="_1698__FDSAUDITLINK__" hidden="1">{"fdsup://directions/FAT Viewer?action=UPDATE&amp;creator=factset&amp;DYN_ARGS=TRUE&amp;DOC_NAME=FAT:FQL_AUDITING_CLIENT_TEMPLATE.FAT&amp;display_string=Audit&amp;VAR:KEY=UHUZEZSTAR&amp;VAR:QUERY=Q1NGX1NBTEVTKEFOTiwxMi8zMS8xOTgwLDEyLzMxLzIwMDksQVkp&amp;WINDOW=FIRST_POPUP&amp;HEIGHT=450&amp;WI","DTH=450&amp;START_MAXIMIZED=FALSE&amp;VAR:CALENDAR=US&amp;VAR:SYMBOL=HUN&amp;VAR:INDEX=3"}</definedName>
    <definedName name="_1699__FDSAUDITLINK__" hidden="1">{"fdsup://directions/FAT Viewer?action=UPDATE&amp;creator=factset&amp;DYN_ARGS=TRUE&amp;DOC_NAME=FAT:FQL_AUDITING_CLIENT_TEMPLATE.FAT&amp;display_string=Audit&amp;VAR:KEY=UHUZEZSTAR&amp;VAR:QUERY=Q1NGX1NBTEVTKEFOTiwxMi8zMS8xOTgwLDEyLzMxLzIwMDksQVkp&amp;WINDOW=FIRST_POPUP&amp;HEIGHT=450&amp;WI","DTH=450&amp;START_MAXIMIZED=FALSE&amp;VAR:CALENDAR=US&amp;VAR:SYMBOL=HUN&amp;VAR:INDEX=2"}</definedName>
    <definedName name="_17__FDSAUDITLINK__" hidden="1">{"fdsup://directions/FAT Viewer?action=UPDATE&amp;creator=factset&amp;DYN_ARGS=TRUE&amp;DOC_NAME=FAT:FQL_AUDITING_CLIENT_TEMPLATE.FAT&amp;display_string=Audit&amp;VAR:KEY=QZMTMLQNSF&amp;VAR:QUERY=Q1NGX0dST1NTX0lOQyhRVFJfUiwtM0FZLDAsRlEp&amp;WINDOW=FIRST_POPUP&amp;HEIGHT=450&amp;WIDTH=450&amp;STAR","T_MAXIMIZED=FALSE&amp;VAR:CALENDAR=US&amp;VAR:SYMBOL=CE&amp;VAR:INDEX=9"}</definedName>
    <definedName name="_170__FDSAUDITLINK__" hidden="1">{"fdsup://directions/FAT Viewer?action=UPDATE&amp;creator=factset&amp;DYN_ARGS=TRUE&amp;DOC_NAME=FAT:FQL_AUDITING_CLIENT_TEMPLATE.FAT&amp;display_string=Audit&amp;VAR:KEY=QRGHGNUFIT&amp;VAR:QUERY=Q1NGX0NPR1MoQU5OLDE5OTUsMjAwOSk=&amp;WINDOW=FIRST_POPUP&amp;HEIGHT=450&amp;WIDTH=450&amp;START_MAXIMI","ZED=FALSE&amp;VAR:CALENDAR=US&amp;VAR:SYMBOL=DOW&amp;VAR:INDEX=8"}</definedName>
    <definedName name="_1700__FDSAUDITLINK__" hidden="1">{"fdsup://directions/FAT Viewer?action=UPDATE&amp;creator=factset&amp;DYN_ARGS=TRUE&amp;DOC_NAME=FAT:FQL_AUDITING_CLIENT_TEMPLATE.FAT&amp;display_string=Audit&amp;VAR:KEY=UHUZEZSTAR&amp;VAR:QUERY=Q1NGX1NBTEVTKEFOTiwxMi8zMS8xOTgwLDEyLzMxLzIwMDksQVkp&amp;WINDOW=FIRST_POPUP&amp;HEIGHT=450&amp;WI","DTH=450&amp;START_MAXIMIZED=FALSE&amp;VAR:CALENDAR=US&amp;VAR:SYMBOL=HUN&amp;VAR:INDEX=1"}</definedName>
    <definedName name="_1701__FDSAUDITLINK__" hidden="1">{"fdsup://directions/FAT Viewer?action=UPDATE&amp;creator=factset&amp;DYN_ARGS=TRUE&amp;DOC_NAME=FAT:FQL_AUDITING_CLIENT_TEMPLATE.FAT&amp;display_string=Audit&amp;VAR:KEY=UHUZEZSTAR&amp;VAR:QUERY=Q1NGX1NBTEVTKEFOTiwxMi8zMS8xOTgwLDEyLzMxLzIwMDksQVkp&amp;WINDOW=FIRST_POPUP&amp;HEIGHT=450&amp;WI","DTH=450&amp;START_MAXIMIZED=FALSE&amp;VAR:CALENDAR=US&amp;VAR:SYMBOL=HUN&amp;VAR:INDEX=0"}</definedName>
    <definedName name="_1702__FDSAUDITLINK__" hidden="1">{"fdsup://directions/FAT Viewer?action=UPDATE&amp;creator=factset&amp;DYN_ARGS=TRUE&amp;DOC_NAME=FAT:FQL_AUDITING_CLIENT_TEMPLATE.FAT&amp;display_string=Audit&amp;VAR:KEY=SZEXAPGRCF&amp;VAR:QUERY=Q1NGX1NBTEVTKEFOTiwxMi8zMS8xOTgwLDEyLzMxLzIwMDksQVkp&amp;WINDOW=FIRST_POPUP&amp;HEIGHT=450&amp;WI","DTH=450&amp;START_MAXIMIZED=FALSE&amp;VAR:CALENDAR=US&amp;VAR:SYMBOL=KRO&amp;VAR:INDEX=29"}</definedName>
    <definedName name="_1703__FDSAUDITLINK__" hidden="1">{"fdsup://directions/FAT Viewer?action=UPDATE&amp;creator=factset&amp;DYN_ARGS=TRUE&amp;DOC_NAME=FAT:FQL_AUDITING_CLIENT_TEMPLATE.FAT&amp;display_string=Audit&amp;VAR:KEY=SZEXAPGRCF&amp;VAR:QUERY=Q1NGX1NBTEVTKEFOTiwxMi8zMS8xOTgwLDEyLzMxLzIwMDksQVkp&amp;WINDOW=FIRST_POPUP&amp;HEIGHT=450&amp;WI","DTH=450&amp;START_MAXIMIZED=FALSE&amp;VAR:CALENDAR=US&amp;VAR:SYMBOL=KRO&amp;VAR:INDEX=28"}</definedName>
    <definedName name="_1704__FDSAUDITLINK__" hidden="1">{"fdsup://directions/FAT Viewer?action=UPDATE&amp;creator=factset&amp;DYN_ARGS=TRUE&amp;DOC_NAME=FAT:FQL_AUDITING_CLIENT_TEMPLATE.FAT&amp;display_string=Audit&amp;VAR:KEY=SZEXAPGRCF&amp;VAR:QUERY=Q1NGX1NBTEVTKEFOTiwxMi8zMS8xOTgwLDEyLzMxLzIwMDksQVkp&amp;WINDOW=FIRST_POPUP&amp;HEIGHT=450&amp;WI","DTH=450&amp;START_MAXIMIZED=FALSE&amp;VAR:CALENDAR=US&amp;VAR:SYMBOL=KRO&amp;VAR:INDEX=27"}</definedName>
    <definedName name="_1705__FDSAUDITLINK__" hidden="1">{"fdsup://directions/FAT Viewer?action=UPDATE&amp;creator=factset&amp;DYN_ARGS=TRUE&amp;DOC_NAME=FAT:FQL_AUDITING_CLIENT_TEMPLATE.FAT&amp;display_string=Audit&amp;VAR:KEY=SZEXAPGRCF&amp;VAR:QUERY=Q1NGX1NBTEVTKEFOTiwxMi8zMS8xOTgwLDEyLzMxLzIwMDksQVkp&amp;WINDOW=FIRST_POPUP&amp;HEIGHT=450&amp;WI","DTH=450&amp;START_MAXIMIZED=FALSE&amp;VAR:CALENDAR=US&amp;VAR:SYMBOL=KRO&amp;VAR:INDEX=26"}</definedName>
    <definedName name="_1706__FDSAUDITLINK__" hidden="1">{"fdsup://directions/FAT Viewer?action=UPDATE&amp;creator=factset&amp;DYN_ARGS=TRUE&amp;DOC_NAME=FAT:FQL_AUDITING_CLIENT_TEMPLATE.FAT&amp;display_string=Audit&amp;VAR:KEY=SZEXAPGRCF&amp;VAR:QUERY=Q1NGX1NBTEVTKEFOTiwxMi8zMS8xOTgwLDEyLzMxLzIwMDksQVkp&amp;WINDOW=FIRST_POPUP&amp;HEIGHT=450&amp;WI","DTH=450&amp;START_MAXIMIZED=FALSE&amp;VAR:CALENDAR=US&amp;VAR:SYMBOL=KRO&amp;VAR:INDEX=25"}</definedName>
    <definedName name="_1707__FDSAUDITLINK__" hidden="1">{"fdsup://directions/FAT Viewer?action=UPDATE&amp;creator=factset&amp;DYN_ARGS=TRUE&amp;DOC_NAME=FAT:FQL_AUDITING_CLIENT_TEMPLATE.FAT&amp;display_string=Audit&amp;VAR:KEY=SZEXAPGRCF&amp;VAR:QUERY=Q1NGX1NBTEVTKEFOTiwxMi8zMS8xOTgwLDEyLzMxLzIwMDksQVkp&amp;WINDOW=FIRST_POPUP&amp;HEIGHT=450&amp;WI","DTH=450&amp;START_MAXIMIZED=FALSE&amp;VAR:CALENDAR=US&amp;VAR:SYMBOL=KRO&amp;VAR:INDEX=24"}</definedName>
    <definedName name="_1708__FDSAUDITLINK__" hidden="1">{"fdsup://directions/FAT Viewer?action=UPDATE&amp;creator=factset&amp;DYN_ARGS=TRUE&amp;DOC_NAME=FAT:FQL_AUDITING_CLIENT_TEMPLATE.FAT&amp;display_string=Audit&amp;VAR:KEY=SZEXAPGRCF&amp;VAR:QUERY=Q1NGX1NBTEVTKEFOTiwxMi8zMS8xOTgwLDEyLzMxLzIwMDksQVkp&amp;WINDOW=FIRST_POPUP&amp;HEIGHT=450&amp;WI","DTH=450&amp;START_MAXIMIZED=FALSE&amp;VAR:CALENDAR=US&amp;VAR:SYMBOL=KRO&amp;VAR:INDEX=23"}</definedName>
    <definedName name="_1709__FDSAUDITLINK__" hidden="1">{"fdsup://directions/FAT Viewer?action=UPDATE&amp;creator=factset&amp;DYN_ARGS=TRUE&amp;DOC_NAME=FAT:FQL_AUDITING_CLIENT_TEMPLATE.FAT&amp;display_string=Audit&amp;VAR:KEY=SZEXAPGRCF&amp;VAR:QUERY=Q1NGX1NBTEVTKEFOTiwxMi8zMS8xOTgwLDEyLzMxLzIwMDksQVkp&amp;WINDOW=FIRST_POPUP&amp;HEIGHT=450&amp;WI","DTH=450&amp;START_MAXIMIZED=FALSE&amp;VAR:CALENDAR=US&amp;VAR:SYMBOL=KRO&amp;VAR:INDEX=22"}</definedName>
    <definedName name="_171__FDSAUDITLINK__" hidden="1">{"fdsup://directions/FAT Viewer?action=UPDATE&amp;creator=factset&amp;DYN_ARGS=TRUE&amp;DOC_NAME=FAT:FQL_AUDITING_CLIENT_TEMPLATE.FAT&amp;display_string=Audit&amp;VAR:KEY=QRGHGNUFIT&amp;VAR:QUERY=Q1NGX0NPR1MoQU5OLDE5OTUsMjAwOSk=&amp;WINDOW=FIRST_POPUP&amp;HEIGHT=450&amp;WIDTH=450&amp;START_MAXIMI","ZED=FALSE&amp;VAR:CALENDAR=US&amp;VAR:SYMBOL=DOW&amp;VAR:INDEX=7"}</definedName>
    <definedName name="_1710__FDSAUDITLINK__" hidden="1">{"fdsup://directions/FAT Viewer?action=UPDATE&amp;creator=factset&amp;DYN_ARGS=TRUE&amp;DOC_NAME=FAT:FQL_AUDITING_CLIENT_TEMPLATE.FAT&amp;display_string=Audit&amp;VAR:KEY=SZEXAPGRCF&amp;VAR:QUERY=Q1NGX1NBTEVTKEFOTiwxMi8zMS8xOTgwLDEyLzMxLzIwMDksQVkp&amp;WINDOW=FIRST_POPUP&amp;HEIGHT=450&amp;WI","DTH=450&amp;START_MAXIMIZED=FALSE&amp;VAR:CALENDAR=US&amp;VAR:SYMBOL=KRO&amp;VAR:INDEX=21"}</definedName>
    <definedName name="_1711__FDSAUDITLINK__" hidden="1">{"fdsup://directions/FAT Viewer?action=UPDATE&amp;creator=factset&amp;DYN_ARGS=TRUE&amp;DOC_NAME=FAT:FQL_AUDITING_CLIENT_TEMPLATE.FAT&amp;display_string=Audit&amp;VAR:KEY=SZEXAPGRCF&amp;VAR:QUERY=Q1NGX1NBTEVTKEFOTiwxMi8zMS8xOTgwLDEyLzMxLzIwMDksQVkp&amp;WINDOW=FIRST_POPUP&amp;HEIGHT=450&amp;WI","DTH=450&amp;START_MAXIMIZED=FALSE&amp;VAR:CALENDAR=US&amp;VAR:SYMBOL=KRO&amp;VAR:INDEX=20"}</definedName>
    <definedName name="_1712__FDSAUDITLINK__" hidden="1">{"fdsup://directions/FAT Viewer?action=UPDATE&amp;creator=factset&amp;DYN_ARGS=TRUE&amp;DOC_NAME=FAT:FQL_AUDITING_CLIENT_TEMPLATE.FAT&amp;display_string=Audit&amp;VAR:KEY=SZEXAPGRCF&amp;VAR:QUERY=Q1NGX1NBTEVTKEFOTiwxMi8zMS8xOTgwLDEyLzMxLzIwMDksQVkp&amp;WINDOW=FIRST_POPUP&amp;HEIGHT=450&amp;WI","DTH=450&amp;START_MAXIMIZED=FALSE&amp;VAR:CALENDAR=US&amp;VAR:SYMBOL=KRO&amp;VAR:INDEX=19"}</definedName>
    <definedName name="_1713__FDSAUDITLINK__" hidden="1">{"fdsup://directions/FAT Viewer?action=UPDATE&amp;creator=factset&amp;DYN_ARGS=TRUE&amp;DOC_NAME=FAT:FQL_AUDITING_CLIENT_TEMPLATE.FAT&amp;display_string=Audit&amp;VAR:KEY=SZEXAPGRCF&amp;VAR:QUERY=Q1NGX1NBTEVTKEFOTiwxMi8zMS8xOTgwLDEyLzMxLzIwMDksQVkp&amp;WINDOW=FIRST_POPUP&amp;HEIGHT=450&amp;WI","DTH=450&amp;START_MAXIMIZED=FALSE&amp;VAR:CALENDAR=US&amp;VAR:SYMBOL=KRO&amp;VAR:INDEX=18"}</definedName>
    <definedName name="_1714__FDSAUDITLINK__" hidden="1">{"fdsup://directions/FAT Viewer?action=UPDATE&amp;creator=factset&amp;DYN_ARGS=TRUE&amp;DOC_NAME=FAT:FQL_AUDITING_CLIENT_TEMPLATE.FAT&amp;display_string=Audit&amp;VAR:KEY=SZEXAPGRCF&amp;VAR:QUERY=Q1NGX1NBTEVTKEFOTiwxMi8zMS8xOTgwLDEyLzMxLzIwMDksQVkp&amp;WINDOW=FIRST_POPUP&amp;HEIGHT=450&amp;WI","DTH=450&amp;START_MAXIMIZED=FALSE&amp;VAR:CALENDAR=US&amp;VAR:SYMBOL=KRO&amp;VAR:INDEX=17"}</definedName>
    <definedName name="_1715__FDSAUDITLINK__" hidden="1">{"fdsup://directions/FAT Viewer?action=UPDATE&amp;creator=factset&amp;DYN_ARGS=TRUE&amp;DOC_NAME=FAT:FQL_AUDITING_CLIENT_TEMPLATE.FAT&amp;display_string=Audit&amp;VAR:KEY=SZEXAPGRCF&amp;VAR:QUERY=Q1NGX1NBTEVTKEFOTiwxMi8zMS8xOTgwLDEyLzMxLzIwMDksQVkp&amp;WINDOW=FIRST_POPUP&amp;HEIGHT=450&amp;WI","DTH=450&amp;START_MAXIMIZED=FALSE&amp;VAR:CALENDAR=US&amp;VAR:SYMBOL=KRO&amp;VAR:INDEX=16"}</definedName>
    <definedName name="_1716__FDSAUDITLINK__" hidden="1">{"fdsup://directions/FAT Viewer?action=UPDATE&amp;creator=factset&amp;DYN_ARGS=TRUE&amp;DOC_NAME=FAT:FQL_AUDITING_CLIENT_TEMPLATE.FAT&amp;display_string=Audit&amp;VAR:KEY=SZEXAPGRCF&amp;VAR:QUERY=Q1NGX1NBTEVTKEFOTiwxMi8zMS8xOTgwLDEyLzMxLzIwMDksQVkp&amp;WINDOW=FIRST_POPUP&amp;HEIGHT=450&amp;WI","DTH=450&amp;START_MAXIMIZED=FALSE&amp;VAR:CALENDAR=US&amp;VAR:SYMBOL=KRO&amp;VAR:INDEX=15"}</definedName>
    <definedName name="_1717__FDSAUDITLINK__" hidden="1">{"fdsup://directions/FAT Viewer?action=UPDATE&amp;creator=factset&amp;DYN_ARGS=TRUE&amp;DOC_NAME=FAT:FQL_AUDITING_CLIENT_TEMPLATE.FAT&amp;display_string=Audit&amp;VAR:KEY=SZEXAPGRCF&amp;VAR:QUERY=Q1NGX1NBTEVTKEFOTiwxMi8zMS8xOTgwLDEyLzMxLzIwMDksQVkp&amp;WINDOW=FIRST_POPUP&amp;HEIGHT=450&amp;WI","DTH=450&amp;START_MAXIMIZED=FALSE&amp;VAR:CALENDAR=US&amp;VAR:SYMBOL=KRO&amp;VAR:INDEX=14"}</definedName>
    <definedName name="_1718__FDSAUDITLINK__" hidden="1">{"fdsup://directions/FAT Viewer?action=UPDATE&amp;creator=factset&amp;DYN_ARGS=TRUE&amp;DOC_NAME=FAT:FQL_AUDITING_CLIENT_TEMPLATE.FAT&amp;display_string=Audit&amp;VAR:KEY=SZEXAPGRCF&amp;VAR:QUERY=Q1NGX1NBTEVTKEFOTiwxMi8zMS8xOTgwLDEyLzMxLzIwMDksQVkp&amp;WINDOW=FIRST_POPUP&amp;HEIGHT=450&amp;WI","DTH=450&amp;START_MAXIMIZED=FALSE&amp;VAR:CALENDAR=US&amp;VAR:SYMBOL=KRO&amp;VAR:INDEX=13"}</definedName>
    <definedName name="_1719__FDSAUDITLINK__" hidden="1">{"fdsup://directions/FAT Viewer?action=UPDATE&amp;creator=factset&amp;DYN_ARGS=TRUE&amp;DOC_NAME=FAT:FQL_AUDITING_CLIENT_TEMPLATE.FAT&amp;display_string=Audit&amp;VAR:KEY=SZEXAPGRCF&amp;VAR:QUERY=Q1NGX1NBTEVTKEFOTiwxMi8zMS8xOTgwLDEyLzMxLzIwMDksQVkp&amp;WINDOW=FIRST_POPUP&amp;HEIGHT=450&amp;WI","DTH=450&amp;START_MAXIMIZED=FALSE&amp;VAR:CALENDAR=US&amp;VAR:SYMBOL=KRO&amp;VAR:INDEX=12"}</definedName>
    <definedName name="_172__FDSAUDITLINK__" hidden="1">{"fdsup://directions/FAT Viewer?action=UPDATE&amp;creator=factset&amp;DYN_ARGS=TRUE&amp;DOC_NAME=FAT:FQL_AUDITING_CLIENT_TEMPLATE.FAT&amp;display_string=Audit&amp;VAR:KEY=QRGHGNUFIT&amp;VAR:QUERY=Q1NGX0NPR1MoQU5OLDE5OTUsMjAwOSk=&amp;WINDOW=FIRST_POPUP&amp;HEIGHT=450&amp;WIDTH=450&amp;START_MAXIMI","ZED=FALSE&amp;VAR:CALENDAR=US&amp;VAR:SYMBOL=DOW&amp;VAR:INDEX=6"}</definedName>
    <definedName name="_1720__FDSAUDITLINK__" hidden="1">{"fdsup://directions/FAT Viewer?action=UPDATE&amp;creator=factset&amp;DYN_ARGS=TRUE&amp;DOC_NAME=FAT:FQL_AUDITING_CLIENT_TEMPLATE.FAT&amp;display_string=Audit&amp;VAR:KEY=SZEXAPGRCF&amp;VAR:QUERY=Q1NGX1NBTEVTKEFOTiwxMi8zMS8xOTgwLDEyLzMxLzIwMDksQVkp&amp;WINDOW=FIRST_POPUP&amp;HEIGHT=450&amp;WI","DTH=450&amp;START_MAXIMIZED=FALSE&amp;VAR:CALENDAR=US&amp;VAR:SYMBOL=KRO&amp;VAR:INDEX=11"}</definedName>
    <definedName name="_1721__FDSAUDITLINK__" hidden="1">{"fdsup://directions/FAT Viewer?action=UPDATE&amp;creator=factset&amp;DYN_ARGS=TRUE&amp;DOC_NAME=FAT:FQL_AUDITING_CLIENT_TEMPLATE.FAT&amp;display_string=Audit&amp;VAR:KEY=SZEXAPGRCF&amp;VAR:QUERY=Q1NGX1NBTEVTKEFOTiwxMi8zMS8xOTgwLDEyLzMxLzIwMDksQVkp&amp;WINDOW=FIRST_POPUP&amp;HEIGHT=450&amp;WI","DTH=450&amp;START_MAXIMIZED=FALSE&amp;VAR:CALENDAR=US&amp;VAR:SYMBOL=KRO&amp;VAR:INDEX=10"}</definedName>
    <definedName name="_1722__FDSAUDITLINK__" hidden="1">{"fdsup://directions/FAT Viewer?action=UPDATE&amp;creator=factset&amp;DYN_ARGS=TRUE&amp;DOC_NAME=FAT:FQL_AUDITING_CLIENT_TEMPLATE.FAT&amp;display_string=Audit&amp;VAR:KEY=SZEXAPGRCF&amp;VAR:QUERY=Q1NGX1NBTEVTKEFOTiwxMi8zMS8xOTgwLDEyLzMxLzIwMDksQVkp&amp;WINDOW=FIRST_POPUP&amp;HEIGHT=450&amp;WI","DTH=450&amp;START_MAXIMIZED=FALSE&amp;VAR:CALENDAR=US&amp;VAR:SYMBOL=KRO&amp;VAR:INDEX=9"}</definedName>
    <definedName name="_1723__FDSAUDITLINK__" hidden="1">{"fdsup://directions/FAT Viewer?action=UPDATE&amp;creator=factset&amp;DYN_ARGS=TRUE&amp;DOC_NAME=FAT:FQL_AUDITING_CLIENT_TEMPLATE.FAT&amp;display_string=Audit&amp;VAR:KEY=SZEXAPGRCF&amp;VAR:QUERY=Q1NGX1NBTEVTKEFOTiwxMi8zMS8xOTgwLDEyLzMxLzIwMDksQVkp&amp;WINDOW=FIRST_POPUP&amp;HEIGHT=450&amp;WI","DTH=450&amp;START_MAXIMIZED=FALSE&amp;VAR:CALENDAR=US&amp;VAR:SYMBOL=KRO&amp;VAR:INDEX=8"}</definedName>
    <definedName name="_1724__FDSAUDITLINK__" hidden="1">{"fdsup://directions/FAT Viewer?action=UPDATE&amp;creator=factset&amp;DYN_ARGS=TRUE&amp;DOC_NAME=FAT:FQL_AUDITING_CLIENT_TEMPLATE.FAT&amp;display_string=Audit&amp;VAR:KEY=SZEXAPGRCF&amp;VAR:QUERY=Q1NGX1NBTEVTKEFOTiwxMi8zMS8xOTgwLDEyLzMxLzIwMDksQVkp&amp;WINDOW=FIRST_POPUP&amp;HEIGHT=450&amp;WI","DTH=450&amp;START_MAXIMIZED=FALSE&amp;VAR:CALENDAR=US&amp;VAR:SYMBOL=KRO&amp;VAR:INDEX=7"}</definedName>
    <definedName name="_1725__FDSAUDITLINK__" hidden="1">{"fdsup://directions/FAT Viewer?action=UPDATE&amp;creator=factset&amp;DYN_ARGS=TRUE&amp;DOC_NAME=FAT:FQL_AUDITING_CLIENT_TEMPLATE.FAT&amp;display_string=Audit&amp;VAR:KEY=SZEXAPGRCF&amp;VAR:QUERY=Q1NGX1NBTEVTKEFOTiwxMi8zMS8xOTgwLDEyLzMxLzIwMDksQVkp&amp;WINDOW=FIRST_POPUP&amp;HEIGHT=450&amp;WI","DTH=450&amp;START_MAXIMIZED=FALSE&amp;VAR:CALENDAR=US&amp;VAR:SYMBOL=KRO&amp;VAR:INDEX=6"}</definedName>
    <definedName name="_1726__FDSAUDITLINK__" hidden="1">{"fdsup://directions/FAT Viewer?action=UPDATE&amp;creator=factset&amp;DYN_ARGS=TRUE&amp;DOC_NAME=FAT:FQL_AUDITING_CLIENT_TEMPLATE.FAT&amp;display_string=Audit&amp;VAR:KEY=SZEXAPGRCF&amp;VAR:QUERY=Q1NGX1NBTEVTKEFOTiwxMi8zMS8xOTgwLDEyLzMxLzIwMDksQVkp&amp;WINDOW=FIRST_POPUP&amp;HEIGHT=450&amp;WI","DTH=450&amp;START_MAXIMIZED=FALSE&amp;VAR:CALENDAR=US&amp;VAR:SYMBOL=KRO&amp;VAR:INDEX=5"}</definedName>
    <definedName name="_1727__FDSAUDITLINK__" hidden="1">{"fdsup://directions/FAT Viewer?action=UPDATE&amp;creator=factset&amp;DYN_ARGS=TRUE&amp;DOC_NAME=FAT:FQL_AUDITING_CLIENT_TEMPLATE.FAT&amp;display_string=Audit&amp;VAR:KEY=SZEXAPGRCF&amp;VAR:QUERY=Q1NGX1NBTEVTKEFOTiwxMi8zMS8xOTgwLDEyLzMxLzIwMDksQVkp&amp;WINDOW=FIRST_POPUP&amp;HEIGHT=450&amp;WI","DTH=450&amp;START_MAXIMIZED=FALSE&amp;VAR:CALENDAR=US&amp;VAR:SYMBOL=KRO&amp;VAR:INDEX=4"}</definedName>
    <definedName name="_1728__FDSAUDITLINK__" hidden="1">{"fdsup://directions/FAT Viewer?action=UPDATE&amp;creator=factset&amp;DYN_ARGS=TRUE&amp;DOC_NAME=FAT:FQL_AUDITING_CLIENT_TEMPLATE.FAT&amp;display_string=Audit&amp;VAR:KEY=SZEXAPGRCF&amp;VAR:QUERY=Q1NGX1NBTEVTKEFOTiwxMi8zMS8xOTgwLDEyLzMxLzIwMDksQVkp&amp;WINDOW=FIRST_POPUP&amp;HEIGHT=450&amp;WI","DTH=450&amp;START_MAXIMIZED=FALSE&amp;VAR:CALENDAR=US&amp;VAR:SYMBOL=KRO&amp;VAR:INDEX=3"}</definedName>
    <definedName name="_1729__FDSAUDITLINK__" hidden="1">{"fdsup://directions/FAT Viewer?action=UPDATE&amp;creator=factset&amp;DYN_ARGS=TRUE&amp;DOC_NAME=FAT:FQL_AUDITING_CLIENT_TEMPLATE.FAT&amp;display_string=Audit&amp;VAR:KEY=SZEXAPGRCF&amp;VAR:QUERY=Q1NGX1NBTEVTKEFOTiwxMi8zMS8xOTgwLDEyLzMxLzIwMDksQVkp&amp;WINDOW=FIRST_POPUP&amp;HEIGHT=450&amp;WI","DTH=450&amp;START_MAXIMIZED=FALSE&amp;VAR:CALENDAR=US&amp;VAR:SYMBOL=KRO&amp;VAR:INDEX=2"}</definedName>
    <definedName name="_173__FDSAUDITLINK__" hidden="1">{"fdsup://directions/FAT Viewer?action=UPDATE&amp;creator=factset&amp;DYN_ARGS=TRUE&amp;DOC_NAME=FAT:FQL_AUDITING_CLIENT_TEMPLATE.FAT&amp;display_string=Audit&amp;VAR:KEY=QRGHGNUFIT&amp;VAR:QUERY=Q1NGX0NPR1MoQU5OLDE5OTUsMjAwOSk=&amp;WINDOW=FIRST_POPUP&amp;HEIGHT=450&amp;WIDTH=450&amp;START_MAXIMI","ZED=FALSE&amp;VAR:CALENDAR=US&amp;VAR:SYMBOL=DOW&amp;VAR:INDEX=5"}</definedName>
    <definedName name="_1730__FDSAUDITLINK__" hidden="1">{"fdsup://directions/FAT Viewer?action=UPDATE&amp;creator=factset&amp;DYN_ARGS=TRUE&amp;DOC_NAME=FAT:FQL_AUDITING_CLIENT_TEMPLATE.FAT&amp;display_string=Audit&amp;VAR:KEY=SZEXAPGRCF&amp;VAR:QUERY=Q1NGX1NBTEVTKEFOTiwxMi8zMS8xOTgwLDEyLzMxLzIwMDksQVkp&amp;WINDOW=FIRST_POPUP&amp;HEIGHT=450&amp;WI","DTH=450&amp;START_MAXIMIZED=FALSE&amp;VAR:CALENDAR=US&amp;VAR:SYMBOL=KRO&amp;VAR:INDEX=1"}</definedName>
    <definedName name="_1731__FDSAUDITLINK__" hidden="1">{"fdsup://directions/FAT Viewer?action=UPDATE&amp;creator=factset&amp;DYN_ARGS=TRUE&amp;DOC_NAME=FAT:FQL_AUDITING_CLIENT_TEMPLATE.FAT&amp;display_string=Audit&amp;VAR:KEY=SZEXAPGRCF&amp;VAR:QUERY=Q1NGX1NBTEVTKEFOTiwxMi8zMS8xOTgwLDEyLzMxLzIwMDksQVkp&amp;WINDOW=FIRST_POPUP&amp;HEIGHT=450&amp;WI","DTH=450&amp;START_MAXIMIZED=FALSE&amp;VAR:CALENDAR=US&amp;VAR:SYMBOL=KRO&amp;VAR:INDEX=0"}</definedName>
    <definedName name="_1732__FDSAUDITLINK__" hidden="1">{"fdsup://directions/FAT Viewer?action=UPDATE&amp;creator=factset&amp;DYN_ARGS=TRUE&amp;DOC_NAME=FAT:FQL_AUDITING_CLIENT_TEMPLATE.FAT&amp;display_string=Audit&amp;VAR:KEY=SRWJORCJWH&amp;VAR:QUERY=Q1NGX1NBTEVTKEFOTiwxMi8zMS8xOTgwLDEyLzMxLzIwMDksQVkp&amp;WINDOW=FIRST_POPUP&amp;HEIGHT=450&amp;WI","DTH=450&amp;START_MAXIMIZED=FALSE&amp;VAR:CALENDAR=US&amp;VAR:SYMBOL=GGC&amp;VAR:INDEX=29"}</definedName>
    <definedName name="_1733__FDSAUDITLINK__" hidden="1">{"fdsup://directions/FAT Viewer?action=UPDATE&amp;creator=factset&amp;DYN_ARGS=TRUE&amp;DOC_NAME=FAT:FQL_AUDITING_CLIENT_TEMPLATE.FAT&amp;display_string=Audit&amp;VAR:KEY=SRWJORCJWH&amp;VAR:QUERY=Q1NGX1NBTEVTKEFOTiwxMi8zMS8xOTgwLDEyLzMxLzIwMDksQVkp&amp;WINDOW=FIRST_POPUP&amp;HEIGHT=450&amp;WI","DTH=450&amp;START_MAXIMIZED=FALSE&amp;VAR:CALENDAR=US&amp;VAR:SYMBOL=GGC&amp;VAR:INDEX=28"}</definedName>
    <definedName name="_1734__FDSAUDITLINK__" hidden="1">{"fdsup://directions/FAT Viewer?action=UPDATE&amp;creator=factset&amp;DYN_ARGS=TRUE&amp;DOC_NAME=FAT:FQL_AUDITING_CLIENT_TEMPLATE.FAT&amp;display_string=Audit&amp;VAR:KEY=SRWJORCJWH&amp;VAR:QUERY=Q1NGX1NBTEVTKEFOTiwxMi8zMS8xOTgwLDEyLzMxLzIwMDksQVkp&amp;WINDOW=FIRST_POPUP&amp;HEIGHT=450&amp;WI","DTH=450&amp;START_MAXIMIZED=FALSE&amp;VAR:CALENDAR=US&amp;VAR:SYMBOL=GGC&amp;VAR:INDEX=27"}</definedName>
    <definedName name="_1735__FDSAUDITLINK__" hidden="1">{"fdsup://directions/FAT Viewer?action=UPDATE&amp;creator=factset&amp;DYN_ARGS=TRUE&amp;DOC_NAME=FAT:FQL_AUDITING_CLIENT_TEMPLATE.FAT&amp;display_string=Audit&amp;VAR:KEY=SRWJORCJWH&amp;VAR:QUERY=Q1NGX1NBTEVTKEFOTiwxMi8zMS8xOTgwLDEyLzMxLzIwMDksQVkp&amp;WINDOW=FIRST_POPUP&amp;HEIGHT=450&amp;WI","DTH=450&amp;START_MAXIMIZED=FALSE&amp;VAR:CALENDAR=US&amp;VAR:SYMBOL=GGC&amp;VAR:INDEX=26"}</definedName>
    <definedName name="_1736__FDSAUDITLINK__" hidden="1">{"fdsup://directions/FAT Viewer?action=UPDATE&amp;creator=factset&amp;DYN_ARGS=TRUE&amp;DOC_NAME=FAT:FQL_AUDITING_CLIENT_TEMPLATE.FAT&amp;display_string=Audit&amp;VAR:KEY=SRWJORCJWH&amp;VAR:QUERY=Q1NGX1NBTEVTKEFOTiwxMi8zMS8xOTgwLDEyLzMxLzIwMDksQVkp&amp;WINDOW=FIRST_POPUP&amp;HEIGHT=450&amp;WI","DTH=450&amp;START_MAXIMIZED=FALSE&amp;VAR:CALENDAR=US&amp;VAR:SYMBOL=GGC&amp;VAR:INDEX=25"}</definedName>
    <definedName name="_1737__FDSAUDITLINK__" hidden="1">{"fdsup://directions/FAT Viewer?action=UPDATE&amp;creator=factset&amp;DYN_ARGS=TRUE&amp;DOC_NAME=FAT:FQL_AUDITING_CLIENT_TEMPLATE.FAT&amp;display_string=Audit&amp;VAR:KEY=SRWJORCJWH&amp;VAR:QUERY=Q1NGX1NBTEVTKEFOTiwxMi8zMS8xOTgwLDEyLzMxLzIwMDksQVkp&amp;WINDOW=FIRST_POPUP&amp;HEIGHT=450&amp;WI","DTH=450&amp;START_MAXIMIZED=FALSE&amp;VAR:CALENDAR=US&amp;VAR:SYMBOL=GGC&amp;VAR:INDEX=24"}</definedName>
    <definedName name="_1738__FDSAUDITLINK__" hidden="1">{"fdsup://directions/FAT Viewer?action=UPDATE&amp;creator=factset&amp;DYN_ARGS=TRUE&amp;DOC_NAME=FAT:FQL_AUDITING_CLIENT_TEMPLATE.FAT&amp;display_string=Audit&amp;VAR:KEY=SRWJORCJWH&amp;VAR:QUERY=Q1NGX1NBTEVTKEFOTiwxMi8zMS8xOTgwLDEyLzMxLzIwMDksQVkp&amp;WINDOW=FIRST_POPUP&amp;HEIGHT=450&amp;WI","DTH=450&amp;START_MAXIMIZED=FALSE&amp;VAR:CALENDAR=US&amp;VAR:SYMBOL=GGC&amp;VAR:INDEX=23"}</definedName>
    <definedName name="_1739__FDSAUDITLINK__" hidden="1">{"fdsup://directions/FAT Viewer?action=UPDATE&amp;creator=factset&amp;DYN_ARGS=TRUE&amp;DOC_NAME=FAT:FQL_AUDITING_CLIENT_TEMPLATE.FAT&amp;display_string=Audit&amp;VAR:KEY=SRWJORCJWH&amp;VAR:QUERY=Q1NGX1NBTEVTKEFOTiwxMi8zMS8xOTgwLDEyLzMxLzIwMDksQVkp&amp;WINDOW=FIRST_POPUP&amp;HEIGHT=450&amp;WI","DTH=450&amp;START_MAXIMIZED=FALSE&amp;VAR:CALENDAR=US&amp;VAR:SYMBOL=GGC&amp;VAR:INDEX=22"}</definedName>
    <definedName name="_174__FDSAUDITLINK__" hidden="1">{"fdsup://directions/FAT Viewer?action=UPDATE&amp;creator=factset&amp;DYN_ARGS=TRUE&amp;DOC_NAME=FAT:FQL_AUDITING_CLIENT_TEMPLATE.FAT&amp;display_string=Audit&amp;VAR:KEY=QRGHGNUFIT&amp;VAR:QUERY=Q1NGX0NPR1MoQU5OLDE5OTUsMjAwOSk=&amp;WINDOW=FIRST_POPUP&amp;HEIGHT=450&amp;WIDTH=450&amp;START_MAXIMI","ZED=FALSE&amp;VAR:CALENDAR=US&amp;VAR:SYMBOL=DOW&amp;VAR:INDEX=4"}</definedName>
    <definedName name="_1740__FDSAUDITLINK__" hidden="1">{"fdsup://directions/FAT Viewer?action=UPDATE&amp;creator=factset&amp;DYN_ARGS=TRUE&amp;DOC_NAME=FAT:FQL_AUDITING_CLIENT_TEMPLATE.FAT&amp;display_string=Audit&amp;VAR:KEY=SRWJORCJWH&amp;VAR:QUERY=Q1NGX1NBTEVTKEFOTiwxMi8zMS8xOTgwLDEyLzMxLzIwMDksQVkp&amp;WINDOW=FIRST_POPUP&amp;HEIGHT=450&amp;WI","DTH=450&amp;START_MAXIMIZED=FALSE&amp;VAR:CALENDAR=US&amp;VAR:SYMBOL=GGC&amp;VAR:INDEX=21"}</definedName>
    <definedName name="_1741__FDSAUDITLINK__" hidden="1">{"fdsup://directions/FAT Viewer?action=UPDATE&amp;creator=factset&amp;DYN_ARGS=TRUE&amp;DOC_NAME=FAT:FQL_AUDITING_CLIENT_TEMPLATE.FAT&amp;display_string=Audit&amp;VAR:KEY=SRWJORCJWH&amp;VAR:QUERY=Q1NGX1NBTEVTKEFOTiwxMi8zMS8xOTgwLDEyLzMxLzIwMDksQVkp&amp;WINDOW=FIRST_POPUP&amp;HEIGHT=450&amp;WI","DTH=450&amp;START_MAXIMIZED=FALSE&amp;VAR:CALENDAR=US&amp;VAR:SYMBOL=GGC&amp;VAR:INDEX=20"}</definedName>
    <definedName name="_1742__FDSAUDITLINK__" hidden="1">{"fdsup://directions/FAT Viewer?action=UPDATE&amp;creator=factset&amp;DYN_ARGS=TRUE&amp;DOC_NAME=FAT:FQL_AUDITING_CLIENT_TEMPLATE.FAT&amp;display_string=Audit&amp;VAR:KEY=SRWJORCJWH&amp;VAR:QUERY=Q1NGX1NBTEVTKEFOTiwxMi8zMS8xOTgwLDEyLzMxLzIwMDksQVkp&amp;WINDOW=FIRST_POPUP&amp;HEIGHT=450&amp;WI","DTH=450&amp;START_MAXIMIZED=FALSE&amp;VAR:CALENDAR=US&amp;VAR:SYMBOL=GGC&amp;VAR:INDEX=19"}</definedName>
    <definedName name="_1743__FDSAUDITLINK__" hidden="1">{"fdsup://directions/FAT Viewer?action=UPDATE&amp;creator=factset&amp;DYN_ARGS=TRUE&amp;DOC_NAME=FAT:FQL_AUDITING_CLIENT_TEMPLATE.FAT&amp;display_string=Audit&amp;VAR:KEY=SRWJORCJWH&amp;VAR:QUERY=Q1NGX1NBTEVTKEFOTiwxMi8zMS8xOTgwLDEyLzMxLzIwMDksQVkp&amp;WINDOW=FIRST_POPUP&amp;HEIGHT=450&amp;WI","DTH=450&amp;START_MAXIMIZED=FALSE&amp;VAR:CALENDAR=US&amp;VAR:SYMBOL=GGC&amp;VAR:INDEX=18"}</definedName>
    <definedName name="_1744__FDSAUDITLINK__" hidden="1">{"fdsup://directions/FAT Viewer?action=UPDATE&amp;creator=factset&amp;DYN_ARGS=TRUE&amp;DOC_NAME=FAT:FQL_AUDITING_CLIENT_TEMPLATE.FAT&amp;display_string=Audit&amp;VAR:KEY=SRWJORCJWH&amp;VAR:QUERY=Q1NGX1NBTEVTKEFOTiwxMi8zMS8xOTgwLDEyLzMxLzIwMDksQVkp&amp;WINDOW=FIRST_POPUP&amp;HEIGHT=450&amp;WI","DTH=450&amp;START_MAXIMIZED=FALSE&amp;VAR:CALENDAR=US&amp;VAR:SYMBOL=GGC&amp;VAR:INDEX=17"}</definedName>
    <definedName name="_1745__FDSAUDITLINK__" hidden="1">{"fdsup://directions/FAT Viewer?action=UPDATE&amp;creator=factset&amp;DYN_ARGS=TRUE&amp;DOC_NAME=FAT:FQL_AUDITING_CLIENT_TEMPLATE.FAT&amp;display_string=Audit&amp;VAR:KEY=SRWJORCJWH&amp;VAR:QUERY=Q1NGX1NBTEVTKEFOTiwxMi8zMS8xOTgwLDEyLzMxLzIwMDksQVkp&amp;WINDOW=FIRST_POPUP&amp;HEIGHT=450&amp;WI","DTH=450&amp;START_MAXIMIZED=FALSE&amp;VAR:CALENDAR=US&amp;VAR:SYMBOL=GGC&amp;VAR:INDEX=16"}</definedName>
    <definedName name="_1746__FDSAUDITLINK__" hidden="1">{"fdsup://directions/FAT Viewer?action=UPDATE&amp;creator=factset&amp;DYN_ARGS=TRUE&amp;DOC_NAME=FAT:FQL_AUDITING_CLIENT_TEMPLATE.FAT&amp;display_string=Audit&amp;VAR:KEY=SRWJORCJWH&amp;VAR:QUERY=Q1NGX1NBTEVTKEFOTiwxMi8zMS8xOTgwLDEyLzMxLzIwMDksQVkp&amp;WINDOW=FIRST_POPUP&amp;HEIGHT=450&amp;WI","DTH=450&amp;START_MAXIMIZED=FALSE&amp;VAR:CALENDAR=US&amp;VAR:SYMBOL=GGC&amp;VAR:INDEX=15"}</definedName>
    <definedName name="_1747__FDSAUDITLINK__" hidden="1">{"fdsup://directions/FAT Viewer?action=UPDATE&amp;creator=factset&amp;DYN_ARGS=TRUE&amp;DOC_NAME=FAT:FQL_AUDITING_CLIENT_TEMPLATE.FAT&amp;display_string=Audit&amp;VAR:KEY=SRWJORCJWH&amp;VAR:QUERY=Q1NGX1NBTEVTKEFOTiwxMi8zMS8xOTgwLDEyLzMxLzIwMDksQVkp&amp;WINDOW=FIRST_POPUP&amp;HEIGHT=450&amp;WI","DTH=450&amp;START_MAXIMIZED=FALSE&amp;VAR:CALENDAR=US&amp;VAR:SYMBOL=GGC&amp;VAR:INDEX=14"}</definedName>
    <definedName name="_1748__FDSAUDITLINK__" hidden="1">{"fdsup://directions/FAT Viewer?action=UPDATE&amp;creator=factset&amp;DYN_ARGS=TRUE&amp;DOC_NAME=FAT:FQL_AUDITING_CLIENT_TEMPLATE.FAT&amp;display_string=Audit&amp;VAR:KEY=SRWJORCJWH&amp;VAR:QUERY=Q1NGX1NBTEVTKEFOTiwxMi8zMS8xOTgwLDEyLzMxLzIwMDksQVkp&amp;WINDOW=FIRST_POPUP&amp;HEIGHT=450&amp;WI","DTH=450&amp;START_MAXIMIZED=FALSE&amp;VAR:CALENDAR=US&amp;VAR:SYMBOL=GGC&amp;VAR:INDEX=13"}</definedName>
    <definedName name="_1749__FDSAUDITLINK__" hidden="1">{"fdsup://directions/FAT Viewer?action=UPDATE&amp;creator=factset&amp;DYN_ARGS=TRUE&amp;DOC_NAME=FAT:FQL_AUDITING_CLIENT_TEMPLATE.FAT&amp;display_string=Audit&amp;VAR:KEY=SRWJORCJWH&amp;VAR:QUERY=Q1NGX1NBTEVTKEFOTiwxMi8zMS8xOTgwLDEyLzMxLzIwMDksQVkp&amp;WINDOW=FIRST_POPUP&amp;HEIGHT=450&amp;WI","DTH=450&amp;START_MAXIMIZED=FALSE&amp;VAR:CALENDAR=US&amp;VAR:SYMBOL=GGC&amp;VAR:INDEX=12"}</definedName>
    <definedName name="_175__FDSAUDITLINK__" hidden="1">{"fdsup://directions/FAT Viewer?action=UPDATE&amp;creator=factset&amp;DYN_ARGS=TRUE&amp;DOC_NAME=FAT:FQL_AUDITING_CLIENT_TEMPLATE.FAT&amp;display_string=Audit&amp;VAR:KEY=QRGHGNUFIT&amp;VAR:QUERY=Q1NGX0NPR1MoQU5OLDE5OTUsMjAwOSk=&amp;WINDOW=FIRST_POPUP&amp;HEIGHT=450&amp;WIDTH=450&amp;START_MAXIMI","ZED=FALSE&amp;VAR:CALENDAR=US&amp;VAR:SYMBOL=DOW&amp;VAR:INDEX=3"}</definedName>
    <definedName name="_1750__FDSAUDITLINK__" hidden="1">{"fdsup://directions/FAT Viewer?action=UPDATE&amp;creator=factset&amp;DYN_ARGS=TRUE&amp;DOC_NAME=FAT:FQL_AUDITING_CLIENT_TEMPLATE.FAT&amp;display_string=Audit&amp;VAR:KEY=SRWJORCJWH&amp;VAR:QUERY=Q1NGX1NBTEVTKEFOTiwxMi8zMS8xOTgwLDEyLzMxLzIwMDksQVkp&amp;WINDOW=FIRST_POPUP&amp;HEIGHT=450&amp;WI","DTH=450&amp;START_MAXIMIZED=FALSE&amp;VAR:CALENDAR=US&amp;VAR:SYMBOL=GGC&amp;VAR:INDEX=11"}</definedName>
    <definedName name="_1751__FDSAUDITLINK__" hidden="1">{"fdsup://directions/FAT Viewer?action=UPDATE&amp;creator=factset&amp;DYN_ARGS=TRUE&amp;DOC_NAME=FAT:FQL_AUDITING_CLIENT_TEMPLATE.FAT&amp;display_string=Audit&amp;VAR:KEY=SRWJORCJWH&amp;VAR:QUERY=Q1NGX1NBTEVTKEFOTiwxMi8zMS8xOTgwLDEyLzMxLzIwMDksQVkp&amp;WINDOW=FIRST_POPUP&amp;HEIGHT=450&amp;WI","DTH=450&amp;START_MAXIMIZED=FALSE&amp;VAR:CALENDAR=US&amp;VAR:SYMBOL=GGC&amp;VAR:INDEX=10"}</definedName>
    <definedName name="_1752__FDSAUDITLINK__" hidden="1">{"fdsup://directions/FAT Viewer?action=UPDATE&amp;creator=factset&amp;DYN_ARGS=TRUE&amp;DOC_NAME=FAT:FQL_AUDITING_CLIENT_TEMPLATE.FAT&amp;display_string=Audit&amp;VAR:KEY=SRWJORCJWH&amp;VAR:QUERY=Q1NGX1NBTEVTKEFOTiwxMi8zMS8xOTgwLDEyLzMxLzIwMDksQVkp&amp;WINDOW=FIRST_POPUP&amp;HEIGHT=450&amp;WI","DTH=450&amp;START_MAXIMIZED=FALSE&amp;VAR:CALENDAR=US&amp;VAR:SYMBOL=GGC&amp;VAR:INDEX=9"}</definedName>
    <definedName name="_1753__FDSAUDITLINK__" hidden="1">{"fdsup://directions/FAT Viewer?action=UPDATE&amp;creator=factset&amp;DYN_ARGS=TRUE&amp;DOC_NAME=FAT:FQL_AUDITING_CLIENT_TEMPLATE.FAT&amp;display_string=Audit&amp;VAR:KEY=SRWJORCJWH&amp;VAR:QUERY=Q1NGX1NBTEVTKEFOTiwxMi8zMS8xOTgwLDEyLzMxLzIwMDksQVkp&amp;WINDOW=FIRST_POPUP&amp;HEIGHT=450&amp;WI","DTH=450&amp;START_MAXIMIZED=FALSE&amp;VAR:CALENDAR=US&amp;VAR:SYMBOL=GGC&amp;VAR:INDEX=8"}</definedName>
    <definedName name="_1754__FDSAUDITLINK__" hidden="1">{"fdsup://directions/FAT Viewer?action=UPDATE&amp;creator=factset&amp;DYN_ARGS=TRUE&amp;DOC_NAME=FAT:FQL_AUDITING_CLIENT_TEMPLATE.FAT&amp;display_string=Audit&amp;VAR:KEY=SRWJORCJWH&amp;VAR:QUERY=Q1NGX1NBTEVTKEFOTiwxMi8zMS8xOTgwLDEyLzMxLzIwMDksQVkp&amp;WINDOW=FIRST_POPUP&amp;HEIGHT=450&amp;WI","DTH=450&amp;START_MAXIMIZED=FALSE&amp;VAR:CALENDAR=US&amp;VAR:SYMBOL=GGC&amp;VAR:INDEX=7"}</definedName>
    <definedName name="_1755__FDSAUDITLINK__" hidden="1">{"fdsup://directions/FAT Viewer?action=UPDATE&amp;creator=factset&amp;DYN_ARGS=TRUE&amp;DOC_NAME=FAT:FQL_AUDITING_CLIENT_TEMPLATE.FAT&amp;display_string=Audit&amp;VAR:KEY=SRWJORCJWH&amp;VAR:QUERY=Q1NGX1NBTEVTKEFOTiwxMi8zMS8xOTgwLDEyLzMxLzIwMDksQVkp&amp;WINDOW=FIRST_POPUP&amp;HEIGHT=450&amp;WI","DTH=450&amp;START_MAXIMIZED=FALSE&amp;VAR:CALENDAR=US&amp;VAR:SYMBOL=GGC&amp;VAR:INDEX=6"}</definedName>
    <definedName name="_1756__FDSAUDITLINK__" hidden="1">{"fdsup://directions/FAT Viewer?action=UPDATE&amp;creator=factset&amp;DYN_ARGS=TRUE&amp;DOC_NAME=FAT:FQL_AUDITING_CLIENT_TEMPLATE.FAT&amp;display_string=Audit&amp;VAR:KEY=SRWJORCJWH&amp;VAR:QUERY=Q1NGX1NBTEVTKEFOTiwxMi8zMS8xOTgwLDEyLzMxLzIwMDksQVkp&amp;WINDOW=FIRST_POPUP&amp;HEIGHT=450&amp;WI","DTH=450&amp;START_MAXIMIZED=FALSE&amp;VAR:CALENDAR=US&amp;VAR:SYMBOL=GGC&amp;VAR:INDEX=5"}</definedName>
    <definedName name="_1757__FDSAUDITLINK__" hidden="1">{"fdsup://directions/FAT Viewer?action=UPDATE&amp;creator=factset&amp;DYN_ARGS=TRUE&amp;DOC_NAME=FAT:FQL_AUDITING_CLIENT_TEMPLATE.FAT&amp;display_string=Audit&amp;VAR:KEY=SRWJORCJWH&amp;VAR:QUERY=Q1NGX1NBTEVTKEFOTiwxMi8zMS8xOTgwLDEyLzMxLzIwMDksQVkp&amp;WINDOW=FIRST_POPUP&amp;HEIGHT=450&amp;WI","DTH=450&amp;START_MAXIMIZED=FALSE&amp;VAR:CALENDAR=US&amp;VAR:SYMBOL=GGC&amp;VAR:INDEX=4"}</definedName>
    <definedName name="_1758__FDSAUDITLINK__" hidden="1">{"fdsup://directions/FAT Viewer?action=UPDATE&amp;creator=factset&amp;DYN_ARGS=TRUE&amp;DOC_NAME=FAT:FQL_AUDITING_CLIENT_TEMPLATE.FAT&amp;display_string=Audit&amp;VAR:KEY=SRWJORCJWH&amp;VAR:QUERY=Q1NGX1NBTEVTKEFOTiwxMi8zMS8xOTgwLDEyLzMxLzIwMDksQVkp&amp;WINDOW=FIRST_POPUP&amp;HEIGHT=450&amp;WI","DTH=450&amp;START_MAXIMIZED=FALSE&amp;VAR:CALENDAR=US&amp;VAR:SYMBOL=GGC&amp;VAR:INDEX=3"}</definedName>
    <definedName name="_1759__FDSAUDITLINK__" hidden="1">{"fdsup://directions/FAT Viewer?action=UPDATE&amp;creator=factset&amp;DYN_ARGS=TRUE&amp;DOC_NAME=FAT:FQL_AUDITING_CLIENT_TEMPLATE.FAT&amp;display_string=Audit&amp;VAR:KEY=SRWJORCJWH&amp;VAR:QUERY=Q1NGX1NBTEVTKEFOTiwxMi8zMS8xOTgwLDEyLzMxLzIwMDksQVkp&amp;WINDOW=FIRST_POPUP&amp;HEIGHT=450&amp;WI","DTH=450&amp;START_MAXIMIZED=FALSE&amp;VAR:CALENDAR=US&amp;VAR:SYMBOL=GGC&amp;VAR:INDEX=2"}</definedName>
    <definedName name="_176__FDSAUDITLINK__" hidden="1">{"fdsup://directions/FAT Viewer?action=UPDATE&amp;creator=factset&amp;DYN_ARGS=TRUE&amp;DOC_NAME=FAT:FQL_AUDITING_CLIENT_TEMPLATE.FAT&amp;display_string=Audit&amp;VAR:KEY=QRGHGNUFIT&amp;VAR:QUERY=Q1NGX0NPR1MoQU5OLDE5OTUsMjAwOSk=&amp;WINDOW=FIRST_POPUP&amp;HEIGHT=450&amp;WIDTH=450&amp;START_MAXIMI","ZED=FALSE&amp;VAR:CALENDAR=US&amp;VAR:SYMBOL=DOW&amp;VAR:INDEX=2"}</definedName>
    <definedName name="_1760__FDSAUDITLINK__" hidden="1">{"fdsup://directions/FAT Viewer?action=UPDATE&amp;creator=factset&amp;DYN_ARGS=TRUE&amp;DOC_NAME=FAT:FQL_AUDITING_CLIENT_TEMPLATE.FAT&amp;display_string=Audit&amp;VAR:KEY=SRWJORCJWH&amp;VAR:QUERY=Q1NGX1NBTEVTKEFOTiwxMi8zMS8xOTgwLDEyLzMxLzIwMDksQVkp&amp;WINDOW=FIRST_POPUP&amp;HEIGHT=450&amp;WI","DTH=450&amp;START_MAXIMIZED=FALSE&amp;VAR:CALENDAR=US&amp;VAR:SYMBOL=GGC&amp;VAR:INDEX=1"}</definedName>
    <definedName name="_1761__FDSAUDITLINK__" hidden="1">{"fdsup://directions/FAT Viewer?action=UPDATE&amp;creator=factset&amp;DYN_ARGS=TRUE&amp;DOC_NAME=FAT:FQL_AUDITING_CLIENT_TEMPLATE.FAT&amp;display_string=Audit&amp;VAR:KEY=SRWJORCJWH&amp;VAR:QUERY=Q1NGX1NBTEVTKEFOTiwxMi8zMS8xOTgwLDEyLzMxLzIwMDksQVkp&amp;WINDOW=FIRST_POPUP&amp;HEIGHT=450&amp;WI","DTH=450&amp;START_MAXIMIZED=FALSE&amp;VAR:CALENDAR=US&amp;VAR:SYMBOL=GGC&amp;VAR:INDEX=0"}</definedName>
    <definedName name="_1762__FDSAUDITLINK__" hidden="1">{"fdsup://directions/FAT Viewer?action=UPDATE&amp;creator=factset&amp;DYN_ARGS=TRUE&amp;DOC_NAME=FAT:FQL_AUDITING_CLIENT_TEMPLATE.FAT&amp;display_string=Audit&amp;VAR:KEY=SRQBSVKPUH&amp;VAR:QUERY=Q1NGX1NBTEVTKEFOTiwxMi8zMS8xOTgwLDEyLzMxLzIwMDksQVkp&amp;WINDOW=FIRST_POPUP&amp;HEIGHT=450&amp;WI","DTH=450&amp;START_MAXIMIZED=FALSE&amp;VAR:CALENDAR=US&amp;VAR:SYMBOL=EMN&amp;VAR:INDEX=29"}</definedName>
    <definedName name="_1763__FDSAUDITLINK__" hidden="1">{"fdsup://directions/FAT Viewer?action=UPDATE&amp;creator=factset&amp;DYN_ARGS=TRUE&amp;DOC_NAME=FAT:FQL_AUDITING_CLIENT_TEMPLATE.FAT&amp;display_string=Audit&amp;VAR:KEY=SRQBSVKPUH&amp;VAR:QUERY=Q1NGX1NBTEVTKEFOTiwxMi8zMS8xOTgwLDEyLzMxLzIwMDksQVkp&amp;WINDOW=FIRST_POPUP&amp;HEIGHT=450&amp;WI","DTH=450&amp;START_MAXIMIZED=FALSE&amp;VAR:CALENDAR=US&amp;VAR:SYMBOL=EMN&amp;VAR:INDEX=28"}</definedName>
    <definedName name="_1764__FDSAUDITLINK__" hidden="1">{"fdsup://directions/FAT Viewer?action=UPDATE&amp;creator=factset&amp;DYN_ARGS=TRUE&amp;DOC_NAME=FAT:FQL_AUDITING_CLIENT_TEMPLATE.FAT&amp;display_string=Audit&amp;VAR:KEY=SRQBSVKPUH&amp;VAR:QUERY=Q1NGX1NBTEVTKEFOTiwxMi8zMS8xOTgwLDEyLzMxLzIwMDksQVkp&amp;WINDOW=FIRST_POPUP&amp;HEIGHT=450&amp;WI","DTH=450&amp;START_MAXIMIZED=FALSE&amp;VAR:CALENDAR=US&amp;VAR:SYMBOL=EMN&amp;VAR:INDEX=27"}</definedName>
    <definedName name="_1765__FDSAUDITLINK__" hidden="1">{"fdsup://directions/FAT Viewer?action=UPDATE&amp;creator=factset&amp;DYN_ARGS=TRUE&amp;DOC_NAME=FAT:FQL_AUDITING_CLIENT_TEMPLATE.FAT&amp;display_string=Audit&amp;VAR:KEY=SRQBSVKPUH&amp;VAR:QUERY=Q1NGX1NBTEVTKEFOTiwxMi8zMS8xOTgwLDEyLzMxLzIwMDksQVkp&amp;WINDOW=FIRST_POPUP&amp;HEIGHT=450&amp;WI","DTH=450&amp;START_MAXIMIZED=FALSE&amp;VAR:CALENDAR=US&amp;VAR:SYMBOL=EMN&amp;VAR:INDEX=26"}</definedName>
    <definedName name="_1766__FDSAUDITLINK__" hidden="1">{"fdsup://directions/FAT Viewer?action=UPDATE&amp;creator=factset&amp;DYN_ARGS=TRUE&amp;DOC_NAME=FAT:FQL_AUDITING_CLIENT_TEMPLATE.FAT&amp;display_string=Audit&amp;VAR:KEY=SRQBSVKPUH&amp;VAR:QUERY=Q1NGX1NBTEVTKEFOTiwxMi8zMS8xOTgwLDEyLzMxLzIwMDksQVkp&amp;WINDOW=FIRST_POPUP&amp;HEIGHT=450&amp;WI","DTH=450&amp;START_MAXIMIZED=FALSE&amp;VAR:CALENDAR=US&amp;VAR:SYMBOL=EMN&amp;VAR:INDEX=25"}</definedName>
    <definedName name="_1767__FDSAUDITLINK__" hidden="1">{"fdsup://directions/FAT Viewer?action=UPDATE&amp;creator=factset&amp;DYN_ARGS=TRUE&amp;DOC_NAME=FAT:FQL_AUDITING_CLIENT_TEMPLATE.FAT&amp;display_string=Audit&amp;VAR:KEY=SRQBSVKPUH&amp;VAR:QUERY=Q1NGX1NBTEVTKEFOTiwxMi8zMS8xOTgwLDEyLzMxLzIwMDksQVkp&amp;WINDOW=FIRST_POPUP&amp;HEIGHT=450&amp;WI","DTH=450&amp;START_MAXIMIZED=FALSE&amp;VAR:CALENDAR=US&amp;VAR:SYMBOL=EMN&amp;VAR:INDEX=24"}</definedName>
    <definedName name="_1768__FDSAUDITLINK__" hidden="1">{"fdsup://directions/FAT Viewer?action=UPDATE&amp;creator=factset&amp;DYN_ARGS=TRUE&amp;DOC_NAME=FAT:FQL_AUDITING_CLIENT_TEMPLATE.FAT&amp;display_string=Audit&amp;VAR:KEY=SRQBSVKPUH&amp;VAR:QUERY=Q1NGX1NBTEVTKEFOTiwxMi8zMS8xOTgwLDEyLzMxLzIwMDksQVkp&amp;WINDOW=FIRST_POPUP&amp;HEIGHT=450&amp;WI","DTH=450&amp;START_MAXIMIZED=FALSE&amp;VAR:CALENDAR=US&amp;VAR:SYMBOL=EMN&amp;VAR:INDEX=23"}</definedName>
    <definedName name="_1769__FDSAUDITLINK__" hidden="1">{"fdsup://directions/FAT Viewer?action=UPDATE&amp;creator=factset&amp;DYN_ARGS=TRUE&amp;DOC_NAME=FAT:FQL_AUDITING_CLIENT_TEMPLATE.FAT&amp;display_string=Audit&amp;VAR:KEY=SRQBSVKPUH&amp;VAR:QUERY=Q1NGX1NBTEVTKEFOTiwxMi8zMS8xOTgwLDEyLzMxLzIwMDksQVkp&amp;WINDOW=FIRST_POPUP&amp;HEIGHT=450&amp;WI","DTH=450&amp;START_MAXIMIZED=FALSE&amp;VAR:CALENDAR=US&amp;VAR:SYMBOL=EMN&amp;VAR:INDEX=22"}</definedName>
    <definedName name="_177__FDSAUDITLINK__" hidden="1">{"fdsup://directions/FAT Viewer?action=UPDATE&amp;creator=factset&amp;DYN_ARGS=TRUE&amp;DOC_NAME=FAT:FQL_AUDITING_CLIENT_TEMPLATE.FAT&amp;display_string=Audit&amp;VAR:KEY=QRGHGNUFIT&amp;VAR:QUERY=Q1NGX0NPR1MoQU5OLDE5OTUsMjAwOSk=&amp;WINDOW=FIRST_POPUP&amp;HEIGHT=450&amp;WIDTH=450&amp;START_MAXIMI","ZED=FALSE&amp;VAR:CALENDAR=US&amp;VAR:SYMBOL=DOW&amp;VAR:INDEX=1"}</definedName>
    <definedName name="_1770__FDSAUDITLINK__" hidden="1">{"fdsup://directions/FAT Viewer?action=UPDATE&amp;creator=factset&amp;DYN_ARGS=TRUE&amp;DOC_NAME=FAT:FQL_AUDITING_CLIENT_TEMPLATE.FAT&amp;display_string=Audit&amp;VAR:KEY=SRQBSVKPUH&amp;VAR:QUERY=Q1NGX1NBTEVTKEFOTiwxMi8zMS8xOTgwLDEyLzMxLzIwMDksQVkp&amp;WINDOW=FIRST_POPUP&amp;HEIGHT=450&amp;WI","DTH=450&amp;START_MAXIMIZED=FALSE&amp;VAR:CALENDAR=US&amp;VAR:SYMBOL=EMN&amp;VAR:INDEX=21"}</definedName>
    <definedName name="_1771__FDSAUDITLINK__" hidden="1">{"fdsup://directions/FAT Viewer?action=UPDATE&amp;creator=factset&amp;DYN_ARGS=TRUE&amp;DOC_NAME=FAT:FQL_AUDITING_CLIENT_TEMPLATE.FAT&amp;display_string=Audit&amp;VAR:KEY=SRQBSVKPUH&amp;VAR:QUERY=Q1NGX1NBTEVTKEFOTiwxMi8zMS8xOTgwLDEyLzMxLzIwMDksQVkp&amp;WINDOW=FIRST_POPUP&amp;HEIGHT=450&amp;WI","DTH=450&amp;START_MAXIMIZED=FALSE&amp;VAR:CALENDAR=US&amp;VAR:SYMBOL=EMN&amp;VAR:INDEX=20"}</definedName>
    <definedName name="_1772__FDSAUDITLINK__" hidden="1">{"fdsup://directions/FAT Viewer?action=UPDATE&amp;creator=factset&amp;DYN_ARGS=TRUE&amp;DOC_NAME=FAT:FQL_AUDITING_CLIENT_TEMPLATE.FAT&amp;display_string=Audit&amp;VAR:KEY=SRQBSVKPUH&amp;VAR:QUERY=Q1NGX1NBTEVTKEFOTiwxMi8zMS8xOTgwLDEyLzMxLzIwMDksQVkp&amp;WINDOW=FIRST_POPUP&amp;HEIGHT=450&amp;WI","DTH=450&amp;START_MAXIMIZED=FALSE&amp;VAR:CALENDAR=US&amp;VAR:SYMBOL=EMN&amp;VAR:INDEX=19"}</definedName>
    <definedName name="_1773__FDSAUDITLINK__" hidden="1">{"fdsup://directions/FAT Viewer?action=UPDATE&amp;creator=factset&amp;DYN_ARGS=TRUE&amp;DOC_NAME=FAT:FQL_AUDITING_CLIENT_TEMPLATE.FAT&amp;display_string=Audit&amp;VAR:KEY=SRQBSVKPUH&amp;VAR:QUERY=Q1NGX1NBTEVTKEFOTiwxMi8zMS8xOTgwLDEyLzMxLzIwMDksQVkp&amp;WINDOW=FIRST_POPUP&amp;HEIGHT=450&amp;WI","DTH=450&amp;START_MAXIMIZED=FALSE&amp;VAR:CALENDAR=US&amp;VAR:SYMBOL=EMN&amp;VAR:INDEX=18"}</definedName>
    <definedName name="_1774__FDSAUDITLINK__" hidden="1">{"fdsup://directions/FAT Viewer?action=UPDATE&amp;creator=factset&amp;DYN_ARGS=TRUE&amp;DOC_NAME=FAT:FQL_AUDITING_CLIENT_TEMPLATE.FAT&amp;display_string=Audit&amp;VAR:KEY=SRQBSVKPUH&amp;VAR:QUERY=Q1NGX1NBTEVTKEFOTiwxMi8zMS8xOTgwLDEyLzMxLzIwMDksQVkp&amp;WINDOW=FIRST_POPUP&amp;HEIGHT=450&amp;WI","DTH=450&amp;START_MAXIMIZED=FALSE&amp;VAR:CALENDAR=US&amp;VAR:SYMBOL=EMN&amp;VAR:INDEX=17"}</definedName>
    <definedName name="_1775__FDSAUDITLINK__" hidden="1">{"fdsup://directions/FAT Viewer?action=UPDATE&amp;creator=factset&amp;DYN_ARGS=TRUE&amp;DOC_NAME=FAT:FQL_AUDITING_CLIENT_TEMPLATE.FAT&amp;display_string=Audit&amp;VAR:KEY=SRQBSVKPUH&amp;VAR:QUERY=Q1NGX1NBTEVTKEFOTiwxMi8zMS8xOTgwLDEyLzMxLzIwMDksQVkp&amp;WINDOW=FIRST_POPUP&amp;HEIGHT=450&amp;WI","DTH=450&amp;START_MAXIMIZED=FALSE&amp;VAR:CALENDAR=US&amp;VAR:SYMBOL=EMN&amp;VAR:INDEX=16"}</definedName>
    <definedName name="_1776__FDSAUDITLINK__" hidden="1">{"fdsup://directions/FAT Viewer?action=UPDATE&amp;creator=factset&amp;DYN_ARGS=TRUE&amp;DOC_NAME=FAT:FQL_AUDITING_CLIENT_TEMPLATE.FAT&amp;display_string=Audit&amp;VAR:KEY=SRQBSVKPUH&amp;VAR:QUERY=Q1NGX1NBTEVTKEFOTiwxMi8zMS8xOTgwLDEyLzMxLzIwMDksQVkp&amp;WINDOW=FIRST_POPUP&amp;HEIGHT=450&amp;WI","DTH=450&amp;START_MAXIMIZED=FALSE&amp;VAR:CALENDAR=US&amp;VAR:SYMBOL=EMN&amp;VAR:INDEX=15"}</definedName>
    <definedName name="_1777__FDSAUDITLINK__" hidden="1">{"fdsup://directions/FAT Viewer?action=UPDATE&amp;creator=factset&amp;DYN_ARGS=TRUE&amp;DOC_NAME=FAT:FQL_AUDITING_CLIENT_TEMPLATE.FAT&amp;display_string=Audit&amp;VAR:KEY=SRQBSVKPUH&amp;VAR:QUERY=Q1NGX1NBTEVTKEFOTiwxMi8zMS8xOTgwLDEyLzMxLzIwMDksQVkp&amp;WINDOW=FIRST_POPUP&amp;HEIGHT=450&amp;WI","DTH=450&amp;START_MAXIMIZED=FALSE&amp;VAR:CALENDAR=US&amp;VAR:SYMBOL=EMN&amp;VAR:INDEX=14"}</definedName>
    <definedName name="_1778__FDSAUDITLINK__" hidden="1">{"fdsup://directions/FAT Viewer?action=UPDATE&amp;creator=factset&amp;DYN_ARGS=TRUE&amp;DOC_NAME=FAT:FQL_AUDITING_CLIENT_TEMPLATE.FAT&amp;display_string=Audit&amp;VAR:KEY=SRQBSVKPUH&amp;VAR:QUERY=Q1NGX1NBTEVTKEFOTiwxMi8zMS8xOTgwLDEyLzMxLzIwMDksQVkp&amp;WINDOW=FIRST_POPUP&amp;HEIGHT=450&amp;WI","DTH=450&amp;START_MAXIMIZED=FALSE&amp;VAR:CALENDAR=US&amp;VAR:SYMBOL=EMN&amp;VAR:INDEX=13"}</definedName>
    <definedName name="_1779__FDSAUDITLINK__" hidden="1">{"fdsup://directions/FAT Viewer?action=UPDATE&amp;creator=factset&amp;DYN_ARGS=TRUE&amp;DOC_NAME=FAT:FQL_AUDITING_CLIENT_TEMPLATE.FAT&amp;display_string=Audit&amp;VAR:KEY=SRQBSVKPUH&amp;VAR:QUERY=Q1NGX1NBTEVTKEFOTiwxMi8zMS8xOTgwLDEyLzMxLzIwMDksQVkp&amp;WINDOW=FIRST_POPUP&amp;HEIGHT=450&amp;WI","DTH=450&amp;START_MAXIMIZED=FALSE&amp;VAR:CALENDAR=US&amp;VAR:SYMBOL=EMN&amp;VAR:INDEX=12"}</definedName>
    <definedName name="_178__FDSAUDITLINK__" hidden="1">{"fdsup://directions/FAT Viewer?action=UPDATE&amp;creator=factset&amp;DYN_ARGS=TRUE&amp;DOC_NAME=FAT:FQL_AUDITING_CLIENT_TEMPLATE.FAT&amp;display_string=Audit&amp;VAR:KEY=QRGHGNUFIT&amp;VAR:QUERY=Q1NGX0NPR1MoQU5OLDE5OTUsMjAwOSk=&amp;WINDOW=FIRST_POPUP&amp;HEIGHT=450&amp;WIDTH=450&amp;START_MAXIMI","ZED=FALSE&amp;VAR:CALENDAR=US&amp;VAR:SYMBOL=DOW&amp;VAR:INDEX=0"}</definedName>
    <definedName name="_1780__FDSAUDITLINK__" hidden="1">{"fdsup://directions/FAT Viewer?action=UPDATE&amp;creator=factset&amp;DYN_ARGS=TRUE&amp;DOC_NAME=FAT:FQL_AUDITING_CLIENT_TEMPLATE.FAT&amp;display_string=Audit&amp;VAR:KEY=SRQBSVKPUH&amp;VAR:QUERY=Q1NGX1NBTEVTKEFOTiwxMi8zMS8xOTgwLDEyLzMxLzIwMDksQVkp&amp;WINDOW=FIRST_POPUP&amp;HEIGHT=450&amp;WI","DTH=450&amp;START_MAXIMIZED=FALSE&amp;VAR:CALENDAR=US&amp;VAR:SYMBOL=EMN&amp;VAR:INDEX=11"}</definedName>
    <definedName name="_1781__FDSAUDITLINK__" hidden="1">{"fdsup://directions/FAT Viewer?action=UPDATE&amp;creator=factset&amp;DYN_ARGS=TRUE&amp;DOC_NAME=FAT:FQL_AUDITING_CLIENT_TEMPLATE.FAT&amp;display_string=Audit&amp;VAR:KEY=SRQBSVKPUH&amp;VAR:QUERY=Q1NGX1NBTEVTKEFOTiwxMi8zMS8xOTgwLDEyLzMxLzIwMDksQVkp&amp;WINDOW=FIRST_POPUP&amp;HEIGHT=450&amp;WI","DTH=450&amp;START_MAXIMIZED=FALSE&amp;VAR:CALENDAR=US&amp;VAR:SYMBOL=EMN&amp;VAR:INDEX=10"}</definedName>
    <definedName name="_1782__FDSAUDITLINK__" hidden="1">{"fdsup://directions/FAT Viewer?action=UPDATE&amp;creator=factset&amp;DYN_ARGS=TRUE&amp;DOC_NAME=FAT:FQL_AUDITING_CLIENT_TEMPLATE.FAT&amp;display_string=Audit&amp;VAR:KEY=SRQBSVKPUH&amp;VAR:QUERY=Q1NGX1NBTEVTKEFOTiwxMi8zMS8xOTgwLDEyLzMxLzIwMDksQVkp&amp;WINDOW=FIRST_POPUP&amp;HEIGHT=450&amp;WI","DTH=450&amp;START_MAXIMIZED=FALSE&amp;VAR:CALENDAR=US&amp;VAR:SYMBOL=EMN&amp;VAR:INDEX=9"}</definedName>
    <definedName name="_1783__FDSAUDITLINK__" hidden="1">{"fdsup://directions/FAT Viewer?action=UPDATE&amp;creator=factset&amp;DYN_ARGS=TRUE&amp;DOC_NAME=FAT:FQL_AUDITING_CLIENT_TEMPLATE.FAT&amp;display_string=Audit&amp;VAR:KEY=SRQBSVKPUH&amp;VAR:QUERY=Q1NGX1NBTEVTKEFOTiwxMi8zMS8xOTgwLDEyLzMxLzIwMDksQVkp&amp;WINDOW=FIRST_POPUP&amp;HEIGHT=450&amp;WI","DTH=450&amp;START_MAXIMIZED=FALSE&amp;VAR:CALENDAR=US&amp;VAR:SYMBOL=EMN&amp;VAR:INDEX=8"}</definedName>
    <definedName name="_1784__FDSAUDITLINK__" hidden="1">{"fdsup://directions/FAT Viewer?action=UPDATE&amp;creator=factset&amp;DYN_ARGS=TRUE&amp;DOC_NAME=FAT:FQL_AUDITING_CLIENT_TEMPLATE.FAT&amp;display_string=Audit&amp;VAR:KEY=SRQBSVKPUH&amp;VAR:QUERY=Q1NGX1NBTEVTKEFOTiwxMi8zMS8xOTgwLDEyLzMxLzIwMDksQVkp&amp;WINDOW=FIRST_POPUP&amp;HEIGHT=450&amp;WI","DTH=450&amp;START_MAXIMIZED=FALSE&amp;VAR:CALENDAR=US&amp;VAR:SYMBOL=EMN&amp;VAR:INDEX=7"}</definedName>
    <definedName name="_1785__FDSAUDITLINK__" hidden="1">{"fdsup://directions/FAT Viewer?action=UPDATE&amp;creator=factset&amp;DYN_ARGS=TRUE&amp;DOC_NAME=FAT:FQL_AUDITING_CLIENT_TEMPLATE.FAT&amp;display_string=Audit&amp;VAR:KEY=SRQBSVKPUH&amp;VAR:QUERY=Q1NGX1NBTEVTKEFOTiwxMi8zMS8xOTgwLDEyLzMxLzIwMDksQVkp&amp;WINDOW=FIRST_POPUP&amp;HEIGHT=450&amp;WI","DTH=450&amp;START_MAXIMIZED=FALSE&amp;VAR:CALENDAR=US&amp;VAR:SYMBOL=EMN&amp;VAR:INDEX=6"}</definedName>
    <definedName name="_1786__FDSAUDITLINK__" hidden="1">{"fdsup://directions/FAT Viewer?action=UPDATE&amp;creator=factset&amp;DYN_ARGS=TRUE&amp;DOC_NAME=FAT:FQL_AUDITING_CLIENT_TEMPLATE.FAT&amp;display_string=Audit&amp;VAR:KEY=SRQBSVKPUH&amp;VAR:QUERY=Q1NGX1NBTEVTKEFOTiwxMi8zMS8xOTgwLDEyLzMxLzIwMDksQVkp&amp;WINDOW=FIRST_POPUP&amp;HEIGHT=450&amp;WI","DTH=450&amp;START_MAXIMIZED=FALSE&amp;VAR:CALENDAR=US&amp;VAR:SYMBOL=EMN&amp;VAR:INDEX=5"}</definedName>
    <definedName name="_1787__FDSAUDITLINK__" hidden="1">{"fdsup://directions/FAT Viewer?action=UPDATE&amp;creator=factset&amp;DYN_ARGS=TRUE&amp;DOC_NAME=FAT:FQL_AUDITING_CLIENT_TEMPLATE.FAT&amp;display_string=Audit&amp;VAR:KEY=SRQBSVKPUH&amp;VAR:QUERY=Q1NGX1NBTEVTKEFOTiwxMi8zMS8xOTgwLDEyLzMxLzIwMDksQVkp&amp;WINDOW=FIRST_POPUP&amp;HEIGHT=450&amp;WI","DTH=450&amp;START_MAXIMIZED=FALSE&amp;VAR:CALENDAR=US&amp;VAR:SYMBOL=EMN&amp;VAR:INDEX=4"}</definedName>
    <definedName name="_1788__FDSAUDITLINK__" hidden="1">{"fdsup://directions/FAT Viewer?action=UPDATE&amp;creator=factset&amp;DYN_ARGS=TRUE&amp;DOC_NAME=FAT:FQL_AUDITING_CLIENT_TEMPLATE.FAT&amp;display_string=Audit&amp;VAR:KEY=SRQBSVKPUH&amp;VAR:QUERY=Q1NGX1NBTEVTKEFOTiwxMi8zMS8xOTgwLDEyLzMxLzIwMDksQVkp&amp;WINDOW=FIRST_POPUP&amp;HEIGHT=450&amp;WI","DTH=450&amp;START_MAXIMIZED=FALSE&amp;VAR:CALENDAR=US&amp;VAR:SYMBOL=EMN&amp;VAR:INDEX=3"}</definedName>
    <definedName name="_1789__FDSAUDITLINK__" hidden="1">{"fdsup://directions/FAT Viewer?action=UPDATE&amp;creator=factset&amp;DYN_ARGS=TRUE&amp;DOC_NAME=FAT:FQL_AUDITING_CLIENT_TEMPLATE.FAT&amp;display_string=Audit&amp;VAR:KEY=SRQBSVKPUH&amp;VAR:QUERY=Q1NGX1NBTEVTKEFOTiwxMi8zMS8xOTgwLDEyLzMxLzIwMDksQVkp&amp;WINDOW=FIRST_POPUP&amp;HEIGHT=450&amp;WI","DTH=450&amp;START_MAXIMIZED=FALSE&amp;VAR:CALENDAR=US&amp;VAR:SYMBOL=EMN&amp;VAR:INDEX=2"}</definedName>
    <definedName name="_179__FDSAUDITLINK__" hidden="1">{"fdsup://directions/FAT Viewer?action=UPDATE&amp;creator=factset&amp;DYN_ARGS=TRUE&amp;DOC_NAME=FAT:FQL_AUDITING_CLIENT_TEMPLATE.FAT&amp;display_string=Audit&amp;VAR:KEY=ENAVMTUVMB&amp;VAR:QUERY=Q1NGX0RFQlQoQU5OLDAp&amp;WINDOW=FIRST_POPUP&amp;HEIGHT=450&amp;WIDTH=450&amp;START_MAXIMIZED=FALSE&amp;VA","R:CALENDAR=US&amp;VAR:SYMBOL=APD&amp;VAR:INDEX=0"}</definedName>
    <definedName name="_1790__FDSAUDITLINK__" hidden="1">{"fdsup://directions/FAT Viewer?action=UPDATE&amp;creator=factset&amp;DYN_ARGS=TRUE&amp;DOC_NAME=FAT:FQL_AUDITING_CLIENT_TEMPLATE.FAT&amp;display_string=Audit&amp;VAR:KEY=SRQBSVKPUH&amp;VAR:QUERY=Q1NGX1NBTEVTKEFOTiwxMi8zMS8xOTgwLDEyLzMxLzIwMDksQVkp&amp;WINDOW=FIRST_POPUP&amp;HEIGHT=450&amp;WI","DTH=450&amp;START_MAXIMIZED=FALSE&amp;VAR:CALENDAR=US&amp;VAR:SYMBOL=EMN&amp;VAR:INDEX=1"}</definedName>
    <definedName name="_1791__FDSAUDITLINK__" hidden="1">{"fdsup://directions/FAT Viewer?action=UPDATE&amp;creator=factset&amp;DYN_ARGS=TRUE&amp;DOC_NAME=FAT:FQL_AUDITING_CLIENT_TEMPLATE.FAT&amp;display_string=Audit&amp;VAR:KEY=SRQBSVKPUH&amp;VAR:QUERY=Q1NGX1NBTEVTKEFOTiwxMi8zMS8xOTgwLDEyLzMxLzIwMDksQVkp&amp;WINDOW=FIRST_POPUP&amp;HEIGHT=450&amp;WI","DTH=450&amp;START_MAXIMIZED=FALSE&amp;VAR:CALENDAR=US&amp;VAR:SYMBOL=EMN&amp;VAR:INDEX=0"}</definedName>
    <definedName name="_1792__FDSAUDITLINK__" hidden="1">{"fdsup://directions/FAT Viewer?action=UPDATE&amp;creator=factset&amp;DYN_ARGS=TRUE&amp;DOC_NAME=FAT:FQL_AUDITING_CLIENT_TEMPLATE.FAT&amp;display_string=Audit&amp;VAR:KEY=IVAXKNEBMD&amp;VAR:QUERY=Q1NGX1NBTEVTKEFOTiwxMi8zMS8xOTgwLDEyLzMxLzIwMDksQVkp&amp;WINDOW=FIRST_POPUP&amp;HEIGHT=450&amp;WI","DTH=450&amp;START_MAXIMIZED=FALSE&amp;VAR:CALENDAR=US&amp;VAR:SYMBOL=CYT&amp;VAR:INDEX=29"}</definedName>
    <definedName name="_1793__FDSAUDITLINK__" hidden="1">{"fdsup://directions/FAT Viewer?action=UPDATE&amp;creator=factset&amp;DYN_ARGS=TRUE&amp;DOC_NAME=FAT:FQL_AUDITING_CLIENT_TEMPLATE.FAT&amp;display_string=Audit&amp;VAR:KEY=IVAXKNEBMD&amp;VAR:QUERY=Q1NGX1NBTEVTKEFOTiwxMi8zMS8xOTgwLDEyLzMxLzIwMDksQVkp&amp;WINDOW=FIRST_POPUP&amp;HEIGHT=450&amp;WI","DTH=450&amp;START_MAXIMIZED=FALSE&amp;VAR:CALENDAR=US&amp;VAR:SYMBOL=CYT&amp;VAR:INDEX=28"}</definedName>
    <definedName name="_1794__FDSAUDITLINK__" hidden="1">{"fdsup://directions/FAT Viewer?action=UPDATE&amp;creator=factset&amp;DYN_ARGS=TRUE&amp;DOC_NAME=FAT:FQL_AUDITING_CLIENT_TEMPLATE.FAT&amp;display_string=Audit&amp;VAR:KEY=IVAXKNEBMD&amp;VAR:QUERY=Q1NGX1NBTEVTKEFOTiwxMi8zMS8xOTgwLDEyLzMxLzIwMDksQVkp&amp;WINDOW=FIRST_POPUP&amp;HEIGHT=450&amp;WI","DTH=450&amp;START_MAXIMIZED=FALSE&amp;VAR:CALENDAR=US&amp;VAR:SYMBOL=CYT&amp;VAR:INDEX=27"}</definedName>
    <definedName name="_1795__FDSAUDITLINK__" hidden="1">{"fdsup://directions/FAT Viewer?action=UPDATE&amp;creator=factset&amp;DYN_ARGS=TRUE&amp;DOC_NAME=FAT:FQL_AUDITING_CLIENT_TEMPLATE.FAT&amp;display_string=Audit&amp;VAR:KEY=IVAXKNEBMD&amp;VAR:QUERY=Q1NGX1NBTEVTKEFOTiwxMi8zMS8xOTgwLDEyLzMxLzIwMDksQVkp&amp;WINDOW=FIRST_POPUP&amp;HEIGHT=450&amp;WI","DTH=450&amp;START_MAXIMIZED=FALSE&amp;VAR:CALENDAR=US&amp;VAR:SYMBOL=CYT&amp;VAR:INDEX=26"}</definedName>
    <definedName name="_1796__FDSAUDITLINK__" hidden="1">{"fdsup://directions/FAT Viewer?action=UPDATE&amp;creator=factset&amp;DYN_ARGS=TRUE&amp;DOC_NAME=FAT:FQL_AUDITING_CLIENT_TEMPLATE.FAT&amp;display_string=Audit&amp;VAR:KEY=IVAXKNEBMD&amp;VAR:QUERY=Q1NGX1NBTEVTKEFOTiwxMi8zMS8xOTgwLDEyLzMxLzIwMDksQVkp&amp;WINDOW=FIRST_POPUP&amp;HEIGHT=450&amp;WI","DTH=450&amp;START_MAXIMIZED=FALSE&amp;VAR:CALENDAR=US&amp;VAR:SYMBOL=CYT&amp;VAR:INDEX=25"}</definedName>
    <definedName name="_1797__FDSAUDITLINK__" hidden="1">{"fdsup://directions/FAT Viewer?action=UPDATE&amp;creator=factset&amp;DYN_ARGS=TRUE&amp;DOC_NAME=FAT:FQL_AUDITING_CLIENT_TEMPLATE.FAT&amp;display_string=Audit&amp;VAR:KEY=IVAXKNEBMD&amp;VAR:QUERY=Q1NGX1NBTEVTKEFOTiwxMi8zMS8xOTgwLDEyLzMxLzIwMDksQVkp&amp;WINDOW=FIRST_POPUP&amp;HEIGHT=450&amp;WI","DTH=450&amp;START_MAXIMIZED=FALSE&amp;VAR:CALENDAR=US&amp;VAR:SYMBOL=CYT&amp;VAR:INDEX=24"}</definedName>
    <definedName name="_1798__FDSAUDITLINK__" hidden="1">{"fdsup://directions/FAT Viewer?action=UPDATE&amp;creator=factset&amp;DYN_ARGS=TRUE&amp;DOC_NAME=FAT:FQL_AUDITING_CLIENT_TEMPLATE.FAT&amp;display_string=Audit&amp;VAR:KEY=IVAXKNEBMD&amp;VAR:QUERY=Q1NGX1NBTEVTKEFOTiwxMi8zMS8xOTgwLDEyLzMxLzIwMDksQVkp&amp;WINDOW=FIRST_POPUP&amp;HEIGHT=450&amp;WI","DTH=450&amp;START_MAXIMIZED=FALSE&amp;VAR:CALENDAR=US&amp;VAR:SYMBOL=CYT&amp;VAR:INDEX=23"}</definedName>
    <definedName name="_1799__FDSAUDITLINK__" hidden="1">{"fdsup://directions/FAT Viewer?action=UPDATE&amp;creator=factset&amp;DYN_ARGS=TRUE&amp;DOC_NAME=FAT:FQL_AUDITING_CLIENT_TEMPLATE.FAT&amp;display_string=Audit&amp;VAR:KEY=IVAXKNEBMD&amp;VAR:QUERY=Q1NGX1NBTEVTKEFOTiwxMi8zMS8xOTgwLDEyLzMxLzIwMDksQVkp&amp;WINDOW=FIRST_POPUP&amp;HEIGHT=450&amp;WI","DTH=450&amp;START_MAXIMIZED=FALSE&amp;VAR:CALENDAR=US&amp;VAR:SYMBOL=CYT&amp;VAR:INDEX=22"}</definedName>
    <definedName name="_18__FDSAUDITLINK__" hidden="1">{"fdsup://directions/FAT Viewer?action=UPDATE&amp;creator=factset&amp;DYN_ARGS=TRUE&amp;DOC_NAME=FAT:FQL_AUDITING_CLIENT_TEMPLATE.FAT&amp;display_string=Audit&amp;VAR:KEY=QZMTMLQNSF&amp;VAR:QUERY=Q1NGX0dST1NTX0lOQyhRVFJfUiwtM0FZLDAsRlEp&amp;WINDOW=FIRST_POPUP&amp;HEIGHT=450&amp;WIDTH=450&amp;STAR","T_MAXIMIZED=FALSE&amp;VAR:CALENDAR=US&amp;VAR:SYMBOL=CE&amp;VAR:INDEX=8"}</definedName>
    <definedName name="_180__FDSAUDITLINK__" hidden="1">{"fdsup://directions/FAT Viewer?action=UPDATE&amp;creator=factset&amp;DYN_ARGS=TRUE&amp;DOC_NAME=FAT:FQL_AUDITING_CLIENT_TEMPLATE.FAT&amp;display_string=Audit&amp;VAR:KEY=OXOFCDKBIJ&amp;VAR:QUERY=Q1NGX0RFQlQoQU5OLDkvMzEvMTk4MCwwKQ==&amp;WINDOW=FIRST_POPUP&amp;HEIGHT=450&amp;WIDTH=450&amp;START_MA","XIMIZED=FALSE&amp;VAR:CALENDAR=US&amp;VAR:SYMBOL=APD&amp;VAR:INDEX=29"}</definedName>
    <definedName name="_1800__FDSAUDITLINK__" hidden="1">{"fdsup://directions/FAT Viewer?action=UPDATE&amp;creator=factset&amp;DYN_ARGS=TRUE&amp;DOC_NAME=FAT:FQL_AUDITING_CLIENT_TEMPLATE.FAT&amp;display_string=Audit&amp;VAR:KEY=IVAXKNEBMD&amp;VAR:QUERY=Q1NGX1NBTEVTKEFOTiwxMi8zMS8xOTgwLDEyLzMxLzIwMDksQVkp&amp;WINDOW=FIRST_POPUP&amp;HEIGHT=450&amp;WI","DTH=450&amp;START_MAXIMIZED=FALSE&amp;VAR:CALENDAR=US&amp;VAR:SYMBOL=CYT&amp;VAR:INDEX=21"}</definedName>
    <definedName name="_1801__FDSAUDITLINK__" hidden="1">{"fdsup://directions/FAT Viewer?action=UPDATE&amp;creator=factset&amp;DYN_ARGS=TRUE&amp;DOC_NAME=FAT:FQL_AUDITING_CLIENT_TEMPLATE.FAT&amp;display_string=Audit&amp;VAR:KEY=IVAXKNEBMD&amp;VAR:QUERY=Q1NGX1NBTEVTKEFOTiwxMi8zMS8xOTgwLDEyLzMxLzIwMDksQVkp&amp;WINDOW=FIRST_POPUP&amp;HEIGHT=450&amp;WI","DTH=450&amp;START_MAXIMIZED=FALSE&amp;VAR:CALENDAR=US&amp;VAR:SYMBOL=CYT&amp;VAR:INDEX=20"}</definedName>
    <definedName name="_1802__FDSAUDITLINK__" hidden="1">{"fdsup://directions/FAT Viewer?action=UPDATE&amp;creator=factset&amp;DYN_ARGS=TRUE&amp;DOC_NAME=FAT:FQL_AUDITING_CLIENT_TEMPLATE.FAT&amp;display_string=Audit&amp;VAR:KEY=IVAXKNEBMD&amp;VAR:QUERY=Q1NGX1NBTEVTKEFOTiwxMi8zMS8xOTgwLDEyLzMxLzIwMDksQVkp&amp;WINDOW=FIRST_POPUP&amp;HEIGHT=450&amp;WI","DTH=450&amp;START_MAXIMIZED=FALSE&amp;VAR:CALENDAR=US&amp;VAR:SYMBOL=CYT&amp;VAR:INDEX=19"}</definedName>
    <definedName name="_1803__FDSAUDITLINK__" hidden="1">{"fdsup://directions/FAT Viewer?action=UPDATE&amp;creator=factset&amp;DYN_ARGS=TRUE&amp;DOC_NAME=FAT:FQL_AUDITING_CLIENT_TEMPLATE.FAT&amp;display_string=Audit&amp;VAR:KEY=IVAXKNEBMD&amp;VAR:QUERY=Q1NGX1NBTEVTKEFOTiwxMi8zMS8xOTgwLDEyLzMxLzIwMDksQVkp&amp;WINDOW=FIRST_POPUP&amp;HEIGHT=450&amp;WI","DTH=450&amp;START_MAXIMIZED=FALSE&amp;VAR:CALENDAR=US&amp;VAR:SYMBOL=CYT&amp;VAR:INDEX=18"}</definedName>
    <definedName name="_1804__FDSAUDITLINK__" hidden="1">{"fdsup://directions/FAT Viewer?action=UPDATE&amp;creator=factset&amp;DYN_ARGS=TRUE&amp;DOC_NAME=FAT:FQL_AUDITING_CLIENT_TEMPLATE.FAT&amp;display_string=Audit&amp;VAR:KEY=IVAXKNEBMD&amp;VAR:QUERY=Q1NGX1NBTEVTKEFOTiwxMi8zMS8xOTgwLDEyLzMxLzIwMDksQVkp&amp;WINDOW=FIRST_POPUP&amp;HEIGHT=450&amp;WI","DTH=450&amp;START_MAXIMIZED=FALSE&amp;VAR:CALENDAR=US&amp;VAR:SYMBOL=CYT&amp;VAR:INDEX=17"}</definedName>
    <definedName name="_1805__FDSAUDITLINK__" hidden="1">{"fdsup://directions/FAT Viewer?action=UPDATE&amp;creator=factset&amp;DYN_ARGS=TRUE&amp;DOC_NAME=FAT:FQL_AUDITING_CLIENT_TEMPLATE.FAT&amp;display_string=Audit&amp;VAR:KEY=IVAXKNEBMD&amp;VAR:QUERY=Q1NGX1NBTEVTKEFOTiwxMi8zMS8xOTgwLDEyLzMxLzIwMDksQVkp&amp;WINDOW=FIRST_POPUP&amp;HEIGHT=450&amp;WI","DTH=450&amp;START_MAXIMIZED=FALSE&amp;VAR:CALENDAR=US&amp;VAR:SYMBOL=CYT&amp;VAR:INDEX=16"}</definedName>
    <definedName name="_1806__FDSAUDITLINK__" hidden="1">{"fdsup://directions/FAT Viewer?action=UPDATE&amp;creator=factset&amp;DYN_ARGS=TRUE&amp;DOC_NAME=FAT:FQL_AUDITING_CLIENT_TEMPLATE.FAT&amp;display_string=Audit&amp;VAR:KEY=IVAXKNEBMD&amp;VAR:QUERY=Q1NGX1NBTEVTKEFOTiwxMi8zMS8xOTgwLDEyLzMxLzIwMDksQVkp&amp;WINDOW=FIRST_POPUP&amp;HEIGHT=450&amp;WI","DTH=450&amp;START_MAXIMIZED=FALSE&amp;VAR:CALENDAR=US&amp;VAR:SYMBOL=CYT&amp;VAR:INDEX=15"}</definedName>
    <definedName name="_1807__FDSAUDITLINK__" hidden="1">{"fdsup://directions/FAT Viewer?action=UPDATE&amp;creator=factset&amp;DYN_ARGS=TRUE&amp;DOC_NAME=FAT:FQL_AUDITING_CLIENT_TEMPLATE.FAT&amp;display_string=Audit&amp;VAR:KEY=IVAXKNEBMD&amp;VAR:QUERY=Q1NGX1NBTEVTKEFOTiwxMi8zMS8xOTgwLDEyLzMxLzIwMDksQVkp&amp;WINDOW=FIRST_POPUP&amp;HEIGHT=450&amp;WI","DTH=450&amp;START_MAXIMIZED=FALSE&amp;VAR:CALENDAR=US&amp;VAR:SYMBOL=CYT&amp;VAR:INDEX=14"}</definedName>
    <definedName name="_1808__FDSAUDITLINK__" hidden="1">{"fdsup://directions/FAT Viewer?action=UPDATE&amp;creator=factset&amp;DYN_ARGS=TRUE&amp;DOC_NAME=FAT:FQL_AUDITING_CLIENT_TEMPLATE.FAT&amp;display_string=Audit&amp;VAR:KEY=IVAXKNEBMD&amp;VAR:QUERY=Q1NGX1NBTEVTKEFOTiwxMi8zMS8xOTgwLDEyLzMxLzIwMDksQVkp&amp;WINDOW=FIRST_POPUP&amp;HEIGHT=450&amp;WI","DTH=450&amp;START_MAXIMIZED=FALSE&amp;VAR:CALENDAR=US&amp;VAR:SYMBOL=CYT&amp;VAR:INDEX=13"}</definedName>
    <definedName name="_1809__FDSAUDITLINK__" hidden="1">{"fdsup://directions/FAT Viewer?action=UPDATE&amp;creator=factset&amp;DYN_ARGS=TRUE&amp;DOC_NAME=FAT:FQL_AUDITING_CLIENT_TEMPLATE.FAT&amp;display_string=Audit&amp;VAR:KEY=IVAXKNEBMD&amp;VAR:QUERY=Q1NGX1NBTEVTKEFOTiwxMi8zMS8xOTgwLDEyLzMxLzIwMDksQVkp&amp;WINDOW=FIRST_POPUP&amp;HEIGHT=450&amp;WI","DTH=450&amp;START_MAXIMIZED=FALSE&amp;VAR:CALENDAR=US&amp;VAR:SYMBOL=CYT&amp;VAR:INDEX=12"}</definedName>
    <definedName name="_181__FDSAUDITLINK__" hidden="1">{"fdsup://directions/FAT Viewer?action=UPDATE&amp;creator=factset&amp;DYN_ARGS=TRUE&amp;DOC_NAME=FAT:FQL_AUDITING_CLIENT_TEMPLATE.FAT&amp;display_string=Audit&amp;VAR:KEY=OXOFCDKBIJ&amp;VAR:QUERY=Q1NGX0RFQlQoQU5OLDkvMzEvMTk4MCwwKQ==&amp;WINDOW=FIRST_POPUP&amp;HEIGHT=450&amp;WIDTH=450&amp;START_MA","XIMIZED=FALSE&amp;VAR:CALENDAR=US&amp;VAR:SYMBOL=APD&amp;VAR:INDEX=28"}</definedName>
    <definedName name="_1810__FDSAUDITLINK__" hidden="1">{"fdsup://directions/FAT Viewer?action=UPDATE&amp;creator=factset&amp;DYN_ARGS=TRUE&amp;DOC_NAME=FAT:FQL_AUDITING_CLIENT_TEMPLATE.FAT&amp;display_string=Audit&amp;VAR:KEY=IVAXKNEBMD&amp;VAR:QUERY=Q1NGX1NBTEVTKEFOTiwxMi8zMS8xOTgwLDEyLzMxLzIwMDksQVkp&amp;WINDOW=FIRST_POPUP&amp;HEIGHT=450&amp;WI","DTH=450&amp;START_MAXIMIZED=FALSE&amp;VAR:CALENDAR=US&amp;VAR:SYMBOL=CYT&amp;VAR:INDEX=11"}</definedName>
    <definedName name="_1811__FDSAUDITLINK__" hidden="1">{"fdsup://directions/FAT Viewer?action=UPDATE&amp;creator=factset&amp;DYN_ARGS=TRUE&amp;DOC_NAME=FAT:FQL_AUDITING_CLIENT_TEMPLATE.FAT&amp;display_string=Audit&amp;VAR:KEY=IVAXKNEBMD&amp;VAR:QUERY=Q1NGX1NBTEVTKEFOTiwxMi8zMS8xOTgwLDEyLzMxLzIwMDksQVkp&amp;WINDOW=FIRST_POPUP&amp;HEIGHT=450&amp;WI","DTH=450&amp;START_MAXIMIZED=FALSE&amp;VAR:CALENDAR=US&amp;VAR:SYMBOL=CYT&amp;VAR:INDEX=10"}</definedName>
    <definedName name="_1812__FDSAUDITLINK__" hidden="1">{"fdsup://directions/FAT Viewer?action=UPDATE&amp;creator=factset&amp;DYN_ARGS=TRUE&amp;DOC_NAME=FAT:FQL_AUDITING_CLIENT_TEMPLATE.FAT&amp;display_string=Audit&amp;VAR:KEY=IVAXKNEBMD&amp;VAR:QUERY=Q1NGX1NBTEVTKEFOTiwxMi8zMS8xOTgwLDEyLzMxLzIwMDksQVkp&amp;WINDOW=FIRST_POPUP&amp;HEIGHT=450&amp;WI","DTH=450&amp;START_MAXIMIZED=FALSE&amp;VAR:CALENDAR=US&amp;VAR:SYMBOL=CYT&amp;VAR:INDEX=9"}</definedName>
    <definedName name="_1813__FDSAUDITLINK__" hidden="1">{"fdsup://directions/FAT Viewer?action=UPDATE&amp;creator=factset&amp;DYN_ARGS=TRUE&amp;DOC_NAME=FAT:FQL_AUDITING_CLIENT_TEMPLATE.FAT&amp;display_string=Audit&amp;VAR:KEY=IVAXKNEBMD&amp;VAR:QUERY=Q1NGX1NBTEVTKEFOTiwxMi8zMS8xOTgwLDEyLzMxLzIwMDksQVkp&amp;WINDOW=FIRST_POPUP&amp;HEIGHT=450&amp;WI","DTH=450&amp;START_MAXIMIZED=FALSE&amp;VAR:CALENDAR=US&amp;VAR:SYMBOL=CYT&amp;VAR:INDEX=8"}</definedName>
    <definedName name="_1814__FDSAUDITLINK__" hidden="1">{"fdsup://directions/FAT Viewer?action=UPDATE&amp;creator=factset&amp;DYN_ARGS=TRUE&amp;DOC_NAME=FAT:FQL_AUDITING_CLIENT_TEMPLATE.FAT&amp;display_string=Audit&amp;VAR:KEY=IVAXKNEBMD&amp;VAR:QUERY=Q1NGX1NBTEVTKEFOTiwxMi8zMS8xOTgwLDEyLzMxLzIwMDksQVkp&amp;WINDOW=FIRST_POPUP&amp;HEIGHT=450&amp;WI","DTH=450&amp;START_MAXIMIZED=FALSE&amp;VAR:CALENDAR=US&amp;VAR:SYMBOL=CYT&amp;VAR:INDEX=7"}</definedName>
    <definedName name="_1815__FDSAUDITLINK__" hidden="1">{"fdsup://directions/FAT Viewer?action=UPDATE&amp;creator=factset&amp;DYN_ARGS=TRUE&amp;DOC_NAME=FAT:FQL_AUDITING_CLIENT_TEMPLATE.FAT&amp;display_string=Audit&amp;VAR:KEY=IVAXKNEBMD&amp;VAR:QUERY=Q1NGX1NBTEVTKEFOTiwxMi8zMS8xOTgwLDEyLzMxLzIwMDksQVkp&amp;WINDOW=FIRST_POPUP&amp;HEIGHT=450&amp;WI","DTH=450&amp;START_MAXIMIZED=FALSE&amp;VAR:CALENDAR=US&amp;VAR:SYMBOL=CYT&amp;VAR:INDEX=6"}</definedName>
    <definedName name="_1816__FDSAUDITLINK__" hidden="1">{"fdsup://directions/FAT Viewer?action=UPDATE&amp;creator=factset&amp;DYN_ARGS=TRUE&amp;DOC_NAME=FAT:FQL_AUDITING_CLIENT_TEMPLATE.FAT&amp;display_string=Audit&amp;VAR:KEY=IVAXKNEBMD&amp;VAR:QUERY=Q1NGX1NBTEVTKEFOTiwxMi8zMS8xOTgwLDEyLzMxLzIwMDksQVkp&amp;WINDOW=FIRST_POPUP&amp;HEIGHT=450&amp;WI","DTH=450&amp;START_MAXIMIZED=FALSE&amp;VAR:CALENDAR=US&amp;VAR:SYMBOL=CYT&amp;VAR:INDEX=5"}</definedName>
    <definedName name="_1817__FDSAUDITLINK__" hidden="1">{"fdsup://directions/FAT Viewer?action=UPDATE&amp;creator=factset&amp;DYN_ARGS=TRUE&amp;DOC_NAME=FAT:FQL_AUDITING_CLIENT_TEMPLATE.FAT&amp;display_string=Audit&amp;VAR:KEY=IVAXKNEBMD&amp;VAR:QUERY=Q1NGX1NBTEVTKEFOTiwxMi8zMS8xOTgwLDEyLzMxLzIwMDksQVkp&amp;WINDOW=FIRST_POPUP&amp;HEIGHT=450&amp;WI","DTH=450&amp;START_MAXIMIZED=FALSE&amp;VAR:CALENDAR=US&amp;VAR:SYMBOL=CYT&amp;VAR:INDEX=4"}</definedName>
    <definedName name="_1818__FDSAUDITLINK__" hidden="1">{"fdsup://directions/FAT Viewer?action=UPDATE&amp;creator=factset&amp;DYN_ARGS=TRUE&amp;DOC_NAME=FAT:FQL_AUDITING_CLIENT_TEMPLATE.FAT&amp;display_string=Audit&amp;VAR:KEY=IVAXKNEBMD&amp;VAR:QUERY=Q1NGX1NBTEVTKEFOTiwxMi8zMS8xOTgwLDEyLzMxLzIwMDksQVkp&amp;WINDOW=FIRST_POPUP&amp;HEIGHT=450&amp;WI","DTH=450&amp;START_MAXIMIZED=FALSE&amp;VAR:CALENDAR=US&amp;VAR:SYMBOL=CYT&amp;VAR:INDEX=3"}</definedName>
    <definedName name="_1819__FDSAUDITLINK__" hidden="1">{"fdsup://directions/FAT Viewer?action=UPDATE&amp;creator=factset&amp;DYN_ARGS=TRUE&amp;DOC_NAME=FAT:FQL_AUDITING_CLIENT_TEMPLATE.FAT&amp;display_string=Audit&amp;VAR:KEY=IVAXKNEBMD&amp;VAR:QUERY=Q1NGX1NBTEVTKEFOTiwxMi8zMS8xOTgwLDEyLzMxLzIwMDksQVkp&amp;WINDOW=FIRST_POPUP&amp;HEIGHT=450&amp;WI","DTH=450&amp;START_MAXIMIZED=FALSE&amp;VAR:CALENDAR=US&amp;VAR:SYMBOL=CYT&amp;VAR:INDEX=2"}</definedName>
    <definedName name="_182__FDSAUDITLINK__" hidden="1">{"fdsup://directions/FAT Viewer?action=UPDATE&amp;creator=factset&amp;DYN_ARGS=TRUE&amp;DOC_NAME=FAT:FQL_AUDITING_CLIENT_TEMPLATE.FAT&amp;display_string=Audit&amp;VAR:KEY=OXOFCDKBIJ&amp;VAR:QUERY=Q1NGX0RFQlQoQU5OLDkvMzEvMTk4MCwwKQ==&amp;WINDOW=FIRST_POPUP&amp;HEIGHT=450&amp;WIDTH=450&amp;START_MA","XIMIZED=FALSE&amp;VAR:CALENDAR=US&amp;VAR:SYMBOL=APD&amp;VAR:INDEX=27"}</definedName>
    <definedName name="_1820__FDSAUDITLINK__" hidden="1">{"fdsup://directions/FAT Viewer?action=UPDATE&amp;creator=factset&amp;DYN_ARGS=TRUE&amp;DOC_NAME=FAT:FQL_AUDITING_CLIENT_TEMPLATE.FAT&amp;display_string=Audit&amp;VAR:KEY=IVAXKNEBMD&amp;VAR:QUERY=Q1NGX1NBTEVTKEFOTiwxMi8zMS8xOTgwLDEyLzMxLzIwMDksQVkp&amp;WINDOW=FIRST_POPUP&amp;HEIGHT=450&amp;WI","DTH=450&amp;START_MAXIMIZED=FALSE&amp;VAR:CALENDAR=US&amp;VAR:SYMBOL=CYT&amp;VAR:INDEX=1"}</definedName>
    <definedName name="_1821__FDSAUDITLINK__" hidden="1">{"fdsup://directions/FAT Viewer?action=UPDATE&amp;creator=factset&amp;DYN_ARGS=TRUE&amp;DOC_NAME=FAT:FQL_AUDITING_CLIENT_TEMPLATE.FAT&amp;display_string=Audit&amp;VAR:KEY=IVAXKNEBMD&amp;VAR:QUERY=Q1NGX1NBTEVTKEFOTiwxMi8zMS8xOTgwLDEyLzMxLzIwMDksQVkp&amp;WINDOW=FIRST_POPUP&amp;HEIGHT=450&amp;WI","DTH=450&amp;START_MAXIMIZED=FALSE&amp;VAR:CALENDAR=US&amp;VAR:SYMBOL=CYT&amp;VAR:INDEX=0"}</definedName>
    <definedName name="_1822__FDSAUDITLINK__" hidden="1">{"fdsup://directions/FAT Viewer?action=UPDATE&amp;creator=factset&amp;DYN_ARGS=TRUE&amp;DOC_NAME=FAT:FQL_AUDITING_CLIENT_TEMPLATE.FAT&amp;display_string=Audit&amp;VAR:KEY=IXWJGFGJAP&amp;VAR:QUERY=Q1NGX1NBTEVTKEFOTiwxMi8zMS8xOTgwLDEyLzMxLzIwMDksQVkp&amp;WINDOW=FIRST_POPUP&amp;HEIGHT=450&amp;WI","DTH=450&amp;START_MAXIMIZED=FALSE&amp;VAR:CALENDAR=US&amp;VAR:SYMBOL=CCC&amp;VAR:INDEX=29"}</definedName>
    <definedName name="_1823__FDSAUDITLINK__" hidden="1">{"fdsup://directions/FAT Viewer?action=UPDATE&amp;creator=factset&amp;DYN_ARGS=TRUE&amp;DOC_NAME=FAT:FQL_AUDITING_CLIENT_TEMPLATE.FAT&amp;display_string=Audit&amp;VAR:KEY=IXWJGFGJAP&amp;VAR:QUERY=Q1NGX1NBTEVTKEFOTiwxMi8zMS8xOTgwLDEyLzMxLzIwMDksQVkp&amp;WINDOW=FIRST_POPUP&amp;HEIGHT=450&amp;WI","DTH=450&amp;START_MAXIMIZED=FALSE&amp;VAR:CALENDAR=US&amp;VAR:SYMBOL=CCC&amp;VAR:INDEX=28"}</definedName>
    <definedName name="_1824__FDSAUDITLINK__" hidden="1">{"fdsup://directions/FAT Viewer?action=UPDATE&amp;creator=factset&amp;DYN_ARGS=TRUE&amp;DOC_NAME=FAT:FQL_AUDITING_CLIENT_TEMPLATE.FAT&amp;display_string=Audit&amp;VAR:KEY=IXWJGFGJAP&amp;VAR:QUERY=Q1NGX1NBTEVTKEFOTiwxMi8zMS8xOTgwLDEyLzMxLzIwMDksQVkp&amp;WINDOW=FIRST_POPUP&amp;HEIGHT=450&amp;WI","DTH=450&amp;START_MAXIMIZED=FALSE&amp;VAR:CALENDAR=US&amp;VAR:SYMBOL=CCC&amp;VAR:INDEX=27"}</definedName>
    <definedName name="_1825__FDSAUDITLINK__" hidden="1">{"fdsup://directions/FAT Viewer?action=UPDATE&amp;creator=factset&amp;DYN_ARGS=TRUE&amp;DOC_NAME=FAT:FQL_AUDITING_CLIENT_TEMPLATE.FAT&amp;display_string=Audit&amp;VAR:KEY=IXWJGFGJAP&amp;VAR:QUERY=Q1NGX1NBTEVTKEFOTiwxMi8zMS8xOTgwLDEyLzMxLzIwMDksQVkp&amp;WINDOW=FIRST_POPUP&amp;HEIGHT=450&amp;WI","DTH=450&amp;START_MAXIMIZED=FALSE&amp;VAR:CALENDAR=US&amp;VAR:SYMBOL=CCC&amp;VAR:INDEX=26"}</definedName>
    <definedName name="_1826__FDSAUDITLINK__" hidden="1">{"fdsup://directions/FAT Viewer?action=UPDATE&amp;creator=factset&amp;DYN_ARGS=TRUE&amp;DOC_NAME=FAT:FQL_AUDITING_CLIENT_TEMPLATE.FAT&amp;display_string=Audit&amp;VAR:KEY=IXWJGFGJAP&amp;VAR:QUERY=Q1NGX1NBTEVTKEFOTiwxMi8zMS8xOTgwLDEyLzMxLzIwMDksQVkp&amp;WINDOW=FIRST_POPUP&amp;HEIGHT=450&amp;WI","DTH=450&amp;START_MAXIMIZED=FALSE&amp;VAR:CALENDAR=US&amp;VAR:SYMBOL=CCC&amp;VAR:INDEX=25"}</definedName>
    <definedName name="_1827__FDSAUDITLINK__" hidden="1">{"fdsup://directions/FAT Viewer?action=UPDATE&amp;creator=factset&amp;DYN_ARGS=TRUE&amp;DOC_NAME=FAT:FQL_AUDITING_CLIENT_TEMPLATE.FAT&amp;display_string=Audit&amp;VAR:KEY=IXWJGFGJAP&amp;VAR:QUERY=Q1NGX1NBTEVTKEFOTiwxMi8zMS8xOTgwLDEyLzMxLzIwMDksQVkp&amp;WINDOW=FIRST_POPUP&amp;HEIGHT=450&amp;WI","DTH=450&amp;START_MAXIMIZED=FALSE&amp;VAR:CALENDAR=US&amp;VAR:SYMBOL=CCC&amp;VAR:INDEX=24"}</definedName>
    <definedName name="_1828__FDSAUDITLINK__" hidden="1">{"fdsup://directions/FAT Viewer?action=UPDATE&amp;creator=factset&amp;DYN_ARGS=TRUE&amp;DOC_NAME=FAT:FQL_AUDITING_CLIENT_TEMPLATE.FAT&amp;display_string=Audit&amp;VAR:KEY=IXWJGFGJAP&amp;VAR:QUERY=Q1NGX1NBTEVTKEFOTiwxMi8zMS8xOTgwLDEyLzMxLzIwMDksQVkp&amp;WINDOW=FIRST_POPUP&amp;HEIGHT=450&amp;WI","DTH=450&amp;START_MAXIMIZED=FALSE&amp;VAR:CALENDAR=US&amp;VAR:SYMBOL=CCC&amp;VAR:INDEX=23"}</definedName>
    <definedName name="_1829__FDSAUDITLINK__" hidden="1">{"fdsup://directions/FAT Viewer?action=UPDATE&amp;creator=factset&amp;DYN_ARGS=TRUE&amp;DOC_NAME=FAT:FQL_AUDITING_CLIENT_TEMPLATE.FAT&amp;display_string=Audit&amp;VAR:KEY=IXWJGFGJAP&amp;VAR:QUERY=Q1NGX1NBTEVTKEFOTiwxMi8zMS8xOTgwLDEyLzMxLzIwMDksQVkp&amp;WINDOW=FIRST_POPUP&amp;HEIGHT=450&amp;WI","DTH=450&amp;START_MAXIMIZED=FALSE&amp;VAR:CALENDAR=US&amp;VAR:SYMBOL=CCC&amp;VAR:INDEX=22"}</definedName>
    <definedName name="_183__FDSAUDITLINK__" hidden="1">{"fdsup://directions/FAT Viewer?action=UPDATE&amp;creator=factset&amp;DYN_ARGS=TRUE&amp;DOC_NAME=FAT:FQL_AUDITING_CLIENT_TEMPLATE.FAT&amp;display_string=Audit&amp;VAR:KEY=OXOFCDKBIJ&amp;VAR:QUERY=Q1NGX0RFQlQoQU5OLDkvMzEvMTk4MCwwKQ==&amp;WINDOW=FIRST_POPUP&amp;HEIGHT=450&amp;WIDTH=450&amp;START_MA","XIMIZED=FALSE&amp;VAR:CALENDAR=US&amp;VAR:SYMBOL=APD&amp;VAR:INDEX=26"}</definedName>
    <definedName name="_1830__FDSAUDITLINK__" hidden="1">{"fdsup://directions/FAT Viewer?action=UPDATE&amp;creator=factset&amp;DYN_ARGS=TRUE&amp;DOC_NAME=FAT:FQL_AUDITING_CLIENT_TEMPLATE.FAT&amp;display_string=Audit&amp;VAR:KEY=IXWJGFGJAP&amp;VAR:QUERY=Q1NGX1NBTEVTKEFOTiwxMi8zMS8xOTgwLDEyLzMxLzIwMDksQVkp&amp;WINDOW=FIRST_POPUP&amp;HEIGHT=450&amp;WI","DTH=450&amp;START_MAXIMIZED=FALSE&amp;VAR:CALENDAR=US&amp;VAR:SYMBOL=CCC&amp;VAR:INDEX=21"}</definedName>
    <definedName name="_1831__FDSAUDITLINK__" hidden="1">{"fdsup://directions/FAT Viewer?action=UPDATE&amp;creator=factset&amp;DYN_ARGS=TRUE&amp;DOC_NAME=FAT:FQL_AUDITING_CLIENT_TEMPLATE.FAT&amp;display_string=Audit&amp;VAR:KEY=IXWJGFGJAP&amp;VAR:QUERY=Q1NGX1NBTEVTKEFOTiwxMi8zMS8xOTgwLDEyLzMxLzIwMDksQVkp&amp;WINDOW=FIRST_POPUP&amp;HEIGHT=450&amp;WI","DTH=450&amp;START_MAXIMIZED=FALSE&amp;VAR:CALENDAR=US&amp;VAR:SYMBOL=CCC&amp;VAR:INDEX=20"}</definedName>
    <definedName name="_1832__FDSAUDITLINK__" hidden="1">{"fdsup://directions/FAT Viewer?action=UPDATE&amp;creator=factset&amp;DYN_ARGS=TRUE&amp;DOC_NAME=FAT:FQL_AUDITING_CLIENT_TEMPLATE.FAT&amp;display_string=Audit&amp;VAR:KEY=IXWJGFGJAP&amp;VAR:QUERY=Q1NGX1NBTEVTKEFOTiwxMi8zMS8xOTgwLDEyLzMxLzIwMDksQVkp&amp;WINDOW=FIRST_POPUP&amp;HEIGHT=450&amp;WI","DTH=450&amp;START_MAXIMIZED=FALSE&amp;VAR:CALENDAR=US&amp;VAR:SYMBOL=CCC&amp;VAR:INDEX=19"}</definedName>
    <definedName name="_1833__FDSAUDITLINK__" hidden="1">{"fdsup://directions/FAT Viewer?action=UPDATE&amp;creator=factset&amp;DYN_ARGS=TRUE&amp;DOC_NAME=FAT:FQL_AUDITING_CLIENT_TEMPLATE.FAT&amp;display_string=Audit&amp;VAR:KEY=IXWJGFGJAP&amp;VAR:QUERY=Q1NGX1NBTEVTKEFOTiwxMi8zMS8xOTgwLDEyLzMxLzIwMDksQVkp&amp;WINDOW=FIRST_POPUP&amp;HEIGHT=450&amp;WI","DTH=450&amp;START_MAXIMIZED=FALSE&amp;VAR:CALENDAR=US&amp;VAR:SYMBOL=CCC&amp;VAR:INDEX=18"}</definedName>
    <definedName name="_1834__FDSAUDITLINK__" hidden="1">{"fdsup://directions/FAT Viewer?action=UPDATE&amp;creator=factset&amp;DYN_ARGS=TRUE&amp;DOC_NAME=FAT:FQL_AUDITING_CLIENT_TEMPLATE.FAT&amp;display_string=Audit&amp;VAR:KEY=IXWJGFGJAP&amp;VAR:QUERY=Q1NGX1NBTEVTKEFOTiwxMi8zMS8xOTgwLDEyLzMxLzIwMDksQVkp&amp;WINDOW=FIRST_POPUP&amp;HEIGHT=450&amp;WI","DTH=450&amp;START_MAXIMIZED=FALSE&amp;VAR:CALENDAR=US&amp;VAR:SYMBOL=CCC&amp;VAR:INDEX=17"}</definedName>
    <definedName name="_1835__FDSAUDITLINK__" hidden="1">{"fdsup://directions/FAT Viewer?action=UPDATE&amp;creator=factset&amp;DYN_ARGS=TRUE&amp;DOC_NAME=FAT:FQL_AUDITING_CLIENT_TEMPLATE.FAT&amp;display_string=Audit&amp;VAR:KEY=IXWJGFGJAP&amp;VAR:QUERY=Q1NGX1NBTEVTKEFOTiwxMi8zMS8xOTgwLDEyLzMxLzIwMDksQVkp&amp;WINDOW=FIRST_POPUP&amp;HEIGHT=450&amp;WI","DTH=450&amp;START_MAXIMIZED=FALSE&amp;VAR:CALENDAR=US&amp;VAR:SYMBOL=CCC&amp;VAR:INDEX=16"}</definedName>
    <definedName name="_1836__FDSAUDITLINK__" hidden="1">{"fdsup://directions/FAT Viewer?action=UPDATE&amp;creator=factset&amp;DYN_ARGS=TRUE&amp;DOC_NAME=FAT:FQL_AUDITING_CLIENT_TEMPLATE.FAT&amp;display_string=Audit&amp;VAR:KEY=IXWJGFGJAP&amp;VAR:QUERY=Q1NGX1NBTEVTKEFOTiwxMi8zMS8xOTgwLDEyLzMxLzIwMDksQVkp&amp;WINDOW=FIRST_POPUP&amp;HEIGHT=450&amp;WI","DTH=450&amp;START_MAXIMIZED=FALSE&amp;VAR:CALENDAR=US&amp;VAR:SYMBOL=CCC&amp;VAR:INDEX=15"}</definedName>
    <definedName name="_1837__FDSAUDITLINK__" hidden="1">{"fdsup://directions/FAT Viewer?action=UPDATE&amp;creator=factset&amp;DYN_ARGS=TRUE&amp;DOC_NAME=FAT:FQL_AUDITING_CLIENT_TEMPLATE.FAT&amp;display_string=Audit&amp;VAR:KEY=IXWJGFGJAP&amp;VAR:QUERY=Q1NGX1NBTEVTKEFOTiwxMi8zMS8xOTgwLDEyLzMxLzIwMDksQVkp&amp;WINDOW=FIRST_POPUP&amp;HEIGHT=450&amp;WI","DTH=450&amp;START_MAXIMIZED=FALSE&amp;VAR:CALENDAR=US&amp;VAR:SYMBOL=CCC&amp;VAR:INDEX=14"}</definedName>
    <definedName name="_1838__FDSAUDITLINK__" hidden="1">{"fdsup://directions/FAT Viewer?action=UPDATE&amp;creator=factset&amp;DYN_ARGS=TRUE&amp;DOC_NAME=FAT:FQL_AUDITING_CLIENT_TEMPLATE.FAT&amp;display_string=Audit&amp;VAR:KEY=IXWJGFGJAP&amp;VAR:QUERY=Q1NGX1NBTEVTKEFOTiwxMi8zMS8xOTgwLDEyLzMxLzIwMDksQVkp&amp;WINDOW=FIRST_POPUP&amp;HEIGHT=450&amp;WI","DTH=450&amp;START_MAXIMIZED=FALSE&amp;VAR:CALENDAR=US&amp;VAR:SYMBOL=CCC&amp;VAR:INDEX=13"}</definedName>
    <definedName name="_1839__FDSAUDITLINK__" hidden="1">{"fdsup://directions/FAT Viewer?action=UPDATE&amp;creator=factset&amp;DYN_ARGS=TRUE&amp;DOC_NAME=FAT:FQL_AUDITING_CLIENT_TEMPLATE.FAT&amp;display_string=Audit&amp;VAR:KEY=IXWJGFGJAP&amp;VAR:QUERY=Q1NGX1NBTEVTKEFOTiwxMi8zMS8xOTgwLDEyLzMxLzIwMDksQVkp&amp;WINDOW=FIRST_POPUP&amp;HEIGHT=450&amp;WI","DTH=450&amp;START_MAXIMIZED=FALSE&amp;VAR:CALENDAR=US&amp;VAR:SYMBOL=CCC&amp;VAR:INDEX=12"}</definedName>
    <definedName name="_184__FDSAUDITLINK__" hidden="1">{"fdsup://directions/FAT Viewer?action=UPDATE&amp;creator=factset&amp;DYN_ARGS=TRUE&amp;DOC_NAME=FAT:FQL_AUDITING_CLIENT_TEMPLATE.FAT&amp;display_string=Audit&amp;VAR:KEY=OXOFCDKBIJ&amp;VAR:QUERY=Q1NGX0RFQlQoQU5OLDkvMzEvMTk4MCwwKQ==&amp;WINDOW=FIRST_POPUP&amp;HEIGHT=450&amp;WIDTH=450&amp;START_MA","XIMIZED=FALSE&amp;VAR:CALENDAR=US&amp;VAR:SYMBOL=APD&amp;VAR:INDEX=25"}</definedName>
    <definedName name="_1840__FDSAUDITLINK__" hidden="1">{"fdsup://directions/FAT Viewer?action=UPDATE&amp;creator=factset&amp;DYN_ARGS=TRUE&amp;DOC_NAME=FAT:FQL_AUDITING_CLIENT_TEMPLATE.FAT&amp;display_string=Audit&amp;VAR:KEY=IXWJGFGJAP&amp;VAR:QUERY=Q1NGX1NBTEVTKEFOTiwxMi8zMS8xOTgwLDEyLzMxLzIwMDksQVkp&amp;WINDOW=FIRST_POPUP&amp;HEIGHT=450&amp;WI","DTH=450&amp;START_MAXIMIZED=FALSE&amp;VAR:CALENDAR=US&amp;VAR:SYMBOL=CCC&amp;VAR:INDEX=11"}</definedName>
    <definedName name="_1841__FDSAUDITLINK__" hidden="1">{"fdsup://directions/FAT Viewer?action=UPDATE&amp;creator=factset&amp;DYN_ARGS=TRUE&amp;DOC_NAME=FAT:FQL_AUDITING_CLIENT_TEMPLATE.FAT&amp;display_string=Audit&amp;VAR:KEY=IXWJGFGJAP&amp;VAR:QUERY=Q1NGX1NBTEVTKEFOTiwxMi8zMS8xOTgwLDEyLzMxLzIwMDksQVkp&amp;WINDOW=FIRST_POPUP&amp;HEIGHT=450&amp;WI","DTH=450&amp;START_MAXIMIZED=FALSE&amp;VAR:CALENDAR=US&amp;VAR:SYMBOL=CCC&amp;VAR:INDEX=10"}</definedName>
    <definedName name="_1842__FDSAUDITLINK__" hidden="1">{"fdsup://directions/FAT Viewer?action=UPDATE&amp;creator=factset&amp;DYN_ARGS=TRUE&amp;DOC_NAME=FAT:FQL_AUDITING_CLIENT_TEMPLATE.FAT&amp;display_string=Audit&amp;VAR:KEY=IXWJGFGJAP&amp;VAR:QUERY=Q1NGX1NBTEVTKEFOTiwxMi8zMS8xOTgwLDEyLzMxLzIwMDksQVkp&amp;WINDOW=FIRST_POPUP&amp;HEIGHT=450&amp;WI","DTH=450&amp;START_MAXIMIZED=FALSE&amp;VAR:CALENDAR=US&amp;VAR:SYMBOL=CCC&amp;VAR:INDEX=9"}</definedName>
    <definedName name="_1843__FDSAUDITLINK__" hidden="1">{"fdsup://directions/FAT Viewer?action=UPDATE&amp;creator=factset&amp;DYN_ARGS=TRUE&amp;DOC_NAME=FAT:FQL_AUDITING_CLIENT_TEMPLATE.FAT&amp;display_string=Audit&amp;VAR:KEY=IXWJGFGJAP&amp;VAR:QUERY=Q1NGX1NBTEVTKEFOTiwxMi8zMS8xOTgwLDEyLzMxLzIwMDksQVkp&amp;WINDOW=FIRST_POPUP&amp;HEIGHT=450&amp;WI","DTH=450&amp;START_MAXIMIZED=FALSE&amp;VAR:CALENDAR=US&amp;VAR:SYMBOL=CCC&amp;VAR:INDEX=8"}</definedName>
    <definedName name="_1844__FDSAUDITLINK__" hidden="1">{"fdsup://directions/FAT Viewer?action=UPDATE&amp;creator=factset&amp;DYN_ARGS=TRUE&amp;DOC_NAME=FAT:FQL_AUDITING_CLIENT_TEMPLATE.FAT&amp;display_string=Audit&amp;VAR:KEY=IXWJGFGJAP&amp;VAR:QUERY=Q1NGX1NBTEVTKEFOTiwxMi8zMS8xOTgwLDEyLzMxLzIwMDksQVkp&amp;WINDOW=FIRST_POPUP&amp;HEIGHT=450&amp;WI","DTH=450&amp;START_MAXIMIZED=FALSE&amp;VAR:CALENDAR=US&amp;VAR:SYMBOL=CCC&amp;VAR:INDEX=7"}</definedName>
    <definedName name="_1845__FDSAUDITLINK__" hidden="1">{"fdsup://directions/FAT Viewer?action=UPDATE&amp;creator=factset&amp;DYN_ARGS=TRUE&amp;DOC_NAME=FAT:FQL_AUDITING_CLIENT_TEMPLATE.FAT&amp;display_string=Audit&amp;VAR:KEY=IXWJGFGJAP&amp;VAR:QUERY=Q1NGX1NBTEVTKEFOTiwxMi8zMS8xOTgwLDEyLzMxLzIwMDksQVkp&amp;WINDOW=FIRST_POPUP&amp;HEIGHT=450&amp;WI","DTH=450&amp;START_MAXIMIZED=FALSE&amp;VAR:CALENDAR=US&amp;VAR:SYMBOL=CCC&amp;VAR:INDEX=6"}</definedName>
    <definedName name="_1846__FDSAUDITLINK__" hidden="1">{"fdsup://directions/FAT Viewer?action=UPDATE&amp;creator=factset&amp;DYN_ARGS=TRUE&amp;DOC_NAME=FAT:FQL_AUDITING_CLIENT_TEMPLATE.FAT&amp;display_string=Audit&amp;VAR:KEY=IXWJGFGJAP&amp;VAR:QUERY=Q1NGX1NBTEVTKEFOTiwxMi8zMS8xOTgwLDEyLzMxLzIwMDksQVkp&amp;WINDOW=FIRST_POPUP&amp;HEIGHT=450&amp;WI","DTH=450&amp;START_MAXIMIZED=FALSE&amp;VAR:CALENDAR=US&amp;VAR:SYMBOL=CCC&amp;VAR:INDEX=5"}</definedName>
    <definedName name="_1847__FDSAUDITLINK__" hidden="1">{"fdsup://directions/FAT Viewer?action=UPDATE&amp;creator=factset&amp;DYN_ARGS=TRUE&amp;DOC_NAME=FAT:FQL_AUDITING_CLIENT_TEMPLATE.FAT&amp;display_string=Audit&amp;VAR:KEY=IXWJGFGJAP&amp;VAR:QUERY=Q1NGX1NBTEVTKEFOTiwxMi8zMS8xOTgwLDEyLzMxLzIwMDksQVkp&amp;WINDOW=FIRST_POPUP&amp;HEIGHT=450&amp;WI","DTH=450&amp;START_MAXIMIZED=FALSE&amp;VAR:CALENDAR=US&amp;VAR:SYMBOL=CCC&amp;VAR:INDEX=4"}</definedName>
    <definedName name="_1848__FDSAUDITLINK__" hidden="1">{"fdsup://directions/FAT Viewer?action=UPDATE&amp;creator=factset&amp;DYN_ARGS=TRUE&amp;DOC_NAME=FAT:FQL_AUDITING_CLIENT_TEMPLATE.FAT&amp;display_string=Audit&amp;VAR:KEY=IXWJGFGJAP&amp;VAR:QUERY=Q1NGX1NBTEVTKEFOTiwxMi8zMS8xOTgwLDEyLzMxLzIwMDksQVkp&amp;WINDOW=FIRST_POPUP&amp;HEIGHT=450&amp;WI","DTH=450&amp;START_MAXIMIZED=FALSE&amp;VAR:CALENDAR=US&amp;VAR:SYMBOL=CCC&amp;VAR:INDEX=3"}</definedName>
    <definedName name="_1849__FDSAUDITLINK__" hidden="1">{"fdsup://directions/FAT Viewer?action=UPDATE&amp;creator=factset&amp;DYN_ARGS=TRUE&amp;DOC_NAME=FAT:FQL_AUDITING_CLIENT_TEMPLATE.FAT&amp;display_string=Audit&amp;VAR:KEY=IXWJGFGJAP&amp;VAR:QUERY=Q1NGX1NBTEVTKEFOTiwxMi8zMS8xOTgwLDEyLzMxLzIwMDksQVkp&amp;WINDOW=FIRST_POPUP&amp;HEIGHT=450&amp;WI","DTH=450&amp;START_MAXIMIZED=FALSE&amp;VAR:CALENDAR=US&amp;VAR:SYMBOL=CCC&amp;VAR:INDEX=2"}</definedName>
    <definedName name="_185__FDSAUDITLINK__" hidden="1">{"fdsup://directions/FAT Viewer?action=UPDATE&amp;creator=factset&amp;DYN_ARGS=TRUE&amp;DOC_NAME=FAT:FQL_AUDITING_CLIENT_TEMPLATE.FAT&amp;display_string=Audit&amp;VAR:KEY=OXOFCDKBIJ&amp;VAR:QUERY=Q1NGX0RFQlQoQU5OLDkvMzEvMTk4MCwwKQ==&amp;WINDOW=FIRST_POPUP&amp;HEIGHT=450&amp;WIDTH=450&amp;START_MA","XIMIZED=FALSE&amp;VAR:CALENDAR=US&amp;VAR:SYMBOL=APD&amp;VAR:INDEX=24"}</definedName>
    <definedName name="_1850__FDSAUDITLINK__" hidden="1">{"fdsup://directions/FAT Viewer?action=UPDATE&amp;creator=factset&amp;DYN_ARGS=TRUE&amp;DOC_NAME=FAT:FQL_AUDITING_CLIENT_TEMPLATE.FAT&amp;display_string=Audit&amp;VAR:KEY=IXWJGFGJAP&amp;VAR:QUERY=Q1NGX1NBTEVTKEFOTiwxMi8zMS8xOTgwLDEyLzMxLzIwMDksQVkp&amp;WINDOW=FIRST_POPUP&amp;HEIGHT=450&amp;WI","DTH=450&amp;START_MAXIMIZED=FALSE&amp;VAR:CALENDAR=US&amp;VAR:SYMBOL=CCC&amp;VAR:INDEX=1"}</definedName>
    <definedName name="_1851__FDSAUDITLINK__" hidden="1">{"fdsup://directions/FAT Viewer?action=UPDATE&amp;creator=factset&amp;DYN_ARGS=TRUE&amp;DOC_NAME=FAT:FQL_AUDITING_CLIENT_TEMPLATE.FAT&amp;display_string=Audit&amp;VAR:KEY=IXWJGFGJAP&amp;VAR:QUERY=Q1NGX1NBTEVTKEFOTiwxMi8zMS8xOTgwLDEyLzMxLzIwMDksQVkp&amp;WINDOW=FIRST_POPUP&amp;HEIGHT=450&amp;WI","DTH=450&amp;START_MAXIMIZED=FALSE&amp;VAR:CALENDAR=US&amp;VAR:SYMBOL=CCC&amp;VAR:INDEX=0"}</definedName>
    <definedName name="_1852__FDSAUDITLINK__" hidden="1">{"fdsup://directions/FAT Viewer?action=UPDATE&amp;creator=factset&amp;DYN_ARGS=TRUE&amp;DOC_NAME=FAT:FQL_AUDITING_CLIENT_TEMPLATE.FAT&amp;display_string=Audit&amp;VAR:KEY=SZCPWHGPSX&amp;VAR:QUERY=Q1NGX1NBTEVTKEFOTiwxMi8zMS8xOTgwLDEyLzMxLzIwMDksQVkp&amp;WINDOW=FIRST_POPUP&amp;HEIGHT=450&amp;WI","DTH=450&amp;START_MAXIMIZED=FALSE&amp;VAR:CALENDAR=US&amp;VAR:SYMBOL=CE&amp;VAR:INDEX=29"}</definedName>
    <definedName name="_1853__FDSAUDITLINK__" hidden="1">{"fdsup://directions/FAT Viewer?action=UPDATE&amp;creator=factset&amp;DYN_ARGS=TRUE&amp;DOC_NAME=FAT:FQL_AUDITING_CLIENT_TEMPLATE.FAT&amp;display_string=Audit&amp;VAR:KEY=SZCPWHGPSX&amp;VAR:QUERY=Q1NGX1NBTEVTKEFOTiwxMi8zMS8xOTgwLDEyLzMxLzIwMDksQVkp&amp;WINDOW=FIRST_POPUP&amp;HEIGHT=450&amp;WI","DTH=450&amp;START_MAXIMIZED=FALSE&amp;VAR:CALENDAR=US&amp;VAR:SYMBOL=CE&amp;VAR:INDEX=28"}</definedName>
    <definedName name="_1854__FDSAUDITLINK__" hidden="1">{"fdsup://directions/FAT Viewer?action=UPDATE&amp;creator=factset&amp;DYN_ARGS=TRUE&amp;DOC_NAME=FAT:FQL_AUDITING_CLIENT_TEMPLATE.FAT&amp;display_string=Audit&amp;VAR:KEY=SZCPWHGPSX&amp;VAR:QUERY=Q1NGX1NBTEVTKEFOTiwxMi8zMS8xOTgwLDEyLzMxLzIwMDksQVkp&amp;WINDOW=FIRST_POPUP&amp;HEIGHT=450&amp;WI","DTH=450&amp;START_MAXIMIZED=FALSE&amp;VAR:CALENDAR=US&amp;VAR:SYMBOL=CE&amp;VAR:INDEX=27"}</definedName>
    <definedName name="_1855__FDSAUDITLINK__" hidden="1">{"fdsup://directions/FAT Viewer?action=UPDATE&amp;creator=factset&amp;DYN_ARGS=TRUE&amp;DOC_NAME=FAT:FQL_AUDITING_CLIENT_TEMPLATE.FAT&amp;display_string=Audit&amp;VAR:KEY=SZCPWHGPSX&amp;VAR:QUERY=Q1NGX1NBTEVTKEFOTiwxMi8zMS8xOTgwLDEyLzMxLzIwMDksQVkp&amp;WINDOW=FIRST_POPUP&amp;HEIGHT=450&amp;WI","DTH=450&amp;START_MAXIMIZED=FALSE&amp;VAR:CALENDAR=US&amp;VAR:SYMBOL=CE&amp;VAR:INDEX=26"}</definedName>
    <definedName name="_1856__FDSAUDITLINK__" hidden="1">{"fdsup://directions/FAT Viewer?action=UPDATE&amp;creator=factset&amp;DYN_ARGS=TRUE&amp;DOC_NAME=FAT:FQL_AUDITING_CLIENT_TEMPLATE.FAT&amp;display_string=Audit&amp;VAR:KEY=SZCPWHGPSX&amp;VAR:QUERY=Q1NGX1NBTEVTKEFOTiwxMi8zMS8xOTgwLDEyLzMxLzIwMDksQVkp&amp;WINDOW=FIRST_POPUP&amp;HEIGHT=450&amp;WI","DTH=450&amp;START_MAXIMIZED=FALSE&amp;VAR:CALENDAR=US&amp;VAR:SYMBOL=CE&amp;VAR:INDEX=25"}</definedName>
    <definedName name="_1857__FDSAUDITLINK__" hidden="1">{"fdsup://directions/FAT Viewer?action=UPDATE&amp;creator=factset&amp;DYN_ARGS=TRUE&amp;DOC_NAME=FAT:FQL_AUDITING_CLIENT_TEMPLATE.FAT&amp;display_string=Audit&amp;VAR:KEY=SZCPWHGPSX&amp;VAR:QUERY=Q1NGX1NBTEVTKEFOTiwxMi8zMS8xOTgwLDEyLzMxLzIwMDksQVkp&amp;WINDOW=FIRST_POPUP&amp;HEIGHT=450&amp;WI","DTH=450&amp;START_MAXIMIZED=FALSE&amp;VAR:CALENDAR=US&amp;VAR:SYMBOL=CE&amp;VAR:INDEX=24"}</definedName>
    <definedName name="_1858__FDSAUDITLINK__" hidden="1">{"fdsup://directions/FAT Viewer?action=UPDATE&amp;creator=factset&amp;DYN_ARGS=TRUE&amp;DOC_NAME=FAT:FQL_AUDITING_CLIENT_TEMPLATE.FAT&amp;display_string=Audit&amp;VAR:KEY=SZCPWHGPSX&amp;VAR:QUERY=Q1NGX1NBTEVTKEFOTiwxMi8zMS8xOTgwLDEyLzMxLzIwMDksQVkp&amp;WINDOW=FIRST_POPUP&amp;HEIGHT=450&amp;WI","DTH=450&amp;START_MAXIMIZED=FALSE&amp;VAR:CALENDAR=US&amp;VAR:SYMBOL=CE&amp;VAR:INDEX=23"}</definedName>
    <definedName name="_1859__FDSAUDITLINK__" hidden="1">{"fdsup://directions/FAT Viewer?action=UPDATE&amp;creator=factset&amp;DYN_ARGS=TRUE&amp;DOC_NAME=FAT:FQL_AUDITING_CLIENT_TEMPLATE.FAT&amp;display_string=Audit&amp;VAR:KEY=SZCPWHGPSX&amp;VAR:QUERY=Q1NGX1NBTEVTKEFOTiwxMi8zMS8xOTgwLDEyLzMxLzIwMDksQVkp&amp;WINDOW=FIRST_POPUP&amp;HEIGHT=450&amp;WI","DTH=450&amp;START_MAXIMIZED=FALSE&amp;VAR:CALENDAR=US&amp;VAR:SYMBOL=CE&amp;VAR:INDEX=22"}</definedName>
    <definedName name="_186__FDSAUDITLINK__" hidden="1">{"fdsup://directions/FAT Viewer?action=UPDATE&amp;creator=factset&amp;DYN_ARGS=TRUE&amp;DOC_NAME=FAT:FQL_AUDITING_CLIENT_TEMPLATE.FAT&amp;display_string=Audit&amp;VAR:KEY=OXOFCDKBIJ&amp;VAR:QUERY=Q1NGX0RFQlQoQU5OLDkvMzEvMTk4MCwwKQ==&amp;WINDOW=FIRST_POPUP&amp;HEIGHT=450&amp;WIDTH=450&amp;START_MA","XIMIZED=FALSE&amp;VAR:CALENDAR=US&amp;VAR:SYMBOL=APD&amp;VAR:INDEX=23"}</definedName>
    <definedName name="_1860__FDSAUDITLINK__" hidden="1">{"fdsup://directions/FAT Viewer?action=UPDATE&amp;creator=factset&amp;DYN_ARGS=TRUE&amp;DOC_NAME=FAT:FQL_AUDITING_CLIENT_TEMPLATE.FAT&amp;display_string=Audit&amp;VAR:KEY=SZCPWHGPSX&amp;VAR:QUERY=Q1NGX1NBTEVTKEFOTiwxMi8zMS8xOTgwLDEyLzMxLzIwMDksQVkp&amp;WINDOW=FIRST_POPUP&amp;HEIGHT=450&amp;WI","DTH=450&amp;START_MAXIMIZED=FALSE&amp;VAR:CALENDAR=US&amp;VAR:SYMBOL=CE&amp;VAR:INDEX=21"}</definedName>
    <definedName name="_1861__FDSAUDITLINK__" hidden="1">{"fdsup://directions/FAT Viewer?action=UPDATE&amp;creator=factset&amp;DYN_ARGS=TRUE&amp;DOC_NAME=FAT:FQL_AUDITING_CLIENT_TEMPLATE.FAT&amp;display_string=Audit&amp;VAR:KEY=SZCPWHGPSX&amp;VAR:QUERY=Q1NGX1NBTEVTKEFOTiwxMi8zMS8xOTgwLDEyLzMxLzIwMDksQVkp&amp;WINDOW=FIRST_POPUP&amp;HEIGHT=450&amp;WI","DTH=450&amp;START_MAXIMIZED=FALSE&amp;VAR:CALENDAR=US&amp;VAR:SYMBOL=CE&amp;VAR:INDEX=20"}</definedName>
    <definedName name="_1862__FDSAUDITLINK__" hidden="1">{"fdsup://directions/FAT Viewer?action=UPDATE&amp;creator=factset&amp;DYN_ARGS=TRUE&amp;DOC_NAME=FAT:FQL_AUDITING_CLIENT_TEMPLATE.FAT&amp;display_string=Audit&amp;VAR:KEY=SZCPWHGPSX&amp;VAR:QUERY=Q1NGX1NBTEVTKEFOTiwxMi8zMS8xOTgwLDEyLzMxLzIwMDksQVkp&amp;WINDOW=FIRST_POPUP&amp;HEIGHT=450&amp;WI","DTH=450&amp;START_MAXIMIZED=FALSE&amp;VAR:CALENDAR=US&amp;VAR:SYMBOL=CE&amp;VAR:INDEX=19"}</definedName>
    <definedName name="_1863__FDSAUDITLINK__" hidden="1">{"fdsup://directions/FAT Viewer?action=UPDATE&amp;creator=factset&amp;DYN_ARGS=TRUE&amp;DOC_NAME=FAT:FQL_AUDITING_CLIENT_TEMPLATE.FAT&amp;display_string=Audit&amp;VAR:KEY=SZCPWHGPSX&amp;VAR:QUERY=Q1NGX1NBTEVTKEFOTiwxMi8zMS8xOTgwLDEyLzMxLzIwMDksQVkp&amp;WINDOW=FIRST_POPUP&amp;HEIGHT=450&amp;WI","DTH=450&amp;START_MAXIMIZED=FALSE&amp;VAR:CALENDAR=US&amp;VAR:SYMBOL=CE&amp;VAR:INDEX=18"}</definedName>
    <definedName name="_1864__FDSAUDITLINK__" hidden="1">{"fdsup://directions/FAT Viewer?action=UPDATE&amp;creator=factset&amp;DYN_ARGS=TRUE&amp;DOC_NAME=FAT:FQL_AUDITING_CLIENT_TEMPLATE.FAT&amp;display_string=Audit&amp;VAR:KEY=SZCPWHGPSX&amp;VAR:QUERY=Q1NGX1NBTEVTKEFOTiwxMi8zMS8xOTgwLDEyLzMxLzIwMDksQVkp&amp;WINDOW=FIRST_POPUP&amp;HEIGHT=450&amp;WI","DTH=450&amp;START_MAXIMIZED=FALSE&amp;VAR:CALENDAR=US&amp;VAR:SYMBOL=CE&amp;VAR:INDEX=17"}</definedName>
    <definedName name="_1865__FDSAUDITLINK__" hidden="1">{"fdsup://directions/FAT Viewer?action=UPDATE&amp;creator=factset&amp;DYN_ARGS=TRUE&amp;DOC_NAME=FAT:FQL_AUDITING_CLIENT_TEMPLATE.FAT&amp;display_string=Audit&amp;VAR:KEY=SZCPWHGPSX&amp;VAR:QUERY=Q1NGX1NBTEVTKEFOTiwxMi8zMS8xOTgwLDEyLzMxLzIwMDksQVkp&amp;WINDOW=FIRST_POPUP&amp;HEIGHT=450&amp;WI","DTH=450&amp;START_MAXIMIZED=FALSE&amp;VAR:CALENDAR=US&amp;VAR:SYMBOL=CE&amp;VAR:INDEX=16"}</definedName>
    <definedName name="_1866__FDSAUDITLINK__" hidden="1">{"fdsup://directions/FAT Viewer?action=UPDATE&amp;creator=factset&amp;DYN_ARGS=TRUE&amp;DOC_NAME=FAT:FQL_AUDITING_CLIENT_TEMPLATE.FAT&amp;display_string=Audit&amp;VAR:KEY=SZCPWHGPSX&amp;VAR:QUERY=Q1NGX1NBTEVTKEFOTiwxMi8zMS8xOTgwLDEyLzMxLzIwMDksQVkp&amp;WINDOW=FIRST_POPUP&amp;HEIGHT=450&amp;WI","DTH=450&amp;START_MAXIMIZED=FALSE&amp;VAR:CALENDAR=US&amp;VAR:SYMBOL=CE&amp;VAR:INDEX=15"}</definedName>
    <definedName name="_1867__FDSAUDITLINK__" hidden="1">{"fdsup://directions/FAT Viewer?action=UPDATE&amp;creator=factset&amp;DYN_ARGS=TRUE&amp;DOC_NAME=FAT:FQL_AUDITING_CLIENT_TEMPLATE.FAT&amp;display_string=Audit&amp;VAR:KEY=SZCPWHGPSX&amp;VAR:QUERY=Q1NGX1NBTEVTKEFOTiwxMi8zMS8xOTgwLDEyLzMxLzIwMDksQVkp&amp;WINDOW=FIRST_POPUP&amp;HEIGHT=450&amp;WI","DTH=450&amp;START_MAXIMIZED=FALSE&amp;VAR:CALENDAR=US&amp;VAR:SYMBOL=CE&amp;VAR:INDEX=14"}</definedName>
    <definedName name="_1868__FDSAUDITLINK__" hidden="1">{"fdsup://directions/FAT Viewer?action=UPDATE&amp;creator=factset&amp;DYN_ARGS=TRUE&amp;DOC_NAME=FAT:FQL_AUDITING_CLIENT_TEMPLATE.FAT&amp;display_string=Audit&amp;VAR:KEY=SZCPWHGPSX&amp;VAR:QUERY=Q1NGX1NBTEVTKEFOTiwxMi8zMS8xOTgwLDEyLzMxLzIwMDksQVkp&amp;WINDOW=FIRST_POPUP&amp;HEIGHT=450&amp;WI","DTH=450&amp;START_MAXIMIZED=FALSE&amp;VAR:CALENDAR=US&amp;VAR:SYMBOL=CE&amp;VAR:INDEX=13"}</definedName>
    <definedName name="_1869__FDSAUDITLINK__" hidden="1">{"fdsup://directions/FAT Viewer?action=UPDATE&amp;creator=factset&amp;DYN_ARGS=TRUE&amp;DOC_NAME=FAT:FQL_AUDITING_CLIENT_TEMPLATE.FAT&amp;display_string=Audit&amp;VAR:KEY=SZCPWHGPSX&amp;VAR:QUERY=Q1NGX1NBTEVTKEFOTiwxMi8zMS8xOTgwLDEyLzMxLzIwMDksQVkp&amp;WINDOW=FIRST_POPUP&amp;HEIGHT=450&amp;WI","DTH=450&amp;START_MAXIMIZED=FALSE&amp;VAR:CALENDAR=US&amp;VAR:SYMBOL=CE&amp;VAR:INDEX=12"}</definedName>
    <definedName name="_187__FDSAUDITLINK__" hidden="1">{"fdsup://directions/FAT Viewer?action=UPDATE&amp;creator=factset&amp;DYN_ARGS=TRUE&amp;DOC_NAME=FAT:FQL_AUDITING_CLIENT_TEMPLATE.FAT&amp;display_string=Audit&amp;VAR:KEY=OXOFCDKBIJ&amp;VAR:QUERY=Q1NGX0RFQlQoQU5OLDkvMzEvMTk4MCwwKQ==&amp;WINDOW=FIRST_POPUP&amp;HEIGHT=450&amp;WIDTH=450&amp;START_MA","XIMIZED=FALSE&amp;VAR:CALENDAR=US&amp;VAR:SYMBOL=APD&amp;VAR:INDEX=22"}</definedName>
    <definedName name="_1870__FDSAUDITLINK__" hidden="1">{"fdsup://directions/FAT Viewer?action=UPDATE&amp;creator=factset&amp;DYN_ARGS=TRUE&amp;DOC_NAME=FAT:FQL_AUDITING_CLIENT_TEMPLATE.FAT&amp;display_string=Audit&amp;VAR:KEY=SZCPWHGPSX&amp;VAR:QUERY=Q1NGX1NBTEVTKEFOTiwxMi8zMS8xOTgwLDEyLzMxLzIwMDksQVkp&amp;WINDOW=FIRST_POPUP&amp;HEIGHT=450&amp;WI","DTH=450&amp;START_MAXIMIZED=FALSE&amp;VAR:CALENDAR=US&amp;VAR:SYMBOL=CE&amp;VAR:INDEX=11"}</definedName>
    <definedName name="_1871__FDSAUDITLINK__" hidden="1">{"fdsup://directions/FAT Viewer?action=UPDATE&amp;creator=factset&amp;DYN_ARGS=TRUE&amp;DOC_NAME=FAT:FQL_AUDITING_CLIENT_TEMPLATE.FAT&amp;display_string=Audit&amp;VAR:KEY=SZCPWHGPSX&amp;VAR:QUERY=Q1NGX1NBTEVTKEFOTiwxMi8zMS8xOTgwLDEyLzMxLzIwMDksQVkp&amp;WINDOW=FIRST_POPUP&amp;HEIGHT=450&amp;WI","DTH=450&amp;START_MAXIMIZED=FALSE&amp;VAR:CALENDAR=US&amp;VAR:SYMBOL=CE&amp;VAR:INDEX=10"}</definedName>
    <definedName name="_1872__FDSAUDITLINK__" hidden="1">{"fdsup://directions/FAT Viewer?action=UPDATE&amp;creator=factset&amp;DYN_ARGS=TRUE&amp;DOC_NAME=FAT:FQL_AUDITING_CLIENT_TEMPLATE.FAT&amp;display_string=Audit&amp;VAR:KEY=SZCPWHGPSX&amp;VAR:QUERY=Q1NGX1NBTEVTKEFOTiwxMi8zMS8xOTgwLDEyLzMxLzIwMDksQVkp&amp;WINDOW=FIRST_POPUP&amp;HEIGHT=450&amp;WI","DTH=450&amp;START_MAXIMIZED=FALSE&amp;VAR:CALENDAR=US&amp;VAR:SYMBOL=CE&amp;VAR:INDEX=9"}</definedName>
    <definedName name="_1873__FDSAUDITLINK__" hidden="1">{"fdsup://directions/FAT Viewer?action=UPDATE&amp;creator=factset&amp;DYN_ARGS=TRUE&amp;DOC_NAME=FAT:FQL_AUDITING_CLIENT_TEMPLATE.FAT&amp;display_string=Audit&amp;VAR:KEY=SZCPWHGPSX&amp;VAR:QUERY=Q1NGX1NBTEVTKEFOTiwxMi8zMS8xOTgwLDEyLzMxLzIwMDksQVkp&amp;WINDOW=FIRST_POPUP&amp;HEIGHT=450&amp;WI","DTH=450&amp;START_MAXIMIZED=FALSE&amp;VAR:CALENDAR=US&amp;VAR:SYMBOL=CE&amp;VAR:INDEX=8"}</definedName>
    <definedName name="_1874__FDSAUDITLINK__" hidden="1">{"fdsup://directions/FAT Viewer?action=UPDATE&amp;creator=factset&amp;DYN_ARGS=TRUE&amp;DOC_NAME=FAT:FQL_AUDITING_CLIENT_TEMPLATE.FAT&amp;display_string=Audit&amp;VAR:KEY=SZCPWHGPSX&amp;VAR:QUERY=Q1NGX1NBTEVTKEFOTiwxMi8zMS8xOTgwLDEyLzMxLzIwMDksQVkp&amp;WINDOW=FIRST_POPUP&amp;HEIGHT=450&amp;WI","DTH=450&amp;START_MAXIMIZED=FALSE&amp;VAR:CALENDAR=US&amp;VAR:SYMBOL=CE&amp;VAR:INDEX=7"}</definedName>
    <definedName name="_1875__FDSAUDITLINK__" hidden="1">{"fdsup://directions/FAT Viewer?action=UPDATE&amp;creator=factset&amp;DYN_ARGS=TRUE&amp;DOC_NAME=FAT:FQL_AUDITING_CLIENT_TEMPLATE.FAT&amp;display_string=Audit&amp;VAR:KEY=SZCPWHGPSX&amp;VAR:QUERY=Q1NGX1NBTEVTKEFOTiwxMi8zMS8xOTgwLDEyLzMxLzIwMDksQVkp&amp;WINDOW=FIRST_POPUP&amp;HEIGHT=450&amp;WI","DTH=450&amp;START_MAXIMIZED=FALSE&amp;VAR:CALENDAR=US&amp;VAR:SYMBOL=CE&amp;VAR:INDEX=6"}</definedName>
    <definedName name="_1876__FDSAUDITLINK__" hidden="1">{"fdsup://directions/FAT Viewer?action=UPDATE&amp;creator=factset&amp;DYN_ARGS=TRUE&amp;DOC_NAME=FAT:FQL_AUDITING_CLIENT_TEMPLATE.FAT&amp;display_string=Audit&amp;VAR:KEY=SZCPWHGPSX&amp;VAR:QUERY=Q1NGX1NBTEVTKEFOTiwxMi8zMS8xOTgwLDEyLzMxLzIwMDksQVkp&amp;WINDOW=FIRST_POPUP&amp;HEIGHT=450&amp;WI","DTH=450&amp;START_MAXIMIZED=FALSE&amp;VAR:CALENDAR=US&amp;VAR:SYMBOL=CE&amp;VAR:INDEX=5"}</definedName>
    <definedName name="_1877__FDSAUDITLINK__" hidden="1">{"fdsup://directions/FAT Viewer?action=UPDATE&amp;creator=factset&amp;DYN_ARGS=TRUE&amp;DOC_NAME=FAT:FQL_AUDITING_CLIENT_TEMPLATE.FAT&amp;display_string=Audit&amp;VAR:KEY=SZCPWHGPSX&amp;VAR:QUERY=Q1NGX1NBTEVTKEFOTiwxMi8zMS8xOTgwLDEyLzMxLzIwMDksQVkp&amp;WINDOW=FIRST_POPUP&amp;HEIGHT=450&amp;WI","DTH=450&amp;START_MAXIMIZED=FALSE&amp;VAR:CALENDAR=US&amp;VAR:SYMBOL=CE&amp;VAR:INDEX=4"}</definedName>
    <definedName name="_1878__FDSAUDITLINK__" hidden="1">{"fdsup://directions/FAT Viewer?action=UPDATE&amp;creator=factset&amp;DYN_ARGS=TRUE&amp;DOC_NAME=FAT:FQL_AUDITING_CLIENT_TEMPLATE.FAT&amp;display_string=Audit&amp;VAR:KEY=SZCPWHGPSX&amp;VAR:QUERY=Q1NGX1NBTEVTKEFOTiwxMi8zMS8xOTgwLDEyLzMxLzIwMDksQVkp&amp;WINDOW=FIRST_POPUP&amp;HEIGHT=450&amp;WI","DTH=450&amp;START_MAXIMIZED=FALSE&amp;VAR:CALENDAR=US&amp;VAR:SYMBOL=CE&amp;VAR:INDEX=3"}</definedName>
    <definedName name="_1879__FDSAUDITLINK__" hidden="1">{"fdsup://directions/FAT Viewer?action=UPDATE&amp;creator=factset&amp;DYN_ARGS=TRUE&amp;DOC_NAME=FAT:FQL_AUDITING_CLIENT_TEMPLATE.FAT&amp;display_string=Audit&amp;VAR:KEY=SZCPWHGPSX&amp;VAR:QUERY=Q1NGX1NBTEVTKEFOTiwxMi8zMS8xOTgwLDEyLzMxLzIwMDksQVkp&amp;WINDOW=FIRST_POPUP&amp;HEIGHT=450&amp;WI","DTH=450&amp;START_MAXIMIZED=FALSE&amp;VAR:CALENDAR=US&amp;VAR:SYMBOL=CE&amp;VAR:INDEX=2"}</definedName>
    <definedName name="_188__FDSAUDITLINK__" hidden="1">{"fdsup://directions/FAT Viewer?action=UPDATE&amp;creator=factset&amp;DYN_ARGS=TRUE&amp;DOC_NAME=FAT:FQL_AUDITING_CLIENT_TEMPLATE.FAT&amp;display_string=Audit&amp;VAR:KEY=OXOFCDKBIJ&amp;VAR:QUERY=Q1NGX0RFQlQoQU5OLDkvMzEvMTk4MCwwKQ==&amp;WINDOW=FIRST_POPUP&amp;HEIGHT=450&amp;WIDTH=450&amp;START_MA","XIMIZED=FALSE&amp;VAR:CALENDAR=US&amp;VAR:SYMBOL=APD&amp;VAR:INDEX=21"}</definedName>
    <definedName name="_1880__FDSAUDITLINK__" hidden="1">{"fdsup://directions/FAT Viewer?action=UPDATE&amp;creator=factset&amp;DYN_ARGS=TRUE&amp;DOC_NAME=FAT:FQL_AUDITING_CLIENT_TEMPLATE.FAT&amp;display_string=Audit&amp;VAR:KEY=SZCPWHGPSX&amp;VAR:QUERY=Q1NGX1NBTEVTKEFOTiwxMi8zMS8xOTgwLDEyLzMxLzIwMDksQVkp&amp;WINDOW=FIRST_POPUP&amp;HEIGHT=450&amp;WI","DTH=450&amp;START_MAXIMIZED=FALSE&amp;VAR:CALENDAR=US&amp;VAR:SYMBOL=CE&amp;VAR:INDEX=1"}</definedName>
    <definedName name="_1881__FDSAUDITLINK__" hidden="1">{"fdsup://directions/FAT Viewer?action=UPDATE&amp;creator=factset&amp;DYN_ARGS=TRUE&amp;DOC_NAME=FAT:FQL_AUDITING_CLIENT_TEMPLATE.FAT&amp;display_string=Audit&amp;VAR:KEY=SZCPWHGPSX&amp;VAR:QUERY=Q1NGX1NBTEVTKEFOTiwxMi8zMS8xOTgwLDEyLzMxLzIwMDksQVkp&amp;WINDOW=FIRST_POPUP&amp;HEIGHT=450&amp;WI","DTH=450&amp;START_MAXIMIZED=FALSE&amp;VAR:CALENDAR=US&amp;VAR:SYMBOL=CE&amp;VAR:INDEX=0"}</definedName>
    <definedName name="_1882__FDSAUDITLINK__" hidden="1">{"fdsup://directions/FAT Viewer?action=UPDATE&amp;creator=factset&amp;DYN_ARGS=TRUE&amp;DOC_NAME=FAT:FQL_AUDITING_CLIENT_TEMPLATE.FAT&amp;display_string=Audit&amp;VAR:KEY=IHUZWZULGP&amp;VAR:QUERY=Q1NGX1NBTEVTKEFOTiwxMi8zMS8xOTgwLDEyLzMxLzIwMDksQVkp&amp;WINDOW=FIRST_POPUP&amp;HEIGHT=450&amp;WI","DTH=450&amp;START_MAXIMIZED=FALSE&amp;VAR:CALENDAR=US&amp;VAR:SYMBOL=ARJ&amp;VAR:INDEX=29"}</definedName>
    <definedName name="_1883__FDSAUDITLINK__" hidden="1">{"fdsup://directions/FAT Viewer?action=UPDATE&amp;creator=factset&amp;DYN_ARGS=TRUE&amp;DOC_NAME=FAT:FQL_AUDITING_CLIENT_TEMPLATE.FAT&amp;display_string=Audit&amp;VAR:KEY=IHUZWZULGP&amp;VAR:QUERY=Q1NGX1NBTEVTKEFOTiwxMi8zMS8xOTgwLDEyLzMxLzIwMDksQVkp&amp;WINDOW=FIRST_POPUP&amp;HEIGHT=450&amp;WI","DTH=450&amp;START_MAXIMIZED=FALSE&amp;VAR:CALENDAR=US&amp;VAR:SYMBOL=ARJ&amp;VAR:INDEX=28"}</definedName>
    <definedName name="_1884__FDSAUDITLINK__" hidden="1">{"fdsup://directions/FAT Viewer?action=UPDATE&amp;creator=factset&amp;DYN_ARGS=TRUE&amp;DOC_NAME=FAT:FQL_AUDITING_CLIENT_TEMPLATE.FAT&amp;display_string=Audit&amp;VAR:KEY=IHUZWZULGP&amp;VAR:QUERY=Q1NGX1NBTEVTKEFOTiwxMi8zMS8xOTgwLDEyLzMxLzIwMDksQVkp&amp;WINDOW=FIRST_POPUP&amp;HEIGHT=450&amp;WI","DTH=450&amp;START_MAXIMIZED=FALSE&amp;VAR:CALENDAR=US&amp;VAR:SYMBOL=ARJ&amp;VAR:INDEX=27"}</definedName>
    <definedName name="_1885__FDSAUDITLINK__" hidden="1">{"fdsup://directions/FAT Viewer?action=UPDATE&amp;creator=factset&amp;DYN_ARGS=TRUE&amp;DOC_NAME=FAT:FQL_AUDITING_CLIENT_TEMPLATE.FAT&amp;display_string=Audit&amp;VAR:KEY=IHUZWZULGP&amp;VAR:QUERY=Q1NGX1NBTEVTKEFOTiwxMi8zMS8xOTgwLDEyLzMxLzIwMDksQVkp&amp;WINDOW=FIRST_POPUP&amp;HEIGHT=450&amp;WI","DTH=450&amp;START_MAXIMIZED=FALSE&amp;VAR:CALENDAR=US&amp;VAR:SYMBOL=ARJ&amp;VAR:INDEX=26"}</definedName>
    <definedName name="_1886__FDSAUDITLINK__" hidden="1">{"fdsup://directions/FAT Viewer?action=UPDATE&amp;creator=factset&amp;DYN_ARGS=TRUE&amp;DOC_NAME=FAT:FQL_AUDITING_CLIENT_TEMPLATE.FAT&amp;display_string=Audit&amp;VAR:KEY=IHUZWZULGP&amp;VAR:QUERY=Q1NGX1NBTEVTKEFOTiwxMi8zMS8xOTgwLDEyLzMxLzIwMDksQVkp&amp;WINDOW=FIRST_POPUP&amp;HEIGHT=450&amp;WI","DTH=450&amp;START_MAXIMIZED=FALSE&amp;VAR:CALENDAR=US&amp;VAR:SYMBOL=ARJ&amp;VAR:INDEX=25"}</definedName>
    <definedName name="_1887__FDSAUDITLINK__" hidden="1">{"fdsup://directions/FAT Viewer?action=UPDATE&amp;creator=factset&amp;DYN_ARGS=TRUE&amp;DOC_NAME=FAT:FQL_AUDITING_CLIENT_TEMPLATE.FAT&amp;display_string=Audit&amp;VAR:KEY=IHUZWZULGP&amp;VAR:QUERY=Q1NGX1NBTEVTKEFOTiwxMi8zMS8xOTgwLDEyLzMxLzIwMDksQVkp&amp;WINDOW=FIRST_POPUP&amp;HEIGHT=450&amp;WI","DTH=450&amp;START_MAXIMIZED=FALSE&amp;VAR:CALENDAR=US&amp;VAR:SYMBOL=ARJ&amp;VAR:INDEX=24"}</definedName>
    <definedName name="_1888__FDSAUDITLINK__" hidden="1">{"fdsup://directions/FAT Viewer?action=UPDATE&amp;creator=factset&amp;DYN_ARGS=TRUE&amp;DOC_NAME=FAT:FQL_AUDITING_CLIENT_TEMPLATE.FAT&amp;display_string=Audit&amp;VAR:KEY=IHUZWZULGP&amp;VAR:QUERY=Q1NGX1NBTEVTKEFOTiwxMi8zMS8xOTgwLDEyLzMxLzIwMDksQVkp&amp;WINDOW=FIRST_POPUP&amp;HEIGHT=450&amp;WI","DTH=450&amp;START_MAXIMIZED=FALSE&amp;VAR:CALENDAR=US&amp;VAR:SYMBOL=ARJ&amp;VAR:INDEX=23"}</definedName>
    <definedName name="_1889__FDSAUDITLINK__" hidden="1">{"fdsup://directions/FAT Viewer?action=UPDATE&amp;creator=factset&amp;DYN_ARGS=TRUE&amp;DOC_NAME=FAT:FQL_AUDITING_CLIENT_TEMPLATE.FAT&amp;display_string=Audit&amp;VAR:KEY=IHUZWZULGP&amp;VAR:QUERY=Q1NGX1NBTEVTKEFOTiwxMi8zMS8xOTgwLDEyLzMxLzIwMDksQVkp&amp;WINDOW=FIRST_POPUP&amp;HEIGHT=450&amp;WI","DTH=450&amp;START_MAXIMIZED=FALSE&amp;VAR:CALENDAR=US&amp;VAR:SYMBOL=ARJ&amp;VAR:INDEX=22"}</definedName>
    <definedName name="_189__FDSAUDITLINK__" hidden="1">{"fdsup://directions/FAT Viewer?action=UPDATE&amp;creator=factset&amp;DYN_ARGS=TRUE&amp;DOC_NAME=FAT:FQL_AUDITING_CLIENT_TEMPLATE.FAT&amp;display_string=Audit&amp;VAR:KEY=OXOFCDKBIJ&amp;VAR:QUERY=Q1NGX0RFQlQoQU5OLDkvMzEvMTk4MCwwKQ==&amp;WINDOW=FIRST_POPUP&amp;HEIGHT=450&amp;WIDTH=450&amp;START_MA","XIMIZED=FALSE&amp;VAR:CALENDAR=US&amp;VAR:SYMBOL=APD&amp;VAR:INDEX=20"}</definedName>
    <definedName name="_1890__FDSAUDITLINK__" hidden="1">{"fdsup://directions/FAT Viewer?action=UPDATE&amp;creator=factset&amp;DYN_ARGS=TRUE&amp;DOC_NAME=FAT:FQL_AUDITING_CLIENT_TEMPLATE.FAT&amp;display_string=Audit&amp;VAR:KEY=IHUZWZULGP&amp;VAR:QUERY=Q1NGX1NBTEVTKEFOTiwxMi8zMS8xOTgwLDEyLzMxLzIwMDksQVkp&amp;WINDOW=FIRST_POPUP&amp;HEIGHT=450&amp;WI","DTH=450&amp;START_MAXIMIZED=FALSE&amp;VAR:CALENDAR=US&amp;VAR:SYMBOL=ARJ&amp;VAR:INDEX=21"}</definedName>
    <definedName name="_1891__FDSAUDITLINK__" hidden="1">{"fdsup://directions/FAT Viewer?action=UPDATE&amp;creator=factset&amp;DYN_ARGS=TRUE&amp;DOC_NAME=FAT:FQL_AUDITING_CLIENT_TEMPLATE.FAT&amp;display_string=Audit&amp;VAR:KEY=IHUZWZULGP&amp;VAR:QUERY=Q1NGX1NBTEVTKEFOTiwxMi8zMS8xOTgwLDEyLzMxLzIwMDksQVkp&amp;WINDOW=FIRST_POPUP&amp;HEIGHT=450&amp;WI","DTH=450&amp;START_MAXIMIZED=FALSE&amp;VAR:CALENDAR=US&amp;VAR:SYMBOL=ARJ&amp;VAR:INDEX=20"}</definedName>
    <definedName name="_1892__FDSAUDITLINK__" hidden="1">{"fdsup://directions/FAT Viewer?action=UPDATE&amp;creator=factset&amp;DYN_ARGS=TRUE&amp;DOC_NAME=FAT:FQL_AUDITING_CLIENT_TEMPLATE.FAT&amp;display_string=Audit&amp;VAR:KEY=IHUZWZULGP&amp;VAR:QUERY=Q1NGX1NBTEVTKEFOTiwxMi8zMS8xOTgwLDEyLzMxLzIwMDksQVkp&amp;WINDOW=FIRST_POPUP&amp;HEIGHT=450&amp;WI","DTH=450&amp;START_MAXIMIZED=FALSE&amp;VAR:CALENDAR=US&amp;VAR:SYMBOL=ARJ&amp;VAR:INDEX=19"}</definedName>
    <definedName name="_1893__FDSAUDITLINK__" hidden="1">{"fdsup://directions/FAT Viewer?action=UPDATE&amp;creator=factset&amp;DYN_ARGS=TRUE&amp;DOC_NAME=FAT:FQL_AUDITING_CLIENT_TEMPLATE.FAT&amp;display_string=Audit&amp;VAR:KEY=IHUZWZULGP&amp;VAR:QUERY=Q1NGX1NBTEVTKEFOTiwxMi8zMS8xOTgwLDEyLzMxLzIwMDksQVkp&amp;WINDOW=FIRST_POPUP&amp;HEIGHT=450&amp;WI","DTH=450&amp;START_MAXIMIZED=FALSE&amp;VAR:CALENDAR=US&amp;VAR:SYMBOL=ARJ&amp;VAR:INDEX=18"}</definedName>
    <definedName name="_1894__FDSAUDITLINK__" hidden="1">{"fdsup://directions/FAT Viewer?action=UPDATE&amp;creator=factset&amp;DYN_ARGS=TRUE&amp;DOC_NAME=FAT:FQL_AUDITING_CLIENT_TEMPLATE.FAT&amp;display_string=Audit&amp;VAR:KEY=IHUZWZULGP&amp;VAR:QUERY=Q1NGX1NBTEVTKEFOTiwxMi8zMS8xOTgwLDEyLzMxLzIwMDksQVkp&amp;WINDOW=FIRST_POPUP&amp;HEIGHT=450&amp;WI","DTH=450&amp;START_MAXIMIZED=FALSE&amp;VAR:CALENDAR=US&amp;VAR:SYMBOL=ARJ&amp;VAR:INDEX=17"}</definedName>
    <definedName name="_1895__FDSAUDITLINK__" hidden="1">{"fdsup://directions/FAT Viewer?action=UPDATE&amp;creator=factset&amp;DYN_ARGS=TRUE&amp;DOC_NAME=FAT:FQL_AUDITING_CLIENT_TEMPLATE.FAT&amp;display_string=Audit&amp;VAR:KEY=IHUZWZULGP&amp;VAR:QUERY=Q1NGX1NBTEVTKEFOTiwxMi8zMS8xOTgwLDEyLzMxLzIwMDksQVkp&amp;WINDOW=FIRST_POPUP&amp;HEIGHT=450&amp;WI","DTH=450&amp;START_MAXIMIZED=FALSE&amp;VAR:CALENDAR=US&amp;VAR:SYMBOL=ARJ&amp;VAR:INDEX=16"}</definedName>
    <definedName name="_1896__FDSAUDITLINK__" hidden="1">{"fdsup://directions/FAT Viewer?action=UPDATE&amp;creator=factset&amp;DYN_ARGS=TRUE&amp;DOC_NAME=FAT:FQL_AUDITING_CLIENT_TEMPLATE.FAT&amp;display_string=Audit&amp;VAR:KEY=IHUZWZULGP&amp;VAR:QUERY=Q1NGX1NBTEVTKEFOTiwxMi8zMS8xOTgwLDEyLzMxLzIwMDksQVkp&amp;WINDOW=FIRST_POPUP&amp;HEIGHT=450&amp;WI","DTH=450&amp;START_MAXIMIZED=FALSE&amp;VAR:CALENDAR=US&amp;VAR:SYMBOL=ARJ&amp;VAR:INDEX=15"}</definedName>
    <definedName name="_1897__FDSAUDITLINK__" hidden="1">{"fdsup://directions/FAT Viewer?action=UPDATE&amp;creator=factset&amp;DYN_ARGS=TRUE&amp;DOC_NAME=FAT:FQL_AUDITING_CLIENT_TEMPLATE.FAT&amp;display_string=Audit&amp;VAR:KEY=IHUZWZULGP&amp;VAR:QUERY=Q1NGX1NBTEVTKEFOTiwxMi8zMS8xOTgwLDEyLzMxLzIwMDksQVkp&amp;WINDOW=FIRST_POPUP&amp;HEIGHT=450&amp;WI","DTH=450&amp;START_MAXIMIZED=FALSE&amp;VAR:CALENDAR=US&amp;VAR:SYMBOL=ARJ&amp;VAR:INDEX=14"}</definedName>
    <definedName name="_1898__FDSAUDITLINK__" hidden="1">{"fdsup://directions/FAT Viewer?action=UPDATE&amp;creator=factset&amp;DYN_ARGS=TRUE&amp;DOC_NAME=FAT:FQL_AUDITING_CLIENT_TEMPLATE.FAT&amp;display_string=Audit&amp;VAR:KEY=IHUZWZULGP&amp;VAR:QUERY=Q1NGX1NBTEVTKEFOTiwxMi8zMS8xOTgwLDEyLzMxLzIwMDksQVkp&amp;WINDOW=FIRST_POPUP&amp;HEIGHT=450&amp;WI","DTH=450&amp;START_MAXIMIZED=FALSE&amp;VAR:CALENDAR=US&amp;VAR:SYMBOL=ARJ&amp;VAR:INDEX=13"}</definedName>
    <definedName name="_1899__FDSAUDITLINK__" hidden="1">{"fdsup://directions/FAT Viewer?action=UPDATE&amp;creator=factset&amp;DYN_ARGS=TRUE&amp;DOC_NAME=FAT:FQL_AUDITING_CLIENT_TEMPLATE.FAT&amp;display_string=Audit&amp;VAR:KEY=IHUZWZULGP&amp;VAR:QUERY=Q1NGX1NBTEVTKEFOTiwxMi8zMS8xOTgwLDEyLzMxLzIwMDksQVkp&amp;WINDOW=FIRST_POPUP&amp;HEIGHT=450&amp;WI","DTH=450&amp;START_MAXIMIZED=FALSE&amp;VAR:CALENDAR=US&amp;VAR:SYMBOL=ARJ&amp;VAR:INDEX=12"}</definedName>
    <definedName name="_19__FDSAUDITLINK__" hidden="1">{"fdsup://directions/FAT Viewer?action=UPDATE&amp;creator=factset&amp;DYN_ARGS=TRUE&amp;DOC_NAME=FAT:FQL_AUDITING_CLIENT_TEMPLATE.FAT&amp;display_string=Audit&amp;VAR:KEY=QZMTMLQNSF&amp;VAR:QUERY=Q1NGX0dST1NTX0lOQyhRVFJfUiwtM0FZLDAsRlEp&amp;WINDOW=FIRST_POPUP&amp;HEIGHT=450&amp;WIDTH=450&amp;STAR","T_MAXIMIZED=FALSE&amp;VAR:CALENDAR=US&amp;VAR:SYMBOL=CE&amp;VAR:INDEX=7"}</definedName>
    <definedName name="_190__FDSAUDITLINK__" hidden="1">{"fdsup://directions/FAT Viewer?action=UPDATE&amp;creator=factset&amp;DYN_ARGS=TRUE&amp;DOC_NAME=FAT:FQL_AUDITING_CLIENT_TEMPLATE.FAT&amp;display_string=Audit&amp;VAR:KEY=OXOFCDKBIJ&amp;VAR:QUERY=Q1NGX0RFQlQoQU5OLDkvMzEvMTk4MCwwKQ==&amp;WINDOW=FIRST_POPUP&amp;HEIGHT=450&amp;WIDTH=450&amp;START_MA","XIMIZED=FALSE&amp;VAR:CALENDAR=US&amp;VAR:SYMBOL=APD&amp;VAR:INDEX=19"}</definedName>
    <definedName name="_1900__FDSAUDITLINK__" hidden="1">{"fdsup://directions/FAT Viewer?action=UPDATE&amp;creator=factset&amp;DYN_ARGS=TRUE&amp;DOC_NAME=FAT:FQL_AUDITING_CLIENT_TEMPLATE.FAT&amp;display_string=Audit&amp;VAR:KEY=IHUZWZULGP&amp;VAR:QUERY=Q1NGX1NBTEVTKEFOTiwxMi8zMS8xOTgwLDEyLzMxLzIwMDksQVkp&amp;WINDOW=FIRST_POPUP&amp;HEIGHT=450&amp;WI","DTH=450&amp;START_MAXIMIZED=FALSE&amp;VAR:CALENDAR=US&amp;VAR:SYMBOL=ARJ&amp;VAR:INDEX=11"}</definedName>
    <definedName name="_1901__FDSAUDITLINK__" hidden="1">{"fdsup://directions/FAT Viewer?action=UPDATE&amp;creator=factset&amp;DYN_ARGS=TRUE&amp;DOC_NAME=FAT:FQL_AUDITING_CLIENT_TEMPLATE.FAT&amp;display_string=Audit&amp;VAR:KEY=IHUZWZULGP&amp;VAR:QUERY=Q1NGX1NBTEVTKEFOTiwxMi8zMS8xOTgwLDEyLzMxLzIwMDksQVkp&amp;WINDOW=FIRST_POPUP&amp;HEIGHT=450&amp;WI","DTH=450&amp;START_MAXIMIZED=FALSE&amp;VAR:CALENDAR=US&amp;VAR:SYMBOL=ARJ&amp;VAR:INDEX=10"}</definedName>
    <definedName name="_1902__FDSAUDITLINK__" hidden="1">{"fdsup://directions/FAT Viewer?action=UPDATE&amp;creator=factset&amp;DYN_ARGS=TRUE&amp;DOC_NAME=FAT:FQL_AUDITING_CLIENT_TEMPLATE.FAT&amp;display_string=Audit&amp;VAR:KEY=IHUZWZULGP&amp;VAR:QUERY=Q1NGX1NBTEVTKEFOTiwxMi8zMS8xOTgwLDEyLzMxLzIwMDksQVkp&amp;WINDOW=FIRST_POPUP&amp;HEIGHT=450&amp;WI","DTH=450&amp;START_MAXIMIZED=FALSE&amp;VAR:CALENDAR=US&amp;VAR:SYMBOL=ARJ&amp;VAR:INDEX=9"}</definedName>
    <definedName name="_1903__FDSAUDITLINK__" hidden="1">{"fdsup://directions/FAT Viewer?action=UPDATE&amp;creator=factset&amp;DYN_ARGS=TRUE&amp;DOC_NAME=FAT:FQL_AUDITING_CLIENT_TEMPLATE.FAT&amp;display_string=Audit&amp;VAR:KEY=IHUZWZULGP&amp;VAR:QUERY=Q1NGX1NBTEVTKEFOTiwxMi8zMS8xOTgwLDEyLzMxLzIwMDksQVkp&amp;WINDOW=FIRST_POPUP&amp;HEIGHT=450&amp;WI","DTH=450&amp;START_MAXIMIZED=FALSE&amp;VAR:CALENDAR=US&amp;VAR:SYMBOL=ARJ&amp;VAR:INDEX=8"}</definedName>
    <definedName name="_1904__FDSAUDITLINK__" hidden="1">{"fdsup://directions/FAT Viewer?action=UPDATE&amp;creator=factset&amp;DYN_ARGS=TRUE&amp;DOC_NAME=FAT:FQL_AUDITING_CLIENT_TEMPLATE.FAT&amp;display_string=Audit&amp;VAR:KEY=IHUZWZULGP&amp;VAR:QUERY=Q1NGX1NBTEVTKEFOTiwxMi8zMS8xOTgwLDEyLzMxLzIwMDksQVkp&amp;WINDOW=FIRST_POPUP&amp;HEIGHT=450&amp;WI","DTH=450&amp;START_MAXIMIZED=FALSE&amp;VAR:CALENDAR=US&amp;VAR:SYMBOL=ARJ&amp;VAR:INDEX=7"}</definedName>
    <definedName name="_1905__FDSAUDITLINK__" hidden="1">{"fdsup://directions/FAT Viewer?action=UPDATE&amp;creator=factset&amp;DYN_ARGS=TRUE&amp;DOC_NAME=FAT:FQL_AUDITING_CLIENT_TEMPLATE.FAT&amp;display_string=Audit&amp;VAR:KEY=IHUZWZULGP&amp;VAR:QUERY=Q1NGX1NBTEVTKEFOTiwxMi8zMS8xOTgwLDEyLzMxLzIwMDksQVkp&amp;WINDOW=FIRST_POPUP&amp;HEIGHT=450&amp;WI","DTH=450&amp;START_MAXIMIZED=FALSE&amp;VAR:CALENDAR=US&amp;VAR:SYMBOL=ARJ&amp;VAR:INDEX=6"}</definedName>
    <definedName name="_1906__FDSAUDITLINK__" hidden="1">{"fdsup://directions/FAT Viewer?action=UPDATE&amp;creator=factset&amp;DYN_ARGS=TRUE&amp;DOC_NAME=FAT:FQL_AUDITING_CLIENT_TEMPLATE.FAT&amp;display_string=Audit&amp;VAR:KEY=IHUZWZULGP&amp;VAR:QUERY=Q1NGX1NBTEVTKEFOTiwxMi8zMS8xOTgwLDEyLzMxLzIwMDksQVkp&amp;WINDOW=FIRST_POPUP&amp;HEIGHT=450&amp;WI","DTH=450&amp;START_MAXIMIZED=FALSE&amp;VAR:CALENDAR=US&amp;VAR:SYMBOL=ARJ&amp;VAR:INDEX=5"}</definedName>
    <definedName name="_1907__FDSAUDITLINK__" hidden="1">{"fdsup://directions/FAT Viewer?action=UPDATE&amp;creator=factset&amp;DYN_ARGS=TRUE&amp;DOC_NAME=FAT:FQL_AUDITING_CLIENT_TEMPLATE.FAT&amp;display_string=Audit&amp;VAR:KEY=IHUZWZULGP&amp;VAR:QUERY=Q1NGX1NBTEVTKEFOTiwxMi8zMS8xOTgwLDEyLzMxLzIwMDksQVkp&amp;WINDOW=FIRST_POPUP&amp;HEIGHT=450&amp;WI","DTH=450&amp;START_MAXIMIZED=FALSE&amp;VAR:CALENDAR=US&amp;VAR:SYMBOL=ARJ&amp;VAR:INDEX=4"}</definedName>
    <definedName name="_1908__FDSAUDITLINK__" hidden="1">{"fdsup://directions/FAT Viewer?action=UPDATE&amp;creator=factset&amp;DYN_ARGS=TRUE&amp;DOC_NAME=FAT:FQL_AUDITING_CLIENT_TEMPLATE.FAT&amp;display_string=Audit&amp;VAR:KEY=IHUZWZULGP&amp;VAR:QUERY=Q1NGX1NBTEVTKEFOTiwxMi8zMS8xOTgwLDEyLzMxLzIwMDksQVkp&amp;WINDOW=FIRST_POPUP&amp;HEIGHT=450&amp;WI","DTH=450&amp;START_MAXIMIZED=FALSE&amp;VAR:CALENDAR=US&amp;VAR:SYMBOL=ARJ&amp;VAR:INDEX=3"}</definedName>
    <definedName name="_1909__FDSAUDITLINK__" hidden="1">{"fdsup://directions/FAT Viewer?action=UPDATE&amp;creator=factset&amp;DYN_ARGS=TRUE&amp;DOC_NAME=FAT:FQL_AUDITING_CLIENT_TEMPLATE.FAT&amp;display_string=Audit&amp;VAR:KEY=IHUZWZULGP&amp;VAR:QUERY=Q1NGX1NBTEVTKEFOTiwxMi8zMS8xOTgwLDEyLzMxLzIwMDksQVkp&amp;WINDOW=FIRST_POPUP&amp;HEIGHT=450&amp;WI","DTH=450&amp;START_MAXIMIZED=FALSE&amp;VAR:CALENDAR=US&amp;VAR:SYMBOL=ARJ&amp;VAR:INDEX=2"}</definedName>
    <definedName name="_191__FDSAUDITLINK__" hidden="1">{"fdsup://directions/FAT Viewer?action=UPDATE&amp;creator=factset&amp;DYN_ARGS=TRUE&amp;DOC_NAME=FAT:FQL_AUDITING_CLIENT_TEMPLATE.FAT&amp;display_string=Audit&amp;VAR:KEY=OXOFCDKBIJ&amp;VAR:QUERY=Q1NGX0RFQlQoQU5OLDkvMzEvMTk4MCwwKQ==&amp;WINDOW=FIRST_POPUP&amp;HEIGHT=450&amp;WIDTH=450&amp;START_MA","XIMIZED=FALSE&amp;VAR:CALENDAR=US&amp;VAR:SYMBOL=APD&amp;VAR:INDEX=18"}</definedName>
    <definedName name="_1910__FDSAUDITLINK__" hidden="1">{"fdsup://directions/FAT Viewer?action=UPDATE&amp;creator=factset&amp;DYN_ARGS=TRUE&amp;DOC_NAME=FAT:FQL_AUDITING_CLIENT_TEMPLATE.FAT&amp;display_string=Audit&amp;VAR:KEY=IHUZWZULGP&amp;VAR:QUERY=Q1NGX1NBTEVTKEFOTiwxMi8zMS8xOTgwLDEyLzMxLzIwMDksQVkp&amp;WINDOW=FIRST_POPUP&amp;HEIGHT=450&amp;WI","DTH=450&amp;START_MAXIMIZED=FALSE&amp;VAR:CALENDAR=US&amp;VAR:SYMBOL=ARJ&amp;VAR:INDEX=1"}</definedName>
    <definedName name="_1911__FDSAUDITLINK__" hidden="1">{"fdsup://directions/FAT Viewer?action=UPDATE&amp;creator=factset&amp;DYN_ARGS=TRUE&amp;DOC_NAME=FAT:FQL_AUDITING_CLIENT_TEMPLATE.FAT&amp;display_string=Audit&amp;VAR:KEY=IHUZWZULGP&amp;VAR:QUERY=Q1NGX1NBTEVTKEFOTiwxMi8zMS8xOTgwLDEyLzMxLzIwMDksQVkp&amp;WINDOW=FIRST_POPUP&amp;HEIGHT=450&amp;WI","DTH=450&amp;START_MAXIMIZED=FALSE&amp;VAR:CALENDAR=US&amp;VAR:SYMBOL=ARJ&amp;VAR:INDEX=0"}</definedName>
    <definedName name="_1912__FDSAUDITLINK__" hidden="1">{"fdsup://directions/FAT Viewer?action=UPDATE&amp;creator=factset&amp;DYN_ARGS=TRUE&amp;DOC_NAME=FAT:FQL_AUDITING_CLIENT_TEMPLATE.FAT&amp;display_string=Audit&amp;VAR:KEY=YTIHKVSPKX&amp;VAR:QUERY=Q1NGX1NBTEVTKEFOTiwxMi8zMS8xOTgwLDEyLzMxLzIwMDksQVkp&amp;WINDOW=FIRST_POPUP&amp;HEIGHT=450&amp;WI","DTH=450&amp;START_MAXIMIZED=FALSE&amp;VAR:CALENDAR=US&amp;VAR:SYMBOL=ALB&amp;VAR:INDEX=29"}</definedName>
    <definedName name="_1913__FDSAUDITLINK__" hidden="1">{"fdsup://directions/FAT Viewer?action=UPDATE&amp;creator=factset&amp;DYN_ARGS=TRUE&amp;DOC_NAME=FAT:FQL_AUDITING_CLIENT_TEMPLATE.FAT&amp;display_string=Audit&amp;VAR:KEY=YTIHKVSPKX&amp;VAR:QUERY=Q1NGX1NBTEVTKEFOTiwxMi8zMS8xOTgwLDEyLzMxLzIwMDksQVkp&amp;WINDOW=FIRST_POPUP&amp;HEIGHT=450&amp;WI","DTH=450&amp;START_MAXIMIZED=FALSE&amp;VAR:CALENDAR=US&amp;VAR:SYMBOL=ALB&amp;VAR:INDEX=28"}</definedName>
    <definedName name="_1914__FDSAUDITLINK__" hidden="1">{"fdsup://directions/FAT Viewer?action=UPDATE&amp;creator=factset&amp;DYN_ARGS=TRUE&amp;DOC_NAME=FAT:FQL_AUDITING_CLIENT_TEMPLATE.FAT&amp;display_string=Audit&amp;VAR:KEY=YTIHKVSPKX&amp;VAR:QUERY=Q1NGX1NBTEVTKEFOTiwxMi8zMS8xOTgwLDEyLzMxLzIwMDksQVkp&amp;WINDOW=FIRST_POPUP&amp;HEIGHT=450&amp;WI","DTH=450&amp;START_MAXIMIZED=FALSE&amp;VAR:CALENDAR=US&amp;VAR:SYMBOL=ALB&amp;VAR:INDEX=27"}</definedName>
    <definedName name="_1915__FDSAUDITLINK__" hidden="1">{"fdsup://directions/FAT Viewer?action=UPDATE&amp;creator=factset&amp;DYN_ARGS=TRUE&amp;DOC_NAME=FAT:FQL_AUDITING_CLIENT_TEMPLATE.FAT&amp;display_string=Audit&amp;VAR:KEY=YTIHKVSPKX&amp;VAR:QUERY=Q1NGX1NBTEVTKEFOTiwxMi8zMS8xOTgwLDEyLzMxLzIwMDksQVkp&amp;WINDOW=FIRST_POPUP&amp;HEIGHT=450&amp;WI","DTH=450&amp;START_MAXIMIZED=FALSE&amp;VAR:CALENDAR=US&amp;VAR:SYMBOL=ALB&amp;VAR:INDEX=26"}</definedName>
    <definedName name="_1916__FDSAUDITLINK__" hidden="1">{"fdsup://directions/FAT Viewer?action=UPDATE&amp;creator=factset&amp;DYN_ARGS=TRUE&amp;DOC_NAME=FAT:FQL_AUDITING_CLIENT_TEMPLATE.FAT&amp;display_string=Audit&amp;VAR:KEY=YTIHKVSPKX&amp;VAR:QUERY=Q1NGX1NBTEVTKEFOTiwxMi8zMS8xOTgwLDEyLzMxLzIwMDksQVkp&amp;WINDOW=FIRST_POPUP&amp;HEIGHT=450&amp;WI","DTH=450&amp;START_MAXIMIZED=FALSE&amp;VAR:CALENDAR=US&amp;VAR:SYMBOL=ALB&amp;VAR:INDEX=25"}</definedName>
    <definedName name="_1917__FDSAUDITLINK__" hidden="1">{"fdsup://directions/FAT Viewer?action=UPDATE&amp;creator=factset&amp;DYN_ARGS=TRUE&amp;DOC_NAME=FAT:FQL_AUDITING_CLIENT_TEMPLATE.FAT&amp;display_string=Audit&amp;VAR:KEY=YTIHKVSPKX&amp;VAR:QUERY=Q1NGX1NBTEVTKEFOTiwxMi8zMS8xOTgwLDEyLzMxLzIwMDksQVkp&amp;WINDOW=FIRST_POPUP&amp;HEIGHT=450&amp;WI","DTH=450&amp;START_MAXIMIZED=FALSE&amp;VAR:CALENDAR=US&amp;VAR:SYMBOL=ALB&amp;VAR:INDEX=24"}</definedName>
    <definedName name="_1918__FDSAUDITLINK__" hidden="1">{"fdsup://directions/FAT Viewer?action=UPDATE&amp;creator=factset&amp;DYN_ARGS=TRUE&amp;DOC_NAME=FAT:FQL_AUDITING_CLIENT_TEMPLATE.FAT&amp;display_string=Audit&amp;VAR:KEY=YTIHKVSPKX&amp;VAR:QUERY=Q1NGX1NBTEVTKEFOTiwxMi8zMS8xOTgwLDEyLzMxLzIwMDksQVkp&amp;WINDOW=FIRST_POPUP&amp;HEIGHT=450&amp;WI","DTH=450&amp;START_MAXIMIZED=FALSE&amp;VAR:CALENDAR=US&amp;VAR:SYMBOL=ALB&amp;VAR:INDEX=23"}</definedName>
    <definedName name="_1919__FDSAUDITLINK__" hidden="1">{"fdsup://directions/FAT Viewer?action=UPDATE&amp;creator=factset&amp;DYN_ARGS=TRUE&amp;DOC_NAME=FAT:FQL_AUDITING_CLIENT_TEMPLATE.FAT&amp;display_string=Audit&amp;VAR:KEY=YTIHKVSPKX&amp;VAR:QUERY=Q1NGX1NBTEVTKEFOTiwxMi8zMS8xOTgwLDEyLzMxLzIwMDksQVkp&amp;WINDOW=FIRST_POPUP&amp;HEIGHT=450&amp;WI","DTH=450&amp;START_MAXIMIZED=FALSE&amp;VAR:CALENDAR=US&amp;VAR:SYMBOL=ALB&amp;VAR:INDEX=22"}</definedName>
    <definedName name="_192__FDSAUDITLINK__" hidden="1">{"fdsup://directions/FAT Viewer?action=UPDATE&amp;creator=factset&amp;DYN_ARGS=TRUE&amp;DOC_NAME=FAT:FQL_AUDITING_CLIENT_TEMPLATE.FAT&amp;display_string=Audit&amp;VAR:KEY=OXOFCDKBIJ&amp;VAR:QUERY=Q1NGX0RFQlQoQU5OLDkvMzEvMTk4MCwwKQ==&amp;WINDOW=FIRST_POPUP&amp;HEIGHT=450&amp;WIDTH=450&amp;START_MA","XIMIZED=FALSE&amp;VAR:CALENDAR=US&amp;VAR:SYMBOL=APD&amp;VAR:INDEX=17"}</definedName>
    <definedName name="_1920__FDSAUDITLINK__" hidden="1">{"fdsup://directions/FAT Viewer?action=UPDATE&amp;creator=factset&amp;DYN_ARGS=TRUE&amp;DOC_NAME=FAT:FQL_AUDITING_CLIENT_TEMPLATE.FAT&amp;display_string=Audit&amp;VAR:KEY=YTIHKVSPKX&amp;VAR:QUERY=Q1NGX1NBTEVTKEFOTiwxMi8zMS8xOTgwLDEyLzMxLzIwMDksQVkp&amp;WINDOW=FIRST_POPUP&amp;HEIGHT=450&amp;WI","DTH=450&amp;START_MAXIMIZED=FALSE&amp;VAR:CALENDAR=US&amp;VAR:SYMBOL=ALB&amp;VAR:INDEX=21"}</definedName>
    <definedName name="_1921__FDSAUDITLINK__" hidden="1">{"fdsup://directions/FAT Viewer?action=UPDATE&amp;creator=factset&amp;DYN_ARGS=TRUE&amp;DOC_NAME=FAT:FQL_AUDITING_CLIENT_TEMPLATE.FAT&amp;display_string=Audit&amp;VAR:KEY=YTIHKVSPKX&amp;VAR:QUERY=Q1NGX1NBTEVTKEFOTiwxMi8zMS8xOTgwLDEyLzMxLzIwMDksQVkp&amp;WINDOW=FIRST_POPUP&amp;HEIGHT=450&amp;WI","DTH=450&amp;START_MAXIMIZED=FALSE&amp;VAR:CALENDAR=US&amp;VAR:SYMBOL=ALB&amp;VAR:INDEX=20"}</definedName>
    <definedName name="_1922__FDSAUDITLINK__" hidden="1">{"fdsup://directions/FAT Viewer?action=UPDATE&amp;creator=factset&amp;DYN_ARGS=TRUE&amp;DOC_NAME=FAT:FQL_AUDITING_CLIENT_TEMPLATE.FAT&amp;display_string=Audit&amp;VAR:KEY=YTIHKVSPKX&amp;VAR:QUERY=Q1NGX1NBTEVTKEFOTiwxMi8zMS8xOTgwLDEyLzMxLzIwMDksQVkp&amp;WINDOW=FIRST_POPUP&amp;HEIGHT=450&amp;WI","DTH=450&amp;START_MAXIMIZED=FALSE&amp;VAR:CALENDAR=US&amp;VAR:SYMBOL=ALB&amp;VAR:INDEX=19"}</definedName>
    <definedName name="_1923__FDSAUDITLINK__" hidden="1">{"fdsup://directions/FAT Viewer?action=UPDATE&amp;creator=factset&amp;DYN_ARGS=TRUE&amp;DOC_NAME=FAT:FQL_AUDITING_CLIENT_TEMPLATE.FAT&amp;display_string=Audit&amp;VAR:KEY=YTIHKVSPKX&amp;VAR:QUERY=Q1NGX1NBTEVTKEFOTiwxMi8zMS8xOTgwLDEyLzMxLzIwMDksQVkp&amp;WINDOW=FIRST_POPUP&amp;HEIGHT=450&amp;WI","DTH=450&amp;START_MAXIMIZED=FALSE&amp;VAR:CALENDAR=US&amp;VAR:SYMBOL=ALB&amp;VAR:INDEX=18"}</definedName>
    <definedName name="_1924__FDSAUDITLINK__" hidden="1">{"fdsup://directions/FAT Viewer?action=UPDATE&amp;creator=factset&amp;DYN_ARGS=TRUE&amp;DOC_NAME=FAT:FQL_AUDITING_CLIENT_TEMPLATE.FAT&amp;display_string=Audit&amp;VAR:KEY=YTIHKVSPKX&amp;VAR:QUERY=Q1NGX1NBTEVTKEFOTiwxMi8zMS8xOTgwLDEyLzMxLzIwMDksQVkp&amp;WINDOW=FIRST_POPUP&amp;HEIGHT=450&amp;WI","DTH=450&amp;START_MAXIMIZED=FALSE&amp;VAR:CALENDAR=US&amp;VAR:SYMBOL=ALB&amp;VAR:INDEX=17"}</definedName>
    <definedName name="_1925__FDSAUDITLINK__" hidden="1">{"fdsup://directions/FAT Viewer?action=UPDATE&amp;creator=factset&amp;DYN_ARGS=TRUE&amp;DOC_NAME=FAT:FQL_AUDITING_CLIENT_TEMPLATE.FAT&amp;display_string=Audit&amp;VAR:KEY=YTIHKVSPKX&amp;VAR:QUERY=Q1NGX1NBTEVTKEFOTiwxMi8zMS8xOTgwLDEyLzMxLzIwMDksQVkp&amp;WINDOW=FIRST_POPUP&amp;HEIGHT=450&amp;WI","DTH=450&amp;START_MAXIMIZED=FALSE&amp;VAR:CALENDAR=US&amp;VAR:SYMBOL=ALB&amp;VAR:INDEX=16"}</definedName>
    <definedName name="_1926__FDSAUDITLINK__" hidden="1">{"fdsup://directions/FAT Viewer?action=UPDATE&amp;creator=factset&amp;DYN_ARGS=TRUE&amp;DOC_NAME=FAT:FQL_AUDITING_CLIENT_TEMPLATE.FAT&amp;display_string=Audit&amp;VAR:KEY=YTIHKVSPKX&amp;VAR:QUERY=Q1NGX1NBTEVTKEFOTiwxMi8zMS8xOTgwLDEyLzMxLzIwMDksQVkp&amp;WINDOW=FIRST_POPUP&amp;HEIGHT=450&amp;WI","DTH=450&amp;START_MAXIMIZED=FALSE&amp;VAR:CALENDAR=US&amp;VAR:SYMBOL=ALB&amp;VAR:INDEX=15"}</definedName>
    <definedName name="_1927__FDSAUDITLINK__" hidden="1">{"fdsup://directions/FAT Viewer?action=UPDATE&amp;creator=factset&amp;DYN_ARGS=TRUE&amp;DOC_NAME=FAT:FQL_AUDITING_CLIENT_TEMPLATE.FAT&amp;display_string=Audit&amp;VAR:KEY=YTIHKVSPKX&amp;VAR:QUERY=Q1NGX1NBTEVTKEFOTiwxMi8zMS8xOTgwLDEyLzMxLzIwMDksQVkp&amp;WINDOW=FIRST_POPUP&amp;HEIGHT=450&amp;WI","DTH=450&amp;START_MAXIMIZED=FALSE&amp;VAR:CALENDAR=US&amp;VAR:SYMBOL=ALB&amp;VAR:INDEX=14"}</definedName>
    <definedName name="_1928__FDSAUDITLINK__" hidden="1">{"fdsup://directions/FAT Viewer?action=UPDATE&amp;creator=factset&amp;DYN_ARGS=TRUE&amp;DOC_NAME=FAT:FQL_AUDITING_CLIENT_TEMPLATE.FAT&amp;display_string=Audit&amp;VAR:KEY=YTIHKVSPKX&amp;VAR:QUERY=Q1NGX1NBTEVTKEFOTiwxMi8zMS8xOTgwLDEyLzMxLzIwMDksQVkp&amp;WINDOW=FIRST_POPUP&amp;HEIGHT=450&amp;WI","DTH=450&amp;START_MAXIMIZED=FALSE&amp;VAR:CALENDAR=US&amp;VAR:SYMBOL=ALB&amp;VAR:INDEX=13"}</definedName>
    <definedName name="_1929__FDSAUDITLINK__" hidden="1">{"fdsup://directions/FAT Viewer?action=UPDATE&amp;creator=factset&amp;DYN_ARGS=TRUE&amp;DOC_NAME=FAT:FQL_AUDITING_CLIENT_TEMPLATE.FAT&amp;display_string=Audit&amp;VAR:KEY=YTIHKVSPKX&amp;VAR:QUERY=Q1NGX1NBTEVTKEFOTiwxMi8zMS8xOTgwLDEyLzMxLzIwMDksQVkp&amp;WINDOW=FIRST_POPUP&amp;HEIGHT=450&amp;WI","DTH=450&amp;START_MAXIMIZED=FALSE&amp;VAR:CALENDAR=US&amp;VAR:SYMBOL=ALB&amp;VAR:INDEX=12"}</definedName>
    <definedName name="_193__FDSAUDITLINK__" hidden="1">{"fdsup://directions/FAT Viewer?action=UPDATE&amp;creator=factset&amp;DYN_ARGS=TRUE&amp;DOC_NAME=FAT:FQL_AUDITING_CLIENT_TEMPLATE.FAT&amp;display_string=Audit&amp;VAR:KEY=OXOFCDKBIJ&amp;VAR:QUERY=Q1NGX0RFQlQoQU5OLDkvMzEvMTk4MCwwKQ==&amp;WINDOW=FIRST_POPUP&amp;HEIGHT=450&amp;WIDTH=450&amp;START_MA","XIMIZED=FALSE&amp;VAR:CALENDAR=US&amp;VAR:SYMBOL=APD&amp;VAR:INDEX=16"}</definedName>
    <definedName name="_1930__FDSAUDITLINK__" hidden="1">{"fdsup://directions/FAT Viewer?action=UPDATE&amp;creator=factset&amp;DYN_ARGS=TRUE&amp;DOC_NAME=FAT:FQL_AUDITING_CLIENT_TEMPLATE.FAT&amp;display_string=Audit&amp;VAR:KEY=YTIHKVSPKX&amp;VAR:QUERY=Q1NGX1NBTEVTKEFOTiwxMi8zMS8xOTgwLDEyLzMxLzIwMDksQVkp&amp;WINDOW=FIRST_POPUP&amp;HEIGHT=450&amp;WI","DTH=450&amp;START_MAXIMIZED=FALSE&amp;VAR:CALENDAR=US&amp;VAR:SYMBOL=ALB&amp;VAR:INDEX=11"}</definedName>
    <definedName name="_1931__FDSAUDITLINK__" hidden="1">{"fdsup://directions/FAT Viewer?action=UPDATE&amp;creator=factset&amp;DYN_ARGS=TRUE&amp;DOC_NAME=FAT:FQL_AUDITING_CLIENT_TEMPLATE.FAT&amp;display_string=Audit&amp;VAR:KEY=YTIHKVSPKX&amp;VAR:QUERY=Q1NGX1NBTEVTKEFOTiwxMi8zMS8xOTgwLDEyLzMxLzIwMDksQVkp&amp;WINDOW=FIRST_POPUP&amp;HEIGHT=450&amp;WI","DTH=450&amp;START_MAXIMIZED=FALSE&amp;VAR:CALENDAR=US&amp;VAR:SYMBOL=ALB&amp;VAR:INDEX=10"}</definedName>
    <definedName name="_1932__FDSAUDITLINK__" hidden="1">{"fdsup://directions/FAT Viewer?action=UPDATE&amp;creator=factset&amp;DYN_ARGS=TRUE&amp;DOC_NAME=FAT:FQL_AUDITING_CLIENT_TEMPLATE.FAT&amp;display_string=Audit&amp;VAR:KEY=YTIHKVSPKX&amp;VAR:QUERY=Q1NGX1NBTEVTKEFOTiwxMi8zMS8xOTgwLDEyLzMxLzIwMDksQVkp&amp;WINDOW=FIRST_POPUP&amp;HEIGHT=450&amp;WI","DTH=450&amp;START_MAXIMIZED=FALSE&amp;VAR:CALENDAR=US&amp;VAR:SYMBOL=ALB&amp;VAR:INDEX=9"}</definedName>
    <definedName name="_1933__FDSAUDITLINK__" hidden="1">{"fdsup://directions/FAT Viewer?action=UPDATE&amp;creator=factset&amp;DYN_ARGS=TRUE&amp;DOC_NAME=FAT:FQL_AUDITING_CLIENT_TEMPLATE.FAT&amp;display_string=Audit&amp;VAR:KEY=YTIHKVSPKX&amp;VAR:QUERY=Q1NGX1NBTEVTKEFOTiwxMi8zMS8xOTgwLDEyLzMxLzIwMDksQVkp&amp;WINDOW=FIRST_POPUP&amp;HEIGHT=450&amp;WI","DTH=450&amp;START_MAXIMIZED=FALSE&amp;VAR:CALENDAR=US&amp;VAR:SYMBOL=ALB&amp;VAR:INDEX=8"}</definedName>
    <definedName name="_1934__FDSAUDITLINK__" hidden="1">{"fdsup://directions/FAT Viewer?action=UPDATE&amp;creator=factset&amp;DYN_ARGS=TRUE&amp;DOC_NAME=FAT:FQL_AUDITING_CLIENT_TEMPLATE.FAT&amp;display_string=Audit&amp;VAR:KEY=YTIHKVSPKX&amp;VAR:QUERY=Q1NGX1NBTEVTKEFOTiwxMi8zMS8xOTgwLDEyLzMxLzIwMDksQVkp&amp;WINDOW=FIRST_POPUP&amp;HEIGHT=450&amp;WI","DTH=450&amp;START_MAXIMIZED=FALSE&amp;VAR:CALENDAR=US&amp;VAR:SYMBOL=ALB&amp;VAR:INDEX=7"}</definedName>
    <definedName name="_1935__FDSAUDITLINK__" hidden="1">{"fdsup://directions/FAT Viewer?action=UPDATE&amp;creator=factset&amp;DYN_ARGS=TRUE&amp;DOC_NAME=FAT:FQL_AUDITING_CLIENT_TEMPLATE.FAT&amp;display_string=Audit&amp;VAR:KEY=YTIHKVSPKX&amp;VAR:QUERY=Q1NGX1NBTEVTKEFOTiwxMi8zMS8xOTgwLDEyLzMxLzIwMDksQVkp&amp;WINDOW=FIRST_POPUP&amp;HEIGHT=450&amp;WI","DTH=450&amp;START_MAXIMIZED=FALSE&amp;VAR:CALENDAR=US&amp;VAR:SYMBOL=ALB&amp;VAR:INDEX=6"}</definedName>
    <definedName name="_1936__FDSAUDITLINK__" hidden="1">{"fdsup://directions/FAT Viewer?action=UPDATE&amp;creator=factset&amp;DYN_ARGS=TRUE&amp;DOC_NAME=FAT:FQL_AUDITING_CLIENT_TEMPLATE.FAT&amp;display_string=Audit&amp;VAR:KEY=YTIHKVSPKX&amp;VAR:QUERY=Q1NGX1NBTEVTKEFOTiwxMi8zMS8xOTgwLDEyLzMxLzIwMDksQVkp&amp;WINDOW=FIRST_POPUP&amp;HEIGHT=450&amp;WI","DTH=450&amp;START_MAXIMIZED=FALSE&amp;VAR:CALENDAR=US&amp;VAR:SYMBOL=ALB&amp;VAR:INDEX=5"}</definedName>
    <definedName name="_1937__FDSAUDITLINK__" hidden="1">{"fdsup://directions/FAT Viewer?action=UPDATE&amp;creator=factset&amp;DYN_ARGS=TRUE&amp;DOC_NAME=FAT:FQL_AUDITING_CLIENT_TEMPLATE.FAT&amp;display_string=Audit&amp;VAR:KEY=YTIHKVSPKX&amp;VAR:QUERY=Q1NGX1NBTEVTKEFOTiwxMi8zMS8xOTgwLDEyLzMxLzIwMDksQVkp&amp;WINDOW=FIRST_POPUP&amp;HEIGHT=450&amp;WI","DTH=450&amp;START_MAXIMIZED=FALSE&amp;VAR:CALENDAR=US&amp;VAR:SYMBOL=ALB&amp;VAR:INDEX=4"}</definedName>
    <definedName name="_1938__FDSAUDITLINK__" hidden="1">{"fdsup://directions/FAT Viewer?action=UPDATE&amp;creator=factset&amp;DYN_ARGS=TRUE&amp;DOC_NAME=FAT:FQL_AUDITING_CLIENT_TEMPLATE.FAT&amp;display_string=Audit&amp;VAR:KEY=YTIHKVSPKX&amp;VAR:QUERY=Q1NGX1NBTEVTKEFOTiwxMi8zMS8xOTgwLDEyLzMxLzIwMDksQVkp&amp;WINDOW=FIRST_POPUP&amp;HEIGHT=450&amp;WI","DTH=450&amp;START_MAXIMIZED=FALSE&amp;VAR:CALENDAR=US&amp;VAR:SYMBOL=ALB&amp;VAR:INDEX=3"}</definedName>
    <definedName name="_1939__FDSAUDITLINK__" hidden="1">{"fdsup://directions/FAT Viewer?action=UPDATE&amp;creator=factset&amp;DYN_ARGS=TRUE&amp;DOC_NAME=FAT:FQL_AUDITING_CLIENT_TEMPLATE.FAT&amp;display_string=Audit&amp;VAR:KEY=YTIHKVSPKX&amp;VAR:QUERY=Q1NGX1NBTEVTKEFOTiwxMi8zMS8xOTgwLDEyLzMxLzIwMDksQVkp&amp;WINDOW=FIRST_POPUP&amp;HEIGHT=450&amp;WI","DTH=450&amp;START_MAXIMIZED=FALSE&amp;VAR:CALENDAR=US&amp;VAR:SYMBOL=ALB&amp;VAR:INDEX=2"}</definedName>
    <definedName name="_194__FDSAUDITLINK__" hidden="1">{"fdsup://directions/FAT Viewer?action=UPDATE&amp;creator=factset&amp;DYN_ARGS=TRUE&amp;DOC_NAME=FAT:FQL_AUDITING_CLIENT_TEMPLATE.FAT&amp;display_string=Audit&amp;VAR:KEY=OXOFCDKBIJ&amp;VAR:QUERY=Q1NGX0RFQlQoQU5OLDkvMzEvMTk4MCwwKQ==&amp;WINDOW=FIRST_POPUP&amp;HEIGHT=450&amp;WIDTH=450&amp;START_MA","XIMIZED=FALSE&amp;VAR:CALENDAR=US&amp;VAR:SYMBOL=APD&amp;VAR:INDEX=15"}</definedName>
    <definedName name="_1940__FDSAUDITLINK__" hidden="1">{"fdsup://directions/FAT Viewer?action=UPDATE&amp;creator=factset&amp;DYN_ARGS=TRUE&amp;DOC_NAME=FAT:FQL_AUDITING_CLIENT_TEMPLATE.FAT&amp;display_string=Audit&amp;VAR:KEY=YTIHKVSPKX&amp;VAR:QUERY=Q1NGX1NBTEVTKEFOTiwxMi8zMS8xOTgwLDEyLzMxLzIwMDksQVkp&amp;WINDOW=FIRST_POPUP&amp;HEIGHT=450&amp;WI","DTH=450&amp;START_MAXIMIZED=FALSE&amp;VAR:CALENDAR=US&amp;VAR:SYMBOL=ALB&amp;VAR:INDEX=1"}</definedName>
    <definedName name="_1941__FDSAUDITLINK__" hidden="1">{"fdsup://directions/FAT Viewer?action=UPDATE&amp;creator=factset&amp;DYN_ARGS=TRUE&amp;DOC_NAME=FAT:FQL_AUDITING_CLIENT_TEMPLATE.FAT&amp;display_string=Audit&amp;VAR:KEY=YTIHKVSPKX&amp;VAR:QUERY=Q1NGX1NBTEVTKEFOTiwxMi8zMS8xOTgwLDEyLzMxLzIwMDksQVkp&amp;WINDOW=FIRST_POPUP&amp;HEIGHT=450&amp;WI","DTH=450&amp;START_MAXIMIZED=FALSE&amp;VAR:CALENDAR=US&amp;VAR:SYMBOL=ALB&amp;VAR:INDEX=0"}</definedName>
    <definedName name="_1942__FDSAUDITLINK__" hidden="1">{"fdsup://directions/FAT Viewer?action=UPDATE&amp;creator=factset&amp;DYN_ARGS=TRUE&amp;DOC_NAME=FAT:FQL_AUDITING_CLIENT_TEMPLATE.FAT&amp;display_string=Audit&amp;VAR:KEY=ETUDWNOXER&amp;VAR:QUERY=Q1NGX1NBTEVTKEFOTiwxMi8zMS8yMDA3LDEyLzMxLzIwMDksQVkp&amp;WINDOW=FIRST_POPUP&amp;HEIGHT=450&amp;WI","DTH=450&amp;START_MAXIMIZED=FALSE&amp;VAR:CALENDAR=US&amp;VAR:SYMBOL=LYB&amp;VAR:INDEX=2"}</definedName>
    <definedName name="_1943__FDSAUDITLINK__" hidden="1">{"fdsup://directions/FAT Viewer?action=UPDATE&amp;creator=factset&amp;DYN_ARGS=TRUE&amp;DOC_NAME=FAT:FQL_AUDITING_CLIENT_TEMPLATE.FAT&amp;display_string=Audit&amp;VAR:KEY=ETUDWNOXER&amp;VAR:QUERY=Q1NGX1NBTEVTKEFOTiwxMi8zMS8yMDA3LDEyLzMxLzIwMDksQVkp&amp;WINDOW=FIRST_POPUP&amp;HEIGHT=450&amp;WI","DTH=450&amp;START_MAXIMIZED=FALSE&amp;VAR:CALENDAR=US&amp;VAR:SYMBOL=LYB&amp;VAR:INDEX=1"}</definedName>
    <definedName name="_1944__FDSAUDITLINK__" hidden="1">{"fdsup://directions/FAT Viewer?action=UPDATE&amp;creator=factset&amp;DYN_ARGS=TRUE&amp;DOC_NAME=FAT:FQL_AUDITING_CLIENT_TEMPLATE.FAT&amp;display_string=Audit&amp;VAR:KEY=ETUDWNOXER&amp;VAR:QUERY=Q1NGX1NBTEVTKEFOTiwxMi8zMS8yMDA3LDEyLzMxLzIwMDksQVkp&amp;WINDOW=FIRST_POPUP&amp;HEIGHT=450&amp;WI","DTH=450&amp;START_MAXIMIZED=FALSE&amp;VAR:CALENDAR=US&amp;VAR:SYMBOL=LYB&amp;VAR:INDEX=0"}</definedName>
    <definedName name="_1945__FDSAUDITLINK__" hidden="1">{"fdsup://directions/FAT Viewer?action=UPDATE&amp;creator=factset&amp;DYN_ARGS=TRUE&amp;DOC_NAME=FAT:FQL_AUDITING_CLIENT_TEMPLATE.FAT&amp;display_string=Audit&amp;VAR:KEY=UTCBSRIZIZ&amp;VAR:QUERY=Q1NGX1NBTEVTKEFOTiwxMi8zMS8xOTgwLDEyLzMxLzIwMDYsQVkp&amp;WINDOW=FIRST_POPUP&amp;HEIGHT=450&amp;WI","DTH=450&amp;START_MAXIMIZED=FALSE&amp;VAR:CALENDAR=US&amp;VAR:SYMBOL=LYO&amp;VAR:INDEX=26"}</definedName>
    <definedName name="_1946__FDSAUDITLINK__" hidden="1">{"fdsup://directions/FAT Viewer?action=UPDATE&amp;creator=factset&amp;DYN_ARGS=TRUE&amp;DOC_NAME=FAT:FQL_AUDITING_CLIENT_TEMPLATE.FAT&amp;display_string=Audit&amp;VAR:KEY=UTCBSRIZIZ&amp;VAR:QUERY=Q1NGX1NBTEVTKEFOTiwxMi8zMS8xOTgwLDEyLzMxLzIwMDYsQVkp&amp;WINDOW=FIRST_POPUP&amp;HEIGHT=450&amp;WI","DTH=450&amp;START_MAXIMIZED=FALSE&amp;VAR:CALENDAR=US&amp;VAR:SYMBOL=LYO&amp;VAR:INDEX=25"}</definedName>
    <definedName name="_1947__FDSAUDITLINK__" hidden="1">{"fdsup://directions/FAT Viewer?action=UPDATE&amp;creator=factset&amp;DYN_ARGS=TRUE&amp;DOC_NAME=FAT:FQL_AUDITING_CLIENT_TEMPLATE.FAT&amp;display_string=Audit&amp;VAR:KEY=UTCBSRIZIZ&amp;VAR:QUERY=Q1NGX1NBTEVTKEFOTiwxMi8zMS8xOTgwLDEyLzMxLzIwMDYsQVkp&amp;WINDOW=FIRST_POPUP&amp;HEIGHT=450&amp;WI","DTH=450&amp;START_MAXIMIZED=FALSE&amp;VAR:CALENDAR=US&amp;VAR:SYMBOL=LYO&amp;VAR:INDEX=24"}</definedName>
    <definedName name="_1948__FDSAUDITLINK__" hidden="1">{"fdsup://directions/FAT Viewer?action=UPDATE&amp;creator=factset&amp;DYN_ARGS=TRUE&amp;DOC_NAME=FAT:FQL_AUDITING_CLIENT_TEMPLATE.FAT&amp;display_string=Audit&amp;VAR:KEY=UTCBSRIZIZ&amp;VAR:QUERY=Q1NGX1NBTEVTKEFOTiwxMi8zMS8xOTgwLDEyLzMxLzIwMDYsQVkp&amp;WINDOW=FIRST_POPUP&amp;HEIGHT=450&amp;WI","DTH=450&amp;START_MAXIMIZED=FALSE&amp;VAR:CALENDAR=US&amp;VAR:SYMBOL=LYO&amp;VAR:INDEX=23"}</definedName>
    <definedName name="_1949__FDSAUDITLINK__" hidden="1">{"fdsup://directions/FAT Viewer?action=UPDATE&amp;creator=factset&amp;DYN_ARGS=TRUE&amp;DOC_NAME=FAT:FQL_AUDITING_CLIENT_TEMPLATE.FAT&amp;display_string=Audit&amp;VAR:KEY=UTCBSRIZIZ&amp;VAR:QUERY=Q1NGX1NBTEVTKEFOTiwxMi8zMS8xOTgwLDEyLzMxLzIwMDYsQVkp&amp;WINDOW=FIRST_POPUP&amp;HEIGHT=450&amp;WI","DTH=450&amp;START_MAXIMIZED=FALSE&amp;VAR:CALENDAR=US&amp;VAR:SYMBOL=LYO&amp;VAR:INDEX=22"}</definedName>
    <definedName name="_195__FDSAUDITLINK__" hidden="1">{"fdsup://directions/FAT Viewer?action=UPDATE&amp;creator=factset&amp;DYN_ARGS=TRUE&amp;DOC_NAME=FAT:FQL_AUDITING_CLIENT_TEMPLATE.FAT&amp;display_string=Audit&amp;VAR:KEY=OXOFCDKBIJ&amp;VAR:QUERY=Q1NGX0RFQlQoQU5OLDkvMzEvMTk4MCwwKQ==&amp;WINDOW=FIRST_POPUP&amp;HEIGHT=450&amp;WIDTH=450&amp;START_MA","XIMIZED=FALSE&amp;VAR:CALENDAR=US&amp;VAR:SYMBOL=APD&amp;VAR:INDEX=14"}</definedName>
    <definedName name="_1950__FDSAUDITLINK__" hidden="1">{"fdsup://directions/FAT Viewer?action=UPDATE&amp;creator=factset&amp;DYN_ARGS=TRUE&amp;DOC_NAME=FAT:FQL_AUDITING_CLIENT_TEMPLATE.FAT&amp;display_string=Audit&amp;VAR:KEY=UTCBSRIZIZ&amp;VAR:QUERY=Q1NGX1NBTEVTKEFOTiwxMi8zMS8xOTgwLDEyLzMxLzIwMDYsQVkp&amp;WINDOW=FIRST_POPUP&amp;HEIGHT=450&amp;WI","DTH=450&amp;START_MAXIMIZED=FALSE&amp;VAR:CALENDAR=US&amp;VAR:SYMBOL=LYO&amp;VAR:INDEX=21"}</definedName>
    <definedName name="_1951__FDSAUDITLINK__" hidden="1">{"fdsup://directions/FAT Viewer?action=UPDATE&amp;creator=factset&amp;DYN_ARGS=TRUE&amp;DOC_NAME=FAT:FQL_AUDITING_CLIENT_TEMPLATE.FAT&amp;display_string=Audit&amp;VAR:KEY=UTCBSRIZIZ&amp;VAR:QUERY=Q1NGX1NBTEVTKEFOTiwxMi8zMS8xOTgwLDEyLzMxLzIwMDYsQVkp&amp;WINDOW=FIRST_POPUP&amp;HEIGHT=450&amp;WI","DTH=450&amp;START_MAXIMIZED=FALSE&amp;VAR:CALENDAR=US&amp;VAR:SYMBOL=LYO&amp;VAR:INDEX=20"}</definedName>
    <definedName name="_1952__FDSAUDITLINK__" hidden="1">{"fdsup://directions/FAT Viewer?action=UPDATE&amp;creator=factset&amp;DYN_ARGS=TRUE&amp;DOC_NAME=FAT:FQL_AUDITING_CLIENT_TEMPLATE.FAT&amp;display_string=Audit&amp;VAR:KEY=UTCBSRIZIZ&amp;VAR:QUERY=Q1NGX1NBTEVTKEFOTiwxMi8zMS8xOTgwLDEyLzMxLzIwMDYsQVkp&amp;WINDOW=FIRST_POPUP&amp;HEIGHT=450&amp;WI","DTH=450&amp;START_MAXIMIZED=FALSE&amp;VAR:CALENDAR=US&amp;VAR:SYMBOL=LYO&amp;VAR:INDEX=19"}</definedName>
    <definedName name="_1953__FDSAUDITLINK__" hidden="1">{"fdsup://directions/FAT Viewer?action=UPDATE&amp;creator=factset&amp;DYN_ARGS=TRUE&amp;DOC_NAME=FAT:FQL_AUDITING_CLIENT_TEMPLATE.FAT&amp;display_string=Audit&amp;VAR:KEY=UTCBSRIZIZ&amp;VAR:QUERY=Q1NGX1NBTEVTKEFOTiwxMi8zMS8xOTgwLDEyLzMxLzIwMDYsQVkp&amp;WINDOW=FIRST_POPUP&amp;HEIGHT=450&amp;WI","DTH=450&amp;START_MAXIMIZED=FALSE&amp;VAR:CALENDAR=US&amp;VAR:SYMBOL=LYO&amp;VAR:INDEX=18"}</definedName>
    <definedName name="_1954__FDSAUDITLINK__" hidden="1">{"fdsup://directions/FAT Viewer?action=UPDATE&amp;creator=factset&amp;DYN_ARGS=TRUE&amp;DOC_NAME=FAT:FQL_AUDITING_CLIENT_TEMPLATE.FAT&amp;display_string=Audit&amp;VAR:KEY=UTCBSRIZIZ&amp;VAR:QUERY=Q1NGX1NBTEVTKEFOTiwxMi8zMS8xOTgwLDEyLzMxLzIwMDYsQVkp&amp;WINDOW=FIRST_POPUP&amp;HEIGHT=450&amp;WI","DTH=450&amp;START_MAXIMIZED=FALSE&amp;VAR:CALENDAR=US&amp;VAR:SYMBOL=LYO&amp;VAR:INDEX=17"}</definedName>
    <definedName name="_1955__FDSAUDITLINK__" hidden="1">{"fdsup://directions/FAT Viewer?action=UPDATE&amp;creator=factset&amp;DYN_ARGS=TRUE&amp;DOC_NAME=FAT:FQL_AUDITING_CLIENT_TEMPLATE.FAT&amp;display_string=Audit&amp;VAR:KEY=UTCBSRIZIZ&amp;VAR:QUERY=Q1NGX1NBTEVTKEFOTiwxMi8zMS8xOTgwLDEyLzMxLzIwMDYsQVkp&amp;WINDOW=FIRST_POPUP&amp;HEIGHT=450&amp;WI","DTH=450&amp;START_MAXIMIZED=FALSE&amp;VAR:CALENDAR=US&amp;VAR:SYMBOL=LYO&amp;VAR:INDEX=16"}</definedName>
    <definedName name="_1956__FDSAUDITLINK__" hidden="1">{"fdsup://directions/FAT Viewer?action=UPDATE&amp;creator=factset&amp;DYN_ARGS=TRUE&amp;DOC_NAME=FAT:FQL_AUDITING_CLIENT_TEMPLATE.FAT&amp;display_string=Audit&amp;VAR:KEY=UTCBSRIZIZ&amp;VAR:QUERY=Q1NGX1NBTEVTKEFOTiwxMi8zMS8xOTgwLDEyLzMxLzIwMDYsQVkp&amp;WINDOW=FIRST_POPUP&amp;HEIGHT=450&amp;WI","DTH=450&amp;START_MAXIMIZED=FALSE&amp;VAR:CALENDAR=US&amp;VAR:SYMBOL=LYO&amp;VAR:INDEX=15"}</definedName>
    <definedName name="_1957__FDSAUDITLINK__" hidden="1">{"fdsup://directions/FAT Viewer?action=UPDATE&amp;creator=factset&amp;DYN_ARGS=TRUE&amp;DOC_NAME=FAT:FQL_AUDITING_CLIENT_TEMPLATE.FAT&amp;display_string=Audit&amp;VAR:KEY=UTCBSRIZIZ&amp;VAR:QUERY=Q1NGX1NBTEVTKEFOTiwxMi8zMS8xOTgwLDEyLzMxLzIwMDYsQVkp&amp;WINDOW=FIRST_POPUP&amp;HEIGHT=450&amp;WI","DTH=450&amp;START_MAXIMIZED=FALSE&amp;VAR:CALENDAR=US&amp;VAR:SYMBOL=LYO&amp;VAR:INDEX=14"}</definedName>
    <definedName name="_1958__FDSAUDITLINK__" hidden="1">{"fdsup://directions/FAT Viewer?action=UPDATE&amp;creator=factset&amp;DYN_ARGS=TRUE&amp;DOC_NAME=FAT:FQL_AUDITING_CLIENT_TEMPLATE.FAT&amp;display_string=Audit&amp;VAR:KEY=UTCBSRIZIZ&amp;VAR:QUERY=Q1NGX1NBTEVTKEFOTiwxMi8zMS8xOTgwLDEyLzMxLzIwMDYsQVkp&amp;WINDOW=FIRST_POPUP&amp;HEIGHT=450&amp;WI","DTH=450&amp;START_MAXIMIZED=FALSE&amp;VAR:CALENDAR=US&amp;VAR:SYMBOL=LYO&amp;VAR:INDEX=13"}</definedName>
    <definedName name="_1959__FDSAUDITLINK__" hidden="1">{"fdsup://directions/FAT Viewer?action=UPDATE&amp;creator=factset&amp;DYN_ARGS=TRUE&amp;DOC_NAME=FAT:FQL_AUDITING_CLIENT_TEMPLATE.FAT&amp;display_string=Audit&amp;VAR:KEY=UTCBSRIZIZ&amp;VAR:QUERY=Q1NGX1NBTEVTKEFOTiwxMi8zMS8xOTgwLDEyLzMxLzIwMDYsQVkp&amp;WINDOW=FIRST_POPUP&amp;HEIGHT=450&amp;WI","DTH=450&amp;START_MAXIMIZED=FALSE&amp;VAR:CALENDAR=US&amp;VAR:SYMBOL=LYO&amp;VAR:INDEX=12"}</definedName>
    <definedName name="_196__FDSAUDITLINK__" hidden="1">{"fdsup://directions/FAT Viewer?action=UPDATE&amp;creator=factset&amp;DYN_ARGS=TRUE&amp;DOC_NAME=FAT:FQL_AUDITING_CLIENT_TEMPLATE.FAT&amp;display_string=Audit&amp;VAR:KEY=OXOFCDKBIJ&amp;VAR:QUERY=Q1NGX0RFQlQoQU5OLDkvMzEvMTk4MCwwKQ==&amp;WINDOW=FIRST_POPUP&amp;HEIGHT=450&amp;WIDTH=450&amp;START_MA","XIMIZED=FALSE&amp;VAR:CALENDAR=US&amp;VAR:SYMBOL=APD&amp;VAR:INDEX=13"}</definedName>
    <definedName name="_1960__FDSAUDITLINK__" hidden="1">{"fdsup://directions/FAT Viewer?action=UPDATE&amp;creator=factset&amp;DYN_ARGS=TRUE&amp;DOC_NAME=FAT:FQL_AUDITING_CLIENT_TEMPLATE.FAT&amp;display_string=Audit&amp;VAR:KEY=UTCBSRIZIZ&amp;VAR:QUERY=Q1NGX1NBTEVTKEFOTiwxMi8zMS8xOTgwLDEyLzMxLzIwMDYsQVkp&amp;WINDOW=FIRST_POPUP&amp;HEIGHT=450&amp;WI","DTH=450&amp;START_MAXIMIZED=FALSE&amp;VAR:CALENDAR=US&amp;VAR:SYMBOL=LYO&amp;VAR:INDEX=11"}</definedName>
    <definedName name="_1961__FDSAUDITLINK__" hidden="1">{"fdsup://directions/FAT Viewer?action=UPDATE&amp;creator=factset&amp;DYN_ARGS=TRUE&amp;DOC_NAME=FAT:FQL_AUDITING_CLIENT_TEMPLATE.FAT&amp;display_string=Audit&amp;VAR:KEY=UTCBSRIZIZ&amp;VAR:QUERY=Q1NGX1NBTEVTKEFOTiwxMi8zMS8xOTgwLDEyLzMxLzIwMDYsQVkp&amp;WINDOW=FIRST_POPUP&amp;HEIGHT=450&amp;WI","DTH=450&amp;START_MAXIMIZED=FALSE&amp;VAR:CALENDAR=US&amp;VAR:SYMBOL=LYO&amp;VAR:INDEX=10"}</definedName>
    <definedName name="_1962__FDSAUDITLINK__" hidden="1">{"fdsup://directions/FAT Viewer?action=UPDATE&amp;creator=factset&amp;DYN_ARGS=TRUE&amp;DOC_NAME=FAT:FQL_AUDITING_CLIENT_TEMPLATE.FAT&amp;display_string=Audit&amp;VAR:KEY=UTCBSRIZIZ&amp;VAR:QUERY=Q1NGX1NBTEVTKEFOTiwxMi8zMS8xOTgwLDEyLzMxLzIwMDYsQVkp&amp;WINDOW=FIRST_POPUP&amp;HEIGHT=450&amp;WI","DTH=450&amp;START_MAXIMIZED=FALSE&amp;VAR:CALENDAR=US&amp;VAR:SYMBOL=LYO&amp;VAR:INDEX=9"}</definedName>
    <definedName name="_1963__FDSAUDITLINK__" hidden="1">{"fdsup://directions/FAT Viewer?action=UPDATE&amp;creator=factset&amp;DYN_ARGS=TRUE&amp;DOC_NAME=FAT:FQL_AUDITING_CLIENT_TEMPLATE.FAT&amp;display_string=Audit&amp;VAR:KEY=UTCBSRIZIZ&amp;VAR:QUERY=Q1NGX1NBTEVTKEFOTiwxMi8zMS8xOTgwLDEyLzMxLzIwMDYsQVkp&amp;WINDOW=FIRST_POPUP&amp;HEIGHT=450&amp;WI","DTH=450&amp;START_MAXIMIZED=FALSE&amp;VAR:CALENDAR=US&amp;VAR:SYMBOL=LYO&amp;VAR:INDEX=8"}</definedName>
    <definedName name="_1964__FDSAUDITLINK__" hidden="1">{"fdsup://directions/FAT Viewer?action=UPDATE&amp;creator=factset&amp;DYN_ARGS=TRUE&amp;DOC_NAME=FAT:FQL_AUDITING_CLIENT_TEMPLATE.FAT&amp;display_string=Audit&amp;VAR:KEY=UTCBSRIZIZ&amp;VAR:QUERY=Q1NGX1NBTEVTKEFOTiwxMi8zMS8xOTgwLDEyLzMxLzIwMDYsQVkp&amp;WINDOW=FIRST_POPUP&amp;HEIGHT=450&amp;WI","DTH=450&amp;START_MAXIMIZED=FALSE&amp;VAR:CALENDAR=US&amp;VAR:SYMBOL=LYO&amp;VAR:INDEX=7"}</definedName>
    <definedName name="_1965__FDSAUDITLINK__" hidden="1">{"fdsup://directions/FAT Viewer?action=UPDATE&amp;creator=factset&amp;DYN_ARGS=TRUE&amp;DOC_NAME=FAT:FQL_AUDITING_CLIENT_TEMPLATE.FAT&amp;display_string=Audit&amp;VAR:KEY=UTCBSRIZIZ&amp;VAR:QUERY=Q1NGX1NBTEVTKEFOTiwxMi8zMS8xOTgwLDEyLzMxLzIwMDYsQVkp&amp;WINDOW=FIRST_POPUP&amp;HEIGHT=450&amp;WI","DTH=450&amp;START_MAXIMIZED=FALSE&amp;VAR:CALENDAR=US&amp;VAR:SYMBOL=LYO&amp;VAR:INDEX=6"}</definedName>
    <definedName name="_1966__FDSAUDITLINK__" hidden="1">{"fdsup://directions/FAT Viewer?action=UPDATE&amp;creator=factset&amp;DYN_ARGS=TRUE&amp;DOC_NAME=FAT:FQL_AUDITING_CLIENT_TEMPLATE.FAT&amp;display_string=Audit&amp;VAR:KEY=UTCBSRIZIZ&amp;VAR:QUERY=Q1NGX1NBTEVTKEFOTiwxMi8zMS8xOTgwLDEyLzMxLzIwMDYsQVkp&amp;WINDOW=FIRST_POPUP&amp;HEIGHT=450&amp;WI","DTH=450&amp;START_MAXIMIZED=FALSE&amp;VAR:CALENDAR=US&amp;VAR:SYMBOL=LYO&amp;VAR:INDEX=5"}</definedName>
    <definedName name="_1967__FDSAUDITLINK__" hidden="1">{"fdsup://directions/FAT Viewer?action=UPDATE&amp;creator=factset&amp;DYN_ARGS=TRUE&amp;DOC_NAME=FAT:FQL_AUDITING_CLIENT_TEMPLATE.FAT&amp;display_string=Audit&amp;VAR:KEY=UTCBSRIZIZ&amp;VAR:QUERY=Q1NGX1NBTEVTKEFOTiwxMi8zMS8xOTgwLDEyLzMxLzIwMDYsQVkp&amp;WINDOW=FIRST_POPUP&amp;HEIGHT=450&amp;WI","DTH=450&amp;START_MAXIMIZED=FALSE&amp;VAR:CALENDAR=US&amp;VAR:SYMBOL=LYO&amp;VAR:INDEX=4"}</definedName>
    <definedName name="_1968__FDSAUDITLINK__" hidden="1">{"fdsup://directions/FAT Viewer?action=UPDATE&amp;creator=factset&amp;DYN_ARGS=TRUE&amp;DOC_NAME=FAT:FQL_AUDITING_CLIENT_TEMPLATE.FAT&amp;display_string=Audit&amp;VAR:KEY=UTCBSRIZIZ&amp;VAR:QUERY=Q1NGX1NBTEVTKEFOTiwxMi8zMS8xOTgwLDEyLzMxLzIwMDYsQVkp&amp;WINDOW=FIRST_POPUP&amp;HEIGHT=450&amp;WI","DTH=450&amp;START_MAXIMIZED=FALSE&amp;VAR:CALENDAR=US&amp;VAR:SYMBOL=LYO&amp;VAR:INDEX=3"}</definedName>
    <definedName name="_1969__FDSAUDITLINK__" hidden="1">{"fdsup://directions/FAT Viewer?action=UPDATE&amp;creator=factset&amp;DYN_ARGS=TRUE&amp;DOC_NAME=FAT:FQL_AUDITING_CLIENT_TEMPLATE.FAT&amp;display_string=Audit&amp;VAR:KEY=UTCBSRIZIZ&amp;VAR:QUERY=Q1NGX1NBTEVTKEFOTiwxMi8zMS8xOTgwLDEyLzMxLzIwMDYsQVkp&amp;WINDOW=FIRST_POPUP&amp;HEIGHT=450&amp;WI","DTH=450&amp;START_MAXIMIZED=FALSE&amp;VAR:CALENDAR=US&amp;VAR:SYMBOL=LYO&amp;VAR:INDEX=2"}</definedName>
    <definedName name="_197__FDSAUDITLINK__" hidden="1">{"fdsup://directions/FAT Viewer?action=UPDATE&amp;creator=factset&amp;DYN_ARGS=TRUE&amp;DOC_NAME=FAT:FQL_AUDITING_CLIENT_TEMPLATE.FAT&amp;display_string=Audit&amp;VAR:KEY=OXOFCDKBIJ&amp;VAR:QUERY=Q1NGX0RFQlQoQU5OLDkvMzEvMTk4MCwwKQ==&amp;WINDOW=FIRST_POPUP&amp;HEIGHT=450&amp;WIDTH=450&amp;START_MA","XIMIZED=FALSE&amp;VAR:CALENDAR=US&amp;VAR:SYMBOL=APD&amp;VAR:INDEX=12"}</definedName>
    <definedName name="_1970__FDSAUDITLINK__" hidden="1">{"fdsup://directions/FAT Viewer?action=UPDATE&amp;creator=factset&amp;DYN_ARGS=TRUE&amp;DOC_NAME=FAT:FQL_AUDITING_CLIENT_TEMPLATE.FAT&amp;display_string=Audit&amp;VAR:KEY=UTCBSRIZIZ&amp;VAR:QUERY=Q1NGX1NBTEVTKEFOTiwxMi8zMS8xOTgwLDEyLzMxLzIwMDYsQVkp&amp;WINDOW=FIRST_POPUP&amp;HEIGHT=450&amp;WI","DTH=450&amp;START_MAXIMIZED=FALSE&amp;VAR:CALENDAR=US&amp;VAR:SYMBOL=LYO&amp;VAR:INDEX=1"}</definedName>
    <definedName name="_1971__FDSAUDITLINK__" hidden="1">{"fdsup://directions/FAT Viewer?action=UPDATE&amp;creator=factset&amp;DYN_ARGS=TRUE&amp;DOC_NAME=FAT:FQL_AUDITING_CLIENT_TEMPLATE.FAT&amp;display_string=Audit&amp;VAR:KEY=UTCBSRIZIZ&amp;VAR:QUERY=Q1NGX1NBTEVTKEFOTiwxMi8zMS8xOTgwLDEyLzMxLzIwMDYsQVkp&amp;WINDOW=FIRST_POPUP&amp;HEIGHT=450&amp;WI","DTH=450&amp;START_MAXIMIZED=FALSE&amp;VAR:CALENDAR=US&amp;VAR:SYMBOL=LYO&amp;VAR:INDEX=0"}</definedName>
    <definedName name="_1972__FDSAUDITLINK__" hidden="1">{"fdsup://directions/FAT Viewer?action=UPDATE&amp;creator=factset&amp;DYN_ARGS=TRUE&amp;DOC_NAME=FAT:FQL_AUDITING_CLIENT_TEMPLATE.FAT&amp;display_string=Audit&amp;VAR:KEY=JQHOJETMFK&amp;VAR:QUERY=Q1NGX0VCSVRfT1BFUihMVE1fUiwwKQ==&amp;WINDOW=FIRST_POPUP&amp;HEIGHT=450&amp;WIDTH=450&amp;START_MAXIMI","ZED=FALSE&amp;VAR:CALENDAR=US&amp;VAR:SYMBOL=ZEP&amp;VAR:INDEX=0"}</definedName>
    <definedName name="_1973__FDSAUDITLINK__" hidden="1">{"fdsup://directions/FAT Viewer?action=UPDATE&amp;creator=factset&amp;DYN_ARGS=TRUE&amp;DOC_NAME=FAT:FQL_AUDITING_CLIENT_TEMPLATE.FAT&amp;display_string=Audit&amp;VAR:KEY=CHOZSZSNYJ&amp;VAR:QUERY=Q1NGX0VCSVRfT1BFUihBTk4sMTIvMzEvMTk4MCwxMi8zMS8yMDA5LEFZKQ==&amp;WINDOW=FIRST_POPUP&amp;HEIGH","T=450&amp;WIDTH=450&amp;START_MAXIMIZED=FALSE&amp;VAR:CALENDAR=US&amp;VAR:SYMBOL=ZEP&amp;VAR:INDEX=29"}</definedName>
    <definedName name="_1974__FDSAUDITLINK__" hidden="1">{"fdsup://directions/FAT Viewer?action=UPDATE&amp;creator=factset&amp;DYN_ARGS=TRUE&amp;DOC_NAME=FAT:FQL_AUDITING_CLIENT_TEMPLATE.FAT&amp;display_string=Audit&amp;VAR:KEY=CHOZSZSNYJ&amp;VAR:QUERY=Q1NGX0VCSVRfT1BFUihBTk4sMTIvMzEvMTk4MCwxMi8zMS8yMDA5LEFZKQ==&amp;WINDOW=FIRST_POPUP&amp;HEIGH","T=450&amp;WIDTH=450&amp;START_MAXIMIZED=FALSE&amp;VAR:CALENDAR=US&amp;VAR:SYMBOL=ZEP&amp;VAR:INDEX=28"}</definedName>
    <definedName name="_1975__FDSAUDITLINK__" hidden="1">{"fdsup://directions/FAT Viewer?action=UPDATE&amp;creator=factset&amp;DYN_ARGS=TRUE&amp;DOC_NAME=FAT:FQL_AUDITING_CLIENT_TEMPLATE.FAT&amp;display_string=Audit&amp;VAR:KEY=CHOZSZSNYJ&amp;VAR:QUERY=Q1NGX0VCSVRfT1BFUihBTk4sMTIvMzEvMTk4MCwxMi8zMS8yMDA5LEFZKQ==&amp;WINDOW=FIRST_POPUP&amp;HEIGH","T=450&amp;WIDTH=450&amp;START_MAXIMIZED=FALSE&amp;VAR:CALENDAR=US&amp;VAR:SYMBOL=ZEP&amp;VAR:INDEX=27"}</definedName>
    <definedName name="_1976__FDSAUDITLINK__" hidden="1">{"fdsup://directions/FAT Viewer?action=UPDATE&amp;creator=factset&amp;DYN_ARGS=TRUE&amp;DOC_NAME=FAT:FQL_AUDITING_CLIENT_TEMPLATE.FAT&amp;display_string=Audit&amp;VAR:KEY=CHOZSZSNYJ&amp;VAR:QUERY=Q1NGX0VCSVRfT1BFUihBTk4sMTIvMzEvMTk4MCwxMi8zMS8yMDA5LEFZKQ==&amp;WINDOW=FIRST_POPUP&amp;HEIGH","T=450&amp;WIDTH=450&amp;START_MAXIMIZED=FALSE&amp;VAR:CALENDAR=US&amp;VAR:SYMBOL=ZEP&amp;VAR:INDEX=26"}</definedName>
    <definedName name="_1977__FDSAUDITLINK__" hidden="1">{"fdsup://directions/FAT Viewer?action=UPDATE&amp;creator=factset&amp;DYN_ARGS=TRUE&amp;DOC_NAME=FAT:FQL_AUDITING_CLIENT_TEMPLATE.FAT&amp;display_string=Audit&amp;VAR:KEY=CHOZSZSNYJ&amp;VAR:QUERY=Q1NGX0VCSVRfT1BFUihBTk4sMTIvMzEvMTk4MCwxMi8zMS8yMDA5LEFZKQ==&amp;WINDOW=FIRST_POPUP&amp;HEIGH","T=450&amp;WIDTH=450&amp;START_MAXIMIZED=FALSE&amp;VAR:CALENDAR=US&amp;VAR:SYMBOL=ZEP&amp;VAR:INDEX=25"}</definedName>
    <definedName name="_1978__FDSAUDITLINK__" hidden="1">{"fdsup://directions/FAT Viewer?action=UPDATE&amp;creator=factset&amp;DYN_ARGS=TRUE&amp;DOC_NAME=FAT:FQL_AUDITING_CLIENT_TEMPLATE.FAT&amp;display_string=Audit&amp;VAR:KEY=CHOZSZSNYJ&amp;VAR:QUERY=Q1NGX0VCSVRfT1BFUihBTk4sMTIvMzEvMTk4MCwxMi8zMS8yMDA5LEFZKQ==&amp;WINDOW=FIRST_POPUP&amp;HEIGH","T=450&amp;WIDTH=450&amp;START_MAXIMIZED=FALSE&amp;VAR:CALENDAR=US&amp;VAR:SYMBOL=ZEP&amp;VAR:INDEX=24"}</definedName>
    <definedName name="_1979__FDSAUDITLINK__" hidden="1">{"fdsup://directions/FAT Viewer?action=UPDATE&amp;creator=factset&amp;DYN_ARGS=TRUE&amp;DOC_NAME=FAT:FQL_AUDITING_CLIENT_TEMPLATE.FAT&amp;display_string=Audit&amp;VAR:KEY=CHOZSZSNYJ&amp;VAR:QUERY=Q1NGX0VCSVRfT1BFUihBTk4sMTIvMzEvMTk4MCwxMi8zMS8yMDA5LEFZKQ==&amp;WINDOW=FIRST_POPUP&amp;HEIGH","T=450&amp;WIDTH=450&amp;START_MAXIMIZED=FALSE&amp;VAR:CALENDAR=US&amp;VAR:SYMBOL=ZEP&amp;VAR:INDEX=23"}</definedName>
    <definedName name="_198__FDSAUDITLINK__" hidden="1">{"fdsup://directions/FAT Viewer?action=UPDATE&amp;creator=factset&amp;DYN_ARGS=TRUE&amp;DOC_NAME=FAT:FQL_AUDITING_CLIENT_TEMPLATE.FAT&amp;display_string=Audit&amp;VAR:KEY=OXOFCDKBIJ&amp;VAR:QUERY=Q1NGX0RFQlQoQU5OLDkvMzEvMTk4MCwwKQ==&amp;WINDOW=FIRST_POPUP&amp;HEIGHT=450&amp;WIDTH=450&amp;START_MA","XIMIZED=FALSE&amp;VAR:CALENDAR=US&amp;VAR:SYMBOL=APD&amp;VAR:INDEX=11"}</definedName>
    <definedName name="_1980__FDSAUDITLINK__" hidden="1">{"fdsup://directions/FAT Viewer?action=UPDATE&amp;creator=factset&amp;DYN_ARGS=TRUE&amp;DOC_NAME=FAT:FQL_AUDITING_CLIENT_TEMPLATE.FAT&amp;display_string=Audit&amp;VAR:KEY=CHOZSZSNYJ&amp;VAR:QUERY=Q1NGX0VCSVRfT1BFUihBTk4sMTIvMzEvMTk4MCwxMi8zMS8yMDA5LEFZKQ==&amp;WINDOW=FIRST_POPUP&amp;HEIGH","T=450&amp;WIDTH=450&amp;START_MAXIMIZED=FALSE&amp;VAR:CALENDAR=US&amp;VAR:SYMBOL=ZEP&amp;VAR:INDEX=22"}</definedName>
    <definedName name="_1981__FDSAUDITLINK__" hidden="1">{"fdsup://directions/FAT Viewer?action=UPDATE&amp;creator=factset&amp;DYN_ARGS=TRUE&amp;DOC_NAME=FAT:FQL_AUDITING_CLIENT_TEMPLATE.FAT&amp;display_string=Audit&amp;VAR:KEY=CHOZSZSNYJ&amp;VAR:QUERY=Q1NGX0VCSVRfT1BFUihBTk4sMTIvMzEvMTk4MCwxMi8zMS8yMDA5LEFZKQ==&amp;WINDOW=FIRST_POPUP&amp;HEIGH","T=450&amp;WIDTH=450&amp;START_MAXIMIZED=FALSE&amp;VAR:CALENDAR=US&amp;VAR:SYMBOL=ZEP&amp;VAR:INDEX=21"}</definedName>
    <definedName name="_1982__FDSAUDITLINK__" hidden="1">{"fdsup://directions/FAT Viewer?action=UPDATE&amp;creator=factset&amp;DYN_ARGS=TRUE&amp;DOC_NAME=FAT:FQL_AUDITING_CLIENT_TEMPLATE.FAT&amp;display_string=Audit&amp;VAR:KEY=CHOZSZSNYJ&amp;VAR:QUERY=Q1NGX0VCSVRfT1BFUihBTk4sMTIvMzEvMTk4MCwxMi8zMS8yMDA5LEFZKQ==&amp;WINDOW=FIRST_POPUP&amp;HEIGH","T=450&amp;WIDTH=450&amp;START_MAXIMIZED=FALSE&amp;VAR:CALENDAR=US&amp;VAR:SYMBOL=ZEP&amp;VAR:INDEX=20"}</definedName>
    <definedName name="_1983__FDSAUDITLINK__" hidden="1">{"fdsup://directions/FAT Viewer?action=UPDATE&amp;creator=factset&amp;DYN_ARGS=TRUE&amp;DOC_NAME=FAT:FQL_AUDITING_CLIENT_TEMPLATE.FAT&amp;display_string=Audit&amp;VAR:KEY=CHOZSZSNYJ&amp;VAR:QUERY=Q1NGX0VCSVRfT1BFUihBTk4sMTIvMzEvMTk4MCwxMi8zMS8yMDA5LEFZKQ==&amp;WINDOW=FIRST_POPUP&amp;HEIGH","T=450&amp;WIDTH=450&amp;START_MAXIMIZED=FALSE&amp;VAR:CALENDAR=US&amp;VAR:SYMBOL=ZEP&amp;VAR:INDEX=19"}</definedName>
    <definedName name="_1984__FDSAUDITLINK__" hidden="1">{"fdsup://directions/FAT Viewer?action=UPDATE&amp;creator=factset&amp;DYN_ARGS=TRUE&amp;DOC_NAME=FAT:FQL_AUDITING_CLIENT_TEMPLATE.FAT&amp;display_string=Audit&amp;VAR:KEY=CHOZSZSNYJ&amp;VAR:QUERY=Q1NGX0VCSVRfT1BFUihBTk4sMTIvMzEvMTk4MCwxMi8zMS8yMDA5LEFZKQ==&amp;WINDOW=FIRST_POPUP&amp;HEIGH","T=450&amp;WIDTH=450&amp;START_MAXIMIZED=FALSE&amp;VAR:CALENDAR=US&amp;VAR:SYMBOL=ZEP&amp;VAR:INDEX=18"}</definedName>
    <definedName name="_1985__FDSAUDITLINK__" hidden="1">{"fdsup://directions/FAT Viewer?action=UPDATE&amp;creator=factset&amp;DYN_ARGS=TRUE&amp;DOC_NAME=FAT:FQL_AUDITING_CLIENT_TEMPLATE.FAT&amp;display_string=Audit&amp;VAR:KEY=CHOZSZSNYJ&amp;VAR:QUERY=Q1NGX0VCSVRfT1BFUihBTk4sMTIvMzEvMTk4MCwxMi8zMS8yMDA5LEFZKQ==&amp;WINDOW=FIRST_POPUP&amp;HEIGH","T=450&amp;WIDTH=450&amp;START_MAXIMIZED=FALSE&amp;VAR:CALENDAR=US&amp;VAR:SYMBOL=ZEP&amp;VAR:INDEX=17"}</definedName>
    <definedName name="_1986__FDSAUDITLINK__" hidden="1">{"fdsup://directions/FAT Viewer?action=UPDATE&amp;creator=factset&amp;DYN_ARGS=TRUE&amp;DOC_NAME=FAT:FQL_AUDITING_CLIENT_TEMPLATE.FAT&amp;display_string=Audit&amp;VAR:KEY=CHOZSZSNYJ&amp;VAR:QUERY=Q1NGX0VCSVRfT1BFUihBTk4sMTIvMzEvMTk4MCwxMi8zMS8yMDA5LEFZKQ==&amp;WINDOW=FIRST_POPUP&amp;HEIGH","T=450&amp;WIDTH=450&amp;START_MAXIMIZED=FALSE&amp;VAR:CALENDAR=US&amp;VAR:SYMBOL=ZEP&amp;VAR:INDEX=16"}</definedName>
    <definedName name="_1987__FDSAUDITLINK__" hidden="1">{"fdsup://directions/FAT Viewer?action=UPDATE&amp;creator=factset&amp;DYN_ARGS=TRUE&amp;DOC_NAME=FAT:FQL_AUDITING_CLIENT_TEMPLATE.FAT&amp;display_string=Audit&amp;VAR:KEY=CHOZSZSNYJ&amp;VAR:QUERY=Q1NGX0VCSVRfT1BFUihBTk4sMTIvMzEvMTk4MCwxMi8zMS8yMDA5LEFZKQ==&amp;WINDOW=FIRST_POPUP&amp;HEIGH","T=450&amp;WIDTH=450&amp;START_MAXIMIZED=FALSE&amp;VAR:CALENDAR=US&amp;VAR:SYMBOL=ZEP&amp;VAR:INDEX=15"}</definedName>
    <definedName name="_1988__FDSAUDITLINK__" hidden="1">{"fdsup://directions/FAT Viewer?action=UPDATE&amp;creator=factset&amp;DYN_ARGS=TRUE&amp;DOC_NAME=FAT:FQL_AUDITING_CLIENT_TEMPLATE.FAT&amp;display_string=Audit&amp;VAR:KEY=CHOZSZSNYJ&amp;VAR:QUERY=Q1NGX0VCSVRfT1BFUihBTk4sMTIvMzEvMTk4MCwxMi8zMS8yMDA5LEFZKQ==&amp;WINDOW=FIRST_POPUP&amp;HEIGH","T=450&amp;WIDTH=450&amp;START_MAXIMIZED=FALSE&amp;VAR:CALENDAR=US&amp;VAR:SYMBOL=ZEP&amp;VAR:INDEX=14"}</definedName>
    <definedName name="_1989__FDSAUDITLINK__" hidden="1">{"fdsup://directions/FAT Viewer?action=UPDATE&amp;creator=factset&amp;DYN_ARGS=TRUE&amp;DOC_NAME=FAT:FQL_AUDITING_CLIENT_TEMPLATE.FAT&amp;display_string=Audit&amp;VAR:KEY=CHOZSZSNYJ&amp;VAR:QUERY=Q1NGX0VCSVRfT1BFUihBTk4sMTIvMzEvMTk4MCwxMi8zMS8yMDA5LEFZKQ==&amp;WINDOW=FIRST_POPUP&amp;HEIGH","T=450&amp;WIDTH=450&amp;START_MAXIMIZED=FALSE&amp;VAR:CALENDAR=US&amp;VAR:SYMBOL=ZEP&amp;VAR:INDEX=13"}</definedName>
    <definedName name="_199__FDSAUDITLINK__" hidden="1">{"fdsup://directions/FAT Viewer?action=UPDATE&amp;creator=factset&amp;DYN_ARGS=TRUE&amp;DOC_NAME=FAT:FQL_AUDITING_CLIENT_TEMPLATE.FAT&amp;display_string=Audit&amp;VAR:KEY=OXOFCDKBIJ&amp;VAR:QUERY=Q1NGX0RFQlQoQU5OLDkvMzEvMTk4MCwwKQ==&amp;WINDOW=FIRST_POPUP&amp;HEIGHT=450&amp;WIDTH=450&amp;START_MA","XIMIZED=FALSE&amp;VAR:CALENDAR=US&amp;VAR:SYMBOL=APD&amp;VAR:INDEX=10"}</definedName>
    <definedName name="_1990__FDSAUDITLINK__" hidden="1">{"fdsup://directions/FAT Viewer?action=UPDATE&amp;creator=factset&amp;DYN_ARGS=TRUE&amp;DOC_NAME=FAT:FQL_AUDITING_CLIENT_TEMPLATE.FAT&amp;display_string=Audit&amp;VAR:KEY=CHOZSZSNYJ&amp;VAR:QUERY=Q1NGX0VCSVRfT1BFUihBTk4sMTIvMzEvMTk4MCwxMi8zMS8yMDA5LEFZKQ==&amp;WINDOW=FIRST_POPUP&amp;HEIGH","T=450&amp;WIDTH=450&amp;START_MAXIMIZED=FALSE&amp;VAR:CALENDAR=US&amp;VAR:SYMBOL=ZEP&amp;VAR:INDEX=12"}</definedName>
    <definedName name="_1991__FDSAUDITLINK__" hidden="1">{"fdsup://directions/FAT Viewer?action=UPDATE&amp;creator=factset&amp;DYN_ARGS=TRUE&amp;DOC_NAME=FAT:FQL_AUDITING_CLIENT_TEMPLATE.FAT&amp;display_string=Audit&amp;VAR:KEY=CHOZSZSNYJ&amp;VAR:QUERY=Q1NGX0VCSVRfT1BFUihBTk4sMTIvMzEvMTk4MCwxMi8zMS8yMDA5LEFZKQ==&amp;WINDOW=FIRST_POPUP&amp;HEIGH","T=450&amp;WIDTH=450&amp;START_MAXIMIZED=FALSE&amp;VAR:CALENDAR=US&amp;VAR:SYMBOL=ZEP&amp;VAR:INDEX=11"}</definedName>
    <definedName name="_1992__FDSAUDITLINK__" hidden="1">{"fdsup://directions/FAT Viewer?action=UPDATE&amp;creator=factset&amp;DYN_ARGS=TRUE&amp;DOC_NAME=FAT:FQL_AUDITING_CLIENT_TEMPLATE.FAT&amp;display_string=Audit&amp;VAR:KEY=CHOZSZSNYJ&amp;VAR:QUERY=Q1NGX0VCSVRfT1BFUihBTk4sMTIvMzEvMTk4MCwxMi8zMS8yMDA5LEFZKQ==&amp;WINDOW=FIRST_POPUP&amp;HEIGH","T=450&amp;WIDTH=450&amp;START_MAXIMIZED=FALSE&amp;VAR:CALENDAR=US&amp;VAR:SYMBOL=ZEP&amp;VAR:INDEX=10"}</definedName>
    <definedName name="_1993__FDSAUDITLINK__" hidden="1">{"fdsup://directions/FAT Viewer?action=UPDATE&amp;creator=factset&amp;DYN_ARGS=TRUE&amp;DOC_NAME=FAT:FQL_AUDITING_CLIENT_TEMPLATE.FAT&amp;display_string=Audit&amp;VAR:KEY=CHOZSZSNYJ&amp;VAR:QUERY=Q1NGX0VCSVRfT1BFUihBTk4sMTIvMzEvMTk4MCwxMi8zMS8yMDA5LEFZKQ==&amp;WINDOW=FIRST_POPUP&amp;HEIGH","T=450&amp;WIDTH=450&amp;START_MAXIMIZED=FALSE&amp;VAR:CALENDAR=US&amp;VAR:SYMBOL=ZEP&amp;VAR:INDEX=9"}</definedName>
    <definedName name="_1994__FDSAUDITLINK__" hidden="1">{"fdsup://directions/FAT Viewer?action=UPDATE&amp;creator=factset&amp;DYN_ARGS=TRUE&amp;DOC_NAME=FAT:FQL_AUDITING_CLIENT_TEMPLATE.FAT&amp;display_string=Audit&amp;VAR:KEY=CHOZSZSNYJ&amp;VAR:QUERY=Q1NGX0VCSVRfT1BFUihBTk4sMTIvMzEvMTk4MCwxMi8zMS8yMDA5LEFZKQ==&amp;WINDOW=FIRST_POPUP&amp;HEIGH","T=450&amp;WIDTH=450&amp;START_MAXIMIZED=FALSE&amp;VAR:CALENDAR=US&amp;VAR:SYMBOL=ZEP&amp;VAR:INDEX=8"}</definedName>
    <definedName name="_1995__FDSAUDITLINK__" hidden="1">{"fdsup://directions/FAT Viewer?action=UPDATE&amp;creator=factset&amp;DYN_ARGS=TRUE&amp;DOC_NAME=FAT:FQL_AUDITING_CLIENT_TEMPLATE.FAT&amp;display_string=Audit&amp;VAR:KEY=CHOZSZSNYJ&amp;VAR:QUERY=Q1NGX0VCSVRfT1BFUihBTk4sMTIvMzEvMTk4MCwxMi8zMS8yMDA5LEFZKQ==&amp;WINDOW=FIRST_POPUP&amp;HEIGH","T=450&amp;WIDTH=450&amp;START_MAXIMIZED=FALSE&amp;VAR:CALENDAR=US&amp;VAR:SYMBOL=ZEP&amp;VAR:INDEX=7"}</definedName>
    <definedName name="_1996__FDSAUDITLINK__" hidden="1">{"fdsup://directions/FAT Viewer?action=UPDATE&amp;creator=factset&amp;DYN_ARGS=TRUE&amp;DOC_NAME=FAT:FQL_AUDITING_CLIENT_TEMPLATE.FAT&amp;display_string=Audit&amp;VAR:KEY=CHOZSZSNYJ&amp;VAR:QUERY=Q1NGX0VCSVRfT1BFUihBTk4sMTIvMzEvMTk4MCwxMi8zMS8yMDA5LEFZKQ==&amp;WINDOW=FIRST_POPUP&amp;HEIGH","T=450&amp;WIDTH=450&amp;START_MAXIMIZED=FALSE&amp;VAR:CALENDAR=US&amp;VAR:SYMBOL=ZEP&amp;VAR:INDEX=6"}</definedName>
    <definedName name="_1997__FDSAUDITLINK__" hidden="1">{"fdsup://directions/FAT Viewer?action=UPDATE&amp;creator=factset&amp;DYN_ARGS=TRUE&amp;DOC_NAME=FAT:FQL_AUDITING_CLIENT_TEMPLATE.FAT&amp;display_string=Audit&amp;VAR:KEY=CHOZSZSNYJ&amp;VAR:QUERY=Q1NGX0VCSVRfT1BFUihBTk4sMTIvMzEvMTk4MCwxMi8zMS8yMDA5LEFZKQ==&amp;WINDOW=FIRST_POPUP&amp;HEIGH","T=450&amp;WIDTH=450&amp;START_MAXIMIZED=FALSE&amp;VAR:CALENDAR=US&amp;VAR:SYMBOL=ZEP&amp;VAR:INDEX=5"}</definedName>
    <definedName name="_1998__FDSAUDITLINK__" hidden="1">{"fdsup://directions/FAT Viewer?action=UPDATE&amp;creator=factset&amp;DYN_ARGS=TRUE&amp;DOC_NAME=FAT:FQL_AUDITING_CLIENT_TEMPLATE.FAT&amp;display_string=Audit&amp;VAR:KEY=CHOZSZSNYJ&amp;VAR:QUERY=Q1NGX0VCSVRfT1BFUihBTk4sMTIvMzEvMTk4MCwxMi8zMS8yMDA5LEFZKQ==&amp;WINDOW=FIRST_POPUP&amp;HEIGH","T=450&amp;WIDTH=450&amp;START_MAXIMIZED=FALSE&amp;VAR:CALENDAR=US&amp;VAR:SYMBOL=ZEP&amp;VAR:INDEX=4"}</definedName>
    <definedName name="_1999__FDSAUDITLINK__" hidden="1">{"fdsup://directions/FAT Viewer?action=UPDATE&amp;creator=factset&amp;DYN_ARGS=TRUE&amp;DOC_NAME=FAT:FQL_AUDITING_CLIENT_TEMPLATE.FAT&amp;display_string=Audit&amp;VAR:KEY=CHOZSZSNYJ&amp;VAR:QUERY=Q1NGX0VCSVRfT1BFUihBTk4sMTIvMzEvMTk4MCwxMi8zMS8yMDA5LEFZKQ==&amp;WINDOW=FIRST_POPUP&amp;HEIGH","T=450&amp;WIDTH=450&amp;START_MAXIMIZED=FALSE&amp;VAR:CALENDAR=US&amp;VAR:SYMBOL=ZEP&amp;VAR:INDEX=3"}</definedName>
    <definedName name="_2__FDSAUDITLINK__" hidden="1">{"fdsup://directions/FAT Viewer?action=UPDATE&amp;creator=factset&amp;DYN_ARGS=TRUE&amp;DOC_NAME=FAT:FQL_AUDITING_CLIENT_TEMPLATE.FAT&amp;display_string=Audit&amp;VAR:KEY=YXSJYLYXUV&amp;VAR:QUERY=Q1NGX0dST1NTX0lOQyhRVFJfUiwtM0FZLDAsRlEp&amp;WINDOW=FIRST_POPUP&amp;HEIGHT=450&amp;WIDTH=450&amp;STAR","T_MAXIMIZED=FALSE&amp;VAR:CALENDAR=US&amp;VAR:SYMBOL=EMN&amp;VAR:INDEX=11"}</definedName>
    <definedName name="_20__FDSAUDITLINK__" hidden="1">{"fdsup://directions/FAT Viewer?action=UPDATE&amp;creator=factset&amp;DYN_ARGS=TRUE&amp;DOC_NAME=FAT:FQL_AUDITING_CLIENT_TEMPLATE.FAT&amp;display_string=Audit&amp;VAR:KEY=QZMTMLQNSF&amp;VAR:QUERY=Q1NGX0dST1NTX0lOQyhRVFJfUiwtM0FZLDAsRlEp&amp;WINDOW=FIRST_POPUP&amp;HEIGHT=450&amp;WIDTH=450&amp;STAR","T_MAXIMIZED=FALSE&amp;VAR:CALENDAR=US&amp;VAR:SYMBOL=CE&amp;VAR:INDEX=6"}</definedName>
    <definedName name="_200__FDSAUDITLINK__" hidden="1">{"fdsup://directions/FAT Viewer?action=UPDATE&amp;creator=factset&amp;DYN_ARGS=TRUE&amp;DOC_NAME=FAT:FQL_AUDITING_CLIENT_TEMPLATE.FAT&amp;display_string=Audit&amp;VAR:KEY=OXOFCDKBIJ&amp;VAR:QUERY=Q1NGX0RFQlQoQU5OLDkvMzEvMTk4MCwwKQ==&amp;WINDOW=FIRST_POPUP&amp;HEIGHT=450&amp;WIDTH=450&amp;START_MA","XIMIZED=FALSE&amp;VAR:CALENDAR=US&amp;VAR:SYMBOL=APD&amp;VAR:INDEX=9"}</definedName>
    <definedName name="_2000__FDSAUDITLINK__" hidden="1">{"fdsup://directions/FAT Viewer?action=UPDATE&amp;creator=factset&amp;DYN_ARGS=TRUE&amp;DOC_NAME=FAT:FQL_AUDITING_CLIENT_TEMPLATE.FAT&amp;display_string=Audit&amp;VAR:KEY=CHOZSZSNYJ&amp;VAR:QUERY=Q1NGX0VCSVRfT1BFUihBTk4sMTIvMzEvMTk4MCwxMi8zMS8yMDA5LEFZKQ==&amp;WINDOW=FIRST_POPUP&amp;HEIGH","T=450&amp;WIDTH=450&amp;START_MAXIMIZED=FALSE&amp;VAR:CALENDAR=US&amp;VAR:SYMBOL=ZEP&amp;VAR:INDEX=2"}</definedName>
    <definedName name="_2001__FDSAUDITLINK__" hidden="1">{"fdsup://directions/FAT Viewer?action=UPDATE&amp;creator=factset&amp;DYN_ARGS=TRUE&amp;DOC_NAME=FAT:FQL_AUDITING_CLIENT_TEMPLATE.FAT&amp;display_string=Audit&amp;VAR:KEY=CHOZSZSNYJ&amp;VAR:QUERY=Q1NGX0VCSVRfT1BFUihBTk4sMTIvMzEvMTk4MCwxMi8zMS8yMDA5LEFZKQ==&amp;WINDOW=FIRST_POPUP&amp;HEIGH","T=450&amp;WIDTH=450&amp;START_MAXIMIZED=FALSE&amp;VAR:CALENDAR=US&amp;VAR:SYMBOL=ZEP&amp;VAR:INDEX=1"}</definedName>
    <definedName name="_2002__FDSAUDITLINK__" hidden="1">{"fdsup://directions/FAT Viewer?action=UPDATE&amp;creator=factset&amp;DYN_ARGS=TRUE&amp;DOC_NAME=FAT:FQL_AUDITING_CLIENT_TEMPLATE.FAT&amp;display_string=Audit&amp;VAR:KEY=CHOZSZSNYJ&amp;VAR:QUERY=Q1NGX0VCSVRfT1BFUihBTk4sMTIvMzEvMTk4MCwxMi8zMS8yMDA5LEFZKQ==&amp;WINDOW=FIRST_POPUP&amp;HEIGH","T=450&amp;WIDTH=450&amp;START_MAXIMIZED=FALSE&amp;VAR:CALENDAR=US&amp;VAR:SYMBOL=ZEP&amp;VAR:INDEX=0"}</definedName>
    <definedName name="_2003__FDSAUDITLINK__" hidden="1">{"fdsup://directions/FAT Viewer?action=UPDATE&amp;creator=factset&amp;DYN_ARGS=TRUE&amp;DOC_NAME=FAT:FQL_AUDITING_CLIENT_TEMPLATE.FAT&amp;display_string=Audit&amp;VAR:KEY=LETATKJERC&amp;VAR:QUERY=Q1NGX0VCSVRfT1BFUihMVE1fUiwwKQ==&amp;WINDOW=FIRST_POPUP&amp;HEIGHT=450&amp;WIDTH=450&amp;START_MAXIMI","ZED=FALSE&amp;VAR:CALENDAR=US&amp;VAR:SYMBOL=SXT&amp;VAR:INDEX=0"}</definedName>
    <definedName name="_2004__FDSAUDITLINK__" hidden="1">{"fdsup://directions/FAT Viewer?action=UPDATE&amp;creator=factset&amp;DYN_ARGS=TRUE&amp;DOC_NAME=FAT:FQL_AUDITING_CLIENT_TEMPLATE.FAT&amp;display_string=Audit&amp;VAR:KEY=CXKTABGFKL&amp;VAR:QUERY=Q1NGX0VCSVRfT1BFUihBTk4sMTIvMzEvMTk4MCwxMi8zMS8yMDA5LEFZKQ==&amp;WINDOW=FIRST_POPUP&amp;HEIGH","T=450&amp;WIDTH=450&amp;START_MAXIMIZED=FALSE&amp;VAR:CALENDAR=US&amp;VAR:SYMBOL=SXT&amp;VAR:INDEX=29"}</definedName>
    <definedName name="_2005__FDSAUDITLINK__" hidden="1">{"fdsup://directions/FAT Viewer?action=UPDATE&amp;creator=factset&amp;DYN_ARGS=TRUE&amp;DOC_NAME=FAT:FQL_AUDITING_CLIENT_TEMPLATE.FAT&amp;display_string=Audit&amp;VAR:KEY=CXKTABGFKL&amp;VAR:QUERY=Q1NGX0VCSVRfT1BFUihBTk4sMTIvMzEvMTk4MCwxMi8zMS8yMDA5LEFZKQ==&amp;WINDOW=FIRST_POPUP&amp;HEIGH","T=450&amp;WIDTH=450&amp;START_MAXIMIZED=FALSE&amp;VAR:CALENDAR=US&amp;VAR:SYMBOL=SXT&amp;VAR:INDEX=28"}</definedName>
    <definedName name="_2006__FDSAUDITLINK__" hidden="1">{"fdsup://directions/FAT Viewer?action=UPDATE&amp;creator=factset&amp;DYN_ARGS=TRUE&amp;DOC_NAME=FAT:FQL_AUDITING_CLIENT_TEMPLATE.FAT&amp;display_string=Audit&amp;VAR:KEY=CXKTABGFKL&amp;VAR:QUERY=Q1NGX0VCSVRfT1BFUihBTk4sMTIvMzEvMTk4MCwxMi8zMS8yMDA5LEFZKQ==&amp;WINDOW=FIRST_POPUP&amp;HEIGH","T=450&amp;WIDTH=450&amp;START_MAXIMIZED=FALSE&amp;VAR:CALENDAR=US&amp;VAR:SYMBOL=SXT&amp;VAR:INDEX=27"}</definedName>
    <definedName name="_2007__FDSAUDITLINK__" hidden="1">{"fdsup://directions/FAT Viewer?action=UPDATE&amp;creator=factset&amp;DYN_ARGS=TRUE&amp;DOC_NAME=FAT:FQL_AUDITING_CLIENT_TEMPLATE.FAT&amp;display_string=Audit&amp;VAR:KEY=CXKTABGFKL&amp;VAR:QUERY=Q1NGX0VCSVRfT1BFUihBTk4sMTIvMzEvMTk4MCwxMi8zMS8yMDA5LEFZKQ==&amp;WINDOW=FIRST_POPUP&amp;HEIGH","T=450&amp;WIDTH=450&amp;START_MAXIMIZED=FALSE&amp;VAR:CALENDAR=US&amp;VAR:SYMBOL=SXT&amp;VAR:INDEX=26"}</definedName>
    <definedName name="_2008__FDSAUDITLINK__" hidden="1">{"fdsup://directions/FAT Viewer?action=UPDATE&amp;creator=factset&amp;DYN_ARGS=TRUE&amp;DOC_NAME=FAT:FQL_AUDITING_CLIENT_TEMPLATE.FAT&amp;display_string=Audit&amp;VAR:KEY=CXKTABGFKL&amp;VAR:QUERY=Q1NGX0VCSVRfT1BFUihBTk4sMTIvMzEvMTk4MCwxMi8zMS8yMDA5LEFZKQ==&amp;WINDOW=FIRST_POPUP&amp;HEIGH","T=450&amp;WIDTH=450&amp;START_MAXIMIZED=FALSE&amp;VAR:CALENDAR=US&amp;VAR:SYMBOL=SXT&amp;VAR:INDEX=25"}</definedName>
    <definedName name="_2009__FDSAUDITLINK__" hidden="1">{"fdsup://directions/FAT Viewer?action=UPDATE&amp;creator=factset&amp;DYN_ARGS=TRUE&amp;DOC_NAME=FAT:FQL_AUDITING_CLIENT_TEMPLATE.FAT&amp;display_string=Audit&amp;VAR:KEY=CXKTABGFKL&amp;VAR:QUERY=Q1NGX0VCSVRfT1BFUihBTk4sMTIvMzEvMTk4MCwxMi8zMS8yMDA5LEFZKQ==&amp;WINDOW=FIRST_POPUP&amp;HEIGH","T=450&amp;WIDTH=450&amp;START_MAXIMIZED=FALSE&amp;VAR:CALENDAR=US&amp;VAR:SYMBOL=SXT&amp;VAR:INDEX=24"}</definedName>
    <definedName name="_201__FDSAUDITLINK__" hidden="1">{"fdsup://directions/FAT Viewer?action=UPDATE&amp;creator=factset&amp;DYN_ARGS=TRUE&amp;DOC_NAME=FAT:FQL_AUDITING_CLIENT_TEMPLATE.FAT&amp;display_string=Audit&amp;VAR:KEY=OXOFCDKBIJ&amp;VAR:QUERY=Q1NGX0RFQlQoQU5OLDkvMzEvMTk4MCwwKQ==&amp;WINDOW=FIRST_POPUP&amp;HEIGHT=450&amp;WIDTH=450&amp;START_MA","XIMIZED=FALSE&amp;VAR:CALENDAR=US&amp;VAR:SYMBOL=APD&amp;VAR:INDEX=8"}</definedName>
    <definedName name="_2010__FDSAUDITLINK__" hidden="1">{"fdsup://directions/FAT Viewer?action=UPDATE&amp;creator=factset&amp;DYN_ARGS=TRUE&amp;DOC_NAME=FAT:FQL_AUDITING_CLIENT_TEMPLATE.FAT&amp;display_string=Audit&amp;VAR:KEY=CXKTABGFKL&amp;VAR:QUERY=Q1NGX0VCSVRfT1BFUihBTk4sMTIvMzEvMTk4MCwxMi8zMS8yMDA5LEFZKQ==&amp;WINDOW=FIRST_POPUP&amp;HEIGH","T=450&amp;WIDTH=450&amp;START_MAXIMIZED=FALSE&amp;VAR:CALENDAR=US&amp;VAR:SYMBOL=SXT&amp;VAR:INDEX=23"}</definedName>
    <definedName name="_2011__FDSAUDITLINK__" hidden="1">{"fdsup://directions/FAT Viewer?action=UPDATE&amp;creator=factset&amp;DYN_ARGS=TRUE&amp;DOC_NAME=FAT:FQL_AUDITING_CLIENT_TEMPLATE.FAT&amp;display_string=Audit&amp;VAR:KEY=CXKTABGFKL&amp;VAR:QUERY=Q1NGX0VCSVRfT1BFUihBTk4sMTIvMzEvMTk4MCwxMi8zMS8yMDA5LEFZKQ==&amp;WINDOW=FIRST_POPUP&amp;HEIGH","T=450&amp;WIDTH=450&amp;START_MAXIMIZED=FALSE&amp;VAR:CALENDAR=US&amp;VAR:SYMBOL=SXT&amp;VAR:INDEX=22"}</definedName>
    <definedName name="_2012__FDSAUDITLINK__" hidden="1">{"fdsup://directions/FAT Viewer?action=UPDATE&amp;creator=factset&amp;DYN_ARGS=TRUE&amp;DOC_NAME=FAT:FQL_AUDITING_CLIENT_TEMPLATE.FAT&amp;display_string=Audit&amp;VAR:KEY=CXKTABGFKL&amp;VAR:QUERY=Q1NGX0VCSVRfT1BFUihBTk4sMTIvMzEvMTk4MCwxMi8zMS8yMDA5LEFZKQ==&amp;WINDOW=FIRST_POPUP&amp;HEIGH","T=450&amp;WIDTH=450&amp;START_MAXIMIZED=FALSE&amp;VAR:CALENDAR=US&amp;VAR:SYMBOL=SXT&amp;VAR:INDEX=21"}</definedName>
    <definedName name="_2013__FDSAUDITLINK__" hidden="1">{"fdsup://directions/FAT Viewer?action=UPDATE&amp;creator=factset&amp;DYN_ARGS=TRUE&amp;DOC_NAME=FAT:FQL_AUDITING_CLIENT_TEMPLATE.FAT&amp;display_string=Audit&amp;VAR:KEY=CXKTABGFKL&amp;VAR:QUERY=Q1NGX0VCSVRfT1BFUihBTk4sMTIvMzEvMTk4MCwxMi8zMS8yMDA5LEFZKQ==&amp;WINDOW=FIRST_POPUP&amp;HEIGH","T=450&amp;WIDTH=450&amp;START_MAXIMIZED=FALSE&amp;VAR:CALENDAR=US&amp;VAR:SYMBOL=SXT&amp;VAR:INDEX=20"}</definedName>
    <definedName name="_2014__FDSAUDITLINK__" hidden="1">{"fdsup://directions/FAT Viewer?action=UPDATE&amp;creator=factset&amp;DYN_ARGS=TRUE&amp;DOC_NAME=FAT:FQL_AUDITING_CLIENT_TEMPLATE.FAT&amp;display_string=Audit&amp;VAR:KEY=CXKTABGFKL&amp;VAR:QUERY=Q1NGX0VCSVRfT1BFUihBTk4sMTIvMzEvMTk4MCwxMi8zMS8yMDA5LEFZKQ==&amp;WINDOW=FIRST_POPUP&amp;HEIGH","T=450&amp;WIDTH=450&amp;START_MAXIMIZED=FALSE&amp;VAR:CALENDAR=US&amp;VAR:SYMBOL=SXT&amp;VAR:INDEX=19"}</definedName>
    <definedName name="_2015__FDSAUDITLINK__" hidden="1">{"fdsup://directions/FAT Viewer?action=UPDATE&amp;creator=factset&amp;DYN_ARGS=TRUE&amp;DOC_NAME=FAT:FQL_AUDITING_CLIENT_TEMPLATE.FAT&amp;display_string=Audit&amp;VAR:KEY=CXKTABGFKL&amp;VAR:QUERY=Q1NGX0VCSVRfT1BFUihBTk4sMTIvMzEvMTk4MCwxMi8zMS8yMDA5LEFZKQ==&amp;WINDOW=FIRST_POPUP&amp;HEIGH","T=450&amp;WIDTH=450&amp;START_MAXIMIZED=FALSE&amp;VAR:CALENDAR=US&amp;VAR:SYMBOL=SXT&amp;VAR:INDEX=18"}</definedName>
    <definedName name="_2016__FDSAUDITLINK__" hidden="1">{"fdsup://directions/FAT Viewer?action=UPDATE&amp;creator=factset&amp;DYN_ARGS=TRUE&amp;DOC_NAME=FAT:FQL_AUDITING_CLIENT_TEMPLATE.FAT&amp;display_string=Audit&amp;VAR:KEY=CXKTABGFKL&amp;VAR:QUERY=Q1NGX0VCSVRfT1BFUihBTk4sMTIvMzEvMTk4MCwxMi8zMS8yMDA5LEFZKQ==&amp;WINDOW=FIRST_POPUP&amp;HEIGH","T=450&amp;WIDTH=450&amp;START_MAXIMIZED=FALSE&amp;VAR:CALENDAR=US&amp;VAR:SYMBOL=SXT&amp;VAR:INDEX=17"}</definedName>
    <definedName name="_2017__FDSAUDITLINK__" hidden="1">{"fdsup://directions/FAT Viewer?action=UPDATE&amp;creator=factset&amp;DYN_ARGS=TRUE&amp;DOC_NAME=FAT:FQL_AUDITING_CLIENT_TEMPLATE.FAT&amp;display_string=Audit&amp;VAR:KEY=CXKTABGFKL&amp;VAR:QUERY=Q1NGX0VCSVRfT1BFUihBTk4sMTIvMzEvMTk4MCwxMi8zMS8yMDA5LEFZKQ==&amp;WINDOW=FIRST_POPUP&amp;HEIGH","T=450&amp;WIDTH=450&amp;START_MAXIMIZED=FALSE&amp;VAR:CALENDAR=US&amp;VAR:SYMBOL=SXT&amp;VAR:INDEX=16"}</definedName>
    <definedName name="_2018__FDSAUDITLINK__" hidden="1">{"fdsup://directions/FAT Viewer?action=UPDATE&amp;creator=factset&amp;DYN_ARGS=TRUE&amp;DOC_NAME=FAT:FQL_AUDITING_CLIENT_TEMPLATE.FAT&amp;display_string=Audit&amp;VAR:KEY=CXKTABGFKL&amp;VAR:QUERY=Q1NGX0VCSVRfT1BFUihBTk4sMTIvMzEvMTk4MCwxMi8zMS8yMDA5LEFZKQ==&amp;WINDOW=FIRST_POPUP&amp;HEIGH","T=450&amp;WIDTH=450&amp;START_MAXIMIZED=FALSE&amp;VAR:CALENDAR=US&amp;VAR:SYMBOL=SXT&amp;VAR:INDEX=15"}</definedName>
    <definedName name="_2019__FDSAUDITLINK__" hidden="1">{"fdsup://directions/FAT Viewer?action=UPDATE&amp;creator=factset&amp;DYN_ARGS=TRUE&amp;DOC_NAME=FAT:FQL_AUDITING_CLIENT_TEMPLATE.FAT&amp;display_string=Audit&amp;VAR:KEY=CXKTABGFKL&amp;VAR:QUERY=Q1NGX0VCSVRfT1BFUihBTk4sMTIvMzEvMTk4MCwxMi8zMS8yMDA5LEFZKQ==&amp;WINDOW=FIRST_POPUP&amp;HEIGH","T=450&amp;WIDTH=450&amp;START_MAXIMIZED=FALSE&amp;VAR:CALENDAR=US&amp;VAR:SYMBOL=SXT&amp;VAR:INDEX=14"}</definedName>
    <definedName name="_202__FDSAUDITLINK__" hidden="1">{"fdsup://directions/FAT Viewer?action=UPDATE&amp;creator=factset&amp;DYN_ARGS=TRUE&amp;DOC_NAME=FAT:FQL_AUDITING_CLIENT_TEMPLATE.FAT&amp;display_string=Audit&amp;VAR:KEY=OXOFCDKBIJ&amp;VAR:QUERY=Q1NGX0RFQlQoQU5OLDkvMzEvMTk4MCwwKQ==&amp;WINDOW=FIRST_POPUP&amp;HEIGHT=450&amp;WIDTH=450&amp;START_MA","XIMIZED=FALSE&amp;VAR:CALENDAR=US&amp;VAR:SYMBOL=APD&amp;VAR:INDEX=7"}</definedName>
    <definedName name="_2020__FDSAUDITLINK__" hidden="1">{"fdsup://directions/FAT Viewer?action=UPDATE&amp;creator=factset&amp;DYN_ARGS=TRUE&amp;DOC_NAME=FAT:FQL_AUDITING_CLIENT_TEMPLATE.FAT&amp;display_string=Audit&amp;VAR:KEY=CXKTABGFKL&amp;VAR:QUERY=Q1NGX0VCSVRfT1BFUihBTk4sMTIvMzEvMTk4MCwxMi8zMS8yMDA5LEFZKQ==&amp;WINDOW=FIRST_POPUP&amp;HEIGH","T=450&amp;WIDTH=450&amp;START_MAXIMIZED=FALSE&amp;VAR:CALENDAR=US&amp;VAR:SYMBOL=SXT&amp;VAR:INDEX=13"}</definedName>
    <definedName name="_2021__FDSAUDITLINK__" hidden="1">{"fdsup://directions/FAT Viewer?action=UPDATE&amp;creator=factset&amp;DYN_ARGS=TRUE&amp;DOC_NAME=FAT:FQL_AUDITING_CLIENT_TEMPLATE.FAT&amp;display_string=Audit&amp;VAR:KEY=CXKTABGFKL&amp;VAR:QUERY=Q1NGX0VCSVRfT1BFUihBTk4sMTIvMzEvMTk4MCwxMi8zMS8yMDA5LEFZKQ==&amp;WINDOW=FIRST_POPUP&amp;HEIGH","T=450&amp;WIDTH=450&amp;START_MAXIMIZED=FALSE&amp;VAR:CALENDAR=US&amp;VAR:SYMBOL=SXT&amp;VAR:INDEX=12"}</definedName>
    <definedName name="_2022__FDSAUDITLINK__" hidden="1">{"fdsup://directions/FAT Viewer?action=UPDATE&amp;creator=factset&amp;DYN_ARGS=TRUE&amp;DOC_NAME=FAT:FQL_AUDITING_CLIENT_TEMPLATE.FAT&amp;display_string=Audit&amp;VAR:KEY=CXKTABGFKL&amp;VAR:QUERY=Q1NGX0VCSVRfT1BFUihBTk4sMTIvMzEvMTk4MCwxMi8zMS8yMDA5LEFZKQ==&amp;WINDOW=FIRST_POPUP&amp;HEIGH","T=450&amp;WIDTH=450&amp;START_MAXIMIZED=FALSE&amp;VAR:CALENDAR=US&amp;VAR:SYMBOL=SXT&amp;VAR:INDEX=11"}</definedName>
    <definedName name="_2023__FDSAUDITLINK__" hidden="1">{"fdsup://directions/FAT Viewer?action=UPDATE&amp;creator=factset&amp;DYN_ARGS=TRUE&amp;DOC_NAME=FAT:FQL_AUDITING_CLIENT_TEMPLATE.FAT&amp;display_string=Audit&amp;VAR:KEY=CXKTABGFKL&amp;VAR:QUERY=Q1NGX0VCSVRfT1BFUihBTk4sMTIvMzEvMTk4MCwxMi8zMS8yMDA5LEFZKQ==&amp;WINDOW=FIRST_POPUP&amp;HEIGH","T=450&amp;WIDTH=450&amp;START_MAXIMIZED=FALSE&amp;VAR:CALENDAR=US&amp;VAR:SYMBOL=SXT&amp;VAR:INDEX=10"}</definedName>
    <definedName name="_2024__FDSAUDITLINK__" hidden="1">{"fdsup://directions/FAT Viewer?action=UPDATE&amp;creator=factset&amp;DYN_ARGS=TRUE&amp;DOC_NAME=FAT:FQL_AUDITING_CLIENT_TEMPLATE.FAT&amp;display_string=Audit&amp;VAR:KEY=CXKTABGFKL&amp;VAR:QUERY=Q1NGX0VCSVRfT1BFUihBTk4sMTIvMzEvMTk4MCwxMi8zMS8yMDA5LEFZKQ==&amp;WINDOW=FIRST_POPUP&amp;HEIGH","T=450&amp;WIDTH=450&amp;START_MAXIMIZED=FALSE&amp;VAR:CALENDAR=US&amp;VAR:SYMBOL=SXT&amp;VAR:INDEX=9"}</definedName>
    <definedName name="_2025__FDSAUDITLINK__" hidden="1">{"fdsup://directions/FAT Viewer?action=UPDATE&amp;creator=factset&amp;DYN_ARGS=TRUE&amp;DOC_NAME=FAT:FQL_AUDITING_CLIENT_TEMPLATE.FAT&amp;display_string=Audit&amp;VAR:KEY=CXKTABGFKL&amp;VAR:QUERY=Q1NGX0VCSVRfT1BFUihBTk4sMTIvMzEvMTk4MCwxMi8zMS8yMDA5LEFZKQ==&amp;WINDOW=FIRST_POPUP&amp;HEIGH","T=450&amp;WIDTH=450&amp;START_MAXIMIZED=FALSE&amp;VAR:CALENDAR=US&amp;VAR:SYMBOL=SXT&amp;VAR:INDEX=8"}</definedName>
    <definedName name="_2026__FDSAUDITLINK__" hidden="1">{"fdsup://directions/FAT Viewer?action=UPDATE&amp;creator=factset&amp;DYN_ARGS=TRUE&amp;DOC_NAME=FAT:FQL_AUDITING_CLIENT_TEMPLATE.FAT&amp;display_string=Audit&amp;VAR:KEY=CXKTABGFKL&amp;VAR:QUERY=Q1NGX0VCSVRfT1BFUihBTk4sMTIvMzEvMTk4MCwxMi8zMS8yMDA5LEFZKQ==&amp;WINDOW=FIRST_POPUP&amp;HEIGH","T=450&amp;WIDTH=450&amp;START_MAXIMIZED=FALSE&amp;VAR:CALENDAR=US&amp;VAR:SYMBOL=SXT&amp;VAR:INDEX=7"}</definedName>
    <definedName name="_2027__FDSAUDITLINK__" hidden="1">{"fdsup://directions/FAT Viewer?action=UPDATE&amp;creator=factset&amp;DYN_ARGS=TRUE&amp;DOC_NAME=FAT:FQL_AUDITING_CLIENT_TEMPLATE.FAT&amp;display_string=Audit&amp;VAR:KEY=CXKTABGFKL&amp;VAR:QUERY=Q1NGX0VCSVRfT1BFUihBTk4sMTIvMzEvMTk4MCwxMi8zMS8yMDA5LEFZKQ==&amp;WINDOW=FIRST_POPUP&amp;HEIGH","T=450&amp;WIDTH=450&amp;START_MAXIMIZED=FALSE&amp;VAR:CALENDAR=US&amp;VAR:SYMBOL=SXT&amp;VAR:INDEX=6"}</definedName>
    <definedName name="_2028__FDSAUDITLINK__" hidden="1">{"fdsup://directions/FAT Viewer?action=UPDATE&amp;creator=factset&amp;DYN_ARGS=TRUE&amp;DOC_NAME=FAT:FQL_AUDITING_CLIENT_TEMPLATE.FAT&amp;display_string=Audit&amp;VAR:KEY=CXKTABGFKL&amp;VAR:QUERY=Q1NGX0VCSVRfT1BFUihBTk4sMTIvMzEvMTk4MCwxMi8zMS8yMDA5LEFZKQ==&amp;WINDOW=FIRST_POPUP&amp;HEIGH","T=450&amp;WIDTH=450&amp;START_MAXIMIZED=FALSE&amp;VAR:CALENDAR=US&amp;VAR:SYMBOL=SXT&amp;VAR:INDEX=5"}</definedName>
    <definedName name="_2029__FDSAUDITLINK__" hidden="1">{"fdsup://directions/FAT Viewer?action=UPDATE&amp;creator=factset&amp;DYN_ARGS=TRUE&amp;DOC_NAME=FAT:FQL_AUDITING_CLIENT_TEMPLATE.FAT&amp;display_string=Audit&amp;VAR:KEY=CXKTABGFKL&amp;VAR:QUERY=Q1NGX0VCSVRfT1BFUihBTk4sMTIvMzEvMTk4MCwxMi8zMS8yMDA5LEFZKQ==&amp;WINDOW=FIRST_POPUP&amp;HEIGH","T=450&amp;WIDTH=450&amp;START_MAXIMIZED=FALSE&amp;VAR:CALENDAR=US&amp;VAR:SYMBOL=SXT&amp;VAR:INDEX=4"}</definedName>
    <definedName name="_203__FDSAUDITLINK__" hidden="1">{"fdsup://directions/FAT Viewer?action=UPDATE&amp;creator=factset&amp;DYN_ARGS=TRUE&amp;DOC_NAME=FAT:FQL_AUDITING_CLIENT_TEMPLATE.FAT&amp;display_string=Audit&amp;VAR:KEY=OXOFCDKBIJ&amp;VAR:QUERY=Q1NGX0RFQlQoQU5OLDkvMzEvMTk4MCwwKQ==&amp;WINDOW=FIRST_POPUP&amp;HEIGHT=450&amp;WIDTH=450&amp;START_MA","XIMIZED=FALSE&amp;VAR:CALENDAR=US&amp;VAR:SYMBOL=APD&amp;VAR:INDEX=6"}</definedName>
    <definedName name="_2030__FDSAUDITLINK__" hidden="1">{"fdsup://directions/FAT Viewer?action=UPDATE&amp;creator=factset&amp;DYN_ARGS=TRUE&amp;DOC_NAME=FAT:FQL_AUDITING_CLIENT_TEMPLATE.FAT&amp;display_string=Audit&amp;VAR:KEY=CXKTABGFKL&amp;VAR:QUERY=Q1NGX0VCSVRfT1BFUihBTk4sMTIvMzEvMTk4MCwxMi8zMS8yMDA5LEFZKQ==&amp;WINDOW=FIRST_POPUP&amp;HEIGH","T=450&amp;WIDTH=450&amp;START_MAXIMIZED=FALSE&amp;VAR:CALENDAR=US&amp;VAR:SYMBOL=SXT&amp;VAR:INDEX=3"}</definedName>
    <definedName name="_2031__FDSAUDITLINK__" hidden="1">{"fdsup://directions/FAT Viewer?action=UPDATE&amp;creator=factset&amp;DYN_ARGS=TRUE&amp;DOC_NAME=FAT:FQL_AUDITING_CLIENT_TEMPLATE.FAT&amp;display_string=Audit&amp;VAR:KEY=CXKTABGFKL&amp;VAR:QUERY=Q1NGX0VCSVRfT1BFUihBTk4sMTIvMzEvMTk4MCwxMi8zMS8yMDA5LEFZKQ==&amp;WINDOW=FIRST_POPUP&amp;HEIGH","T=450&amp;WIDTH=450&amp;START_MAXIMIZED=FALSE&amp;VAR:CALENDAR=US&amp;VAR:SYMBOL=SXT&amp;VAR:INDEX=2"}</definedName>
    <definedName name="_2032__FDSAUDITLINK__" hidden="1">{"fdsup://directions/FAT Viewer?action=UPDATE&amp;creator=factset&amp;DYN_ARGS=TRUE&amp;DOC_NAME=FAT:FQL_AUDITING_CLIENT_TEMPLATE.FAT&amp;display_string=Audit&amp;VAR:KEY=CXKTABGFKL&amp;VAR:QUERY=Q1NGX0VCSVRfT1BFUihBTk4sMTIvMzEvMTk4MCwxMi8zMS8yMDA5LEFZKQ==&amp;WINDOW=FIRST_POPUP&amp;HEIGH","T=450&amp;WIDTH=450&amp;START_MAXIMIZED=FALSE&amp;VAR:CALENDAR=US&amp;VAR:SYMBOL=SXT&amp;VAR:INDEX=1"}</definedName>
    <definedName name="_2033__FDSAUDITLINK__" hidden="1">{"fdsup://directions/FAT Viewer?action=UPDATE&amp;creator=factset&amp;DYN_ARGS=TRUE&amp;DOC_NAME=FAT:FQL_AUDITING_CLIENT_TEMPLATE.FAT&amp;display_string=Audit&amp;VAR:KEY=CXKTABGFKL&amp;VAR:QUERY=Q1NGX0VCSVRfT1BFUihBTk4sMTIvMzEvMTk4MCwxMi8zMS8yMDA5LEFZKQ==&amp;WINDOW=FIRST_POPUP&amp;HEIGH","T=450&amp;WIDTH=450&amp;START_MAXIMIZED=FALSE&amp;VAR:CALENDAR=US&amp;VAR:SYMBOL=SXT&amp;VAR:INDEX=0"}</definedName>
    <definedName name="_2034__FDSAUDITLINK__" hidden="1">{"fdsup://directions/FAT Viewer?action=UPDATE&amp;creator=factset&amp;DYN_ARGS=TRUE&amp;DOC_NAME=FAT:FQL_AUDITING_CLIENT_TEMPLATE.FAT&amp;display_string=Audit&amp;VAR:KEY=FOROZAHSXS&amp;VAR:QUERY=Q1NGX0VCSVRfT1BFUihMVE1fUiwwKQ==&amp;WINDOW=FIRST_POPUP&amp;HEIGHT=450&amp;WIDTH=450&amp;START_MAXIMI","ZED=FALSE&amp;VAR:CALENDAR=US&amp;VAR:SYMBOL=SCL&amp;VAR:INDEX=0"}</definedName>
    <definedName name="_2035__FDSAUDITLINK__" hidden="1">{"fdsup://directions/FAT Viewer?action=UPDATE&amp;creator=factset&amp;DYN_ARGS=TRUE&amp;DOC_NAME=FAT:FQL_AUDITING_CLIENT_TEMPLATE.FAT&amp;display_string=Audit&amp;VAR:KEY=CNEJODWFGN&amp;VAR:QUERY=Q1NGX0VCSVRfT1BFUihBTk4sMTIvMzEvMTk4MCwxMi8zMS8yMDA5LEFZKQ==&amp;WINDOW=FIRST_POPUP&amp;HEIGH","T=450&amp;WIDTH=450&amp;START_MAXIMIZED=FALSE&amp;VAR:CALENDAR=US&amp;VAR:SYMBOL=SCL&amp;VAR:INDEX=29"}</definedName>
    <definedName name="_2036__FDSAUDITLINK__" hidden="1">{"fdsup://directions/FAT Viewer?action=UPDATE&amp;creator=factset&amp;DYN_ARGS=TRUE&amp;DOC_NAME=FAT:FQL_AUDITING_CLIENT_TEMPLATE.FAT&amp;display_string=Audit&amp;VAR:KEY=CNEJODWFGN&amp;VAR:QUERY=Q1NGX0VCSVRfT1BFUihBTk4sMTIvMzEvMTk4MCwxMi8zMS8yMDA5LEFZKQ==&amp;WINDOW=FIRST_POPUP&amp;HEIGH","T=450&amp;WIDTH=450&amp;START_MAXIMIZED=FALSE&amp;VAR:CALENDAR=US&amp;VAR:SYMBOL=SCL&amp;VAR:INDEX=28"}</definedName>
    <definedName name="_2037__FDSAUDITLINK__" hidden="1">{"fdsup://directions/FAT Viewer?action=UPDATE&amp;creator=factset&amp;DYN_ARGS=TRUE&amp;DOC_NAME=FAT:FQL_AUDITING_CLIENT_TEMPLATE.FAT&amp;display_string=Audit&amp;VAR:KEY=CNEJODWFGN&amp;VAR:QUERY=Q1NGX0VCSVRfT1BFUihBTk4sMTIvMzEvMTk4MCwxMi8zMS8yMDA5LEFZKQ==&amp;WINDOW=FIRST_POPUP&amp;HEIGH","T=450&amp;WIDTH=450&amp;START_MAXIMIZED=FALSE&amp;VAR:CALENDAR=US&amp;VAR:SYMBOL=SCL&amp;VAR:INDEX=27"}</definedName>
    <definedName name="_2038__FDSAUDITLINK__" hidden="1">{"fdsup://directions/FAT Viewer?action=UPDATE&amp;creator=factset&amp;DYN_ARGS=TRUE&amp;DOC_NAME=FAT:FQL_AUDITING_CLIENT_TEMPLATE.FAT&amp;display_string=Audit&amp;VAR:KEY=CNEJODWFGN&amp;VAR:QUERY=Q1NGX0VCSVRfT1BFUihBTk4sMTIvMzEvMTk4MCwxMi8zMS8yMDA5LEFZKQ==&amp;WINDOW=FIRST_POPUP&amp;HEIGH","T=450&amp;WIDTH=450&amp;START_MAXIMIZED=FALSE&amp;VAR:CALENDAR=US&amp;VAR:SYMBOL=SCL&amp;VAR:INDEX=26"}</definedName>
    <definedName name="_2039__FDSAUDITLINK__" hidden="1">{"fdsup://directions/FAT Viewer?action=UPDATE&amp;creator=factset&amp;DYN_ARGS=TRUE&amp;DOC_NAME=FAT:FQL_AUDITING_CLIENT_TEMPLATE.FAT&amp;display_string=Audit&amp;VAR:KEY=CNEJODWFGN&amp;VAR:QUERY=Q1NGX0VCSVRfT1BFUihBTk4sMTIvMzEvMTk4MCwxMi8zMS8yMDA5LEFZKQ==&amp;WINDOW=FIRST_POPUP&amp;HEIGH","T=450&amp;WIDTH=450&amp;START_MAXIMIZED=FALSE&amp;VAR:CALENDAR=US&amp;VAR:SYMBOL=SCL&amp;VAR:INDEX=25"}</definedName>
    <definedName name="_204__FDSAUDITLINK__" hidden="1">{"fdsup://directions/FAT Viewer?action=UPDATE&amp;creator=factset&amp;DYN_ARGS=TRUE&amp;DOC_NAME=FAT:FQL_AUDITING_CLIENT_TEMPLATE.FAT&amp;display_string=Audit&amp;VAR:KEY=OXOFCDKBIJ&amp;VAR:QUERY=Q1NGX0RFQlQoQU5OLDkvMzEvMTk4MCwwKQ==&amp;WINDOW=FIRST_POPUP&amp;HEIGHT=450&amp;WIDTH=450&amp;START_MA","XIMIZED=FALSE&amp;VAR:CALENDAR=US&amp;VAR:SYMBOL=APD&amp;VAR:INDEX=5"}</definedName>
    <definedName name="_2040__FDSAUDITLINK__" hidden="1">{"fdsup://directions/FAT Viewer?action=UPDATE&amp;creator=factset&amp;DYN_ARGS=TRUE&amp;DOC_NAME=FAT:FQL_AUDITING_CLIENT_TEMPLATE.FAT&amp;display_string=Audit&amp;VAR:KEY=CNEJODWFGN&amp;VAR:QUERY=Q1NGX0VCSVRfT1BFUihBTk4sMTIvMzEvMTk4MCwxMi8zMS8yMDA5LEFZKQ==&amp;WINDOW=FIRST_POPUP&amp;HEIGH","T=450&amp;WIDTH=450&amp;START_MAXIMIZED=FALSE&amp;VAR:CALENDAR=US&amp;VAR:SYMBOL=SCL&amp;VAR:INDEX=24"}</definedName>
    <definedName name="_2041__FDSAUDITLINK__" hidden="1">{"fdsup://directions/FAT Viewer?action=UPDATE&amp;creator=factset&amp;DYN_ARGS=TRUE&amp;DOC_NAME=FAT:FQL_AUDITING_CLIENT_TEMPLATE.FAT&amp;display_string=Audit&amp;VAR:KEY=CNEJODWFGN&amp;VAR:QUERY=Q1NGX0VCSVRfT1BFUihBTk4sMTIvMzEvMTk4MCwxMi8zMS8yMDA5LEFZKQ==&amp;WINDOW=FIRST_POPUP&amp;HEIGH","T=450&amp;WIDTH=450&amp;START_MAXIMIZED=FALSE&amp;VAR:CALENDAR=US&amp;VAR:SYMBOL=SCL&amp;VAR:INDEX=23"}</definedName>
    <definedName name="_2042__FDSAUDITLINK__" hidden="1">{"fdsup://directions/FAT Viewer?action=UPDATE&amp;creator=factset&amp;DYN_ARGS=TRUE&amp;DOC_NAME=FAT:FQL_AUDITING_CLIENT_TEMPLATE.FAT&amp;display_string=Audit&amp;VAR:KEY=CNEJODWFGN&amp;VAR:QUERY=Q1NGX0VCSVRfT1BFUihBTk4sMTIvMzEvMTk4MCwxMi8zMS8yMDA5LEFZKQ==&amp;WINDOW=FIRST_POPUP&amp;HEIGH","T=450&amp;WIDTH=450&amp;START_MAXIMIZED=FALSE&amp;VAR:CALENDAR=US&amp;VAR:SYMBOL=SCL&amp;VAR:INDEX=22"}</definedName>
    <definedName name="_2043__FDSAUDITLINK__" hidden="1">{"fdsup://directions/FAT Viewer?action=UPDATE&amp;creator=factset&amp;DYN_ARGS=TRUE&amp;DOC_NAME=FAT:FQL_AUDITING_CLIENT_TEMPLATE.FAT&amp;display_string=Audit&amp;VAR:KEY=CNEJODWFGN&amp;VAR:QUERY=Q1NGX0VCSVRfT1BFUihBTk4sMTIvMzEvMTk4MCwxMi8zMS8yMDA5LEFZKQ==&amp;WINDOW=FIRST_POPUP&amp;HEIGH","T=450&amp;WIDTH=450&amp;START_MAXIMIZED=FALSE&amp;VAR:CALENDAR=US&amp;VAR:SYMBOL=SCL&amp;VAR:INDEX=21"}</definedName>
    <definedName name="_2044__FDSAUDITLINK__" hidden="1">{"fdsup://directions/FAT Viewer?action=UPDATE&amp;creator=factset&amp;DYN_ARGS=TRUE&amp;DOC_NAME=FAT:FQL_AUDITING_CLIENT_TEMPLATE.FAT&amp;display_string=Audit&amp;VAR:KEY=CNEJODWFGN&amp;VAR:QUERY=Q1NGX0VCSVRfT1BFUihBTk4sMTIvMzEvMTk4MCwxMi8zMS8yMDA5LEFZKQ==&amp;WINDOW=FIRST_POPUP&amp;HEIGH","T=450&amp;WIDTH=450&amp;START_MAXIMIZED=FALSE&amp;VAR:CALENDAR=US&amp;VAR:SYMBOL=SCL&amp;VAR:INDEX=20"}</definedName>
    <definedName name="_2045__FDSAUDITLINK__" hidden="1">{"fdsup://directions/FAT Viewer?action=UPDATE&amp;creator=factset&amp;DYN_ARGS=TRUE&amp;DOC_NAME=FAT:FQL_AUDITING_CLIENT_TEMPLATE.FAT&amp;display_string=Audit&amp;VAR:KEY=CNEJODWFGN&amp;VAR:QUERY=Q1NGX0VCSVRfT1BFUihBTk4sMTIvMzEvMTk4MCwxMi8zMS8yMDA5LEFZKQ==&amp;WINDOW=FIRST_POPUP&amp;HEIGH","T=450&amp;WIDTH=450&amp;START_MAXIMIZED=FALSE&amp;VAR:CALENDAR=US&amp;VAR:SYMBOL=SCL&amp;VAR:INDEX=19"}</definedName>
    <definedName name="_2046__FDSAUDITLINK__" hidden="1">{"fdsup://directions/FAT Viewer?action=UPDATE&amp;creator=factset&amp;DYN_ARGS=TRUE&amp;DOC_NAME=FAT:FQL_AUDITING_CLIENT_TEMPLATE.FAT&amp;display_string=Audit&amp;VAR:KEY=CNEJODWFGN&amp;VAR:QUERY=Q1NGX0VCSVRfT1BFUihBTk4sMTIvMzEvMTk4MCwxMi8zMS8yMDA5LEFZKQ==&amp;WINDOW=FIRST_POPUP&amp;HEIGH","T=450&amp;WIDTH=450&amp;START_MAXIMIZED=FALSE&amp;VAR:CALENDAR=US&amp;VAR:SYMBOL=SCL&amp;VAR:INDEX=18"}</definedName>
    <definedName name="_2047__FDSAUDITLINK__" hidden="1">{"fdsup://directions/FAT Viewer?action=UPDATE&amp;creator=factset&amp;DYN_ARGS=TRUE&amp;DOC_NAME=FAT:FQL_AUDITING_CLIENT_TEMPLATE.FAT&amp;display_string=Audit&amp;VAR:KEY=CNEJODWFGN&amp;VAR:QUERY=Q1NGX0VCSVRfT1BFUihBTk4sMTIvMzEvMTk4MCwxMi8zMS8yMDA5LEFZKQ==&amp;WINDOW=FIRST_POPUP&amp;HEIGH","T=450&amp;WIDTH=450&amp;START_MAXIMIZED=FALSE&amp;VAR:CALENDAR=US&amp;VAR:SYMBOL=SCL&amp;VAR:INDEX=17"}</definedName>
    <definedName name="_2048__FDSAUDITLINK__" hidden="1">{"fdsup://directions/FAT Viewer?action=UPDATE&amp;creator=factset&amp;DYN_ARGS=TRUE&amp;DOC_NAME=FAT:FQL_AUDITING_CLIENT_TEMPLATE.FAT&amp;display_string=Audit&amp;VAR:KEY=CNEJODWFGN&amp;VAR:QUERY=Q1NGX0VCSVRfT1BFUihBTk4sMTIvMzEvMTk4MCwxMi8zMS8yMDA5LEFZKQ==&amp;WINDOW=FIRST_POPUP&amp;HEIGH","T=450&amp;WIDTH=450&amp;START_MAXIMIZED=FALSE&amp;VAR:CALENDAR=US&amp;VAR:SYMBOL=SCL&amp;VAR:INDEX=16"}</definedName>
    <definedName name="_2049__FDSAUDITLINK__" hidden="1">{"fdsup://directions/FAT Viewer?action=UPDATE&amp;creator=factset&amp;DYN_ARGS=TRUE&amp;DOC_NAME=FAT:FQL_AUDITING_CLIENT_TEMPLATE.FAT&amp;display_string=Audit&amp;VAR:KEY=CNEJODWFGN&amp;VAR:QUERY=Q1NGX0VCSVRfT1BFUihBTk4sMTIvMzEvMTk4MCwxMi8zMS8yMDA5LEFZKQ==&amp;WINDOW=FIRST_POPUP&amp;HEIGH","T=450&amp;WIDTH=450&amp;START_MAXIMIZED=FALSE&amp;VAR:CALENDAR=US&amp;VAR:SYMBOL=SCL&amp;VAR:INDEX=15"}</definedName>
    <definedName name="_205__FDSAUDITLINK__" hidden="1">{"fdsup://directions/FAT Viewer?action=UPDATE&amp;creator=factset&amp;DYN_ARGS=TRUE&amp;DOC_NAME=FAT:FQL_AUDITING_CLIENT_TEMPLATE.FAT&amp;display_string=Audit&amp;VAR:KEY=OXOFCDKBIJ&amp;VAR:QUERY=Q1NGX0RFQlQoQU5OLDkvMzEvMTk4MCwwKQ==&amp;WINDOW=FIRST_POPUP&amp;HEIGHT=450&amp;WIDTH=450&amp;START_MA","XIMIZED=FALSE&amp;VAR:CALENDAR=US&amp;VAR:SYMBOL=APD&amp;VAR:INDEX=4"}</definedName>
    <definedName name="_2050__FDSAUDITLINK__" hidden="1">{"fdsup://directions/FAT Viewer?action=UPDATE&amp;creator=factset&amp;DYN_ARGS=TRUE&amp;DOC_NAME=FAT:FQL_AUDITING_CLIENT_TEMPLATE.FAT&amp;display_string=Audit&amp;VAR:KEY=CNEJODWFGN&amp;VAR:QUERY=Q1NGX0VCSVRfT1BFUihBTk4sMTIvMzEvMTk4MCwxMi8zMS8yMDA5LEFZKQ==&amp;WINDOW=FIRST_POPUP&amp;HEIGH","T=450&amp;WIDTH=450&amp;START_MAXIMIZED=FALSE&amp;VAR:CALENDAR=US&amp;VAR:SYMBOL=SCL&amp;VAR:INDEX=14"}</definedName>
    <definedName name="_2051__FDSAUDITLINK__" hidden="1">{"fdsup://directions/FAT Viewer?action=UPDATE&amp;creator=factset&amp;DYN_ARGS=TRUE&amp;DOC_NAME=FAT:FQL_AUDITING_CLIENT_TEMPLATE.FAT&amp;display_string=Audit&amp;VAR:KEY=CNEJODWFGN&amp;VAR:QUERY=Q1NGX0VCSVRfT1BFUihBTk4sMTIvMzEvMTk4MCwxMi8zMS8yMDA5LEFZKQ==&amp;WINDOW=FIRST_POPUP&amp;HEIGH","T=450&amp;WIDTH=450&amp;START_MAXIMIZED=FALSE&amp;VAR:CALENDAR=US&amp;VAR:SYMBOL=SCL&amp;VAR:INDEX=13"}</definedName>
    <definedName name="_2052__FDSAUDITLINK__" hidden="1">{"fdsup://directions/FAT Viewer?action=UPDATE&amp;creator=factset&amp;DYN_ARGS=TRUE&amp;DOC_NAME=FAT:FQL_AUDITING_CLIENT_TEMPLATE.FAT&amp;display_string=Audit&amp;VAR:KEY=CNEJODWFGN&amp;VAR:QUERY=Q1NGX0VCSVRfT1BFUihBTk4sMTIvMzEvMTk4MCwxMi8zMS8yMDA5LEFZKQ==&amp;WINDOW=FIRST_POPUP&amp;HEIGH","T=450&amp;WIDTH=450&amp;START_MAXIMIZED=FALSE&amp;VAR:CALENDAR=US&amp;VAR:SYMBOL=SCL&amp;VAR:INDEX=12"}</definedName>
    <definedName name="_2053__FDSAUDITLINK__" hidden="1">{"fdsup://directions/FAT Viewer?action=UPDATE&amp;creator=factset&amp;DYN_ARGS=TRUE&amp;DOC_NAME=FAT:FQL_AUDITING_CLIENT_TEMPLATE.FAT&amp;display_string=Audit&amp;VAR:KEY=CNEJODWFGN&amp;VAR:QUERY=Q1NGX0VCSVRfT1BFUihBTk4sMTIvMzEvMTk4MCwxMi8zMS8yMDA5LEFZKQ==&amp;WINDOW=FIRST_POPUP&amp;HEIGH","T=450&amp;WIDTH=450&amp;START_MAXIMIZED=FALSE&amp;VAR:CALENDAR=US&amp;VAR:SYMBOL=SCL&amp;VAR:INDEX=11"}</definedName>
    <definedName name="_2054__FDSAUDITLINK__" hidden="1">{"fdsup://directions/FAT Viewer?action=UPDATE&amp;creator=factset&amp;DYN_ARGS=TRUE&amp;DOC_NAME=FAT:FQL_AUDITING_CLIENT_TEMPLATE.FAT&amp;display_string=Audit&amp;VAR:KEY=CNEJODWFGN&amp;VAR:QUERY=Q1NGX0VCSVRfT1BFUihBTk4sMTIvMzEvMTk4MCwxMi8zMS8yMDA5LEFZKQ==&amp;WINDOW=FIRST_POPUP&amp;HEIGH","T=450&amp;WIDTH=450&amp;START_MAXIMIZED=FALSE&amp;VAR:CALENDAR=US&amp;VAR:SYMBOL=SCL&amp;VAR:INDEX=10"}</definedName>
    <definedName name="_2055__FDSAUDITLINK__" hidden="1">{"fdsup://directions/FAT Viewer?action=UPDATE&amp;creator=factset&amp;DYN_ARGS=TRUE&amp;DOC_NAME=FAT:FQL_AUDITING_CLIENT_TEMPLATE.FAT&amp;display_string=Audit&amp;VAR:KEY=CNEJODWFGN&amp;VAR:QUERY=Q1NGX0VCSVRfT1BFUihBTk4sMTIvMzEvMTk4MCwxMi8zMS8yMDA5LEFZKQ==&amp;WINDOW=FIRST_POPUP&amp;HEIGH","T=450&amp;WIDTH=450&amp;START_MAXIMIZED=FALSE&amp;VAR:CALENDAR=US&amp;VAR:SYMBOL=SCL&amp;VAR:INDEX=9"}</definedName>
    <definedName name="_2056__FDSAUDITLINK__" hidden="1">{"fdsup://directions/FAT Viewer?action=UPDATE&amp;creator=factset&amp;DYN_ARGS=TRUE&amp;DOC_NAME=FAT:FQL_AUDITING_CLIENT_TEMPLATE.FAT&amp;display_string=Audit&amp;VAR:KEY=CNEJODWFGN&amp;VAR:QUERY=Q1NGX0VCSVRfT1BFUihBTk4sMTIvMzEvMTk4MCwxMi8zMS8yMDA5LEFZKQ==&amp;WINDOW=FIRST_POPUP&amp;HEIGH","T=450&amp;WIDTH=450&amp;START_MAXIMIZED=FALSE&amp;VAR:CALENDAR=US&amp;VAR:SYMBOL=SCL&amp;VAR:INDEX=8"}</definedName>
    <definedName name="_2057__FDSAUDITLINK__" hidden="1">{"fdsup://directions/FAT Viewer?action=UPDATE&amp;creator=factset&amp;DYN_ARGS=TRUE&amp;DOC_NAME=FAT:FQL_AUDITING_CLIENT_TEMPLATE.FAT&amp;display_string=Audit&amp;VAR:KEY=CNEJODWFGN&amp;VAR:QUERY=Q1NGX0VCSVRfT1BFUihBTk4sMTIvMzEvMTk4MCwxMi8zMS8yMDA5LEFZKQ==&amp;WINDOW=FIRST_POPUP&amp;HEIGH","T=450&amp;WIDTH=450&amp;START_MAXIMIZED=FALSE&amp;VAR:CALENDAR=US&amp;VAR:SYMBOL=SCL&amp;VAR:INDEX=7"}</definedName>
    <definedName name="_2058__FDSAUDITLINK__" hidden="1">{"fdsup://directions/FAT Viewer?action=UPDATE&amp;creator=factset&amp;DYN_ARGS=TRUE&amp;DOC_NAME=FAT:FQL_AUDITING_CLIENT_TEMPLATE.FAT&amp;display_string=Audit&amp;VAR:KEY=CNEJODWFGN&amp;VAR:QUERY=Q1NGX0VCSVRfT1BFUihBTk4sMTIvMzEvMTk4MCwxMi8zMS8yMDA5LEFZKQ==&amp;WINDOW=FIRST_POPUP&amp;HEIGH","T=450&amp;WIDTH=450&amp;START_MAXIMIZED=FALSE&amp;VAR:CALENDAR=US&amp;VAR:SYMBOL=SCL&amp;VAR:INDEX=6"}</definedName>
    <definedName name="_2059__FDSAUDITLINK__" hidden="1">{"fdsup://directions/FAT Viewer?action=UPDATE&amp;creator=factset&amp;DYN_ARGS=TRUE&amp;DOC_NAME=FAT:FQL_AUDITING_CLIENT_TEMPLATE.FAT&amp;display_string=Audit&amp;VAR:KEY=CNEJODWFGN&amp;VAR:QUERY=Q1NGX0VCSVRfT1BFUihBTk4sMTIvMzEvMTk4MCwxMi8zMS8yMDA5LEFZKQ==&amp;WINDOW=FIRST_POPUP&amp;HEIGH","T=450&amp;WIDTH=450&amp;START_MAXIMIZED=FALSE&amp;VAR:CALENDAR=US&amp;VAR:SYMBOL=SCL&amp;VAR:INDEX=5"}</definedName>
    <definedName name="_206__FDSAUDITLINK__" hidden="1">{"fdsup://directions/FAT Viewer?action=UPDATE&amp;creator=factset&amp;DYN_ARGS=TRUE&amp;DOC_NAME=FAT:FQL_AUDITING_CLIENT_TEMPLATE.FAT&amp;display_string=Audit&amp;VAR:KEY=OXOFCDKBIJ&amp;VAR:QUERY=Q1NGX0RFQlQoQU5OLDkvMzEvMTk4MCwwKQ==&amp;WINDOW=FIRST_POPUP&amp;HEIGHT=450&amp;WIDTH=450&amp;START_MA","XIMIZED=FALSE&amp;VAR:CALENDAR=US&amp;VAR:SYMBOL=APD&amp;VAR:INDEX=3"}</definedName>
    <definedName name="_2060__FDSAUDITLINK__" hidden="1">{"fdsup://directions/FAT Viewer?action=UPDATE&amp;creator=factset&amp;DYN_ARGS=TRUE&amp;DOC_NAME=FAT:FQL_AUDITING_CLIENT_TEMPLATE.FAT&amp;display_string=Audit&amp;VAR:KEY=CNEJODWFGN&amp;VAR:QUERY=Q1NGX0VCSVRfT1BFUihBTk4sMTIvMzEvMTk4MCwxMi8zMS8yMDA5LEFZKQ==&amp;WINDOW=FIRST_POPUP&amp;HEIGH","T=450&amp;WIDTH=450&amp;START_MAXIMIZED=FALSE&amp;VAR:CALENDAR=US&amp;VAR:SYMBOL=SCL&amp;VAR:INDEX=4"}</definedName>
    <definedName name="_2061__FDSAUDITLINK__" hidden="1">{"fdsup://directions/FAT Viewer?action=UPDATE&amp;creator=factset&amp;DYN_ARGS=TRUE&amp;DOC_NAME=FAT:FQL_AUDITING_CLIENT_TEMPLATE.FAT&amp;display_string=Audit&amp;VAR:KEY=CNEJODWFGN&amp;VAR:QUERY=Q1NGX0VCSVRfT1BFUihBTk4sMTIvMzEvMTk4MCwxMi8zMS8yMDA5LEFZKQ==&amp;WINDOW=FIRST_POPUP&amp;HEIGH","T=450&amp;WIDTH=450&amp;START_MAXIMIZED=FALSE&amp;VAR:CALENDAR=US&amp;VAR:SYMBOL=SCL&amp;VAR:INDEX=3"}</definedName>
    <definedName name="_2062__FDSAUDITLINK__" hidden="1">{"fdsup://directions/FAT Viewer?action=UPDATE&amp;creator=factset&amp;DYN_ARGS=TRUE&amp;DOC_NAME=FAT:FQL_AUDITING_CLIENT_TEMPLATE.FAT&amp;display_string=Audit&amp;VAR:KEY=CNEJODWFGN&amp;VAR:QUERY=Q1NGX0VCSVRfT1BFUihBTk4sMTIvMzEvMTk4MCwxMi8zMS8yMDA5LEFZKQ==&amp;WINDOW=FIRST_POPUP&amp;HEIGH","T=450&amp;WIDTH=450&amp;START_MAXIMIZED=FALSE&amp;VAR:CALENDAR=US&amp;VAR:SYMBOL=SCL&amp;VAR:INDEX=2"}</definedName>
    <definedName name="_2063__FDSAUDITLINK__" hidden="1">{"fdsup://directions/FAT Viewer?action=UPDATE&amp;creator=factset&amp;DYN_ARGS=TRUE&amp;DOC_NAME=FAT:FQL_AUDITING_CLIENT_TEMPLATE.FAT&amp;display_string=Audit&amp;VAR:KEY=CNEJODWFGN&amp;VAR:QUERY=Q1NGX0VCSVRfT1BFUihBTk4sMTIvMzEvMTk4MCwxMi8zMS8yMDA5LEFZKQ==&amp;WINDOW=FIRST_POPUP&amp;HEIGH","T=450&amp;WIDTH=450&amp;START_MAXIMIZED=FALSE&amp;VAR:CALENDAR=US&amp;VAR:SYMBOL=SCL&amp;VAR:INDEX=1"}</definedName>
    <definedName name="_2064__FDSAUDITLINK__" hidden="1">{"fdsup://directions/FAT Viewer?action=UPDATE&amp;creator=factset&amp;DYN_ARGS=TRUE&amp;DOC_NAME=FAT:FQL_AUDITING_CLIENT_TEMPLATE.FAT&amp;display_string=Audit&amp;VAR:KEY=CNEJODWFGN&amp;VAR:QUERY=Q1NGX0VCSVRfT1BFUihBTk4sMTIvMzEvMTk4MCwxMi8zMS8yMDA5LEFZKQ==&amp;WINDOW=FIRST_POPUP&amp;HEIGH","T=450&amp;WIDTH=450&amp;START_MAXIMIZED=FALSE&amp;VAR:CALENDAR=US&amp;VAR:SYMBOL=SCL&amp;VAR:INDEX=0"}</definedName>
    <definedName name="_2065__FDSAUDITLINK__" hidden="1">{"fdsup://directions/FAT Viewer?action=UPDATE&amp;creator=factset&amp;DYN_ARGS=TRUE&amp;DOC_NAME=FAT:FQL_AUDITING_CLIENT_TEMPLATE.FAT&amp;display_string=Audit&amp;VAR:KEY=LMPKPYFWRI&amp;VAR:QUERY=Q1NGX0VCSVRfT1BFUihMVE1fUiwwKQ==&amp;WINDOW=FIRST_POPUP&amp;HEIGHT=450&amp;WIDTH=450&amp;START_MAXIMI","ZED=FALSE&amp;VAR:CALENDAR=US&amp;VAR:SYMBOL=SIAL&amp;VAR:INDEX=0"}</definedName>
    <definedName name="_2066__FDSAUDITLINK__" hidden="1">{"fdsup://directions/FAT Viewer?action=UPDATE&amp;creator=factset&amp;DYN_ARGS=TRUE&amp;DOC_NAME=FAT:FQL_AUDITING_CLIENT_TEMPLATE.FAT&amp;display_string=Audit&amp;VAR:KEY=SNUNOVABAT&amp;VAR:QUERY=Q1NGX0VCSVRfT1BFUihBTk4sMTIvMzEvMTk4MCwxMi8zMS8yMDA5LEFZKQ==&amp;WINDOW=FIRST_POPUP&amp;HEIGH","T=450&amp;WIDTH=450&amp;START_MAXIMIZED=FALSE&amp;VAR:CALENDAR=US&amp;VAR:SYMBOL=SIAL&amp;VAR:INDEX=29"}</definedName>
    <definedName name="_2067__FDSAUDITLINK__" hidden="1">{"fdsup://directions/FAT Viewer?action=UPDATE&amp;creator=factset&amp;DYN_ARGS=TRUE&amp;DOC_NAME=FAT:FQL_AUDITING_CLIENT_TEMPLATE.FAT&amp;display_string=Audit&amp;VAR:KEY=SNUNOVABAT&amp;VAR:QUERY=Q1NGX0VCSVRfT1BFUihBTk4sMTIvMzEvMTk4MCwxMi8zMS8yMDA5LEFZKQ==&amp;WINDOW=FIRST_POPUP&amp;HEIGH","T=450&amp;WIDTH=450&amp;START_MAXIMIZED=FALSE&amp;VAR:CALENDAR=US&amp;VAR:SYMBOL=SIAL&amp;VAR:INDEX=28"}</definedName>
    <definedName name="_2068__FDSAUDITLINK__" hidden="1">{"fdsup://directions/FAT Viewer?action=UPDATE&amp;creator=factset&amp;DYN_ARGS=TRUE&amp;DOC_NAME=FAT:FQL_AUDITING_CLIENT_TEMPLATE.FAT&amp;display_string=Audit&amp;VAR:KEY=SNUNOVABAT&amp;VAR:QUERY=Q1NGX0VCSVRfT1BFUihBTk4sMTIvMzEvMTk4MCwxMi8zMS8yMDA5LEFZKQ==&amp;WINDOW=FIRST_POPUP&amp;HEIGH","T=450&amp;WIDTH=450&amp;START_MAXIMIZED=FALSE&amp;VAR:CALENDAR=US&amp;VAR:SYMBOL=SIAL&amp;VAR:INDEX=27"}</definedName>
    <definedName name="_2069__FDSAUDITLINK__" hidden="1">{"fdsup://directions/FAT Viewer?action=UPDATE&amp;creator=factset&amp;DYN_ARGS=TRUE&amp;DOC_NAME=FAT:FQL_AUDITING_CLIENT_TEMPLATE.FAT&amp;display_string=Audit&amp;VAR:KEY=SNUNOVABAT&amp;VAR:QUERY=Q1NGX0VCSVRfT1BFUihBTk4sMTIvMzEvMTk4MCwxMi8zMS8yMDA5LEFZKQ==&amp;WINDOW=FIRST_POPUP&amp;HEIGH","T=450&amp;WIDTH=450&amp;START_MAXIMIZED=FALSE&amp;VAR:CALENDAR=US&amp;VAR:SYMBOL=SIAL&amp;VAR:INDEX=26"}</definedName>
    <definedName name="_207__FDSAUDITLINK__" hidden="1">{"fdsup://directions/FAT Viewer?action=UPDATE&amp;creator=factset&amp;DYN_ARGS=TRUE&amp;DOC_NAME=FAT:FQL_AUDITING_CLIENT_TEMPLATE.FAT&amp;display_string=Audit&amp;VAR:KEY=OXOFCDKBIJ&amp;VAR:QUERY=Q1NGX0RFQlQoQU5OLDkvMzEvMTk4MCwwKQ==&amp;WINDOW=FIRST_POPUP&amp;HEIGHT=450&amp;WIDTH=450&amp;START_MA","XIMIZED=FALSE&amp;VAR:CALENDAR=US&amp;VAR:SYMBOL=APD&amp;VAR:INDEX=2"}</definedName>
    <definedName name="_2070__FDSAUDITLINK__" hidden="1">{"fdsup://directions/FAT Viewer?action=UPDATE&amp;creator=factset&amp;DYN_ARGS=TRUE&amp;DOC_NAME=FAT:FQL_AUDITING_CLIENT_TEMPLATE.FAT&amp;display_string=Audit&amp;VAR:KEY=SNUNOVABAT&amp;VAR:QUERY=Q1NGX0VCSVRfT1BFUihBTk4sMTIvMzEvMTk4MCwxMi8zMS8yMDA5LEFZKQ==&amp;WINDOW=FIRST_POPUP&amp;HEIGH","T=450&amp;WIDTH=450&amp;START_MAXIMIZED=FALSE&amp;VAR:CALENDAR=US&amp;VAR:SYMBOL=SIAL&amp;VAR:INDEX=25"}</definedName>
    <definedName name="_2071__FDSAUDITLINK__" hidden="1">{"fdsup://directions/FAT Viewer?action=UPDATE&amp;creator=factset&amp;DYN_ARGS=TRUE&amp;DOC_NAME=FAT:FQL_AUDITING_CLIENT_TEMPLATE.FAT&amp;display_string=Audit&amp;VAR:KEY=SNUNOVABAT&amp;VAR:QUERY=Q1NGX0VCSVRfT1BFUihBTk4sMTIvMzEvMTk4MCwxMi8zMS8yMDA5LEFZKQ==&amp;WINDOW=FIRST_POPUP&amp;HEIGH","T=450&amp;WIDTH=450&amp;START_MAXIMIZED=FALSE&amp;VAR:CALENDAR=US&amp;VAR:SYMBOL=SIAL&amp;VAR:INDEX=24"}</definedName>
    <definedName name="_2072__FDSAUDITLINK__" hidden="1">{"fdsup://directions/FAT Viewer?action=UPDATE&amp;creator=factset&amp;DYN_ARGS=TRUE&amp;DOC_NAME=FAT:FQL_AUDITING_CLIENT_TEMPLATE.FAT&amp;display_string=Audit&amp;VAR:KEY=SNUNOVABAT&amp;VAR:QUERY=Q1NGX0VCSVRfT1BFUihBTk4sMTIvMzEvMTk4MCwxMi8zMS8yMDA5LEFZKQ==&amp;WINDOW=FIRST_POPUP&amp;HEIGH","T=450&amp;WIDTH=450&amp;START_MAXIMIZED=FALSE&amp;VAR:CALENDAR=US&amp;VAR:SYMBOL=SIAL&amp;VAR:INDEX=23"}</definedName>
    <definedName name="_2073__FDSAUDITLINK__" hidden="1">{"fdsup://directions/FAT Viewer?action=UPDATE&amp;creator=factset&amp;DYN_ARGS=TRUE&amp;DOC_NAME=FAT:FQL_AUDITING_CLIENT_TEMPLATE.FAT&amp;display_string=Audit&amp;VAR:KEY=SNUNOVABAT&amp;VAR:QUERY=Q1NGX0VCSVRfT1BFUihBTk4sMTIvMzEvMTk4MCwxMi8zMS8yMDA5LEFZKQ==&amp;WINDOW=FIRST_POPUP&amp;HEIGH","T=450&amp;WIDTH=450&amp;START_MAXIMIZED=FALSE&amp;VAR:CALENDAR=US&amp;VAR:SYMBOL=SIAL&amp;VAR:INDEX=22"}</definedName>
    <definedName name="_2074__FDSAUDITLINK__" hidden="1">{"fdsup://directions/FAT Viewer?action=UPDATE&amp;creator=factset&amp;DYN_ARGS=TRUE&amp;DOC_NAME=FAT:FQL_AUDITING_CLIENT_TEMPLATE.FAT&amp;display_string=Audit&amp;VAR:KEY=SNUNOVABAT&amp;VAR:QUERY=Q1NGX0VCSVRfT1BFUihBTk4sMTIvMzEvMTk4MCwxMi8zMS8yMDA5LEFZKQ==&amp;WINDOW=FIRST_POPUP&amp;HEIGH","T=450&amp;WIDTH=450&amp;START_MAXIMIZED=FALSE&amp;VAR:CALENDAR=US&amp;VAR:SYMBOL=SIAL&amp;VAR:INDEX=21"}</definedName>
    <definedName name="_2075__FDSAUDITLINK__" hidden="1">{"fdsup://directions/FAT Viewer?action=UPDATE&amp;creator=factset&amp;DYN_ARGS=TRUE&amp;DOC_NAME=FAT:FQL_AUDITING_CLIENT_TEMPLATE.FAT&amp;display_string=Audit&amp;VAR:KEY=SNUNOVABAT&amp;VAR:QUERY=Q1NGX0VCSVRfT1BFUihBTk4sMTIvMzEvMTk4MCwxMi8zMS8yMDA5LEFZKQ==&amp;WINDOW=FIRST_POPUP&amp;HEIGH","T=450&amp;WIDTH=450&amp;START_MAXIMIZED=FALSE&amp;VAR:CALENDAR=US&amp;VAR:SYMBOL=SIAL&amp;VAR:INDEX=20"}</definedName>
    <definedName name="_2076__FDSAUDITLINK__" hidden="1">{"fdsup://directions/FAT Viewer?action=UPDATE&amp;creator=factset&amp;DYN_ARGS=TRUE&amp;DOC_NAME=FAT:FQL_AUDITING_CLIENT_TEMPLATE.FAT&amp;display_string=Audit&amp;VAR:KEY=SNUNOVABAT&amp;VAR:QUERY=Q1NGX0VCSVRfT1BFUihBTk4sMTIvMzEvMTk4MCwxMi8zMS8yMDA5LEFZKQ==&amp;WINDOW=FIRST_POPUP&amp;HEIGH","T=450&amp;WIDTH=450&amp;START_MAXIMIZED=FALSE&amp;VAR:CALENDAR=US&amp;VAR:SYMBOL=SIAL&amp;VAR:INDEX=19"}</definedName>
    <definedName name="_2077__FDSAUDITLINK__" hidden="1">{"fdsup://directions/FAT Viewer?action=UPDATE&amp;creator=factset&amp;DYN_ARGS=TRUE&amp;DOC_NAME=FAT:FQL_AUDITING_CLIENT_TEMPLATE.FAT&amp;display_string=Audit&amp;VAR:KEY=SNUNOVABAT&amp;VAR:QUERY=Q1NGX0VCSVRfT1BFUihBTk4sMTIvMzEvMTk4MCwxMi8zMS8yMDA5LEFZKQ==&amp;WINDOW=FIRST_POPUP&amp;HEIGH","T=450&amp;WIDTH=450&amp;START_MAXIMIZED=FALSE&amp;VAR:CALENDAR=US&amp;VAR:SYMBOL=SIAL&amp;VAR:INDEX=18"}</definedName>
    <definedName name="_2078__FDSAUDITLINK__" hidden="1">{"fdsup://directions/FAT Viewer?action=UPDATE&amp;creator=factset&amp;DYN_ARGS=TRUE&amp;DOC_NAME=FAT:FQL_AUDITING_CLIENT_TEMPLATE.FAT&amp;display_string=Audit&amp;VAR:KEY=SNUNOVABAT&amp;VAR:QUERY=Q1NGX0VCSVRfT1BFUihBTk4sMTIvMzEvMTk4MCwxMi8zMS8yMDA5LEFZKQ==&amp;WINDOW=FIRST_POPUP&amp;HEIGH","T=450&amp;WIDTH=450&amp;START_MAXIMIZED=FALSE&amp;VAR:CALENDAR=US&amp;VAR:SYMBOL=SIAL&amp;VAR:INDEX=17"}</definedName>
    <definedName name="_2079__FDSAUDITLINK__" hidden="1">{"fdsup://directions/FAT Viewer?action=UPDATE&amp;creator=factset&amp;DYN_ARGS=TRUE&amp;DOC_NAME=FAT:FQL_AUDITING_CLIENT_TEMPLATE.FAT&amp;display_string=Audit&amp;VAR:KEY=SNUNOVABAT&amp;VAR:QUERY=Q1NGX0VCSVRfT1BFUihBTk4sMTIvMzEvMTk4MCwxMi8zMS8yMDA5LEFZKQ==&amp;WINDOW=FIRST_POPUP&amp;HEIGH","T=450&amp;WIDTH=450&amp;START_MAXIMIZED=FALSE&amp;VAR:CALENDAR=US&amp;VAR:SYMBOL=SIAL&amp;VAR:INDEX=16"}</definedName>
    <definedName name="_208__FDSAUDITLINK__" hidden="1">{"fdsup://directions/FAT Viewer?action=UPDATE&amp;creator=factset&amp;DYN_ARGS=TRUE&amp;DOC_NAME=FAT:FQL_AUDITING_CLIENT_TEMPLATE.FAT&amp;display_string=Audit&amp;VAR:KEY=OXOFCDKBIJ&amp;VAR:QUERY=Q1NGX0RFQlQoQU5OLDkvMzEvMTk4MCwwKQ==&amp;WINDOW=FIRST_POPUP&amp;HEIGHT=450&amp;WIDTH=450&amp;START_MA","XIMIZED=FALSE&amp;VAR:CALENDAR=US&amp;VAR:SYMBOL=APD&amp;VAR:INDEX=1"}</definedName>
    <definedName name="_2080__FDSAUDITLINK__" hidden="1">{"fdsup://directions/FAT Viewer?action=UPDATE&amp;creator=factset&amp;DYN_ARGS=TRUE&amp;DOC_NAME=FAT:FQL_AUDITING_CLIENT_TEMPLATE.FAT&amp;display_string=Audit&amp;VAR:KEY=SNUNOVABAT&amp;VAR:QUERY=Q1NGX0VCSVRfT1BFUihBTk4sMTIvMzEvMTk4MCwxMi8zMS8yMDA5LEFZKQ==&amp;WINDOW=FIRST_POPUP&amp;HEIGH","T=450&amp;WIDTH=450&amp;START_MAXIMIZED=FALSE&amp;VAR:CALENDAR=US&amp;VAR:SYMBOL=SIAL&amp;VAR:INDEX=15"}</definedName>
    <definedName name="_2081__FDSAUDITLINK__" hidden="1">{"fdsup://directions/FAT Viewer?action=UPDATE&amp;creator=factset&amp;DYN_ARGS=TRUE&amp;DOC_NAME=FAT:FQL_AUDITING_CLIENT_TEMPLATE.FAT&amp;display_string=Audit&amp;VAR:KEY=SNUNOVABAT&amp;VAR:QUERY=Q1NGX0VCSVRfT1BFUihBTk4sMTIvMzEvMTk4MCwxMi8zMS8yMDA5LEFZKQ==&amp;WINDOW=FIRST_POPUP&amp;HEIGH","T=450&amp;WIDTH=450&amp;START_MAXIMIZED=FALSE&amp;VAR:CALENDAR=US&amp;VAR:SYMBOL=SIAL&amp;VAR:INDEX=14"}</definedName>
    <definedName name="_2082__FDSAUDITLINK__" hidden="1">{"fdsup://directions/FAT Viewer?action=UPDATE&amp;creator=factset&amp;DYN_ARGS=TRUE&amp;DOC_NAME=FAT:FQL_AUDITING_CLIENT_TEMPLATE.FAT&amp;display_string=Audit&amp;VAR:KEY=SNUNOVABAT&amp;VAR:QUERY=Q1NGX0VCSVRfT1BFUihBTk4sMTIvMzEvMTk4MCwxMi8zMS8yMDA5LEFZKQ==&amp;WINDOW=FIRST_POPUP&amp;HEIGH","T=450&amp;WIDTH=450&amp;START_MAXIMIZED=FALSE&amp;VAR:CALENDAR=US&amp;VAR:SYMBOL=SIAL&amp;VAR:INDEX=13"}</definedName>
    <definedName name="_2083__FDSAUDITLINK__" hidden="1">{"fdsup://directions/FAT Viewer?action=UPDATE&amp;creator=factset&amp;DYN_ARGS=TRUE&amp;DOC_NAME=FAT:FQL_AUDITING_CLIENT_TEMPLATE.FAT&amp;display_string=Audit&amp;VAR:KEY=SNUNOVABAT&amp;VAR:QUERY=Q1NGX0VCSVRfT1BFUihBTk4sMTIvMzEvMTk4MCwxMi8zMS8yMDA5LEFZKQ==&amp;WINDOW=FIRST_POPUP&amp;HEIGH","T=450&amp;WIDTH=450&amp;START_MAXIMIZED=FALSE&amp;VAR:CALENDAR=US&amp;VAR:SYMBOL=SIAL&amp;VAR:INDEX=12"}</definedName>
    <definedName name="_2084__FDSAUDITLINK__" hidden="1">{"fdsup://directions/FAT Viewer?action=UPDATE&amp;creator=factset&amp;DYN_ARGS=TRUE&amp;DOC_NAME=FAT:FQL_AUDITING_CLIENT_TEMPLATE.FAT&amp;display_string=Audit&amp;VAR:KEY=SNUNOVABAT&amp;VAR:QUERY=Q1NGX0VCSVRfT1BFUihBTk4sMTIvMzEvMTk4MCwxMi8zMS8yMDA5LEFZKQ==&amp;WINDOW=FIRST_POPUP&amp;HEIGH","T=450&amp;WIDTH=450&amp;START_MAXIMIZED=FALSE&amp;VAR:CALENDAR=US&amp;VAR:SYMBOL=SIAL&amp;VAR:INDEX=11"}</definedName>
    <definedName name="_2085__FDSAUDITLINK__" hidden="1">{"fdsup://directions/FAT Viewer?action=UPDATE&amp;creator=factset&amp;DYN_ARGS=TRUE&amp;DOC_NAME=FAT:FQL_AUDITING_CLIENT_TEMPLATE.FAT&amp;display_string=Audit&amp;VAR:KEY=SNUNOVABAT&amp;VAR:QUERY=Q1NGX0VCSVRfT1BFUihBTk4sMTIvMzEvMTk4MCwxMi8zMS8yMDA5LEFZKQ==&amp;WINDOW=FIRST_POPUP&amp;HEIGH","T=450&amp;WIDTH=450&amp;START_MAXIMIZED=FALSE&amp;VAR:CALENDAR=US&amp;VAR:SYMBOL=SIAL&amp;VAR:INDEX=10"}</definedName>
    <definedName name="_2086__FDSAUDITLINK__" hidden="1">{"fdsup://directions/FAT Viewer?action=UPDATE&amp;creator=factset&amp;DYN_ARGS=TRUE&amp;DOC_NAME=FAT:FQL_AUDITING_CLIENT_TEMPLATE.FAT&amp;display_string=Audit&amp;VAR:KEY=SNUNOVABAT&amp;VAR:QUERY=Q1NGX0VCSVRfT1BFUihBTk4sMTIvMzEvMTk4MCwxMi8zMS8yMDA5LEFZKQ==&amp;WINDOW=FIRST_POPUP&amp;HEIGH","T=450&amp;WIDTH=450&amp;START_MAXIMIZED=FALSE&amp;VAR:CALENDAR=US&amp;VAR:SYMBOL=SIAL&amp;VAR:INDEX=9"}</definedName>
    <definedName name="_2087__FDSAUDITLINK__" hidden="1">{"fdsup://directions/FAT Viewer?action=UPDATE&amp;creator=factset&amp;DYN_ARGS=TRUE&amp;DOC_NAME=FAT:FQL_AUDITING_CLIENT_TEMPLATE.FAT&amp;display_string=Audit&amp;VAR:KEY=SNUNOVABAT&amp;VAR:QUERY=Q1NGX0VCSVRfT1BFUihBTk4sMTIvMzEvMTk4MCwxMi8zMS8yMDA5LEFZKQ==&amp;WINDOW=FIRST_POPUP&amp;HEIGH","T=450&amp;WIDTH=450&amp;START_MAXIMIZED=FALSE&amp;VAR:CALENDAR=US&amp;VAR:SYMBOL=SIAL&amp;VAR:INDEX=8"}</definedName>
    <definedName name="_2088__FDSAUDITLINK__" hidden="1">{"fdsup://directions/FAT Viewer?action=UPDATE&amp;creator=factset&amp;DYN_ARGS=TRUE&amp;DOC_NAME=FAT:FQL_AUDITING_CLIENT_TEMPLATE.FAT&amp;display_string=Audit&amp;VAR:KEY=SNUNOVABAT&amp;VAR:QUERY=Q1NGX0VCSVRfT1BFUihBTk4sMTIvMzEvMTk4MCwxMi8zMS8yMDA5LEFZKQ==&amp;WINDOW=FIRST_POPUP&amp;HEIGH","T=450&amp;WIDTH=450&amp;START_MAXIMIZED=FALSE&amp;VAR:CALENDAR=US&amp;VAR:SYMBOL=SIAL&amp;VAR:INDEX=7"}</definedName>
    <definedName name="_2089__FDSAUDITLINK__" hidden="1">{"fdsup://directions/FAT Viewer?action=UPDATE&amp;creator=factset&amp;DYN_ARGS=TRUE&amp;DOC_NAME=FAT:FQL_AUDITING_CLIENT_TEMPLATE.FAT&amp;display_string=Audit&amp;VAR:KEY=SNUNOVABAT&amp;VAR:QUERY=Q1NGX0VCSVRfT1BFUihBTk4sMTIvMzEvMTk4MCwxMi8zMS8yMDA5LEFZKQ==&amp;WINDOW=FIRST_POPUP&amp;HEIGH","T=450&amp;WIDTH=450&amp;START_MAXIMIZED=FALSE&amp;VAR:CALENDAR=US&amp;VAR:SYMBOL=SIAL&amp;VAR:INDEX=6"}</definedName>
    <definedName name="_209__FDSAUDITLINK__" hidden="1">{"fdsup://directions/FAT Viewer?action=UPDATE&amp;creator=factset&amp;DYN_ARGS=TRUE&amp;DOC_NAME=FAT:FQL_AUDITING_CLIENT_TEMPLATE.FAT&amp;display_string=Audit&amp;VAR:KEY=OXOFCDKBIJ&amp;VAR:QUERY=Q1NGX0RFQlQoQU5OLDkvMzEvMTk4MCwwKQ==&amp;WINDOW=FIRST_POPUP&amp;HEIGHT=450&amp;WIDTH=450&amp;START_MA","XIMIZED=FALSE&amp;VAR:CALENDAR=US&amp;VAR:SYMBOL=APD&amp;VAR:INDEX=0"}</definedName>
    <definedName name="_2090__FDSAUDITLINK__" hidden="1">{"fdsup://directions/FAT Viewer?action=UPDATE&amp;creator=factset&amp;DYN_ARGS=TRUE&amp;DOC_NAME=FAT:FQL_AUDITING_CLIENT_TEMPLATE.FAT&amp;display_string=Audit&amp;VAR:KEY=SNUNOVABAT&amp;VAR:QUERY=Q1NGX0VCSVRfT1BFUihBTk4sMTIvMzEvMTk4MCwxMi8zMS8yMDA5LEFZKQ==&amp;WINDOW=FIRST_POPUP&amp;HEIGH","T=450&amp;WIDTH=450&amp;START_MAXIMIZED=FALSE&amp;VAR:CALENDAR=US&amp;VAR:SYMBOL=SIAL&amp;VAR:INDEX=5"}</definedName>
    <definedName name="_2091__FDSAUDITLINK__" hidden="1">{"fdsup://directions/FAT Viewer?action=UPDATE&amp;creator=factset&amp;DYN_ARGS=TRUE&amp;DOC_NAME=FAT:FQL_AUDITING_CLIENT_TEMPLATE.FAT&amp;display_string=Audit&amp;VAR:KEY=SNUNOVABAT&amp;VAR:QUERY=Q1NGX0VCSVRfT1BFUihBTk4sMTIvMzEvMTk4MCwxMi8zMS8yMDA5LEFZKQ==&amp;WINDOW=FIRST_POPUP&amp;HEIGH","T=450&amp;WIDTH=450&amp;START_MAXIMIZED=FALSE&amp;VAR:CALENDAR=US&amp;VAR:SYMBOL=SIAL&amp;VAR:INDEX=4"}</definedName>
    <definedName name="_2092__FDSAUDITLINK__" hidden="1">{"fdsup://directions/FAT Viewer?action=UPDATE&amp;creator=factset&amp;DYN_ARGS=TRUE&amp;DOC_NAME=FAT:FQL_AUDITING_CLIENT_TEMPLATE.FAT&amp;display_string=Audit&amp;VAR:KEY=SNUNOVABAT&amp;VAR:QUERY=Q1NGX0VCSVRfT1BFUihBTk4sMTIvMzEvMTk4MCwxMi8zMS8yMDA5LEFZKQ==&amp;WINDOW=FIRST_POPUP&amp;HEIGH","T=450&amp;WIDTH=450&amp;START_MAXIMIZED=FALSE&amp;VAR:CALENDAR=US&amp;VAR:SYMBOL=SIAL&amp;VAR:INDEX=3"}</definedName>
    <definedName name="_2093__FDSAUDITLINK__" hidden="1">{"fdsup://directions/FAT Viewer?action=UPDATE&amp;creator=factset&amp;DYN_ARGS=TRUE&amp;DOC_NAME=FAT:FQL_AUDITING_CLIENT_TEMPLATE.FAT&amp;display_string=Audit&amp;VAR:KEY=SNUNOVABAT&amp;VAR:QUERY=Q1NGX0VCSVRfT1BFUihBTk4sMTIvMzEvMTk4MCwxMi8zMS8yMDA5LEFZKQ==&amp;WINDOW=FIRST_POPUP&amp;HEIGH","T=450&amp;WIDTH=450&amp;START_MAXIMIZED=FALSE&amp;VAR:CALENDAR=US&amp;VAR:SYMBOL=SIAL&amp;VAR:INDEX=2"}</definedName>
    <definedName name="_2094__FDSAUDITLINK__" hidden="1">{"fdsup://directions/FAT Viewer?action=UPDATE&amp;creator=factset&amp;DYN_ARGS=TRUE&amp;DOC_NAME=FAT:FQL_AUDITING_CLIENT_TEMPLATE.FAT&amp;display_string=Audit&amp;VAR:KEY=SNUNOVABAT&amp;VAR:QUERY=Q1NGX0VCSVRfT1BFUihBTk4sMTIvMzEvMTk4MCwxMi8zMS8yMDA5LEFZKQ==&amp;WINDOW=FIRST_POPUP&amp;HEIGH","T=450&amp;WIDTH=450&amp;START_MAXIMIZED=FALSE&amp;VAR:CALENDAR=US&amp;VAR:SYMBOL=SIAL&amp;VAR:INDEX=1"}</definedName>
    <definedName name="_2095__FDSAUDITLINK__" hidden="1">{"fdsup://directions/FAT Viewer?action=UPDATE&amp;creator=factset&amp;DYN_ARGS=TRUE&amp;DOC_NAME=FAT:FQL_AUDITING_CLIENT_TEMPLATE.FAT&amp;display_string=Audit&amp;VAR:KEY=SNUNOVABAT&amp;VAR:QUERY=Q1NGX0VCSVRfT1BFUihBTk4sMTIvMzEvMTk4MCwxMi8zMS8yMDA5LEFZKQ==&amp;WINDOW=FIRST_POPUP&amp;HEIGH","T=450&amp;WIDTH=450&amp;START_MAXIMIZED=FALSE&amp;VAR:CALENDAR=US&amp;VAR:SYMBOL=SIAL&amp;VAR:INDEX=0"}</definedName>
    <definedName name="_2096__FDSAUDITLINK__" hidden="1">{"fdsup://directions/FAT Viewer?action=UPDATE&amp;creator=factset&amp;DYN_ARGS=TRUE&amp;DOC_NAME=FAT:FQL_AUDITING_CLIENT_TEMPLATE.FAT&amp;display_string=Audit&amp;VAR:KEY=HGDAFATIHO&amp;VAR:QUERY=Q1NGX0VCSVRfT1BFUihMVE1fUiwwKQ==&amp;WINDOW=FIRST_POPUP&amp;HEIGHT=450&amp;WIDTH=450&amp;START_MAXIMI","ZED=FALSE&amp;VAR:CALENDAR=US&amp;VAR:SYMBOL=SMG&amp;VAR:INDEX=0"}</definedName>
    <definedName name="_2097__FDSAUDITLINK__" hidden="1">{"fdsup://directions/FAT Viewer?action=UPDATE&amp;creator=factset&amp;DYN_ARGS=TRUE&amp;DOC_NAME=FAT:FQL_AUDITING_CLIENT_TEMPLATE.FAT&amp;display_string=Audit&amp;VAR:KEY=SRKBATONQB&amp;VAR:QUERY=Q1NGX0VCSVRfT1BFUihBTk4sMTIvMzEvMTk4MCwxMi8zMS8yMDA5LEFZKQ==&amp;WINDOW=FIRST_POPUP&amp;HEIGH","T=450&amp;WIDTH=450&amp;START_MAXIMIZED=FALSE&amp;VAR:CALENDAR=US&amp;VAR:SYMBOL=SMG&amp;VAR:INDEX=29"}</definedName>
    <definedName name="_2098__FDSAUDITLINK__" hidden="1">{"fdsup://directions/FAT Viewer?action=UPDATE&amp;creator=factset&amp;DYN_ARGS=TRUE&amp;DOC_NAME=FAT:FQL_AUDITING_CLIENT_TEMPLATE.FAT&amp;display_string=Audit&amp;VAR:KEY=SRKBATONQB&amp;VAR:QUERY=Q1NGX0VCSVRfT1BFUihBTk4sMTIvMzEvMTk4MCwxMi8zMS8yMDA5LEFZKQ==&amp;WINDOW=FIRST_POPUP&amp;HEIGH","T=450&amp;WIDTH=450&amp;START_MAXIMIZED=FALSE&amp;VAR:CALENDAR=US&amp;VAR:SYMBOL=SMG&amp;VAR:INDEX=28"}</definedName>
    <definedName name="_2099__FDSAUDITLINK__" hidden="1">{"fdsup://directions/FAT Viewer?action=UPDATE&amp;creator=factset&amp;DYN_ARGS=TRUE&amp;DOC_NAME=FAT:FQL_AUDITING_CLIENT_TEMPLATE.FAT&amp;display_string=Audit&amp;VAR:KEY=SRKBATONQB&amp;VAR:QUERY=Q1NGX0VCSVRfT1BFUihBTk4sMTIvMzEvMTk4MCwxMi8zMS8yMDA5LEFZKQ==&amp;WINDOW=FIRST_POPUP&amp;HEIGH","T=450&amp;WIDTH=450&amp;START_MAXIMIZED=FALSE&amp;VAR:CALENDAR=US&amp;VAR:SYMBOL=SMG&amp;VAR:INDEX=27"}</definedName>
    <definedName name="_21__FDSAUDITLINK__" hidden="1">{"fdsup://directions/FAT Viewer?action=UPDATE&amp;creator=factset&amp;DYN_ARGS=TRUE&amp;DOC_NAME=FAT:FQL_AUDITING_CLIENT_TEMPLATE.FAT&amp;display_string=Audit&amp;VAR:KEY=QZMTMLQNSF&amp;VAR:QUERY=Q1NGX0dST1NTX0lOQyhRVFJfUiwtM0FZLDAsRlEp&amp;WINDOW=FIRST_POPUP&amp;HEIGHT=450&amp;WIDTH=450&amp;STAR","T_MAXIMIZED=FALSE&amp;VAR:CALENDAR=US&amp;VAR:SYMBOL=CE&amp;VAR:INDEX=5"}</definedName>
    <definedName name="_210__FDSAUDITLINK__" hidden="1">{"fdsup://directions/FAT Viewer?action=UPDATE&amp;creator=factset&amp;DYN_ARGS=TRUE&amp;DOC_NAME=FAT:FQL_AUDITING_CLIENT_TEMPLATE.FAT&amp;display_string=Audit&amp;VAR:KEY=GJWHQXMJAZ&amp;VAR:QUERY=Q1NGX0VCSVRfT1BFUihMVE1fUiwwKQ==&amp;WINDOW=FIRST_POPUP&amp;HEIGHT=450&amp;WIDTH=450&amp;START_MAXIMI","ZED=FALSE&amp;VAR:CALENDAR=US&amp;VAR:SYMBOL=NLC&amp;VAR:INDEX=0"}</definedName>
    <definedName name="_2100__FDSAUDITLINK__" hidden="1">{"fdsup://directions/FAT Viewer?action=UPDATE&amp;creator=factset&amp;DYN_ARGS=TRUE&amp;DOC_NAME=FAT:FQL_AUDITING_CLIENT_TEMPLATE.FAT&amp;display_string=Audit&amp;VAR:KEY=SRKBATONQB&amp;VAR:QUERY=Q1NGX0VCSVRfT1BFUihBTk4sMTIvMzEvMTk4MCwxMi8zMS8yMDA5LEFZKQ==&amp;WINDOW=FIRST_POPUP&amp;HEIGH","T=450&amp;WIDTH=450&amp;START_MAXIMIZED=FALSE&amp;VAR:CALENDAR=US&amp;VAR:SYMBOL=SMG&amp;VAR:INDEX=26"}</definedName>
    <definedName name="_2101__FDSAUDITLINK__" hidden="1">{"fdsup://directions/FAT Viewer?action=UPDATE&amp;creator=factset&amp;DYN_ARGS=TRUE&amp;DOC_NAME=FAT:FQL_AUDITING_CLIENT_TEMPLATE.FAT&amp;display_string=Audit&amp;VAR:KEY=SRKBATONQB&amp;VAR:QUERY=Q1NGX0VCSVRfT1BFUihBTk4sMTIvMzEvMTk4MCwxMi8zMS8yMDA5LEFZKQ==&amp;WINDOW=FIRST_POPUP&amp;HEIGH","T=450&amp;WIDTH=450&amp;START_MAXIMIZED=FALSE&amp;VAR:CALENDAR=US&amp;VAR:SYMBOL=SMG&amp;VAR:INDEX=25"}</definedName>
    <definedName name="_2102__FDSAUDITLINK__" hidden="1">{"fdsup://directions/FAT Viewer?action=UPDATE&amp;creator=factset&amp;DYN_ARGS=TRUE&amp;DOC_NAME=FAT:FQL_AUDITING_CLIENT_TEMPLATE.FAT&amp;display_string=Audit&amp;VAR:KEY=SRKBATONQB&amp;VAR:QUERY=Q1NGX0VCSVRfT1BFUihBTk4sMTIvMzEvMTk4MCwxMi8zMS8yMDA5LEFZKQ==&amp;WINDOW=FIRST_POPUP&amp;HEIGH","T=450&amp;WIDTH=450&amp;START_MAXIMIZED=FALSE&amp;VAR:CALENDAR=US&amp;VAR:SYMBOL=SMG&amp;VAR:INDEX=24"}</definedName>
    <definedName name="_2103__FDSAUDITLINK__" hidden="1">{"fdsup://directions/FAT Viewer?action=UPDATE&amp;creator=factset&amp;DYN_ARGS=TRUE&amp;DOC_NAME=FAT:FQL_AUDITING_CLIENT_TEMPLATE.FAT&amp;display_string=Audit&amp;VAR:KEY=SRKBATONQB&amp;VAR:QUERY=Q1NGX0VCSVRfT1BFUihBTk4sMTIvMzEvMTk4MCwxMi8zMS8yMDA5LEFZKQ==&amp;WINDOW=FIRST_POPUP&amp;HEIGH","T=450&amp;WIDTH=450&amp;START_MAXIMIZED=FALSE&amp;VAR:CALENDAR=US&amp;VAR:SYMBOL=SMG&amp;VAR:INDEX=23"}</definedName>
    <definedName name="_2104__FDSAUDITLINK__" hidden="1">{"fdsup://directions/FAT Viewer?action=UPDATE&amp;creator=factset&amp;DYN_ARGS=TRUE&amp;DOC_NAME=FAT:FQL_AUDITING_CLIENT_TEMPLATE.FAT&amp;display_string=Audit&amp;VAR:KEY=SRKBATONQB&amp;VAR:QUERY=Q1NGX0VCSVRfT1BFUihBTk4sMTIvMzEvMTk4MCwxMi8zMS8yMDA5LEFZKQ==&amp;WINDOW=FIRST_POPUP&amp;HEIGH","T=450&amp;WIDTH=450&amp;START_MAXIMIZED=FALSE&amp;VAR:CALENDAR=US&amp;VAR:SYMBOL=SMG&amp;VAR:INDEX=22"}</definedName>
    <definedName name="_2105__FDSAUDITLINK__" hidden="1">{"fdsup://directions/FAT Viewer?action=UPDATE&amp;creator=factset&amp;DYN_ARGS=TRUE&amp;DOC_NAME=FAT:FQL_AUDITING_CLIENT_TEMPLATE.FAT&amp;display_string=Audit&amp;VAR:KEY=SRKBATONQB&amp;VAR:QUERY=Q1NGX0VCSVRfT1BFUihBTk4sMTIvMzEvMTk4MCwxMi8zMS8yMDA5LEFZKQ==&amp;WINDOW=FIRST_POPUP&amp;HEIGH","T=450&amp;WIDTH=450&amp;START_MAXIMIZED=FALSE&amp;VAR:CALENDAR=US&amp;VAR:SYMBOL=SMG&amp;VAR:INDEX=21"}</definedName>
    <definedName name="_2106__FDSAUDITLINK__" hidden="1">{"fdsup://directions/FAT Viewer?action=UPDATE&amp;creator=factset&amp;DYN_ARGS=TRUE&amp;DOC_NAME=FAT:FQL_AUDITING_CLIENT_TEMPLATE.FAT&amp;display_string=Audit&amp;VAR:KEY=SRKBATONQB&amp;VAR:QUERY=Q1NGX0VCSVRfT1BFUihBTk4sMTIvMzEvMTk4MCwxMi8zMS8yMDA5LEFZKQ==&amp;WINDOW=FIRST_POPUP&amp;HEIGH","T=450&amp;WIDTH=450&amp;START_MAXIMIZED=FALSE&amp;VAR:CALENDAR=US&amp;VAR:SYMBOL=SMG&amp;VAR:INDEX=20"}</definedName>
    <definedName name="_2107__FDSAUDITLINK__" hidden="1">{"fdsup://directions/FAT Viewer?action=UPDATE&amp;creator=factset&amp;DYN_ARGS=TRUE&amp;DOC_NAME=FAT:FQL_AUDITING_CLIENT_TEMPLATE.FAT&amp;display_string=Audit&amp;VAR:KEY=SRKBATONQB&amp;VAR:QUERY=Q1NGX0VCSVRfT1BFUihBTk4sMTIvMzEvMTk4MCwxMi8zMS8yMDA5LEFZKQ==&amp;WINDOW=FIRST_POPUP&amp;HEIGH","T=450&amp;WIDTH=450&amp;START_MAXIMIZED=FALSE&amp;VAR:CALENDAR=US&amp;VAR:SYMBOL=SMG&amp;VAR:INDEX=19"}</definedName>
    <definedName name="_2108__FDSAUDITLINK__" hidden="1">{"fdsup://directions/FAT Viewer?action=UPDATE&amp;creator=factset&amp;DYN_ARGS=TRUE&amp;DOC_NAME=FAT:FQL_AUDITING_CLIENT_TEMPLATE.FAT&amp;display_string=Audit&amp;VAR:KEY=SRKBATONQB&amp;VAR:QUERY=Q1NGX0VCSVRfT1BFUihBTk4sMTIvMzEvMTk4MCwxMi8zMS8yMDA5LEFZKQ==&amp;WINDOW=FIRST_POPUP&amp;HEIGH","T=450&amp;WIDTH=450&amp;START_MAXIMIZED=FALSE&amp;VAR:CALENDAR=US&amp;VAR:SYMBOL=SMG&amp;VAR:INDEX=18"}</definedName>
    <definedName name="_2109__FDSAUDITLINK__" hidden="1">{"fdsup://directions/FAT Viewer?action=UPDATE&amp;creator=factset&amp;DYN_ARGS=TRUE&amp;DOC_NAME=FAT:FQL_AUDITING_CLIENT_TEMPLATE.FAT&amp;display_string=Audit&amp;VAR:KEY=SRKBATONQB&amp;VAR:QUERY=Q1NGX0VCSVRfT1BFUihBTk4sMTIvMzEvMTk4MCwxMi8zMS8yMDA5LEFZKQ==&amp;WINDOW=FIRST_POPUP&amp;HEIGH","T=450&amp;WIDTH=450&amp;START_MAXIMIZED=FALSE&amp;VAR:CALENDAR=US&amp;VAR:SYMBOL=SMG&amp;VAR:INDEX=17"}</definedName>
    <definedName name="_211__FDSAUDITLINK__" hidden="1">{"fdsup://directions/FAT Viewer?action=UPDATE&amp;creator=factset&amp;DYN_ARGS=TRUE&amp;DOC_NAME=FAT:FQL_AUDITING_CLIENT_TEMPLATE.FAT&amp;display_string=Audit&amp;VAR:KEY=WTGLKJAJOF&amp;VAR:QUERY=Q1NGX0VCSVRfT1BFUihBTk4sMTIvMzEvODAsMCk=&amp;WINDOW=FIRST_POPUP&amp;HEIGHT=450&amp;WIDTH=450&amp;STAR","T_MAXIMIZED=FALSE&amp;VAR:CALENDAR=US&amp;VAR:SYMBOL=NLC&amp;VAR:INDEX=29"}</definedName>
    <definedName name="_2110__FDSAUDITLINK__" hidden="1">{"fdsup://directions/FAT Viewer?action=UPDATE&amp;creator=factset&amp;DYN_ARGS=TRUE&amp;DOC_NAME=FAT:FQL_AUDITING_CLIENT_TEMPLATE.FAT&amp;display_string=Audit&amp;VAR:KEY=SRKBATONQB&amp;VAR:QUERY=Q1NGX0VCSVRfT1BFUihBTk4sMTIvMzEvMTk4MCwxMi8zMS8yMDA5LEFZKQ==&amp;WINDOW=FIRST_POPUP&amp;HEIGH","T=450&amp;WIDTH=450&amp;START_MAXIMIZED=FALSE&amp;VAR:CALENDAR=US&amp;VAR:SYMBOL=SMG&amp;VAR:INDEX=16"}</definedName>
    <definedName name="_2111__FDSAUDITLINK__" hidden="1">{"fdsup://directions/FAT Viewer?action=UPDATE&amp;creator=factset&amp;DYN_ARGS=TRUE&amp;DOC_NAME=FAT:FQL_AUDITING_CLIENT_TEMPLATE.FAT&amp;display_string=Audit&amp;VAR:KEY=SRKBATONQB&amp;VAR:QUERY=Q1NGX0VCSVRfT1BFUihBTk4sMTIvMzEvMTk4MCwxMi8zMS8yMDA5LEFZKQ==&amp;WINDOW=FIRST_POPUP&amp;HEIGH","T=450&amp;WIDTH=450&amp;START_MAXIMIZED=FALSE&amp;VAR:CALENDAR=US&amp;VAR:SYMBOL=SMG&amp;VAR:INDEX=15"}</definedName>
    <definedName name="_2112__FDSAUDITLINK__" hidden="1">{"fdsup://directions/FAT Viewer?action=UPDATE&amp;creator=factset&amp;DYN_ARGS=TRUE&amp;DOC_NAME=FAT:FQL_AUDITING_CLIENT_TEMPLATE.FAT&amp;display_string=Audit&amp;VAR:KEY=SRKBATONQB&amp;VAR:QUERY=Q1NGX0VCSVRfT1BFUihBTk4sMTIvMzEvMTk4MCwxMi8zMS8yMDA5LEFZKQ==&amp;WINDOW=FIRST_POPUP&amp;HEIGH","T=450&amp;WIDTH=450&amp;START_MAXIMIZED=FALSE&amp;VAR:CALENDAR=US&amp;VAR:SYMBOL=SMG&amp;VAR:INDEX=14"}</definedName>
    <definedName name="_2113__FDSAUDITLINK__" hidden="1">{"fdsup://directions/FAT Viewer?action=UPDATE&amp;creator=factset&amp;DYN_ARGS=TRUE&amp;DOC_NAME=FAT:FQL_AUDITING_CLIENT_TEMPLATE.FAT&amp;display_string=Audit&amp;VAR:KEY=SRKBATONQB&amp;VAR:QUERY=Q1NGX0VCSVRfT1BFUihBTk4sMTIvMzEvMTk4MCwxMi8zMS8yMDA5LEFZKQ==&amp;WINDOW=FIRST_POPUP&amp;HEIGH","T=450&amp;WIDTH=450&amp;START_MAXIMIZED=FALSE&amp;VAR:CALENDAR=US&amp;VAR:SYMBOL=SMG&amp;VAR:INDEX=13"}</definedName>
    <definedName name="_2114__FDSAUDITLINK__" hidden="1">{"fdsup://directions/FAT Viewer?action=UPDATE&amp;creator=factset&amp;DYN_ARGS=TRUE&amp;DOC_NAME=FAT:FQL_AUDITING_CLIENT_TEMPLATE.FAT&amp;display_string=Audit&amp;VAR:KEY=SRKBATONQB&amp;VAR:QUERY=Q1NGX0VCSVRfT1BFUihBTk4sMTIvMzEvMTk4MCwxMi8zMS8yMDA5LEFZKQ==&amp;WINDOW=FIRST_POPUP&amp;HEIGH","T=450&amp;WIDTH=450&amp;START_MAXIMIZED=FALSE&amp;VAR:CALENDAR=US&amp;VAR:SYMBOL=SMG&amp;VAR:INDEX=12"}</definedName>
    <definedName name="_2115__FDSAUDITLINK__" hidden="1">{"fdsup://directions/FAT Viewer?action=UPDATE&amp;creator=factset&amp;DYN_ARGS=TRUE&amp;DOC_NAME=FAT:FQL_AUDITING_CLIENT_TEMPLATE.FAT&amp;display_string=Audit&amp;VAR:KEY=SRKBATONQB&amp;VAR:QUERY=Q1NGX0VCSVRfT1BFUihBTk4sMTIvMzEvMTk4MCwxMi8zMS8yMDA5LEFZKQ==&amp;WINDOW=FIRST_POPUP&amp;HEIGH","T=450&amp;WIDTH=450&amp;START_MAXIMIZED=FALSE&amp;VAR:CALENDAR=US&amp;VAR:SYMBOL=SMG&amp;VAR:INDEX=11"}</definedName>
    <definedName name="_2116__FDSAUDITLINK__" hidden="1">{"fdsup://directions/FAT Viewer?action=UPDATE&amp;creator=factset&amp;DYN_ARGS=TRUE&amp;DOC_NAME=FAT:FQL_AUDITING_CLIENT_TEMPLATE.FAT&amp;display_string=Audit&amp;VAR:KEY=SRKBATONQB&amp;VAR:QUERY=Q1NGX0VCSVRfT1BFUihBTk4sMTIvMzEvMTk4MCwxMi8zMS8yMDA5LEFZKQ==&amp;WINDOW=FIRST_POPUP&amp;HEIGH","T=450&amp;WIDTH=450&amp;START_MAXIMIZED=FALSE&amp;VAR:CALENDAR=US&amp;VAR:SYMBOL=SMG&amp;VAR:INDEX=10"}</definedName>
    <definedName name="_2117__FDSAUDITLINK__" hidden="1">{"fdsup://directions/FAT Viewer?action=UPDATE&amp;creator=factset&amp;DYN_ARGS=TRUE&amp;DOC_NAME=FAT:FQL_AUDITING_CLIENT_TEMPLATE.FAT&amp;display_string=Audit&amp;VAR:KEY=SRKBATONQB&amp;VAR:QUERY=Q1NGX0VCSVRfT1BFUihBTk4sMTIvMzEvMTk4MCwxMi8zMS8yMDA5LEFZKQ==&amp;WINDOW=FIRST_POPUP&amp;HEIGH","T=450&amp;WIDTH=450&amp;START_MAXIMIZED=FALSE&amp;VAR:CALENDAR=US&amp;VAR:SYMBOL=SMG&amp;VAR:INDEX=9"}</definedName>
    <definedName name="_2118__FDSAUDITLINK__" hidden="1">{"fdsup://directions/FAT Viewer?action=UPDATE&amp;creator=factset&amp;DYN_ARGS=TRUE&amp;DOC_NAME=FAT:FQL_AUDITING_CLIENT_TEMPLATE.FAT&amp;display_string=Audit&amp;VAR:KEY=SRKBATONQB&amp;VAR:QUERY=Q1NGX0VCSVRfT1BFUihBTk4sMTIvMzEvMTk4MCwxMi8zMS8yMDA5LEFZKQ==&amp;WINDOW=FIRST_POPUP&amp;HEIGH","T=450&amp;WIDTH=450&amp;START_MAXIMIZED=FALSE&amp;VAR:CALENDAR=US&amp;VAR:SYMBOL=SMG&amp;VAR:INDEX=8"}</definedName>
    <definedName name="_2119__FDSAUDITLINK__" hidden="1">{"fdsup://directions/FAT Viewer?action=UPDATE&amp;creator=factset&amp;DYN_ARGS=TRUE&amp;DOC_NAME=FAT:FQL_AUDITING_CLIENT_TEMPLATE.FAT&amp;display_string=Audit&amp;VAR:KEY=SRKBATONQB&amp;VAR:QUERY=Q1NGX0VCSVRfT1BFUihBTk4sMTIvMzEvMTk4MCwxMi8zMS8yMDA5LEFZKQ==&amp;WINDOW=FIRST_POPUP&amp;HEIGH","T=450&amp;WIDTH=450&amp;START_MAXIMIZED=FALSE&amp;VAR:CALENDAR=US&amp;VAR:SYMBOL=SMG&amp;VAR:INDEX=7"}</definedName>
    <definedName name="_212__FDSAUDITLINK__" hidden="1">{"fdsup://directions/FAT Viewer?action=UPDATE&amp;creator=factset&amp;DYN_ARGS=TRUE&amp;DOC_NAME=FAT:FQL_AUDITING_CLIENT_TEMPLATE.FAT&amp;display_string=Audit&amp;VAR:KEY=WTGLKJAJOF&amp;VAR:QUERY=Q1NGX0VCSVRfT1BFUihBTk4sMTIvMzEvODAsMCk=&amp;WINDOW=FIRST_POPUP&amp;HEIGHT=450&amp;WIDTH=450&amp;STAR","T_MAXIMIZED=FALSE&amp;VAR:CALENDAR=US&amp;VAR:SYMBOL=NLC&amp;VAR:INDEX=28"}</definedName>
    <definedName name="_2120__FDSAUDITLINK__" hidden="1">{"fdsup://directions/FAT Viewer?action=UPDATE&amp;creator=factset&amp;DYN_ARGS=TRUE&amp;DOC_NAME=FAT:FQL_AUDITING_CLIENT_TEMPLATE.FAT&amp;display_string=Audit&amp;VAR:KEY=SRKBATONQB&amp;VAR:QUERY=Q1NGX0VCSVRfT1BFUihBTk4sMTIvMzEvMTk4MCwxMi8zMS8yMDA5LEFZKQ==&amp;WINDOW=FIRST_POPUP&amp;HEIGH","T=450&amp;WIDTH=450&amp;START_MAXIMIZED=FALSE&amp;VAR:CALENDAR=US&amp;VAR:SYMBOL=SMG&amp;VAR:INDEX=6"}</definedName>
    <definedName name="_2121__FDSAUDITLINK__" hidden="1">{"fdsup://directions/FAT Viewer?action=UPDATE&amp;creator=factset&amp;DYN_ARGS=TRUE&amp;DOC_NAME=FAT:FQL_AUDITING_CLIENT_TEMPLATE.FAT&amp;display_string=Audit&amp;VAR:KEY=SRKBATONQB&amp;VAR:QUERY=Q1NGX0VCSVRfT1BFUihBTk4sMTIvMzEvMTk4MCwxMi8zMS8yMDA5LEFZKQ==&amp;WINDOW=FIRST_POPUP&amp;HEIGH","T=450&amp;WIDTH=450&amp;START_MAXIMIZED=FALSE&amp;VAR:CALENDAR=US&amp;VAR:SYMBOL=SMG&amp;VAR:INDEX=5"}</definedName>
    <definedName name="_2122__FDSAUDITLINK__" hidden="1">{"fdsup://directions/FAT Viewer?action=UPDATE&amp;creator=factset&amp;DYN_ARGS=TRUE&amp;DOC_NAME=FAT:FQL_AUDITING_CLIENT_TEMPLATE.FAT&amp;display_string=Audit&amp;VAR:KEY=SRKBATONQB&amp;VAR:QUERY=Q1NGX0VCSVRfT1BFUihBTk4sMTIvMzEvMTk4MCwxMi8zMS8yMDA5LEFZKQ==&amp;WINDOW=FIRST_POPUP&amp;HEIGH","T=450&amp;WIDTH=450&amp;START_MAXIMIZED=FALSE&amp;VAR:CALENDAR=US&amp;VAR:SYMBOL=SMG&amp;VAR:INDEX=4"}</definedName>
    <definedName name="_2123__FDSAUDITLINK__" hidden="1">{"fdsup://directions/FAT Viewer?action=UPDATE&amp;creator=factset&amp;DYN_ARGS=TRUE&amp;DOC_NAME=FAT:FQL_AUDITING_CLIENT_TEMPLATE.FAT&amp;display_string=Audit&amp;VAR:KEY=SRKBATONQB&amp;VAR:QUERY=Q1NGX0VCSVRfT1BFUihBTk4sMTIvMzEvMTk4MCwxMi8zMS8yMDA5LEFZKQ==&amp;WINDOW=FIRST_POPUP&amp;HEIGH","T=450&amp;WIDTH=450&amp;START_MAXIMIZED=FALSE&amp;VAR:CALENDAR=US&amp;VAR:SYMBOL=SMG&amp;VAR:INDEX=3"}</definedName>
    <definedName name="_2124__FDSAUDITLINK__" hidden="1">{"fdsup://directions/FAT Viewer?action=UPDATE&amp;creator=factset&amp;DYN_ARGS=TRUE&amp;DOC_NAME=FAT:FQL_AUDITING_CLIENT_TEMPLATE.FAT&amp;display_string=Audit&amp;VAR:KEY=SRKBATONQB&amp;VAR:QUERY=Q1NGX0VCSVRfT1BFUihBTk4sMTIvMzEvMTk4MCwxMi8zMS8yMDA5LEFZKQ==&amp;WINDOW=FIRST_POPUP&amp;HEIGH","T=450&amp;WIDTH=450&amp;START_MAXIMIZED=FALSE&amp;VAR:CALENDAR=US&amp;VAR:SYMBOL=SMG&amp;VAR:INDEX=2"}</definedName>
    <definedName name="_2125__FDSAUDITLINK__" hidden="1">{"fdsup://directions/FAT Viewer?action=UPDATE&amp;creator=factset&amp;DYN_ARGS=TRUE&amp;DOC_NAME=FAT:FQL_AUDITING_CLIENT_TEMPLATE.FAT&amp;display_string=Audit&amp;VAR:KEY=SRKBATONQB&amp;VAR:QUERY=Q1NGX0VCSVRfT1BFUihBTk4sMTIvMzEvMTk4MCwxMi8zMS8yMDA5LEFZKQ==&amp;WINDOW=FIRST_POPUP&amp;HEIGH","T=450&amp;WIDTH=450&amp;START_MAXIMIZED=FALSE&amp;VAR:CALENDAR=US&amp;VAR:SYMBOL=SMG&amp;VAR:INDEX=1"}</definedName>
    <definedName name="_2126__FDSAUDITLINK__" hidden="1">{"fdsup://directions/FAT Viewer?action=UPDATE&amp;creator=factset&amp;DYN_ARGS=TRUE&amp;DOC_NAME=FAT:FQL_AUDITING_CLIENT_TEMPLATE.FAT&amp;display_string=Audit&amp;VAR:KEY=SRKBATONQB&amp;VAR:QUERY=Q1NGX0VCSVRfT1BFUihBTk4sMTIvMzEvMTk4MCwxMi8zMS8yMDA5LEFZKQ==&amp;WINDOW=FIRST_POPUP&amp;HEIGH","T=450&amp;WIDTH=450&amp;START_MAXIMIZED=FALSE&amp;VAR:CALENDAR=US&amp;VAR:SYMBOL=SMG&amp;VAR:INDEX=0"}</definedName>
    <definedName name="_2127__FDSAUDITLINK__" hidden="1">{"fdsup://directions/FAT Viewer?action=UPDATE&amp;creator=factset&amp;DYN_ARGS=TRUE&amp;DOC_NAME=FAT:FQL_AUDITING_CLIENT_TEMPLATE.FAT&amp;display_string=Audit&amp;VAR:KEY=RKVUNMDYPG&amp;VAR:QUERY=Q1NGX0VCSVRfT1BFUihMVE1fUiwwKQ==&amp;WINDOW=FIRST_POPUP&amp;HEIGHT=450&amp;WIDTH=450&amp;START_MAXIMI","ZED=FALSE&amp;VAR:CALENDAR=US&amp;VAR:SYMBOL=SHLM&amp;VAR:INDEX=0"}</definedName>
    <definedName name="_2128__FDSAUDITLINK__" hidden="1">{"fdsup://directions/FAT Viewer?action=UPDATE&amp;creator=factset&amp;DYN_ARGS=TRUE&amp;DOC_NAME=FAT:FQL_AUDITING_CLIENT_TEMPLATE.FAT&amp;display_string=Audit&amp;VAR:KEY=QVGFEXKDOR&amp;VAR:QUERY=Q1NGX0VCSVRfT1BFUihBTk4sMTIvMzEvMTk4MCwxMi8zMS8yMDA5LEFZKQ==&amp;WINDOW=FIRST_POPUP&amp;HEIGH","T=450&amp;WIDTH=450&amp;START_MAXIMIZED=FALSE&amp;VAR:CALENDAR=US&amp;VAR:SYMBOL=SHLM&amp;VAR:INDEX=29"}</definedName>
    <definedName name="_2129__FDSAUDITLINK__" hidden="1">{"fdsup://directions/FAT Viewer?action=UPDATE&amp;creator=factset&amp;DYN_ARGS=TRUE&amp;DOC_NAME=FAT:FQL_AUDITING_CLIENT_TEMPLATE.FAT&amp;display_string=Audit&amp;VAR:KEY=QVGFEXKDOR&amp;VAR:QUERY=Q1NGX0VCSVRfT1BFUihBTk4sMTIvMzEvMTk4MCwxMi8zMS8yMDA5LEFZKQ==&amp;WINDOW=FIRST_POPUP&amp;HEIGH","T=450&amp;WIDTH=450&amp;START_MAXIMIZED=FALSE&amp;VAR:CALENDAR=US&amp;VAR:SYMBOL=SHLM&amp;VAR:INDEX=28"}</definedName>
    <definedName name="_213__FDSAUDITLINK__" hidden="1">{"fdsup://directions/FAT Viewer?action=UPDATE&amp;creator=factset&amp;DYN_ARGS=TRUE&amp;DOC_NAME=FAT:FQL_AUDITING_CLIENT_TEMPLATE.FAT&amp;display_string=Audit&amp;VAR:KEY=WTGLKJAJOF&amp;VAR:QUERY=Q1NGX0VCSVRfT1BFUihBTk4sMTIvMzEvODAsMCk=&amp;WINDOW=FIRST_POPUP&amp;HEIGHT=450&amp;WIDTH=450&amp;STAR","T_MAXIMIZED=FALSE&amp;VAR:CALENDAR=US&amp;VAR:SYMBOL=NLC&amp;VAR:INDEX=27"}</definedName>
    <definedName name="_2130__FDSAUDITLINK__" hidden="1">{"fdsup://directions/FAT Viewer?action=UPDATE&amp;creator=factset&amp;DYN_ARGS=TRUE&amp;DOC_NAME=FAT:FQL_AUDITING_CLIENT_TEMPLATE.FAT&amp;display_string=Audit&amp;VAR:KEY=QVGFEXKDOR&amp;VAR:QUERY=Q1NGX0VCSVRfT1BFUihBTk4sMTIvMzEvMTk4MCwxMi8zMS8yMDA5LEFZKQ==&amp;WINDOW=FIRST_POPUP&amp;HEIGH","T=450&amp;WIDTH=450&amp;START_MAXIMIZED=FALSE&amp;VAR:CALENDAR=US&amp;VAR:SYMBOL=SHLM&amp;VAR:INDEX=27"}</definedName>
    <definedName name="_2131__FDSAUDITLINK__" hidden="1">{"fdsup://directions/FAT Viewer?action=UPDATE&amp;creator=factset&amp;DYN_ARGS=TRUE&amp;DOC_NAME=FAT:FQL_AUDITING_CLIENT_TEMPLATE.FAT&amp;display_string=Audit&amp;VAR:KEY=QVGFEXKDOR&amp;VAR:QUERY=Q1NGX0VCSVRfT1BFUihBTk4sMTIvMzEvMTk4MCwxMi8zMS8yMDA5LEFZKQ==&amp;WINDOW=FIRST_POPUP&amp;HEIGH","T=450&amp;WIDTH=450&amp;START_MAXIMIZED=FALSE&amp;VAR:CALENDAR=US&amp;VAR:SYMBOL=SHLM&amp;VAR:INDEX=26"}</definedName>
    <definedName name="_2132__FDSAUDITLINK__" hidden="1">{"fdsup://directions/FAT Viewer?action=UPDATE&amp;creator=factset&amp;DYN_ARGS=TRUE&amp;DOC_NAME=FAT:FQL_AUDITING_CLIENT_TEMPLATE.FAT&amp;display_string=Audit&amp;VAR:KEY=QVGFEXKDOR&amp;VAR:QUERY=Q1NGX0VCSVRfT1BFUihBTk4sMTIvMzEvMTk4MCwxMi8zMS8yMDA5LEFZKQ==&amp;WINDOW=FIRST_POPUP&amp;HEIGH","T=450&amp;WIDTH=450&amp;START_MAXIMIZED=FALSE&amp;VAR:CALENDAR=US&amp;VAR:SYMBOL=SHLM&amp;VAR:INDEX=25"}</definedName>
    <definedName name="_2133__FDSAUDITLINK__" hidden="1">{"fdsup://directions/FAT Viewer?action=UPDATE&amp;creator=factset&amp;DYN_ARGS=TRUE&amp;DOC_NAME=FAT:FQL_AUDITING_CLIENT_TEMPLATE.FAT&amp;display_string=Audit&amp;VAR:KEY=QVGFEXKDOR&amp;VAR:QUERY=Q1NGX0VCSVRfT1BFUihBTk4sMTIvMzEvMTk4MCwxMi8zMS8yMDA5LEFZKQ==&amp;WINDOW=FIRST_POPUP&amp;HEIGH","T=450&amp;WIDTH=450&amp;START_MAXIMIZED=FALSE&amp;VAR:CALENDAR=US&amp;VAR:SYMBOL=SHLM&amp;VAR:INDEX=24"}</definedName>
    <definedName name="_2134__FDSAUDITLINK__" hidden="1">{"fdsup://directions/FAT Viewer?action=UPDATE&amp;creator=factset&amp;DYN_ARGS=TRUE&amp;DOC_NAME=FAT:FQL_AUDITING_CLIENT_TEMPLATE.FAT&amp;display_string=Audit&amp;VAR:KEY=QVGFEXKDOR&amp;VAR:QUERY=Q1NGX0VCSVRfT1BFUihBTk4sMTIvMzEvMTk4MCwxMi8zMS8yMDA5LEFZKQ==&amp;WINDOW=FIRST_POPUP&amp;HEIGH","T=450&amp;WIDTH=450&amp;START_MAXIMIZED=FALSE&amp;VAR:CALENDAR=US&amp;VAR:SYMBOL=SHLM&amp;VAR:INDEX=23"}</definedName>
    <definedName name="_2135__FDSAUDITLINK__" hidden="1">{"fdsup://directions/FAT Viewer?action=UPDATE&amp;creator=factset&amp;DYN_ARGS=TRUE&amp;DOC_NAME=FAT:FQL_AUDITING_CLIENT_TEMPLATE.FAT&amp;display_string=Audit&amp;VAR:KEY=QVGFEXKDOR&amp;VAR:QUERY=Q1NGX0VCSVRfT1BFUihBTk4sMTIvMzEvMTk4MCwxMi8zMS8yMDA5LEFZKQ==&amp;WINDOW=FIRST_POPUP&amp;HEIGH","T=450&amp;WIDTH=450&amp;START_MAXIMIZED=FALSE&amp;VAR:CALENDAR=US&amp;VAR:SYMBOL=SHLM&amp;VAR:INDEX=22"}</definedName>
    <definedName name="_2136__FDSAUDITLINK__" hidden="1">{"fdsup://directions/FAT Viewer?action=UPDATE&amp;creator=factset&amp;DYN_ARGS=TRUE&amp;DOC_NAME=FAT:FQL_AUDITING_CLIENT_TEMPLATE.FAT&amp;display_string=Audit&amp;VAR:KEY=QVGFEXKDOR&amp;VAR:QUERY=Q1NGX0VCSVRfT1BFUihBTk4sMTIvMzEvMTk4MCwxMi8zMS8yMDA5LEFZKQ==&amp;WINDOW=FIRST_POPUP&amp;HEIGH","T=450&amp;WIDTH=450&amp;START_MAXIMIZED=FALSE&amp;VAR:CALENDAR=US&amp;VAR:SYMBOL=SHLM&amp;VAR:INDEX=21"}</definedName>
    <definedName name="_2137__FDSAUDITLINK__" hidden="1">{"fdsup://directions/FAT Viewer?action=UPDATE&amp;creator=factset&amp;DYN_ARGS=TRUE&amp;DOC_NAME=FAT:FQL_AUDITING_CLIENT_TEMPLATE.FAT&amp;display_string=Audit&amp;VAR:KEY=QVGFEXKDOR&amp;VAR:QUERY=Q1NGX0VCSVRfT1BFUihBTk4sMTIvMzEvMTk4MCwxMi8zMS8yMDA5LEFZKQ==&amp;WINDOW=FIRST_POPUP&amp;HEIGH","T=450&amp;WIDTH=450&amp;START_MAXIMIZED=FALSE&amp;VAR:CALENDAR=US&amp;VAR:SYMBOL=SHLM&amp;VAR:INDEX=20"}</definedName>
    <definedName name="_2138__FDSAUDITLINK__" hidden="1">{"fdsup://directions/FAT Viewer?action=UPDATE&amp;creator=factset&amp;DYN_ARGS=TRUE&amp;DOC_NAME=FAT:FQL_AUDITING_CLIENT_TEMPLATE.FAT&amp;display_string=Audit&amp;VAR:KEY=QVGFEXKDOR&amp;VAR:QUERY=Q1NGX0VCSVRfT1BFUihBTk4sMTIvMzEvMTk4MCwxMi8zMS8yMDA5LEFZKQ==&amp;WINDOW=FIRST_POPUP&amp;HEIGH","T=450&amp;WIDTH=450&amp;START_MAXIMIZED=FALSE&amp;VAR:CALENDAR=US&amp;VAR:SYMBOL=SHLM&amp;VAR:INDEX=19"}</definedName>
    <definedName name="_2139__FDSAUDITLINK__" hidden="1">{"fdsup://directions/FAT Viewer?action=UPDATE&amp;creator=factset&amp;DYN_ARGS=TRUE&amp;DOC_NAME=FAT:FQL_AUDITING_CLIENT_TEMPLATE.FAT&amp;display_string=Audit&amp;VAR:KEY=QVGFEXKDOR&amp;VAR:QUERY=Q1NGX0VCSVRfT1BFUihBTk4sMTIvMzEvMTk4MCwxMi8zMS8yMDA5LEFZKQ==&amp;WINDOW=FIRST_POPUP&amp;HEIGH","T=450&amp;WIDTH=450&amp;START_MAXIMIZED=FALSE&amp;VAR:CALENDAR=US&amp;VAR:SYMBOL=SHLM&amp;VAR:INDEX=18"}</definedName>
    <definedName name="_214__FDSAUDITLINK__" hidden="1">{"fdsup://directions/FAT Viewer?action=UPDATE&amp;creator=factset&amp;DYN_ARGS=TRUE&amp;DOC_NAME=FAT:FQL_AUDITING_CLIENT_TEMPLATE.FAT&amp;display_string=Audit&amp;VAR:KEY=WTGLKJAJOF&amp;VAR:QUERY=Q1NGX0VCSVRfT1BFUihBTk4sMTIvMzEvODAsMCk=&amp;WINDOW=FIRST_POPUP&amp;HEIGHT=450&amp;WIDTH=450&amp;STAR","T_MAXIMIZED=FALSE&amp;VAR:CALENDAR=US&amp;VAR:SYMBOL=NLC&amp;VAR:INDEX=26"}</definedName>
    <definedName name="_2140__FDSAUDITLINK__" hidden="1">{"fdsup://directions/FAT Viewer?action=UPDATE&amp;creator=factset&amp;DYN_ARGS=TRUE&amp;DOC_NAME=FAT:FQL_AUDITING_CLIENT_TEMPLATE.FAT&amp;display_string=Audit&amp;VAR:KEY=QVGFEXKDOR&amp;VAR:QUERY=Q1NGX0VCSVRfT1BFUihBTk4sMTIvMzEvMTk4MCwxMi8zMS8yMDA5LEFZKQ==&amp;WINDOW=FIRST_POPUP&amp;HEIGH","T=450&amp;WIDTH=450&amp;START_MAXIMIZED=FALSE&amp;VAR:CALENDAR=US&amp;VAR:SYMBOL=SHLM&amp;VAR:INDEX=17"}</definedName>
    <definedName name="_2141__FDSAUDITLINK__" hidden="1">{"fdsup://directions/FAT Viewer?action=UPDATE&amp;creator=factset&amp;DYN_ARGS=TRUE&amp;DOC_NAME=FAT:FQL_AUDITING_CLIENT_TEMPLATE.FAT&amp;display_string=Audit&amp;VAR:KEY=QVGFEXKDOR&amp;VAR:QUERY=Q1NGX0VCSVRfT1BFUihBTk4sMTIvMzEvMTk4MCwxMi8zMS8yMDA5LEFZKQ==&amp;WINDOW=FIRST_POPUP&amp;HEIGH","T=450&amp;WIDTH=450&amp;START_MAXIMIZED=FALSE&amp;VAR:CALENDAR=US&amp;VAR:SYMBOL=SHLM&amp;VAR:INDEX=16"}</definedName>
    <definedName name="_2142__FDSAUDITLINK__" hidden="1">{"fdsup://directions/FAT Viewer?action=UPDATE&amp;creator=factset&amp;DYN_ARGS=TRUE&amp;DOC_NAME=FAT:FQL_AUDITING_CLIENT_TEMPLATE.FAT&amp;display_string=Audit&amp;VAR:KEY=QVGFEXKDOR&amp;VAR:QUERY=Q1NGX0VCSVRfT1BFUihBTk4sMTIvMzEvMTk4MCwxMi8zMS8yMDA5LEFZKQ==&amp;WINDOW=FIRST_POPUP&amp;HEIGH","T=450&amp;WIDTH=450&amp;START_MAXIMIZED=FALSE&amp;VAR:CALENDAR=US&amp;VAR:SYMBOL=SHLM&amp;VAR:INDEX=15"}</definedName>
    <definedName name="_2143__FDSAUDITLINK__" hidden="1">{"fdsup://directions/FAT Viewer?action=UPDATE&amp;creator=factset&amp;DYN_ARGS=TRUE&amp;DOC_NAME=FAT:FQL_AUDITING_CLIENT_TEMPLATE.FAT&amp;display_string=Audit&amp;VAR:KEY=QVGFEXKDOR&amp;VAR:QUERY=Q1NGX0VCSVRfT1BFUihBTk4sMTIvMzEvMTk4MCwxMi8zMS8yMDA5LEFZKQ==&amp;WINDOW=FIRST_POPUP&amp;HEIGH","T=450&amp;WIDTH=450&amp;START_MAXIMIZED=FALSE&amp;VAR:CALENDAR=US&amp;VAR:SYMBOL=SHLM&amp;VAR:INDEX=14"}</definedName>
    <definedName name="_2144__FDSAUDITLINK__" hidden="1">{"fdsup://directions/FAT Viewer?action=UPDATE&amp;creator=factset&amp;DYN_ARGS=TRUE&amp;DOC_NAME=FAT:FQL_AUDITING_CLIENT_TEMPLATE.FAT&amp;display_string=Audit&amp;VAR:KEY=QVGFEXKDOR&amp;VAR:QUERY=Q1NGX0VCSVRfT1BFUihBTk4sMTIvMzEvMTk4MCwxMi8zMS8yMDA5LEFZKQ==&amp;WINDOW=FIRST_POPUP&amp;HEIGH","T=450&amp;WIDTH=450&amp;START_MAXIMIZED=FALSE&amp;VAR:CALENDAR=US&amp;VAR:SYMBOL=SHLM&amp;VAR:INDEX=13"}</definedName>
    <definedName name="_2145__FDSAUDITLINK__" hidden="1">{"fdsup://directions/FAT Viewer?action=UPDATE&amp;creator=factset&amp;DYN_ARGS=TRUE&amp;DOC_NAME=FAT:FQL_AUDITING_CLIENT_TEMPLATE.FAT&amp;display_string=Audit&amp;VAR:KEY=QVGFEXKDOR&amp;VAR:QUERY=Q1NGX0VCSVRfT1BFUihBTk4sMTIvMzEvMTk4MCwxMi8zMS8yMDA5LEFZKQ==&amp;WINDOW=FIRST_POPUP&amp;HEIGH","T=450&amp;WIDTH=450&amp;START_MAXIMIZED=FALSE&amp;VAR:CALENDAR=US&amp;VAR:SYMBOL=SHLM&amp;VAR:INDEX=12"}</definedName>
    <definedName name="_2146__FDSAUDITLINK__" hidden="1">{"fdsup://directions/FAT Viewer?action=UPDATE&amp;creator=factset&amp;DYN_ARGS=TRUE&amp;DOC_NAME=FAT:FQL_AUDITING_CLIENT_TEMPLATE.FAT&amp;display_string=Audit&amp;VAR:KEY=QVGFEXKDOR&amp;VAR:QUERY=Q1NGX0VCSVRfT1BFUihBTk4sMTIvMzEvMTk4MCwxMi8zMS8yMDA5LEFZKQ==&amp;WINDOW=FIRST_POPUP&amp;HEIGH","T=450&amp;WIDTH=450&amp;START_MAXIMIZED=FALSE&amp;VAR:CALENDAR=US&amp;VAR:SYMBOL=SHLM&amp;VAR:INDEX=11"}</definedName>
    <definedName name="_2147__FDSAUDITLINK__" hidden="1">{"fdsup://directions/FAT Viewer?action=UPDATE&amp;creator=factset&amp;DYN_ARGS=TRUE&amp;DOC_NAME=FAT:FQL_AUDITING_CLIENT_TEMPLATE.FAT&amp;display_string=Audit&amp;VAR:KEY=QVGFEXKDOR&amp;VAR:QUERY=Q1NGX0VCSVRfT1BFUihBTk4sMTIvMzEvMTk4MCwxMi8zMS8yMDA5LEFZKQ==&amp;WINDOW=FIRST_POPUP&amp;HEIGH","T=450&amp;WIDTH=450&amp;START_MAXIMIZED=FALSE&amp;VAR:CALENDAR=US&amp;VAR:SYMBOL=SHLM&amp;VAR:INDEX=10"}</definedName>
    <definedName name="_2148__FDSAUDITLINK__" hidden="1">{"fdsup://directions/FAT Viewer?action=UPDATE&amp;creator=factset&amp;DYN_ARGS=TRUE&amp;DOC_NAME=FAT:FQL_AUDITING_CLIENT_TEMPLATE.FAT&amp;display_string=Audit&amp;VAR:KEY=QVGFEXKDOR&amp;VAR:QUERY=Q1NGX0VCSVRfT1BFUihBTk4sMTIvMzEvMTk4MCwxMi8zMS8yMDA5LEFZKQ==&amp;WINDOW=FIRST_POPUP&amp;HEIGH","T=450&amp;WIDTH=450&amp;START_MAXIMIZED=FALSE&amp;VAR:CALENDAR=US&amp;VAR:SYMBOL=SHLM&amp;VAR:INDEX=9"}</definedName>
    <definedName name="_2149__FDSAUDITLINK__" hidden="1">{"fdsup://directions/FAT Viewer?action=UPDATE&amp;creator=factset&amp;DYN_ARGS=TRUE&amp;DOC_NAME=FAT:FQL_AUDITING_CLIENT_TEMPLATE.FAT&amp;display_string=Audit&amp;VAR:KEY=QVGFEXKDOR&amp;VAR:QUERY=Q1NGX0VCSVRfT1BFUihBTk4sMTIvMzEvMTk4MCwxMi8zMS8yMDA5LEFZKQ==&amp;WINDOW=FIRST_POPUP&amp;HEIGH","T=450&amp;WIDTH=450&amp;START_MAXIMIZED=FALSE&amp;VAR:CALENDAR=US&amp;VAR:SYMBOL=SHLM&amp;VAR:INDEX=8"}</definedName>
    <definedName name="_215__FDSAUDITLINK__" hidden="1">{"fdsup://directions/FAT Viewer?action=UPDATE&amp;creator=factset&amp;DYN_ARGS=TRUE&amp;DOC_NAME=FAT:FQL_AUDITING_CLIENT_TEMPLATE.FAT&amp;display_string=Audit&amp;VAR:KEY=WTGLKJAJOF&amp;VAR:QUERY=Q1NGX0VCSVRfT1BFUihBTk4sMTIvMzEvODAsMCk=&amp;WINDOW=FIRST_POPUP&amp;HEIGHT=450&amp;WIDTH=450&amp;STAR","T_MAXIMIZED=FALSE&amp;VAR:CALENDAR=US&amp;VAR:SYMBOL=NLC&amp;VAR:INDEX=25"}</definedName>
    <definedName name="_2150__FDSAUDITLINK__" hidden="1">{"fdsup://directions/FAT Viewer?action=UPDATE&amp;creator=factset&amp;DYN_ARGS=TRUE&amp;DOC_NAME=FAT:FQL_AUDITING_CLIENT_TEMPLATE.FAT&amp;display_string=Audit&amp;VAR:KEY=QVGFEXKDOR&amp;VAR:QUERY=Q1NGX0VCSVRfT1BFUihBTk4sMTIvMzEvMTk4MCwxMi8zMS8yMDA5LEFZKQ==&amp;WINDOW=FIRST_POPUP&amp;HEIGH","T=450&amp;WIDTH=450&amp;START_MAXIMIZED=FALSE&amp;VAR:CALENDAR=US&amp;VAR:SYMBOL=SHLM&amp;VAR:INDEX=7"}</definedName>
    <definedName name="_2151__FDSAUDITLINK__" hidden="1">{"fdsup://directions/FAT Viewer?action=UPDATE&amp;creator=factset&amp;DYN_ARGS=TRUE&amp;DOC_NAME=FAT:FQL_AUDITING_CLIENT_TEMPLATE.FAT&amp;display_string=Audit&amp;VAR:KEY=QVGFEXKDOR&amp;VAR:QUERY=Q1NGX0VCSVRfT1BFUihBTk4sMTIvMzEvMTk4MCwxMi8zMS8yMDA5LEFZKQ==&amp;WINDOW=FIRST_POPUP&amp;HEIGH","T=450&amp;WIDTH=450&amp;START_MAXIMIZED=FALSE&amp;VAR:CALENDAR=US&amp;VAR:SYMBOL=SHLM&amp;VAR:INDEX=6"}</definedName>
    <definedName name="_2152__FDSAUDITLINK__" hidden="1">{"fdsup://directions/FAT Viewer?action=UPDATE&amp;creator=factset&amp;DYN_ARGS=TRUE&amp;DOC_NAME=FAT:FQL_AUDITING_CLIENT_TEMPLATE.FAT&amp;display_string=Audit&amp;VAR:KEY=QVGFEXKDOR&amp;VAR:QUERY=Q1NGX0VCSVRfT1BFUihBTk4sMTIvMzEvMTk4MCwxMi8zMS8yMDA5LEFZKQ==&amp;WINDOW=FIRST_POPUP&amp;HEIGH","T=450&amp;WIDTH=450&amp;START_MAXIMIZED=FALSE&amp;VAR:CALENDAR=US&amp;VAR:SYMBOL=SHLM&amp;VAR:INDEX=5"}</definedName>
    <definedName name="_2153__FDSAUDITLINK__" hidden="1">{"fdsup://directions/FAT Viewer?action=UPDATE&amp;creator=factset&amp;DYN_ARGS=TRUE&amp;DOC_NAME=FAT:FQL_AUDITING_CLIENT_TEMPLATE.FAT&amp;display_string=Audit&amp;VAR:KEY=QVGFEXKDOR&amp;VAR:QUERY=Q1NGX0VCSVRfT1BFUihBTk4sMTIvMzEvMTk4MCwxMi8zMS8yMDA5LEFZKQ==&amp;WINDOW=FIRST_POPUP&amp;HEIGH","T=450&amp;WIDTH=450&amp;START_MAXIMIZED=FALSE&amp;VAR:CALENDAR=US&amp;VAR:SYMBOL=SHLM&amp;VAR:INDEX=4"}</definedName>
    <definedName name="_2154__FDSAUDITLINK__" hidden="1">{"fdsup://directions/FAT Viewer?action=UPDATE&amp;creator=factset&amp;DYN_ARGS=TRUE&amp;DOC_NAME=FAT:FQL_AUDITING_CLIENT_TEMPLATE.FAT&amp;display_string=Audit&amp;VAR:KEY=QVGFEXKDOR&amp;VAR:QUERY=Q1NGX0VCSVRfT1BFUihBTk4sMTIvMzEvMTk4MCwxMi8zMS8yMDA5LEFZKQ==&amp;WINDOW=FIRST_POPUP&amp;HEIGH","T=450&amp;WIDTH=450&amp;START_MAXIMIZED=FALSE&amp;VAR:CALENDAR=US&amp;VAR:SYMBOL=SHLM&amp;VAR:INDEX=3"}</definedName>
    <definedName name="_2155__FDSAUDITLINK__" hidden="1">{"fdsup://directions/FAT Viewer?action=UPDATE&amp;creator=factset&amp;DYN_ARGS=TRUE&amp;DOC_NAME=FAT:FQL_AUDITING_CLIENT_TEMPLATE.FAT&amp;display_string=Audit&amp;VAR:KEY=QVGFEXKDOR&amp;VAR:QUERY=Q1NGX0VCSVRfT1BFUihBTk4sMTIvMzEvMTk4MCwxMi8zMS8yMDA5LEFZKQ==&amp;WINDOW=FIRST_POPUP&amp;HEIGH","T=450&amp;WIDTH=450&amp;START_MAXIMIZED=FALSE&amp;VAR:CALENDAR=US&amp;VAR:SYMBOL=SHLM&amp;VAR:INDEX=2"}</definedName>
    <definedName name="_2156__FDSAUDITLINK__" hidden="1">{"fdsup://directions/FAT Viewer?action=UPDATE&amp;creator=factset&amp;DYN_ARGS=TRUE&amp;DOC_NAME=FAT:FQL_AUDITING_CLIENT_TEMPLATE.FAT&amp;display_string=Audit&amp;VAR:KEY=QVGFEXKDOR&amp;VAR:QUERY=Q1NGX0VCSVRfT1BFUihBTk4sMTIvMzEvMTk4MCwxMi8zMS8yMDA5LEFZKQ==&amp;WINDOW=FIRST_POPUP&amp;HEIGH","T=450&amp;WIDTH=450&amp;START_MAXIMIZED=FALSE&amp;VAR:CALENDAR=US&amp;VAR:SYMBOL=SHLM&amp;VAR:INDEX=1"}</definedName>
    <definedName name="_2157__FDSAUDITLINK__" hidden="1">{"fdsup://directions/FAT Viewer?action=UPDATE&amp;creator=factset&amp;DYN_ARGS=TRUE&amp;DOC_NAME=FAT:FQL_AUDITING_CLIENT_TEMPLATE.FAT&amp;display_string=Audit&amp;VAR:KEY=QVGFEXKDOR&amp;VAR:QUERY=Q1NGX0VCSVRfT1BFUihBTk4sMTIvMzEvMTk4MCwxMi8zMS8yMDA5LEFZKQ==&amp;WINDOW=FIRST_POPUP&amp;HEIGH","T=450&amp;WIDTH=450&amp;START_MAXIMIZED=FALSE&amp;VAR:CALENDAR=US&amp;VAR:SYMBOL=SHLM&amp;VAR:INDEX=0"}</definedName>
    <definedName name="_2158__FDSAUDITLINK__" hidden="1">{"fdsup://directions/FAT Viewer?action=UPDATE&amp;creator=factset&amp;DYN_ARGS=TRUE&amp;DOC_NAME=FAT:FQL_AUDITING_CLIENT_TEMPLATE.FAT&amp;display_string=Audit&amp;VAR:KEY=NWPEZARANY&amp;VAR:QUERY=Q1NGX0VCSVRfT1BFUihMVE1fUiwwKQ==&amp;WINDOW=FIRST_POPUP&amp;HEIGHT=450&amp;WIDTH=450&amp;START_MAXIMI","ZED=FALSE&amp;VAR:CALENDAR=US&amp;VAR:SYMBOL=KWR&amp;VAR:INDEX=0"}</definedName>
    <definedName name="_2159__FDSAUDITLINK__" hidden="1">{"fdsup://directions/FAT Viewer?action=UPDATE&amp;creator=factset&amp;DYN_ARGS=TRUE&amp;DOC_NAME=FAT:FQL_AUDITING_CLIENT_TEMPLATE.FAT&amp;display_string=Audit&amp;VAR:KEY=SNUDUVSVCV&amp;VAR:QUERY=Q1NGX0VCSVRfT1BFUihBTk4sMTIvMzEvMTk4MCwxMi8zMS8yMDA5LEFZKQ==&amp;WINDOW=FIRST_POPUP&amp;HEIGH","T=450&amp;WIDTH=450&amp;START_MAXIMIZED=FALSE&amp;VAR:CALENDAR=US&amp;VAR:SYMBOL=KWR&amp;VAR:INDEX=29"}</definedName>
    <definedName name="_216__FDSAUDITLINK__" hidden="1">{"fdsup://directions/FAT Viewer?action=UPDATE&amp;creator=factset&amp;DYN_ARGS=TRUE&amp;DOC_NAME=FAT:FQL_AUDITING_CLIENT_TEMPLATE.FAT&amp;display_string=Audit&amp;VAR:KEY=WTGLKJAJOF&amp;VAR:QUERY=Q1NGX0VCSVRfT1BFUihBTk4sMTIvMzEvODAsMCk=&amp;WINDOW=FIRST_POPUP&amp;HEIGHT=450&amp;WIDTH=450&amp;STAR","T_MAXIMIZED=FALSE&amp;VAR:CALENDAR=US&amp;VAR:SYMBOL=NLC&amp;VAR:INDEX=24"}</definedName>
    <definedName name="_2160__FDSAUDITLINK__" hidden="1">{"fdsup://directions/FAT Viewer?action=UPDATE&amp;creator=factset&amp;DYN_ARGS=TRUE&amp;DOC_NAME=FAT:FQL_AUDITING_CLIENT_TEMPLATE.FAT&amp;display_string=Audit&amp;VAR:KEY=SNUDUVSVCV&amp;VAR:QUERY=Q1NGX0VCSVRfT1BFUihBTk4sMTIvMzEvMTk4MCwxMi8zMS8yMDA5LEFZKQ==&amp;WINDOW=FIRST_POPUP&amp;HEIGH","T=450&amp;WIDTH=450&amp;START_MAXIMIZED=FALSE&amp;VAR:CALENDAR=US&amp;VAR:SYMBOL=KWR&amp;VAR:INDEX=28"}</definedName>
    <definedName name="_2161__FDSAUDITLINK__" hidden="1">{"fdsup://directions/FAT Viewer?action=UPDATE&amp;creator=factset&amp;DYN_ARGS=TRUE&amp;DOC_NAME=FAT:FQL_AUDITING_CLIENT_TEMPLATE.FAT&amp;display_string=Audit&amp;VAR:KEY=SNUDUVSVCV&amp;VAR:QUERY=Q1NGX0VCSVRfT1BFUihBTk4sMTIvMzEvMTk4MCwxMi8zMS8yMDA5LEFZKQ==&amp;WINDOW=FIRST_POPUP&amp;HEIGH","T=450&amp;WIDTH=450&amp;START_MAXIMIZED=FALSE&amp;VAR:CALENDAR=US&amp;VAR:SYMBOL=KWR&amp;VAR:INDEX=27"}</definedName>
    <definedName name="_2162__FDSAUDITLINK__" hidden="1">{"fdsup://directions/FAT Viewer?action=UPDATE&amp;creator=factset&amp;DYN_ARGS=TRUE&amp;DOC_NAME=FAT:FQL_AUDITING_CLIENT_TEMPLATE.FAT&amp;display_string=Audit&amp;VAR:KEY=SNUDUVSVCV&amp;VAR:QUERY=Q1NGX0VCSVRfT1BFUihBTk4sMTIvMzEvMTk4MCwxMi8zMS8yMDA5LEFZKQ==&amp;WINDOW=FIRST_POPUP&amp;HEIGH","T=450&amp;WIDTH=450&amp;START_MAXIMIZED=FALSE&amp;VAR:CALENDAR=US&amp;VAR:SYMBOL=KWR&amp;VAR:INDEX=26"}</definedName>
    <definedName name="_2163__FDSAUDITLINK__" hidden="1">{"fdsup://directions/FAT Viewer?action=UPDATE&amp;creator=factset&amp;DYN_ARGS=TRUE&amp;DOC_NAME=FAT:FQL_AUDITING_CLIENT_TEMPLATE.FAT&amp;display_string=Audit&amp;VAR:KEY=SNUDUVSVCV&amp;VAR:QUERY=Q1NGX0VCSVRfT1BFUihBTk4sMTIvMzEvMTk4MCwxMi8zMS8yMDA5LEFZKQ==&amp;WINDOW=FIRST_POPUP&amp;HEIGH","T=450&amp;WIDTH=450&amp;START_MAXIMIZED=FALSE&amp;VAR:CALENDAR=US&amp;VAR:SYMBOL=KWR&amp;VAR:INDEX=25"}</definedName>
    <definedName name="_2164__FDSAUDITLINK__" hidden="1">{"fdsup://directions/FAT Viewer?action=UPDATE&amp;creator=factset&amp;DYN_ARGS=TRUE&amp;DOC_NAME=FAT:FQL_AUDITING_CLIENT_TEMPLATE.FAT&amp;display_string=Audit&amp;VAR:KEY=SNUDUVSVCV&amp;VAR:QUERY=Q1NGX0VCSVRfT1BFUihBTk4sMTIvMzEvMTk4MCwxMi8zMS8yMDA5LEFZKQ==&amp;WINDOW=FIRST_POPUP&amp;HEIGH","T=450&amp;WIDTH=450&amp;START_MAXIMIZED=FALSE&amp;VAR:CALENDAR=US&amp;VAR:SYMBOL=KWR&amp;VAR:INDEX=24"}</definedName>
    <definedName name="_2165__FDSAUDITLINK__" hidden="1">{"fdsup://directions/FAT Viewer?action=UPDATE&amp;creator=factset&amp;DYN_ARGS=TRUE&amp;DOC_NAME=FAT:FQL_AUDITING_CLIENT_TEMPLATE.FAT&amp;display_string=Audit&amp;VAR:KEY=SNUDUVSVCV&amp;VAR:QUERY=Q1NGX0VCSVRfT1BFUihBTk4sMTIvMzEvMTk4MCwxMi8zMS8yMDA5LEFZKQ==&amp;WINDOW=FIRST_POPUP&amp;HEIGH","T=450&amp;WIDTH=450&amp;START_MAXIMIZED=FALSE&amp;VAR:CALENDAR=US&amp;VAR:SYMBOL=KWR&amp;VAR:INDEX=23"}</definedName>
    <definedName name="_2166__FDSAUDITLINK__" hidden="1">{"fdsup://directions/FAT Viewer?action=UPDATE&amp;creator=factset&amp;DYN_ARGS=TRUE&amp;DOC_NAME=FAT:FQL_AUDITING_CLIENT_TEMPLATE.FAT&amp;display_string=Audit&amp;VAR:KEY=SNUDUVSVCV&amp;VAR:QUERY=Q1NGX0VCSVRfT1BFUihBTk4sMTIvMzEvMTk4MCwxMi8zMS8yMDA5LEFZKQ==&amp;WINDOW=FIRST_POPUP&amp;HEIGH","T=450&amp;WIDTH=450&amp;START_MAXIMIZED=FALSE&amp;VAR:CALENDAR=US&amp;VAR:SYMBOL=KWR&amp;VAR:INDEX=22"}</definedName>
    <definedName name="_2167__FDSAUDITLINK__" hidden="1">{"fdsup://directions/FAT Viewer?action=UPDATE&amp;creator=factset&amp;DYN_ARGS=TRUE&amp;DOC_NAME=FAT:FQL_AUDITING_CLIENT_TEMPLATE.FAT&amp;display_string=Audit&amp;VAR:KEY=SNUDUVSVCV&amp;VAR:QUERY=Q1NGX0VCSVRfT1BFUihBTk4sMTIvMzEvMTk4MCwxMi8zMS8yMDA5LEFZKQ==&amp;WINDOW=FIRST_POPUP&amp;HEIGH","T=450&amp;WIDTH=450&amp;START_MAXIMIZED=FALSE&amp;VAR:CALENDAR=US&amp;VAR:SYMBOL=KWR&amp;VAR:INDEX=21"}</definedName>
    <definedName name="_2168__FDSAUDITLINK__" hidden="1">{"fdsup://directions/FAT Viewer?action=UPDATE&amp;creator=factset&amp;DYN_ARGS=TRUE&amp;DOC_NAME=FAT:FQL_AUDITING_CLIENT_TEMPLATE.FAT&amp;display_string=Audit&amp;VAR:KEY=SNUDUVSVCV&amp;VAR:QUERY=Q1NGX0VCSVRfT1BFUihBTk4sMTIvMzEvMTk4MCwxMi8zMS8yMDA5LEFZKQ==&amp;WINDOW=FIRST_POPUP&amp;HEIGH","T=450&amp;WIDTH=450&amp;START_MAXIMIZED=FALSE&amp;VAR:CALENDAR=US&amp;VAR:SYMBOL=KWR&amp;VAR:INDEX=20"}</definedName>
    <definedName name="_2169__FDSAUDITLINK__" hidden="1">{"fdsup://directions/FAT Viewer?action=UPDATE&amp;creator=factset&amp;DYN_ARGS=TRUE&amp;DOC_NAME=FAT:FQL_AUDITING_CLIENT_TEMPLATE.FAT&amp;display_string=Audit&amp;VAR:KEY=SNUDUVSVCV&amp;VAR:QUERY=Q1NGX0VCSVRfT1BFUihBTk4sMTIvMzEvMTk4MCwxMi8zMS8yMDA5LEFZKQ==&amp;WINDOW=FIRST_POPUP&amp;HEIGH","T=450&amp;WIDTH=450&amp;START_MAXIMIZED=FALSE&amp;VAR:CALENDAR=US&amp;VAR:SYMBOL=KWR&amp;VAR:INDEX=19"}</definedName>
    <definedName name="_217__FDSAUDITLINK__" hidden="1">{"fdsup://directions/FAT Viewer?action=UPDATE&amp;creator=factset&amp;DYN_ARGS=TRUE&amp;DOC_NAME=FAT:FQL_AUDITING_CLIENT_TEMPLATE.FAT&amp;display_string=Audit&amp;VAR:KEY=WTGLKJAJOF&amp;VAR:QUERY=Q1NGX0VCSVRfT1BFUihBTk4sMTIvMzEvODAsMCk=&amp;WINDOW=FIRST_POPUP&amp;HEIGHT=450&amp;WIDTH=450&amp;STAR","T_MAXIMIZED=FALSE&amp;VAR:CALENDAR=US&amp;VAR:SYMBOL=NLC&amp;VAR:INDEX=23"}</definedName>
    <definedName name="_2170__FDSAUDITLINK__" hidden="1">{"fdsup://directions/FAT Viewer?action=UPDATE&amp;creator=factset&amp;DYN_ARGS=TRUE&amp;DOC_NAME=FAT:FQL_AUDITING_CLIENT_TEMPLATE.FAT&amp;display_string=Audit&amp;VAR:KEY=SNUDUVSVCV&amp;VAR:QUERY=Q1NGX0VCSVRfT1BFUihBTk4sMTIvMzEvMTk4MCwxMi8zMS8yMDA5LEFZKQ==&amp;WINDOW=FIRST_POPUP&amp;HEIGH","T=450&amp;WIDTH=450&amp;START_MAXIMIZED=FALSE&amp;VAR:CALENDAR=US&amp;VAR:SYMBOL=KWR&amp;VAR:INDEX=18"}</definedName>
    <definedName name="_2171__FDSAUDITLINK__" hidden="1">{"fdsup://directions/FAT Viewer?action=UPDATE&amp;creator=factset&amp;DYN_ARGS=TRUE&amp;DOC_NAME=FAT:FQL_AUDITING_CLIENT_TEMPLATE.FAT&amp;display_string=Audit&amp;VAR:KEY=SNUDUVSVCV&amp;VAR:QUERY=Q1NGX0VCSVRfT1BFUihBTk4sMTIvMzEvMTk4MCwxMi8zMS8yMDA5LEFZKQ==&amp;WINDOW=FIRST_POPUP&amp;HEIGH","T=450&amp;WIDTH=450&amp;START_MAXIMIZED=FALSE&amp;VAR:CALENDAR=US&amp;VAR:SYMBOL=KWR&amp;VAR:INDEX=17"}</definedName>
    <definedName name="_2172__FDSAUDITLINK__" hidden="1">{"fdsup://directions/FAT Viewer?action=UPDATE&amp;creator=factset&amp;DYN_ARGS=TRUE&amp;DOC_NAME=FAT:FQL_AUDITING_CLIENT_TEMPLATE.FAT&amp;display_string=Audit&amp;VAR:KEY=SNUDUVSVCV&amp;VAR:QUERY=Q1NGX0VCSVRfT1BFUihBTk4sMTIvMzEvMTk4MCwxMi8zMS8yMDA5LEFZKQ==&amp;WINDOW=FIRST_POPUP&amp;HEIGH","T=450&amp;WIDTH=450&amp;START_MAXIMIZED=FALSE&amp;VAR:CALENDAR=US&amp;VAR:SYMBOL=KWR&amp;VAR:INDEX=16"}</definedName>
    <definedName name="_2173__FDSAUDITLINK__" hidden="1">{"fdsup://directions/FAT Viewer?action=UPDATE&amp;creator=factset&amp;DYN_ARGS=TRUE&amp;DOC_NAME=FAT:FQL_AUDITING_CLIENT_TEMPLATE.FAT&amp;display_string=Audit&amp;VAR:KEY=SNUDUVSVCV&amp;VAR:QUERY=Q1NGX0VCSVRfT1BFUihBTk4sMTIvMzEvMTk4MCwxMi8zMS8yMDA5LEFZKQ==&amp;WINDOW=FIRST_POPUP&amp;HEIGH","T=450&amp;WIDTH=450&amp;START_MAXIMIZED=FALSE&amp;VAR:CALENDAR=US&amp;VAR:SYMBOL=KWR&amp;VAR:INDEX=15"}</definedName>
    <definedName name="_2174__FDSAUDITLINK__" hidden="1">{"fdsup://directions/FAT Viewer?action=UPDATE&amp;creator=factset&amp;DYN_ARGS=TRUE&amp;DOC_NAME=FAT:FQL_AUDITING_CLIENT_TEMPLATE.FAT&amp;display_string=Audit&amp;VAR:KEY=SNUDUVSVCV&amp;VAR:QUERY=Q1NGX0VCSVRfT1BFUihBTk4sMTIvMzEvMTk4MCwxMi8zMS8yMDA5LEFZKQ==&amp;WINDOW=FIRST_POPUP&amp;HEIGH","T=450&amp;WIDTH=450&amp;START_MAXIMIZED=FALSE&amp;VAR:CALENDAR=US&amp;VAR:SYMBOL=KWR&amp;VAR:INDEX=14"}</definedName>
    <definedName name="_2175__FDSAUDITLINK__" hidden="1">{"fdsup://directions/FAT Viewer?action=UPDATE&amp;creator=factset&amp;DYN_ARGS=TRUE&amp;DOC_NAME=FAT:FQL_AUDITING_CLIENT_TEMPLATE.FAT&amp;display_string=Audit&amp;VAR:KEY=SNUDUVSVCV&amp;VAR:QUERY=Q1NGX0VCSVRfT1BFUihBTk4sMTIvMzEvMTk4MCwxMi8zMS8yMDA5LEFZKQ==&amp;WINDOW=FIRST_POPUP&amp;HEIGH","T=450&amp;WIDTH=450&amp;START_MAXIMIZED=FALSE&amp;VAR:CALENDAR=US&amp;VAR:SYMBOL=KWR&amp;VAR:INDEX=13"}</definedName>
    <definedName name="_2176__FDSAUDITLINK__" hidden="1">{"fdsup://directions/FAT Viewer?action=UPDATE&amp;creator=factset&amp;DYN_ARGS=TRUE&amp;DOC_NAME=FAT:FQL_AUDITING_CLIENT_TEMPLATE.FAT&amp;display_string=Audit&amp;VAR:KEY=SNUDUVSVCV&amp;VAR:QUERY=Q1NGX0VCSVRfT1BFUihBTk4sMTIvMzEvMTk4MCwxMi8zMS8yMDA5LEFZKQ==&amp;WINDOW=FIRST_POPUP&amp;HEIGH","T=450&amp;WIDTH=450&amp;START_MAXIMIZED=FALSE&amp;VAR:CALENDAR=US&amp;VAR:SYMBOL=KWR&amp;VAR:INDEX=12"}</definedName>
    <definedName name="_2177__FDSAUDITLINK__" hidden="1">{"fdsup://directions/FAT Viewer?action=UPDATE&amp;creator=factset&amp;DYN_ARGS=TRUE&amp;DOC_NAME=FAT:FQL_AUDITING_CLIENT_TEMPLATE.FAT&amp;display_string=Audit&amp;VAR:KEY=SNUDUVSVCV&amp;VAR:QUERY=Q1NGX0VCSVRfT1BFUihBTk4sMTIvMzEvMTk4MCwxMi8zMS8yMDA5LEFZKQ==&amp;WINDOW=FIRST_POPUP&amp;HEIGH","T=450&amp;WIDTH=450&amp;START_MAXIMIZED=FALSE&amp;VAR:CALENDAR=US&amp;VAR:SYMBOL=KWR&amp;VAR:INDEX=11"}</definedName>
    <definedName name="_2178__FDSAUDITLINK__" hidden="1">{"fdsup://directions/FAT Viewer?action=UPDATE&amp;creator=factset&amp;DYN_ARGS=TRUE&amp;DOC_NAME=FAT:FQL_AUDITING_CLIENT_TEMPLATE.FAT&amp;display_string=Audit&amp;VAR:KEY=SNUDUVSVCV&amp;VAR:QUERY=Q1NGX0VCSVRfT1BFUihBTk4sMTIvMzEvMTk4MCwxMi8zMS8yMDA5LEFZKQ==&amp;WINDOW=FIRST_POPUP&amp;HEIGH","T=450&amp;WIDTH=450&amp;START_MAXIMIZED=FALSE&amp;VAR:CALENDAR=US&amp;VAR:SYMBOL=KWR&amp;VAR:INDEX=10"}</definedName>
    <definedName name="_2179__FDSAUDITLINK__" hidden="1">{"fdsup://directions/FAT Viewer?action=UPDATE&amp;creator=factset&amp;DYN_ARGS=TRUE&amp;DOC_NAME=FAT:FQL_AUDITING_CLIENT_TEMPLATE.FAT&amp;display_string=Audit&amp;VAR:KEY=SNUDUVSVCV&amp;VAR:QUERY=Q1NGX0VCSVRfT1BFUihBTk4sMTIvMzEvMTk4MCwxMi8zMS8yMDA5LEFZKQ==&amp;WINDOW=FIRST_POPUP&amp;HEIGH","T=450&amp;WIDTH=450&amp;START_MAXIMIZED=FALSE&amp;VAR:CALENDAR=US&amp;VAR:SYMBOL=KWR&amp;VAR:INDEX=9"}</definedName>
    <definedName name="_218__FDSAUDITLINK__" hidden="1">{"fdsup://directions/FAT Viewer?action=UPDATE&amp;creator=factset&amp;DYN_ARGS=TRUE&amp;DOC_NAME=FAT:FQL_AUDITING_CLIENT_TEMPLATE.FAT&amp;display_string=Audit&amp;VAR:KEY=WTGLKJAJOF&amp;VAR:QUERY=Q1NGX0VCSVRfT1BFUihBTk4sMTIvMzEvODAsMCk=&amp;WINDOW=FIRST_POPUP&amp;HEIGHT=450&amp;WIDTH=450&amp;STAR","T_MAXIMIZED=FALSE&amp;VAR:CALENDAR=US&amp;VAR:SYMBOL=NLC&amp;VAR:INDEX=22"}</definedName>
    <definedName name="_2180__FDSAUDITLINK__" hidden="1">{"fdsup://directions/FAT Viewer?action=UPDATE&amp;creator=factset&amp;DYN_ARGS=TRUE&amp;DOC_NAME=FAT:FQL_AUDITING_CLIENT_TEMPLATE.FAT&amp;display_string=Audit&amp;VAR:KEY=SNUDUVSVCV&amp;VAR:QUERY=Q1NGX0VCSVRfT1BFUihBTk4sMTIvMzEvMTk4MCwxMi8zMS8yMDA5LEFZKQ==&amp;WINDOW=FIRST_POPUP&amp;HEIGH","T=450&amp;WIDTH=450&amp;START_MAXIMIZED=FALSE&amp;VAR:CALENDAR=US&amp;VAR:SYMBOL=KWR&amp;VAR:INDEX=8"}</definedName>
    <definedName name="_2181__FDSAUDITLINK__" hidden="1">{"fdsup://directions/FAT Viewer?action=UPDATE&amp;creator=factset&amp;DYN_ARGS=TRUE&amp;DOC_NAME=FAT:FQL_AUDITING_CLIENT_TEMPLATE.FAT&amp;display_string=Audit&amp;VAR:KEY=SNUDUVSVCV&amp;VAR:QUERY=Q1NGX0VCSVRfT1BFUihBTk4sMTIvMzEvMTk4MCwxMi8zMS8yMDA5LEFZKQ==&amp;WINDOW=FIRST_POPUP&amp;HEIGH","T=450&amp;WIDTH=450&amp;START_MAXIMIZED=FALSE&amp;VAR:CALENDAR=US&amp;VAR:SYMBOL=KWR&amp;VAR:INDEX=7"}</definedName>
    <definedName name="_2182__FDSAUDITLINK__" hidden="1">{"fdsup://directions/FAT Viewer?action=UPDATE&amp;creator=factset&amp;DYN_ARGS=TRUE&amp;DOC_NAME=FAT:FQL_AUDITING_CLIENT_TEMPLATE.FAT&amp;display_string=Audit&amp;VAR:KEY=SNUDUVSVCV&amp;VAR:QUERY=Q1NGX0VCSVRfT1BFUihBTk4sMTIvMzEvMTk4MCwxMi8zMS8yMDA5LEFZKQ==&amp;WINDOW=FIRST_POPUP&amp;HEIGH","T=450&amp;WIDTH=450&amp;START_MAXIMIZED=FALSE&amp;VAR:CALENDAR=US&amp;VAR:SYMBOL=KWR&amp;VAR:INDEX=6"}</definedName>
    <definedName name="_2183__FDSAUDITLINK__" hidden="1">{"fdsup://directions/FAT Viewer?action=UPDATE&amp;creator=factset&amp;DYN_ARGS=TRUE&amp;DOC_NAME=FAT:FQL_AUDITING_CLIENT_TEMPLATE.FAT&amp;display_string=Audit&amp;VAR:KEY=SNUDUVSVCV&amp;VAR:QUERY=Q1NGX0VCSVRfT1BFUihBTk4sMTIvMzEvMTk4MCwxMi8zMS8yMDA5LEFZKQ==&amp;WINDOW=FIRST_POPUP&amp;HEIGH","T=450&amp;WIDTH=450&amp;START_MAXIMIZED=FALSE&amp;VAR:CALENDAR=US&amp;VAR:SYMBOL=KWR&amp;VAR:INDEX=5"}</definedName>
    <definedName name="_2184__FDSAUDITLINK__" hidden="1">{"fdsup://directions/FAT Viewer?action=UPDATE&amp;creator=factset&amp;DYN_ARGS=TRUE&amp;DOC_NAME=FAT:FQL_AUDITING_CLIENT_TEMPLATE.FAT&amp;display_string=Audit&amp;VAR:KEY=SNUDUVSVCV&amp;VAR:QUERY=Q1NGX0VCSVRfT1BFUihBTk4sMTIvMzEvMTk4MCwxMi8zMS8yMDA5LEFZKQ==&amp;WINDOW=FIRST_POPUP&amp;HEIGH","T=450&amp;WIDTH=450&amp;START_MAXIMIZED=FALSE&amp;VAR:CALENDAR=US&amp;VAR:SYMBOL=KWR&amp;VAR:INDEX=4"}</definedName>
    <definedName name="_2185__FDSAUDITLINK__" hidden="1">{"fdsup://directions/FAT Viewer?action=UPDATE&amp;creator=factset&amp;DYN_ARGS=TRUE&amp;DOC_NAME=FAT:FQL_AUDITING_CLIENT_TEMPLATE.FAT&amp;display_string=Audit&amp;VAR:KEY=SNUDUVSVCV&amp;VAR:QUERY=Q1NGX0VCSVRfT1BFUihBTk4sMTIvMzEvMTk4MCwxMi8zMS8yMDA5LEFZKQ==&amp;WINDOW=FIRST_POPUP&amp;HEIGH","T=450&amp;WIDTH=450&amp;START_MAXIMIZED=FALSE&amp;VAR:CALENDAR=US&amp;VAR:SYMBOL=KWR&amp;VAR:INDEX=3"}</definedName>
    <definedName name="_2186__FDSAUDITLINK__" hidden="1">{"fdsup://directions/FAT Viewer?action=UPDATE&amp;creator=factset&amp;DYN_ARGS=TRUE&amp;DOC_NAME=FAT:FQL_AUDITING_CLIENT_TEMPLATE.FAT&amp;display_string=Audit&amp;VAR:KEY=SNUDUVSVCV&amp;VAR:QUERY=Q1NGX0VCSVRfT1BFUihBTk4sMTIvMzEvMTk4MCwxMi8zMS8yMDA5LEFZKQ==&amp;WINDOW=FIRST_POPUP&amp;HEIGH","T=450&amp;WIDTH=450&amp;START_MAXIMIZED=FALSE&amp;VAR:CALENDAR=US&amp;VAR:SYMBOL=KWR&amp;VAR:INDEX=2"}</definedName>
    <definedName name="_2187__FDSAUDITLINK__" hidden="1">{"fdsup://directions/FAT Viewer?action=UPDATE&amp;creator=factset&amp;DYN_ARGS=TRUE&amp;DOC_NAME=FAT:FQL_AUDITING_CLIENT_TEMPLATE.FAT&amp;display_string=Audit&amp;VAR:KEY=SNUDUVSVCV&amp;VAR:QUERY=Q1NGX0VCSVRfT1BFUihBTk4sMTIvMzEvMTk4MCwxMi8zMS8yMDA5LEFZKQ==&amp;WINDOW=FIRST_POPUP&amp;HEIGH","T=450&amp;WIDTH=450&amp;START_MAXIMIZED=FALSE&amp;VAR:CALENDAR=US&amp;VAR:SYMBOL=KWR&amp;VAR:INDEX=1"}</definedName>
    <definedName name="_2188__FDSAUDITLINK__" hidden="1">{"fdsup://directions/FAT Viewer?action=UPDATE&amp;creator=factset&amp;DYN_ARGS=TRUE&amp;DOC_NAME=FAT:FQL_AUDITING_CLIENT_TEMPLATE.FAT&amp;display_string=Audit&amp;VAR:KEY=SNUDUVSVCV&amp;VAR:QUERY=Q1NGX0VCSVRfT1BFUihBTk4sMTIvMzEvMTk4MCwxMi8zMS8yMDA5LEFZKQ==&amp;WINDOW=FIRST_POPUP&amp;HEIGH","T=450&amp;WIDTH=450&amp;START_MAXIMIZED=FALSE&amp;VAR:CALENDAR=US&amp;VAR:SYMBOL=KWR&amp;VAR:INDEX=0"}</definedName>
    <definedName name="_2189__FDSAUDITLINK__" hidden="1">{"fdsup://directions/FAT Viewer?action=UPDATE&amp;creator=factset&amp;DYN_ARGS=TRUE&amp;DOC_NAME=FAT:FQL_AUDITING_CLIENT_TEMPLATE.FAT&amp;display_string=Audit&amp;VAR:KEY=LSTUTYTQXQ&amp;VAR:QUERY=Q1NGX0VCSVRfT1BFUihMVE1fUiwwKQ==&amp;WINDOW=FIRST_POPUP&amp;HEIGHT=450&amp;WIDTH=450&amp;START_MAXIMI","ZED=FALSE&amp;VAR:CALENDAR=US&amp;VAR:SYMBOL=POL&amp;VAR:INDEX=0"}</definedName>
    <definedName name="_219__FDSAUDITLINK__" hidden="1">{"fdsup://directions/FAT Viewer?action=UPDATE&amp;creator=factset&amp;DYN_ARGS=TRUE&amp;DOC_NAME=FAT:FQL_AUDITING_CLIENT_TEMPLATE.FAT&amp;display_string=Audit&amp;VAR:KEY=WTGLKJAJOF&amp;VAR:QUERY=Q1NGX0VCSVRfT1BFUihBTk4sMTIvMzEvODAsMCk=&amp;WINDOW=FIRST_POPUP&amp;HEIGHT=450&amp;WIDTH=450&amp;STAR","T_MAXIMIZED=FALSE&amp;VAR:CALENDAR=US&amp;VAR:SYMBOL=NLC&amp;VAR:INDEX=21"}</definedName>
    <definedName name="_2190__FDSAUDITLINK__" hidden="1">{"fdsup://directions/FAT Viewer?action=UPDATE&amp;creator=factset&amp;DYN_ARGS=TRUE&amp;DOC_NAME=FAT:FQL_AUDITING_CLIENT_TEMPLATE.FAT&amp;display_string=Audit&amp;VAR:KEY=EREFKDGBQT&amp;VAR:QUERY=Q1NGX0VCSVRfT1BFUihBTk4sMTIvMzEvMTk4MCwxMi8zMS8yMDA5LEFZKQ==&amp;WINDOW=FIRST_POPUP&amp;HEIGH","T=450&amp;WIDTH=450&amp;START_MAXIMIZED=FALSE&amp;VAR:CALENDAR=US&amp;VAR:SYMBOL=POL&amp;VAR:INDEX=29"}</definedName>
    <definedName name="_2191__FDSAUDITLINK__" hidden="1">{"fdsup://directions/FAT Viewer?action=UPDATE&amp;creator=factset&amp;DYN_ARGS=TRUE&amp;DOC_NAME=FAT:FQL_AUDITING_CLIENT_TEMPLATE.FAT&amp;display_string=Audit&amp;VAR:KEY=EREFKDGBQT&amp;VAR:QUERY=Q1NGX0VCSVRfT1BFUihBTk4sMTIvMzEvMTk4MCwxMi8zMS8yMDA5LEFZKQ==&amp;WINDOW=FIRST_POPUP&amp;HEIGH","T=450&amp;WIDTH=450&amp;START_MAXIMIZED=FALSE&amp;VAR:CALENDAR=US&amp;VAR:SYMBOL=POL&amp;VAR:INDEX=28"}</definedName>
    <definedName name="_2192__FDSAUDITLINK__" hidden="1">{"fdsup://directions/FAT Viewer?action=UPDATE&amp;creator=factset&amp;DYN_ARGS=TRUE&amp;DOC_NAME=FAT:FQL_AUDITING_CLIENT_TEMPLATE.FAT&amp;display_string=Audit&amp;VAR:KEY=EREFKDGBQT&amp;VAR:QUERY=Q1NGX0VCSVRfT1BFUihBTk4sMTIvMzEvMTk4MCwxMi8zMS8yMDA5LEFZKQ==&amp;WINDOW=FIRST_POPUP&amp;HEIGH","T=450&amp;WIDTH=450&amp;START_MAXIMIZED=FALSE&amp;VAR:CALENDAR=US&amp;VAR:SYMBOL=POL&amp;VAR:INDEX=27"}</definedName>
    <definedName name="_2193__FDSAUDITLINK__" hidden="1">{"fdsup://directions/FAT Viewer?action=UPDATE&amp;creator=factset&amp;DYN_ARGS=TRUE&amp;DOC_NAME=FAT:FQL_AUDITING_CLIENT_TEMPLATE.FAT&amp;display_string=Audit&amp;VAR:KEY=EREFKDGBQT&amp;VAR:QUERY=Q1NGX0VCSVRfT1BFUihBTk4sMTIvMzEvMTk4MCwxMi8zMS8yMDA5LEFZKQ==&amp;WINDOW=FIRST_POPUP&amp;HEIGH","T=450&amp;WIDTH=450&amp;START_MAXIMIZED=FALSE&amp;VAR:CALENDAR=US&amp;VAR:SYMBOL=POL&amp;VAR:INDEX=26"}</definedName>
    <definedName name="_2194__FDSAUDITLINK__" hidden="1">{"fdsup://directions/FAT Viewer?action=UPDATE&amp;creator=factset&amp;DYN_ARGS=TRUE&amp;DOC_NAME=FAT:FQL_AUDITING_CLIENT_TEMPLATE.FAT&amp;display_string=Audit&amp;VAR:KEY=EREFKDGBQT&amp;VAR:QUERY=Q1NGX0VCSVRfT1BFUihBTk4sMTIvMzEvMTk4MCwxMi8zMS8yMDA5LEFZKQ==&amp;WINDOW=FIRST_POPUP&amp;HEIGH","T=450&amp;WIDTH=450&amp;START_MAXIMIZED=FALSE&amp;VAR:CALENDAR=US&amp;VAR:SYMBOL=POL&amp;VAR:INDEX=25"}</definedName>
    <definedName name="_2195__FDSAUDITLINK__" hidden="1">{"fdsup://directions/FAT Viewer?action=UPDATE&amp;creator=factset&amp;DYN_ARGS=TRUE&amp;DOC_NAME=FAT:FQL_AUDITING_CLIENT_TEMPLATE.FAT&amp;display_string=Audit&amp;VAR:KEY=EREFKDGBQT&amp;VAR:QUERY=Q1NGX0VCSVRfT1BFUihBTk4sMTIvMzEvMTk4MCwxMi8zMS8yMDA5LEFZKQ==&amp;WINDOW=FIRST_POPUP&amp;HEIGH","T=450&amp;WIDTH=450&amp;START_MAXIMIZED=FALSE&amp;VAR:CALENDAR=US&amp;VAR:SYMBOL=POL&amp;VAR:INDEX=24"}</definedName>
    <definedName name="_2196__FDSAUDITLINK__" hidden="1">{"fdsup://directions/FAT Viewer?action=UPDATE&amp;creator=factset&amp;DYN_ARGS=TRUE&amp;DOC_NAME=FAT:FQL_AUDITING_CLIENT_TEMPLATE.FAT&amp;display_string=Audit&amp;VAR:KEY=EREFKDGBQT&amp;VAR:QUERY=Q1NGX0VCSVRfT1BFUihBTk4sMTIvMzEvMTk4MCwxMi8zMS8yMDA5LEFZKQ==&amp;WINDOW=FIRST_POPUP&amp;HEIGH","T=450&amp;WIDTH=450&amp;START_MAXIMIZED=FALSE&amp;VAR:CALENDAR=US&amp;VAR:SYMBOL=POL&amp;VAR:INDEX=23"}</definedName>
    <definedName name="_2197__FDSAUDITLINK__" hidden="1">{"fdsup://directions/FAT Viewer?action=UPDATE&amp;creator=factset&amp;DYN_ARGS=TRUE&amp;DOC_NAME=FAT:FQL_AUDITING_CLIENT_TEMPLATE.FAT&amp;display_string=Audit&amp;VAR:KEY=EREFKDGBQT&amp;VAR:QUERY=Q1NGX0VCSVRfT1BFUihBTk4sMTIvMzEvMTk4MCwxMi8zMS8yMDA5LEFZKQ==&amp;WINDOW=FIRST_POPUP&amp;HEIGH","T=450&amp;WIDTH=450&amp;START_MAXIMIZED=FALSE&amp;VAR:CALENDAR=US&amp;VAR:SYMBOL=POL&amp;VAR:INDEX=22"}</definedName>
    <definedName name="_2198__FDSAUDITLINK__" hidden="1">{"fdsup://directions/FAT Viewer?action=UPDATE&amp;creator=factset&amp;DYN_ARGS=TRUE&amp;DOC_NAME=FAT:FQL_AUDITING_CLIENT_TEMPLATE.FAT&amp;display_string=Audit&amp;VAR:KEY=EREFKDGBQT&amp;VAR:QUERY=Q1NGX0VCSVRfT1BFUihBTk4sMTIvMzEvMTk4MCwxMi8zMS8yMDA5LEFZKQ==&amp;WINDOW=FIRST_POPUP&amp;HEIGH","T=450&amp;WIDTH=450&amp;START_MAXIMIZED=FALSE&amp;VAR:CALENDAR=US&amp;VAR:SYMBOL=POL&amp;VAR:INDEX=21"}</definedName>
    <definedName name="_2199__FDSAUDITLINK__" hidden="1">{"fdsup://directions/FAT Viewer?action=UPDATE&amp;creator=factset&amp;DYN_ARGS=TRUE&amp;DOC_NAME=FAT:FQL_AUDITING_CLIENT_TEMPLATE.FAT&amp;display_string=Audit&amp;VAR:KEY=EREFKDGBQT&amp;VAR:QUERY=Q1NGX0VCSVRfT1BFUihBTk4sMTIvMzEvMTk4MCwxMi8zMS8yMDA5LEFZKQ==&amp;WINDOW=FIRST_POPUP&amp;HEIGH","T=450&amp;WIDTH=450&amp;START_MAXIMIZED=FALSE&amp;VAR:CALENDAR=US&amp;VAR:SYMBOL=POL&amp;VAR:INDEX=20"}</definedName>
    <definedName name="_22__FDSAUDITLINK__" hidden="1">{"fdsup://directions/FAT Viewer?action=UPDATE&amp;creator=factset&amp;DYN_ARGS=TRUE&amp;DOC_NAME=FAT:FQL_AUDITING_CLIENT_TEMPLATE.FAT&amp;display_string=Audit&amp;VAR:KEY=QZMTMLQNSF&amp;VAR:QUERY=Q1NGX0dST1NTX0lOQyhRVFJfUiwtM0FZLDAsRlEp&amp;WINDOW=FIRST_POPUP&amp;HEIGHT=450&amp;WIDTH=450&amp;STAR","T_MAXIMIZED=FALSE&amp;VAR:CALENDAR=US&amp;VAR:SYMBOL=CE&amp;VAR:INDEX=4"}</definedName>
    <definedName name="_220__FDSAUDITLINK__" hidden="1">{"fdsup://directions/FAT Viewer?action=UPDATE&amp;creator=factset&amp;DYN_ARGS=TRUE&amp;DOC_NAME=FAT:FQL_AUDITING_CLIENT_TEMPLATE.FAT&amp;display_string=Audit&amp;VAR:KEY=WTGLKJAJOF&amp;VAR:QUERY=Q1NGX0VCSVRfT1BFUihBTk4sMTIvMzEvODAsMCk=&amp;WINDOW=FIRST_POPUP&amp;HEIGHT=450&amp;WIDTH=450&amp;STAR","T_MAXIMIZED=FALSE&amp;VAR:CALENDAR=US&amp;VAR:SYMBOL=NLC&amp;VAR:INDEX=20"}</definedName>
    <definedName name="_2200__FDSAUDITLINK__" hidden="1">{"fdsup://directions/FAT Viewer?action=UPDATE&amp;creator=factset&amp;DYN_ARGS=TRUE&amp;DOC_NAME=FAT:FQL_AUDITING_CLIENT_TEMPLATE.FAT&amp;display_string=Audit&amp;VAR:KEY=EREFKDGBQT&amp;VAR:QUERY=Q1NGX0VCSVRfT1BFUihBTk4sMTIvMzEvMTk4MCwxMi8zMS8yMDA5LEFZKQ==&amp;WINDOW=FIRST_POPUP&amp;HEIGH","T=450&amp;WIDTH=450&amp;START_MAXIMIZED=FALSE&amp;VAR:CALENDAR=US&amp;VAR:SYMBOL=POL&amp;VAR:INDEX=19"}</definedName>
    <definedName name="_2201__FDSAUDITLINK__" hidden="1">{"fdsup://directions/FAT Viewer?action=UPDATE&amp;creator=factset&amp;DYN_ARGS=TRUE&amp;DOC_NAME=FAT:FQL_AUDITING_CLIENT_TEMPLATE.FAT&amp;display_string=Audit&amp;VAR:KEY=EREFKDGBQT&amp;VAR:QUERY=Q1NGX0VCSVRfT1BFUihBTk4sMTIvMzEvMTk4MCwxMi8zMS8yMDA5LEFZKQ==&amp;WINDOW=FIRST_POPUP&amp;HEIGH","T=450&amp;WIDTH=450&amp;START_MAXIMIZED=FALSE&amp;VAR:CALENDAR=US&amp;VAR:SYMBOL=POL&amp;VAR:INDEX=18"}</definedName>
    <definedName name="_2202__FDSAUDITLINK__" hidden="1">{"fdsup://directions/FAT Viewer?action=UPDATE&amp;creator=factset&amp;DYN_ARGS=TRUE&amp;DOC_NAME=FAT:FQL_AUDITING_CLIENT_TEMPLATE.FAT&amp;display_string=Audit&amp;VAR:KEY=EREFKDGBQT&amp;VAR:QUERY=Q1NGX0VCSVRfT1BFUihBTk4sMTIvMzEvMTk4MCwxMi8zMS8yMDA5LEFZKQ==&amp;WINDOW=FIRST_POPUP&amp;HEIGH","T=450&amp;WIDTH=450&amp;START_MAXIMIZED=FALSE&amp;VAR:CALENDAR=US&amp;VAR:SYMBOL=POL&amp;VAR:INDEX=17"}</definedName>
    <definedName name="_2203__FDSAUDITLINK__" hidden="1">{"fdsup://directions/FAT Viewer?action=UPDATE&amp;creator=factset&amp;DYN_ARGS=TRUE&amp;DOC_NAME=FAT:FQL_AUDITING_CLIENT_TEMPLATE.FAT&amp;display_string=Audit&amp;VAR:KEY=EREFKDGBQT&amp;VAR:QUERY=Q1NGX0VCSVRfT1BFUihBTk4sMTIvMzEvMTk4MCwxMi8zMS8yMDA5LEFZKQ==&amp;WINDOW=FIRST_POPUP&amp;HEIGH","T=450&amp;WIDTH=450&amp;START_MAXIMIZED=FALSE&amp;VAR:CALENDAR=US&amp;VAR:SYMBOL=POL&amp;VAR:INDEX=16"}</definedName>
    <definedName name="_2204__FDSAUDITLINK__" hidden="1">{"fdsup://directions/FAT Viewer?action=UPDATE&amp;creator=factset&amp;DYN_ARGS=TRUE&amp;DOC_NAME=FAT:FQL_AUDITING_CLIENT_TEMPLATE.FAT&amp;display_string=Audit&amp;VAR:KEY=EREFKDGBQT&amp;VAR:QUERY=Q1NGX0VCSVRfT1BFUihBTk4sMTIvMzEvMTk4MCwxMi8zMS8yMDA5LEFZKQ==&amp;WINDOW=FIRST_POPUP&amp;HEIGH","T=450&amp;WIDTH=450&amp;START_MAXIMIZED=FALSE&amp;VAR:CALENDAR=US&amp;VAR:SYMBOL=POL&amp;VAR:INDEX=15"}</definedName>
    <definedName name="_2205__FDSAUDITLINK__" hidden="1">{"fdsup://directions/FAT Viewer?action=UPDATE&amp;creator=factset&amp;DYN_ARGS=TRUE&amp;DOC_NAME=FAT:FQL_AUDITING_CLIENT_TEMPLATE.FAT&amp;display_string=Audit&amp;VAR:KEY=EREFKDGBQT&amp;VAR:QUERY=Q1NGX0VCSVRfT1BFUihBTk4sMTIvMzEvMTk4MCwxMi8zMS8yMDA5LEFZKQ==&amp;WINDOW=FIRST_POPUP&amp;HEIGH","T=450&amp;WIDTH=450&amp;START_MAXIMIZED=FALSE&amp;VAR:CALENDAR=US&amp;VAR:SYMBOL=POL&amp;VAR:INDEX=14"}</definedName>
    <definedName name="_2206__FDSAUDITLINK__" hidden="1">{"fdsup://directions/FAT Viewer?action=UPDATE&amp;creator=factset&amp;DYN_ARGS=TRUE&amp;DOC_NAME=FAT:FQL_AUDITING_CLIENT_TEMPLATE.FAT&amp;display_string=Audit&amp;VAR:KEY=EREFKDGBQT&amp;VAR:QUERY=Q1NGX0VCSVRfT1BFUihBTk4sMTIvMzEvMTk4MCwxMi8zMS8yMDA5LEFZKQ==&amp;WINDOW=FIRST_POPUP&amp;HEIGH","T=450&amp;WIDTH=450&amp;START_MAXIMIZED=FALSE&amp;VAR:CALENDAR=US&amp;VAR:SYMBOL=POL&amp;VAR:INDEX=13"}</definedName>
    <definedName name="_2207__FDSAUDITLINK__" hidden="1">{"fdsup://directions/FAT Viewer?action=UPDATE&amp;creator=factset&amp;DYN_ARGS=TRUE&amp;DOC_NAME=FAT:FQL_AUDITING_CLIENT_TEMPLATE.FAT&amp;display_string=Audit&amp;VAR:KEY=EREFKDGBQT&amp;VAR:QUERY=Q1NGX0VCSVRfT1BFUihBTk4sMTIvMzEvMTk4MCwxMi8zMS8yMDA5LEFZKQ==&amp;WINDOW=FIRST_POPUP&amp;HEIGH","T=450&amp;WIDTH=450&amp;START_MAXIMIZED=FALSE&amp;VAR:CALENDAR=US&amp;VAR:SYMBOL=POL&amp;VAR:INDEX=12"}</definedName>
    <definedName name="_2208__FDSAUDITLINK__" hidden="1">{"fdsup://directions/FAT Viewer?action=UPDATE&amp;creator=factset&amp;DYN_ARGS=TRUE&amp;DOC_NAME=FAT:FQL_AUDITING_CLIENT_TEMPLATE.FAT&amp;display_string=Audit&amp;VAR:KEY=EREFKDGBQT&amp;VAR:QUERY=Q1NGX0VCSVRfT1BFUihBTk4sMTIvMzEvMTk4MCwxMi8zMS8yMDA5LEFZKQ==&amp;WINDOW=FIRST_POPUP&amp;HEIGH","T=450&amp;WIDTH=450&amp;START_MAXIMIZED=FALSE&amp;VAR:CALENDAR=US&amp;VAR:SYMBOL=POL&amp;VAR:INDEX=11"}</definedName>
    <definedName name="_2209__FDSAUDITLINK__" hidden="1">{"fdsup://directions/FAT Viewer?action=UPDATE&amp;creator=factset&amp;DYN_ARGS=TRUE&amp;DOC_NAME=FAT:FQL_AUDITING_CLIENT_TEMPLATE.FAT&amp;display_string=Audit&amp;VAR:KEY=EREFKDGBQT&amp;VAR:QUERY=Q1NGX0VCSVRfT1BFUihBTk4sMTIvMzEvMTk4MCwxMi8zMS8yMDA5LEFZKQ==&amp;WINDOW=FIRST_POPUP&amp;HEIGH","T=450&amp;WIDTH=450&amp;START_MAXIMIZED=FALSE&amp;VAR:CALENDAR=US&amp;VAR:SYMBOL=POL&amp;VAR:INDEX=10"}</definedName>
    <definedName name="_221__FDSAUDITLINK__" hidden="1">{"fdsup://directions/FAT Viewer?action=UPDATE&amp;creator=factset&amp;DYN_ARGS=TRUE&amp;DOC_NAME=FAT:FQL_AUDITING_CLIENT_TEMPLATE.FAT&amp;display_string=Audit&amp;VAR:KEY=WTGLKJAJOF&amp;VAR:QUERY=Q1NGX0VCSVRfT1BFUihBTk4sMTIvMzEvODAsMCk=&amp;WINDOW=FIRST_POPUP&amp;HEIGHT=450&amp;WIDTH=450&amp;STAR","T_MAXIMIZED=FALSE&amp;VAR:CALENDAR=US&amp;VAR:SYMBOL=NLC&amp;VAR:INDEX=19"}</definedName>
    <definedName name="_2210__FDSAUDITLINK__" hidden="1">{"fdsup://directions/FAT Viewer?action=UPDATE&amp;creator=factset&amp;DYN_ARGS=TRUE&amp;DOC_NAME=FAT:FQL_AUDITING_CLIENT_TEMPLATE.FAT&amp;display_string=Audit&amp;VAR:KEY=EREFKDGBQT&amp;VAR:QUERY=Q1NGX0VCSVRfT1BFUihBTk4sMTIvMzEvMTk4MCwxMi8zMS8yMDA5LEFZKQ==&amp;WINDOW=FIRST_POPUP&amp;HEIGH","T=450&amp;WIDTH=450&amp;START_MAXIMIZED=FALSE&amp;VAR:CALENDAR=US&amp;VAR:SYMBOL=POL&amp;VAR:INDEX=9"}</definedName>
    <definedName name="_2211__FDSAUDITLINK__" hidden="1">{"fdsup://directions/FAT Viewer?action=UPDATE&amp;creator=factset&amp;DYN_ARGS=TRUE&amp;DOC_NAME=FAT:FQL_AUDITING_CLIENT_TEMPLATE.FAT&amp;display_string=Audit&amp;VAR:KEY=EREFKDGBQT&amp;VAR:QUERY=Q1NGX0VCSVRfT1BFUihBTk4sMTIvMzEvMTk4MCwxMi8zMS8yMDA5LEFZKQ==&amp;WINDOW=FIRST_POPUP&amp;HEIGH","T=450&amp;WIDTH=450&amp;START_MAXIMIZED=FALSE&amp;VAR:CALENDAR=US&amp;VAR:SYMBOL=POL&amp;VAR:INDEX=8"}</definedName>
    <definedName name="_2212__FDSAUDITLINK__" hidden="1">{"fdsup://directions/FAT Viewer?action=UPDATE&amp;creator=factset&amp;DYN_ARGS=TRUE&amp;DOC_NAME=FAT:FQL_AUDITING_CLIENT_TEMPLATE.FAT&amp;display_string=Audit&amp;VAR:KEY=EREFKDGBQT&amp;VAR:QUERY=Q1NGX0VCSVRfT1BFUihBTk4sMTIvMzEvMTk4MCwxMi8zMS8yMDA5LEFZKQ==&amp;WINDOW=FIRST_POPUP&amp;HEIGH","T=450&amp;WIDTH=450&amp;START_MAXIMIZED=FALSE&amp;VAR:CALENDAR=US&amp;VAR:SYMBOL=POL&amp;VAR:INDEX=7"}</definedName>
    <definedName name="_2213__FDSAUDITLINK__" hidden="1">{"fdsup://directions/FAT Viewer?action=UPDATE&amp;creator=factset&amp;DYN_ARGS=TRUE&amp;DOC_NAME=FAT:FQL_AUDITING_CLIENT_TEMPLATE.FAT&amp;display_string=Audit&amp;VAR:KEY=EREFKDGBQT&amp;VAR:QUERY=Q1NGX0VCSVRfT1BFUihBTk4sMTIvMzEvMTk4MCwxMi8zMS8yMDA5LEFZKQ==&amp;WINDOW=FIRST_POPUP&amp;HEIGH","T=450&amp;WIDTH=450&amp;START_MAXIMIZED=FALSE&amp;VAR:CALENDAR=US&amp;VAR:SYMBOL=POL&amp;VAR:INDEX=6"}</definedName>
    <definedName name="_2214__FDSAUDITLINK__" hidden="1">{"fdsup://directions/FAT Viewer?action=UPDATE&amp;creator=factset&amp;DYN_ARGS=TRUE&amp;DOC_NAME=FAT:FQL_AUDITING_CLIENT_TEMPLATE.FAT&amp;display_string=Audit&amp;VAR:KEY=EREFKDGBQT&amp;VAR:QUERY=Q1NGX0VCSVRfT1BFUihBTk4sMTIvMzEvMTk4MCwxMi8zMS8yMDA5LEFZKQ==&amp;WINDOW=FIRST_POPUP&amp;HEIGH","T=450&amp;WIDTH=450&amp;START_MAXIMIZED=FALSE&amp;VAR:CALENDAR=US&amp;VAR:SYMBOL=POL&amp;VAR:INDEX=5"}</definedName>
    <definedName name="_2215__FDSAUDITLINK__" hidden="1">{"fdsup://directions/FAT Viewer?action=UPDATE&amp;creator=factset&amp;DYN_ARGS=TRUE&amp;DOC_NAME=FAT:FQL_AUDITING_CLIENT_TEMPLATE.FAT&amp;display_string=Audit&amp;VAR:KEY=EREFKDGBQT&amp;VAR:QUERY=Q1NGX0VCSVRfT1BFUihBTk4sMTIvMzEvMTk4MCwxMi8zMS8yMDA5LEFZKQ==&amp;WINDOW=FIRST_POPUP&amp;HEIGH","T=450&amp;WIDTH=450&amp;START_MAXIMIZED=FALSE&amp;VAR:CALENDAR=US&amp;VAR:SYMBOL=POL&amp;VAR:INDEX=4"}</definedName>
    <definedName name="_2216__FDSAUDITLINK__" hidden="1">{"fdsup://directions/FAT Viewer?action=UPDATE&amp;creator=factset&amp;DYN_ARGS=TRUE&amp;DOC_NAME=FAT:FQL_AUDITING_CLIENT_TEMPLATE.FAT&amp;display_string=Audit&amp;VAR:KEY=EREFKDGBQT&amp;VAR:QUERY=Q1NGX0VCSVRfT1BFUihBTk4sMTIvMzEvMTk4MCwxMi8zMS8yMDA5LEFZKQ==&amp;WINDOW=FIRST_POPUP&amp;HEIGH","T=450&amp;WIDTH=450&amp;START_MAXIMIZED=FALSE&amp;VAR:CALENDAR=US&amp;VAR:SYMBOL=POL&amp;VAR:INDEX=3"}</definedName>
    <definedName name="_2217__FDSAUDITLINK__" hidden="1">{"fdsup://directions/FAT Viewer?action=UPDATE&amp;creator=factset&amp;DYN_ARGS=TRUE&amp;DOC_NAME=FAT:FQL_AUDITING_CLIENT_TEMPLATE.FAT&amp;display_string=Audit&amp;VAR:KEY=EREFKDGBQT&amp;VAR:QUERY=Q1NGX0VCSVRfT1BFUihBTk4sMTIvMzEvMTk4MCwxMi8zMS8yMDA5LEFZKQ==&amp;WINDOW=FIRST_POPUP&amp;HEIGH","T=450&amp;WIDTH=450&amp;START_MAXIMIZED=FALSE&amp;VAR:CALENDAR=US&amp;VAR:SYMBOL=POL&amp;VAR:INDEX=2"}</definedName>
    <definedName name="_2218__FDSAUDITLINK__" hidden="1">{"fdsup://directions/FAT Viewer?action=UPDATE&amp;creator=factset&amp;DYN_ARGS=TRUE&amp;DOC_NAME=FAT:FQL_AUDITING_CLIENT_TEMPLATE.FAT&amp;display_string=Audit&amp;VAR:KEY=EREFKDGBQT&amp;VAR:QUERY=Q1NGX0VCSVRfT1BFUihBTk4sMTIvMzEvMTk4MCwxMi8zMS8yMDA5LEFZKQ==&amp;WINDOW=FIRST_POPUP&amp;HEIGH","T=450&amp;WIDTH=450&amp;START_MAXIMIZED=FALSE&amp;VAR:CALENDAR=US&amp;VAR:SYMBOL=POL&amp;VAR:INDEX=1"}</definedName>
    <definedName name="_2219__FDSAUDITLINK__" hidden="1">{"fdsup://directions/FAT Viewer?action=UPDATE&amp;creator=factset&amp;DYN_ARGS=TRUE&amp;DOC_NAME=FAT:FQL_AUDITING_CLIENT_TEMPLATE.FAT&amp;display_string=Audit&amp;VAR:KEY=EREFKDGBQT&amp;VAR:QUERY=Q1NGX0VCSVRfT1BFUihBTk4sMTIvMzEvMTk4MCwxMi8zMS8yMDA5LEFZKQ==&amp;WINDOW=FIRST_POPUP&amp;HEIGH","T=450&amp;WIDTH=450&amp;START_MAXIMIZED=FALSE&amp;VAR:CALENDAR=US&amp;VAR:SYMBOL=POL&amp;VAR:INDEX=0"}</definedName>
    <definedName name="_222__FDSAUDITLINK__" hidden="1">{"fdsup://directions/FAT Viewer?action=UPDATE&amp;creator=factset&amp;DYN_ARGS=TRUE&amp;DOC_NAME=FAT:FQL_AUDITING_CLIENT_TEMPLATE.FAT&amp;display_string=Audit&amp;VAR:KEY=WTGLKJAJOF&amp;VAR:QUERY=Q1NGX0VCSVRfT1BFUihBTk4sMTIvMzEvODAsMCk=&amp;WINDOW=FIRST_POPUP&amp;HEIGHT=450&amp;WIDTH=450&amp;STAR","T_MAXIMIZED=FALSE&amp;VAR:CALENDAR=US&amp;VAR:SYMBOL=NLC&amp;VAR:INDEX=18"}</definedName>
    <definedName name="_2220__FDSAUDITLINK__" hidden="1">{"fdsup://directions/FAT Viewer?action=UPDATE&amp;creator=factset&amp;DYN_ARGS=TRUE&amp;DOC_NAME=FAT:FQL_AUDITING_CLIENT_TEMPLATE.FAT&amp;display_string=Audit&amp;VAR:KEY=DSLYRMNWLW&amp;VAR:QUERY=Q1NGX0VCSVRfT1BFUihMVE1fUiwwKQ==&amp;WINDOW=FIRST_POPUP&amp;HEIGHT=450&amp;WIDTH=450&amp;START_MAXIMI","ZED=FALSE&amp;VAR:CALENDAR=US&amp;VAR:SYMBOL=PENX&amp;VAR:INDEX=0"}</definedName>
    <definedName name="_2221__FDSAUDITLINK__" hidden="1">{"fdsup://directions/FAT Viewer?action=UPDATE&amp;creator=factset&amp;DYN_ARGS=TRUE&amp;DOC_NAME=FAT:FQL_AUDITING_CLIENT_TEMPLATE.FAT&amp;display_string=Audit&amp;VAR:KEY=QHUZMRUDYZ&amp;VAR:QUERY=Q1NGX0VCSVRfT1BFUihBTk4sMTIvMzEvMTk4MCwxMi8zMS8yMDA5LEFZKQ==&amp;WINDOW=FIRST_POPUP&amp;HEIGH","T=450&amp;WIDTH=450&amp;START_MAXIMIZED=FALSE&amp;VAR:CALENDAR=US&amp;VAR:SYMBOL=PENX&amp;VAR:INDEX=29"}</definedName>
    <definedName name="_2222__FDSAUDITLINK__" hidden="1">{"fdsup://directions/FAT Viewer?action=UPDATE&amp;creator=factset&amp;DYN_ARGS=TRUE&amp;DOC_NAME=FAT:FQL_AUDITING_CLIENT_TEMPLATE.FAT&amp;display_string=Audit&amp;VAR:KEY=QHUZMRUDYZ&amp;VAR:QUERY=Q1NGX0VCSVRfT1BFUihBTk4sMTIvMzEvMTk4MCwxMi8zMS8yMDA5LEFZKQ==&amp;WINDOW=FIRST_POPUP&amp;HEIGH","T=450&amp;WIDTH=450&amp;START_MAXIMIZED=FALSE&amp;VAR:CALENDAR=US&amp;VAR:SYMBOL=PENX&amp;VAR:INDEX=28"}</definedName>
    <definedName name="_2223__FDSAUDITLINK__" hidden="1">{"fdsup://directions/FAT Viewer?action=UPDATE&amp;creator=factset&amp;DYN_ARGS=TRUE&amp;DOC_NAME=FAT:FQL_AUDITING_CLIENT_TEMPLATE.FAT&amp;display_string=Audit&amp;VAR:KEY=QHUZMRUDYZ&amp;VAR:QUERY=Q1NGX0VCSVRfT1BFUihBTk4sMTIvMzEvMTk4MCwxMi8zMS8yMDA5LEFZKQ==&amp;WINDOW=FIRST_POPUP&amp;HEIGH","T=450&amp;WIDTH=450&amp;START_MAXIMIZED=FALSE&amp;VAR:CALENDAR=US&amp;VAR:SYMBOL=PENX&amp;VAR:INDEX=27"}</definedName>
    <definedName name="_2224__FDSAUDITLINK__" hidden="1">{"fdsup://directions/FAT Viewer?action=UPDATE&amp;creator=factset&amp;DYN_ARGS=TRUE&amp;DOC_NAME=FAT:FQL_AUDITING_CLIENT_TEMPLATE.FAT&amp;display_string=Audit&amp;VAR:KEY=QHUZMRUDYZ&amp;VAR:QUERY=Q1NGX0VCSVRfT1BFUihBTk4sMTIvMzEvMTk4MCwxMi8zMS8yMDA5LEFZKQ==&amp;WINDOW=FIRST_POPUP&amp;HEIGH","T=450&amp;WIDTH=450&amp;START_MAXIMIZED=FALSE&amp;VAR:CALENDAR=US&amp;VAR:SYMBOL=PENX&amp;VAR:INDEX=26"}</definedName>
    <definedName name="_2225__FDSAUDITLINK__" hidden="1">{"fdsup://directions/FAT Viewer?action=UPDATE&amp;creator=factset&amp;DYN_ARGS=TRUE&amp;DOC_NAME=FAT:FQL_AUDITING_CLIENT_TEMPLATE.FAT&amp;display_string=Audit&amp;VAR:KEY=QHUZMRUDYZ&amp;VAR:QUERY=Q1NGX0VCSVRfT1BFUihBTk4sMTIvMzEvMTk4MCwxMi8zMS8yMDA5LEFZKQ==&amp;WINDOW=FIRST_POPUP&amp;HEIGH","T=450&amp;WIDTH=450&amp;START_MAXIMIZED=FALSE&amp;VAR:CALENDAR=US&amp;VAR:SYMBOL=PENX&amp;VAR:INDEX=25"}</definedName>
    <definedName name="_2226__FDSAUDITLINK__" hidden="1">{"fdsup://directions/FAT Viewer?action=UPDATE&amp;creator=factset&amp;DYN_ARGS=TRUE&amp;DOC_NAME=FAT:FQL_AUDITING_CLIENT_TEMPLATE.FAT&amp;display_string=Audit&amp;VAR:KEY=QHUZMRUDYZ&amp;VAR:QUERY=Q1NGX0VCSVRfT1BFUihBTk4sMTIvMzEvMTk4MCwxMi8zMS8yMDA5LEFZKQ==&amp;WINDOW=FIRST_POPUP&amp;HEIGH","T=450&amp;WIDTH=450&amp;START_MAXIMIZED=FALSE&amp;VAR:CALENDAR=US&amp;VAR:SYMBOL=PENX&amp;VAR:INDEX=24"}</definedName>
    <definedName name="_2227__FDSAUDITLINK__" hidden="1">{"fdsup://directions/FAT Viewer?action=UPDATE&amp;creator=factset&amp;DYN_ARGS=TRUE&amp;DOC_NAME=FAT:FQL_AUDITING_CLIENT_TEMPLATE.FAT&amp;display_string=Audit&amp;VAR:KEY=QHUZMRUDYZ&amp;VAR:QUERY=Q1NGX0VCSVRfT1BFUihBTk4sMTIvMzEvMTk4MCwxMi8zMS8yMDA5LEFZKQ==&amp;WINDOW=FIRST_POPUP&amp;HEIGH","T=450&amp;WIDTH=450&amp;START_MAXIMIZED=FALSE&amp;VAR:CALENDAR=US&amp;VAR:SYMBOL=PENX&amp;VAR:INDEX=23"}</definedName>
    <definedName name="_2228__FDSAUDITLINK__" hidden="1">{"fdsup://directions/FAT Viewer?action=UPDATE&amp;creator=factset&amp;DYN_ARGS=TRUE&amp;DOC_NAME=FAT:FQL_AUDITING_CLIENT_TEMPLATE.FAT&amp;display_string=Audit&amp;VAR:KEY=QHUZMRUDYZ&amp;VAR:QUERY=Q1NGX0VCSVRfT1BFUihBTk4sMTIvMzEvMTk4MCwxMi8zMS8yMDA5LEFZKQ==&amp;WINDOW=FIRST_POPUP&amp;HEIGH","T=450&amp;WIDTH=450&amp;START_MAXIMIZED=FALSE&amp;VAR:CALENDAR=US&amp;VAR:SYMBOL=PENX&amp;VAR:INDEX=22"}</definedName>
    <definedName name="_2229__FDSAUDITLINK__" hidden="1">{"fdsup://directions/FAT Viewer?action=UPDATE&amp;creator=factset&amp;DYN_ARGS=TRUE&amp;DOC_NAME=FAT:FQL_AUDITING_CLIENT_TEMPLATE.FAT&amp;display_string=Audit&amp;VAR:KEY=QHUZMRUDYZ&amp;VAR:QUERY=Q1NGX0VCSVRfT1BFUihBTk4sMTIvMzEvMTk4MCwxMi8zMS8yMDA5LEFZKQ==&amp;WINDOW=FIRST_POPUP&amp;HEIGH","T=450&amp;WIDTH=450&amp;START_MAXIMIZED=FALSE&amp;VAR:CALENDAR=US&amp;VAR:SYMBOL=PENX&amp;VAR:INDEX=21"}</definedName>
    <definedName name="_223__FDSAUDITLINK__" hidden="1">{"fdsup://directions/FAT Viewer?action=UPDATE&amp;creator=factset&amp;DYN_ARGS=TRUE&amp;DOC_NAME=FAT:FQL_AUDITING_CLIENT_TEMPLATE.FAT&amp;display_string=Audit&amp;VAR:KEY=WTGLKJAJOF&amp;VAR:QUERY=Q1NGX0VCSVRfT1BFUihBTk4sMTIvMzEvODAsMCk=&amp;WINDOW=FIRST_POPUP&amp;HEIGHT=450&amp;WIDTH=450&amp;STAR","T_MAXIMIZED=FALSE&amp;VAR:CALENDAR=US&amp;VAR:SYMBOL=NLC&amp;VAR:INDEX=17"}</definedName>
    <definedName name="_2230__FDSAUDITLINK__" hidden="1">{"fdsup://directions/FAT Viewer?action=UPDATE&amp;creator=factset&amp;DYN_ARGS=TRUE&amp;DOC_NAME=FAT:FQL_AUDITING_CLIENT_TEMPLATE.FAT&amp;display_string=Audit&amp;VAR:KEY=QHUZMRUDYZ&amp;VAR:QUERY=Q1NGX0VCSVRfT1BFUihBTk4sMTIvMzEvMTk4MCwxMi8zMS8yMDA5LEFZKQ==&amp;WINDOW=FIRST_POPUP&amp;HEIGH","T=450&amp;WIDTH=450&amp;START_MAXIMIZED=FALSE&amp;VAR:CALENDAR=US&amp;VAR:SYMBOL=PENX&amp;VAR:INDEX=20"}</definedName>
    <definedName name="_2231__FDSAUDITLINK__" hidden="1">{"fdsup://directions/FAT Viewer?action=UPDATE&amp;creator=factset&amp;DYN_ARGS=TRUE&amp;DOC_NAME=FAT:FQL_AUDITING_CLIENT_TEMPLATE.FAT&amp;display_string=Audit&amp;VAR:KEY=QHUZMRUDYZ&amp;VAR:QUERY=Q1NGX0VCSVRfT1BFUihBTk4sMTIvMzEvMTk4MCwxMi8zMS8yMDA5LEFZKQ==&amp;WINDOW=FIRST_POPUP&amp;HEIGH","T=450&amp;WIDTH=450&amp;START_MAXIMIZED=FALSE&amp;VAR:CALENDAR=US&amp;VAR:SYMBOL=PENX&amp;VAR:INDEX=19"}</definedName>
    <definedName name="_2232__FDSAUDITLINK__" hidden="1">{"fdsup://directions/FAT Viewer?action=UPDATE&amp;creator=factset&amp;DYN_ARGS=TRUE&amp;DOC_NAME=FAT:FQL_AUDITING_CLIENT_TEMPLATE.FAT&amp;display_string=Audit&amp;VAR:KEY=QHUZMRUDYZ&amp;VAR:QUERY=Q1NGX0VCSVRfT1BFUihBTk4sMTIvMzEvMTk4MCwxMi8zMS8yMDA5LEFZKQ==&amp;WINDOW=FIRST_POPUP&amp;HEIGH","T=450&amp;WIDTH=450&amp;START_MAXIMIZED=FALSE&amp;VAR:CALENDAR=US&amp;VAR:SYMBOL=PENX&amp;VAR:INDEX=18"}</definedName>
    <definedName name="_2233__FDSAUDITLINK__" hidden="1">{"fdsup://directions/FAT Viewer?action=UPDATE&amp;creator=factset&amp;DYN_ARGS=TRUE&amp;DOC_NAME=FAT:FQL_AUDITING_CLIENT_TEMPLATE.FAT&amp;display_string=Audit&amp;VAR:KEY=QHUZMRUDYZ&amp;VAR:QUERY=Q1NGX0VCSVRfT1BFUihBTk4sMTIvMzEvMTk4MCwxMi8zMS8yMDA5LEFZKQ==&amp;WINDOW=FIRST_POPUP&amp;HEIGH","T=450&amp;WIDTH=450&amp;START_MAXIMIZED=FALSE&amp;VAR:CALENDAR=US&amp;VAR:SYMBOL=PENX&amp;VAR:INDEX=17"}</definedName>
    <definedName name="_2234__FDSAUDITLINK__" hidden="1">{"fdsup://directions/FAT Viewer?action=UPDATE&amp;creator=factset&amp;DYN_ARGS=TRUE&amp;DOC_NAME=FAT:FQL_AUDITING_CLIENT_TEMPLATE.FAT&amp;display_string=Audit&amp;VAR:KEY=QHUZMRUDYZ&amp;VAR:QUERY=Q1NGX0VCSVRfT1BFUihBTk4sMTIvMzEvMTk4MCwxMi8zMS8yMDA5LEFZKQ==&amp;WINDOW=FIRST_POPUP&amp;HEIGH","T=450&amp;WIDTH=450&amp;START_MAXIMIZED=FALSE&amp;VAR:CALENDAR=US&amp;VAR:SYMBOL=PENX&amp;VAR:INDEX=16"}</definedName>
    <definedName name="_2235__FDSAUDITLINK__" hidden="1">{"fdsup://directions/FAT Viewer?action=UPDATE&amp;creator=factset&amp;DYN_ARGS=TRUE&amp;DOC_NAME=FAT:FQL_AUDITING_CLIENT_TEMPLATE.FAT&amp;display_string=Audit&amp;VAR:KEY=QHUZMRUDYZ&amp;VAR:QUERY=Q1NGX0VCSVRfT1BFUihBTk4sMTIvMzEvMTk4MCwxMi8zMS8yMDA5LEFZKQ==&amp;WINDOW=FIRST_POPUP&amp;HEIGH","T=450&amp;WIDTH=450&amp;START_MAXIMIZED=FALSE&amp;VAR:CALENDAR=US&amp;VAR:SYMBOL=PENX&amp;VAR:INDEX=15"}</definedName>
    <definedName name="_2236__FDSAUDITLINK__" hidden="1">{"fdsup://directions/FAT Viewer?action=UPDATE&amp;creator=factset&amp;DYN_ARGS=TRUE&amp;DOC_NAME=FAT:FQL_AUDITING_CLIENT_TEMPLATE.FAT&amp;display_string=Audit&amp;VAR:KEY=QHUZMRUDYZ&amp;VAR:QUERY=Q1NGX0VCSVRfT1BFUihBTk4sMTIvMzEvMTk4MCwxMi8zMS8yMDA5LEFZKQ==&amp;WINDOW=FIRST_POPUP&amp;HEIGH","T=450&amp;WIDTH=450&amp;START_MAXIMIZED=FALSE&amp;VAR:CALENDAR=US&amp;VAR:SYMBOL=PENX&amp;VAR:INDEX=14"}</definedName>
    <definedName name="_2237__FDSAUDITLINK__" hidden="1">{"fdsup://directions/FAT Viewer?action=UPDATE&amp;creator=factset&amp;DYN_ARGS=TRUE&amp;DOC_NAME=FAT:FQL_AUDITING_CLIENT_TEMPLATE.FAT&amp;display_string=Audit&amp;VAR:KEY=QHUZMRUDYZ&amp;VAR:QUERY=Q1NGX0VCSVRfT1BFUihBTk4sMTIvMzEvMTk4MCwxMi8zMS8yMDA5LEFZKQ==&amp;WINDOW=FIRST_POPUP&amp;HEIGH","T=450&amp;WIDTH=450&amp;START_MAXIMIZED=FALSE&amp;VAR:CALENDAR=US&amp;VAR:SYMBOL=PENX&amp;VAR:INDEX=13"}</definedName>
    <definedName name="_2238__FDSAUDITLINK__" hidden="1">{"fdsup://directions/FAT Viewer?action=UPDATE&amp;creator=factset&amp;DYN_ARGS=TRUE&amp;DOC_NAME=FAT:FQL_AUDITING_CLIENT_TEMPLATE.FAT&amp;display_string=Audit&amp;VAR:KEY=QHUZMRUDYZ&amp;VAR:QUERY=Q1NGX0VCSVRfT1BFUihBTk4sMTIvMzEvMTk4MCwxMi8zMS8yMDA5LEFZKQ==&amp;WINDOW=FIRST_POPUP&amp;HEIGH","T=450&amp;WIDTH=450&amp;START_MAXIMIZED=FALSE&amp;VAR:CALENDAR=US&amp;VAR:SYMBOL=PENX&amp;VAR:INDEX=12"}</definedName>
    <definedName name="_2239__FDSAUDITLINK__" hidden="1">{"fdsup://directions/FAT Viewer?action=UPDATE&amp;creator=factset&amp;DYN_ARGS=TRUE&amp;DOC_NAME=FAT:FQL_AUDITING_CLIENT_TEMPLATE.FAT&amp;display_string=Audit&amp;VAR:KEY=QHUZMRUDYZ&amp;VAR:QUERY=Q1NGX0VCSVRfT1BFUihBTk4sMTIvMzEvMTk4MCwxMi8zMS8yMDA5LEFZKQ==&amp;WINDOW=FIRST_POPUP&amp;HEIGH","T=450&amp;WIDTH=450&amp;START_MAXIMIZED=FALSE&amp;VAR:CALENDAR=US&amp;VAR:SYMBOL=PENX&amp;VAR:INDEX=11"}</definedName>
    <definedName name="_224__FDSAUDITLINK__" hidden="1">{"fdsup://directions/FAT Viewer?action=UPDATE&amp;creator=factset&amp;DYN_ARGS=TRUE&amp;DOC_NAME=FAT:FQL_AUDITING_CLIENT_TEMPLATE.FAT&amp;display_string=Audit&amp;VAR:KEY=WTGLKJAJOF&amp;VAR:QUERY=Q1NGX0VCSVRfT1BFUihBTk4sMTIvMzEvODAsMCk=&amp;WINDOW=FIRST_POPUP&amp;HEIGHT=450&amp;WIDTH=450&amp;STAR","T_MAXIMIZED=FALSE&amp;VAR:CALENDAR=US&amp;VAR:SYMBOL=NLC&amp;VAR:INDEX=16"}</definedName>
    <definedName name="_2240__FDSAUDITLINK__" hidden="1">{"fdsup://directions/FAT Viewer?action=UPDATE&amp;creator=factset&amp;DYN_ARGS=TRUE&amp;DOC_NAME=FAT:FQL_AUDITING_CLIENT_TEMPLATE.FAT&amp;display_string=Audit&amp;VAR:KEY=QHUZMRUDYZ&amp;VAR:QUERY=Q1NGX0VCSVRfT1BFUihBTk4sMTIvMzEvMTk4MCwxMi8zMS8yMDA5LEFZKQ==&amp;WINDOW=FIRST_POPUP&amp;HEIGH","T=450&amp;WIDTH=450&amp;START_MAXIMIZED=FALSE&amp;VAR:CALENDAR=US&amp;VAR:SYMBOL=PENX&amp;VAR:INDEX=10"}</definedName>
    <definedName name="_2241__FDSAUDITLINK__" hidden="1">{"fdsup://directions/FAT Viewer?action=UPDATE&amp;creator=factset&amp;DYN_ARGS=TRUE&amp;DOC_NAME=FAT:FQL_AUDITING_CLIENT_TEMPLATE.FAT&amp;display_string=Audit&amp;VAR:KEY=QHUZMRUDYZ&amp;VAR:QUERY=Q1NGX0VCSVRfT1BFUihBTk4sMTIvMzEvMTk4MCwxMi8zMS8yMDA5LEFZKQ==&amp;WINDOW=FIRST_POPUP&amp;HEIGH","T=450&amp;WIDTH=450&amp;START_MAXIMIZED=FALSE&amp;VAR:CALENDAR=US&amp;VAR:SYMBOL=PENX&amp;VAR:INDEX=9"}</definedName>
    <definedName name="_2242__FDSAUDITLINK__" hidden="1">{"fdsup://directions/FAT Viewer?action=UPDATE&amp;creator=factset&amp;DYN_ARGS=TRUE&amp;DOC_NAME=FAT:FQL_AUDITING_CLIENT_TEMPLATE.FAT&amp;display_string=Audit&amp;VAR:KEY=QHUZMRUDYZ&amp;VAR:QUERY=Q1NGX0VCSVRfT1BFUihBTk4sMTIvMzEvMTk4MCwxMi8zMS8yMDA5LEFZKQ==&amp;WINDOW=FIRST_POPUP&amp;HEIGH","T=450&amp;WIDTH=450&amp;START_MAXIMIZED=FALSE&amp;VAR:CALENDAR=US&amp;VAR:SYMBOL=PENX&amp;VAR:INDEX=8"}</definedName>
    <definedName name="_2243__FDSAUDITLINK__" hidden="1">{"fdsup://directions/FAT Viewer?action=UPDATE&amp;creator=factset&amp;DYN_ARGS=TRUE&amp;DOC_NAME=FAT:FQL_AUDITING_CLIENT_TEMPLATE.FAT&amp;display_string=Audit&amp;VAR:KEY=QHUZMRUDYZ&amp;VAR:QUERY=Q1NGX0VCSVRfT1BFUihBTk4sMTIvMzEvMTk4MCwxMi8zMS8yMDA5LEFZKQ==&amp;WINDOW=FIRST_POPUP&amp;HEIGH","T=450&amp;WIDTH=450&amp;START_MAXIMIZED=FALSE&amp;VAR:CALENDAR=US&amp;VAR:SYMBOL=PENX&amp;VAR:INDEX=7"}</definedName>
    <definedName name="_2244__FDSAUDITLINK__" hidden="1">{"fdsup://directions/FAT Viewer?action=UPDATE&amp;creator=factset&amp;DYN_ARGS=TRUE&amp;DOC_NAME=FAT:FQL_AUDITING_CLIENT_TEMPLATE.FAT&amp;display_string=Audit&amp;VAR:KEY=QHUZMRUDYZ&amp;VAR:QUERY=Q1NGX0VCSVRfT1BFUihBTk4sMTIvMzEvMTk4MCwxMi8zMS8yMDA5LEFZKQ==&amp;WINDOW=FIRST_POPUP&amp;HEIGH","T=450&amp;WIDTH=450&amp;START_MAXIMIZED=FALSE&amp;VAR:CALENDAR=US&amp;VAR:SYMBOL=PENX&amp;VAR:INDEX=6"}</definedName>
    <definedName name="_2245__FDSAUDITLINK__" hidden="1">{"fdsup://directions/FAT Viewer?action=UPDATE&amp;creator=factset&amp;DYN_ARGS=TRUE&amp;DOC_NAME=FAT:FQL_AUDITING_CLIENT_TEMPLATE.FAT&amp;display_string=Audit&amp;VAR:KEY=QHUZMRUDYZ&amp;VAR:QUERY=Q1NGX0VCSVRfT1BFUihBTk4sMTIvMzEvMTk4MCwxMi8zMS8yMDA5LEFZKQ==&amp;WINDOW=FIRST_POPUP&amp;HEIGH","T=450&amp;WIDTH=450&amp;START_MAXIMIZED=FALSE&amp;VAR:CALENDAR=US&amp;VAR:SYMBOL=PENX&amp;VAR:INDEX=5"}</definedName>
    <definedName name="_2246__FDSAUDITLINK__" hidden="1">{"fdsup://directions/FAT Viewer?action=UPDATE&amp;creator=factset&amp;DYN_ARGS=TRUE&amp;DOC_NAME=FAT:FQL_AUDITING_CLIENT_TEMPLATE.FAT&amp;display_string=Audit&amp;VAR:KEY=QHUZMRUDYZ&amp;VAR:QUERY=Q1NGX0VCSVRfT1BFUihBTk4sMTIvMzEvMTk4MCwxMi8zMS8yMDA5LEFZKQ==&amp;WINDOW=FIRST_POPUP&amp;HEIGH","T=450&amp;WIDTH=450&amp;START_MAXIMIZED=FALSE&amp;VAR:CALENDAR=US&amp;VAR:SYMBOL=PENX&amp;VAR:INDEX=4"}</definedName>
    <definedName name="_2247__FDSAUDITLINK__" hidden="1">{"fdsup://directions/FAT Viewer?action=UPDATE&amp;creator=factset&amp;DYN_ARGS=TRUE&amp;DOC_NAME=FAT:FQL_AUDITING_CLIENT_TEMPLATE.FAT&amp;display_string=Audit&amp;VAR:KEY=QHUZMRUDYZ&amp;VAR:QUERY=Q1NGX0VCSVRfT1BFUihBTk4sMTIvMzEvMTk4MCwxMi8zMS8yMDA5LEFZKQ==&amp;WINDOW=FIRST_POPUP&amp;HEIGH","T=450&amp;WIDTH=450&amp;START_MAXIMIZED=FALSE&amp;VAR:CALENDAR=US&amp;VAR:SYMBOL=PENX&amp;VAR:INDEX=3"}</definedName>
    <definedName name="_2248__FDSAUDITLINK__" hidden="1">{"fdsup://directions/FAT Viewer?action=UPDATE&amp;creator=factset&amp;DYN_ARGS=TRUE&amp;DOC_NAME=FAT:FQL_AUDITING_CLIENT_TEMPLATE.FAT&amp;display_string=Audit&amp;VAR:KEY=QHUZMRUDYZ&amp;VAR:QUERY=Q1NGX0VCSVRfT1BFUihBTk4sMTIvMzEvMTk4MCwxMi8zMS8yMDA5LEFZKQ==&amp;WINDOW=FIRST_POPUP&amp;HEIGH","T=450&amp;WIDTH=450&amp;START_MAXIMIZED=FALSE&amp;VAR:CALENDAR=US&amp;VAR:SYMBOL=PENX&amp;VAR:INDEX=2"}</definedName>
    <definedName name="_2249__FDSAUDITLINK__" hidden="1">{"fdsup://directions/FAT Viewer?action=UPDATE&amp;creator=factset&amp;DYN_ARGS=TRUE&amp;DOC_NAME=FAT:FQL_AUDITING_CLIENT_TEMPLATE.FAT&amp;display_string=Audit&amp;VAR:KEY=QHUZMRUDYZ&amp;VAR:QUERY=Q1NGX0VCSVRfT1BFUihBTk4sMTIvMzEvMTk4MCwxMi8zMS8yMDA5LEFZKQ==&amp;WINDOW=FIRST_POPUP&amp;HEIGH","T=450&amp;WIDTH=450&amp;START_MAXIMIZED=FALSE&amp;VAR:CALENDAR=US&amp;VAR:SYMBOL=PENX&amp;VAR:INDEX=1"}</definedName>
    <definedName name="_225__FDSAUDITLINK__" hidden="1">{"fdsup://directions/FAT Viewer?action=UPDATE&amp;creator=factset&amp;DYN_ARGS=TRUE&amp;DOC_NAME=FAT:FQL_AUDITING_CLIENT_TEMPLATE.FAT&amp;display_string=Audit&amp;VAR:KEY=WTGLKJAJOF&amp;VAR:QUERY=Q1NGX0VCSVRfT1BFUihBTk4sMTIvMzEvODAsMCk=&amp;WINDOW=FIRST_POPUP&amp;HEIGHT=450&amp;WIDTH=450&amp;STAR","T_MAXIMIZED=FALSE&amp;VAR:CALENDAR=US&amp;VAR:SYMBOL=NLC&amp;VAR:INDEX=15"}</definedName>
    <definedName name="_2250__FDSAUDITLINK__" hidden="1">{"fdsup://directions/FAT Viewer?action=UPDATE&amp;creator=factset&amp;DYN_ARGS=TRUE&amp;DOC_NAME=FAT:FQL_AUDITING_CLIENT_TEMPLATE.FAT&amp;display_string=Audit&amp;VAR:KEY=QHUZMRUDYZ&amp;VAR:QUERY=Q1NGX0VCSVRfT1BFUihBTk4sMTIvMzEvMTk4MCwxMi8zMS8yMDA5LEFZKQ==&amp;WINDOW=FIRST_POPUP&amp;HEIGH","T=450&amp;WIDTH=450&amp;START_MAXIMIZED=FALSE&amp;VAR:CALENDAR=US&amp;VAR:SYMBOL=PENX&amp;VAR:INDEX=0"}</definedName>
    <definedName name="_2251__FDSAUDITLINK__" hidden="1">{"fdsup://directions/FAT Viewer?action=UPDATE&amp;creator=factset&amp;DYN_ARGS=TRUE&amp;DOC_NAME=FAT:FQL_AUDITING_CLIENT_TEMPLATE.FAT&amp;display_string=Audit&amp;VAR:KEY=VMNQRUJGTQ&amp;VAR:QUERY=Q1NGX0VCSVRfT1BFUihMVE1fUiwwKQ==&amp;WINDOW=FIRST_POPUP&amp;HEIGHT=450&amp;WIDTH=450&amp;START_MAXIMI","ZED=FALSE&amp;VAR:CALENDAR=US&amp;VAR:SYMBOL=OMG&amp;VAR:INDEX=0"}</definedName>
    <definedName name="_2252__FDSAUDITLINK__" hidden="1">{"fdsup://directions/FAT Viewer?action=UPDATE&amp;creator=factset&amp;DYN_ARGS=TRUE&amp;DOC_NAME=FAT:FQL_AUDITING_CLIENT_TEMPLATE.FAT&amp;display_string=Audit&amp;VAR:KEY=CJGRUPOVYJ&amp;VAR:QUERY=Q1NGX0VCSVRfT1BFUihBTk4sMTIvMzEvMTk4MCwxMi8zMS8yMDA5LEFZKQ==&amp;WINDOW=FIRST_POPUP&amp;HEIGH","T=450&amp;WIDTH=450&amp;START_MAXIMIZED=FALSE&amp;VAR:CALENDAR=US&amp;VAR:SYMBOL=OMG&amp;VAR:INDEX=29"}</definedName>
    <definedName name="_2253__FDSAUDITLINK__" hidden="1">{"fdsup://directions/FAT Viewer?action=UPDATE&amp;creator=factset&amp;DYN_ARGS=TRUE&amp;DOC_NAME=FAT:FQL_AUDITING_CLIENT_TEMPLATE.FAT&amp;display_string=Audit&amp;VAR:KEY=CJGRUPOVYJ&amp;VAR:QUERY=Q1NGX0VCSVRfT1BFUihBTk4sMTIvMzEvMTk4MCwxMi8zMS8yMDA5LEFZKQ==&amp;WINDOW=FIRST_POPUP&amp;HEIGH","T=450&amp;WIDTH=450&amp;START_MAXIMIZED=FALSE&amp;VAR:CALENDAR=US&amp;VAR:SYMBOL=OMG&amp;VAR:INDEX=28"}</definedName>
    <definedName name="_2254__FDSAUDITLINK__" hidden="1">{"fdsup://directions/FAT Viewer?action=UPDATE&amp;creator=factset&amp;DYN_ARGS=TRUE&amp;DOC_NAME=FAT:FQL_AUDITING_CLIENT_TEMPLATE.FAT&amp;display_string=Audit&amp;VAR:KEY=CJGRUPOVYJ&amp;VAR:QUERY=Q1NGX0VCSVRfT1BFUihBTk4sMTIvMzEvMTk4MCwxMi8zMS8yMDA5LEFZKQ==&amp;WINDOW=FIRST_POPUP&amp;HEIGH","T=450&amp;WIDTH=450&amp;START_MAXIMIZED=FALSE&amp;VAR:CALENDAR=US&amp;VAR:SYMBOL=OMG&amp;VAR:INDEX=27"}</definedName>
    <definedName name="_2255__FDSAUDITLINK__" hidden="1">{"fdsup://directions/FAT Viewer?action=UPDATE&amp;creator=factset&amp;DYN_ARGS=TRUE&amp;DOC_NAME=FAT:FQL_AUDITING_CLIENT_TEMPLATE.FAT&amp;display_string=Audit&amp;VAR:KEY=CJGRUPOVYJ&amp;VAR:QUERY=Q1NGX0VCSVRfT1BFUihBTk4sMTIvMzEvMTk4MCwxMi8zMS8yMDA5LEFZKQ==&amp;WINDOW=FIRST_POPUP&amp;HEIGH","T=450&amp;WIDTH=450&amp;START_MAXIMIZED=FALSE&amp;VAR:CALENDAR=US&amp;VAR:SYMBOL=OMG&amp;VAR:INDEX=26"}</definedName>
    <definedName name="_2256__FDSAUDITLINK__" hidden="1">{"fdsup://directions/FAT Viewer?action=UPDATE&amp;creator=factset&amp;DYN_ARGS=TRUE&amp;DOC_NAME=FAT:FQL_AUDITING_CLIENT_TEMPLATE.FAT&amp;display_string=Audit&amp;VAR:KEY=CJGRUPOVYJ&amp;VAR:QUERY=Q1NGX0VCSVRfT1BFUihBTk4sMTIvMzEvMTk4MCwxMi8zMS8yMDA5LEFZKQ==&amp;WINDOW=FIRST_POPUP&amp;HEIGH","T=450&amp;WIDTH=450&amp;START_MAXIMIZED=FALSE&amp;VAR:CALENDAR=US&amp;VAR:SYMBOL=OMG&amp;VAR:INDEX=25"}</definedName>
    <definedName name="_2257__FDSAUDITLINK__" hidden="1">{"fdsup://directions/FAT Viewer?action=UPDATE&amp;creator=factset&amp;DYN_ARGS=TRUE&amp;DOC_NAME=FAT:FQL_AUDITING_CLIENT_TEMPLATE.FAT&amp;display_string=Audit&amp;VAR:KEY=CJGRUPOVYJ&amp;VAR:QUERY=Q1NGX0VCSVRfT1BFUihBTk4sMTIvMzEvMTk4MCwxMi8zMS8yMDA5LEFZKQ==&amp;WINDOW=FIRST_POPUP&amp;HEIGH","T=450&amp;WIDTH=450&amp;START_MAXIMIZED=FALSE&amp;VAR:CALENDAR=US&amp;VAR:SYMBOL=OMG&amp;VAR:INDEX=24"}</definedName>
    <definedName name="_2258__FDSAUDITLINK__" hidden="1">{"fdsup://directions/FAT Viewer?action=UPDATE&amp;creator=factset&amp;DYN_ARGS=TRUE&amp;DOC_NAME=FAT:FQL_AUDITING_CLIENT_TEMPLATE.FAT&amp;display_string=Audit&amp;VAR:KEY=CJGRUPOVYJ&amp;VAR:QUERY=Q1NGX0VCSVRfT1BFUihBTk4sMTIvMzEvMTk4MCwxMi8zMS8yMDA5LEFZKQ==&amp;WINDOW=FIRST_POPUP&amp;HEIGH","T=450&amp;WIDTH=450&amp;START_MAXIMIZED=FALSE&amp;VAR:CALENDAR=US&amp;VAR:SYMBOL=OMG&amp;VAR:INDEX=23"}</definedName>
    <definedName name="_2259__FDSAUDITLINK__" hidden="1">{"fdsup://directions/FAT Viewer?action=UPDATE&amp;creator=factset&amp;DYN_ARGS=TRUE&amp;DOC_NAME=FAT:FQL_AUDITING_CLIENT_TEMPLATE.FAT&amp;display_string=Audit&amp;VAR:KEY=CJGRUPOVYJ&amp;VAR:QUERY=Q1NGX0VCSVRfT1BFUihBTk4sMTIvMzEvMTk4MCwxMi8zMS8yMDA5LEFZKQ==&amp;WINDOW=FIRST_POPUP&amp;HEIGH","T=450&amp;WIDTH=450&amp;START_MAXIMIZED=FALSE&amp;VAR:CALENDAR=US&amp;VAR:SYMBOL=OMG&amp;VAR:INDEX=22"}</definedName>
    <definedName name="_226__FDSAUDITLINK__" hidden="1">{"fdsup://directions/FAT Viewer?action=UPDATE&amp;creator=factset&amp;DYN_ARGS=TRUE&amp;DOC_NAME=FAT:FQL_AUDITING_CLIENT_TEMPLATE.FAT&amp;display_string=Audit&amp;VAR:KEY=WTGLKJAJOF&amp;VAR:QUERY=Q1NGX0VCSVRfT1BFUihBTk4sMTIvMzEvODAsMCk=&amp;WINDOW=FIRST_POPUP&amp;HEIGHT=450&amp;WIDTH=450&amp;STAR","T_MAXIMIZED=FALSE&amp;VAR:CALENDAR=US&amp;VAR:SYMBOL=NLC&amp;VAR:INDEX=14"}</definedName>
    <definedName name="_2260__FDSAUDITLINK__" hidden="1">{"fdsup://directions/FAT Viewer?action=UPDATE&amp;creator=factset&amp;DYN_ARGS=TRUE&amp;DOC_NAME=FAT:FQL_AUDITING_CLIENT_TEMPLATE.FAT&amp;display_string=Audit&amp;VAR:KEY=CJGRUPOVYJ&amp;VAR:QUERY=Q1NGX0VCSVRfT1BFUihBTk4sMTIvMzEvMTk4MCwxMi8zMS8yMDA5LEFZKQ==&amp;WINDOW=FIRST_POPUP&amp;HEIGH","T=450&amp;WIDTH=450&amp;START_MAXIMIZED=FALSE&amp;VAR:CALENDAR=US&amp;VAR:SYMBOL=OMG&amp;VAR:INDEX=21"}</definedName>
    <definedName name="_2261__FDSAUDITLINK__" hidden="1">{"fdsup://directions/FAT Viewer?action=UPDATE&amp;creator=factset&amp;DYN_ARGS=TRUE&amp;DOC_NAME=FAT:FQL_AUDITING_CLIENT_TEMPLATE.FAT&amp;display_string=Audit&amp;VAR:KEY=CJGRUPOVYJ&amp;VAR:QUERY=Q1NGX0VCSVRfT1BFUihBTk4sMTIvMzEvMTk4MCwxMi8zMS8yMDA5LEFZKQ==&amp;WINDOW=FIRST_POPUP&amp;HEIGH","T=450&amp;WIDTH=450&amp;START_MAXIMIZED=FALSE&amp;VAR:CALENDAR=US&amp;VAR:SYMBOL=OMG&amp;VAR:INDEX=20"}</definedName>
    <definedName name="_2262__FDSAUDITLINK__" hidden="1">{"fdsup://directions/FAT Viewer?action=UPDATE&amp;creator=factset&amp;DYN_ARGS=TRUE&amp;DOC_NAME=FAT:FQL_AUDITING_CLIENT_TEMPLATE.FAT&amp;display_string=Audit&amp;VAR:KEY=CJGRUPOVYJ&amp;VAR:QUERY=Q1NGX0VCSVRfT1BFUihBTk4sMTIvMzEvMTk4MCwxMi8zMS8yMDA5LEFZKQ==&amp;WINDOW=FIRST_POPUP&amp;HEIGH","T=450&amp;WIDTH=450&amp;START_MAXIMIZED=FALSE&amp;VAR:CALENDAR=US&amp;VAR:SYMBOL=OMG&amp;VAR:INDEX=19"}</definedName>
    <definedName name="_2263__FDSAUDITLINK__" hidden="1">{"fdsup://directions/FAT Viewer?action=UPDATE&amp;creator=factset&amp;DYN_ARGS=TRUE&amp;DOC_NAME=FAT:FQL_AUDITING_CLIENT_TEMPLATE.FAT&amp;display_string=Audit&amp;VAR:KEY=CJGRUPOVYJ&amp;VAR:QUERY=Q1NGX0VCSVRfT1BFUihBTk4sMTIvMzEvMTk4MCwxMi8zMS8yMDA5LEFZKQ==&amp;WINDOW=FIRST_POPUP&amp;HEIGH","T=450&amp;WIDTH=450&amp;START_MAXIMIZED=FALSE&amp;VAR:CALENDAR=US&amp;VAR:SYMBOL=OMG&amp;VAR:INDEX=18"}</definedName>
    <definedName name="_2264__FDSAUDITLINK__" hidden="1">{"fdsup://directions/FAT Viewer?action=UPDATE&amp;creator=factset&amp;DYN_ARGS=TRUE&amp;DOC_NAME=FAT:FQL_AUDITING_CLIENT_TEMPLATE.FAT&amp;display_string=Audit&amp;VAR:KEY=CJGRUPOVYJ&amp;VAR:QUERY=Q1NGX0VCSVRfT1BFUihBTk4sMTIvMzEvMTk4MCwxMi8zMS8yMDA5LEFZKQ==&amp;WINDOW=FIRST_POPUP&amp;HEIGH","T=450&amp;WIDTH=450&amp;START_MAXIMIZED=FALSE&amp;VAR:CALENDAR=US&amp;VAR:SYMBOL=OMG&amp;VAR:INDEX=17"}</definedName>
    <definedName name="_2265__FDSAUDITLINK__" hidden="1">{"fdsup://directions/FAT Viewer?action=UPDATE&amp;creator=factset&amp;DYN_ARGS=TRUE&amp;DOC_NAME=FAT:FQL_AUDITING_CLIENT_TEMPLATE.FAT&amp;display_string=Audit&amp;VAR:KEY=CJGRUPOVYJ&amp;VAR:QUERY=Q1NGX0VCSVRfT1BFUihBTk4sMTIvMzEvMTk4MCwxMi8zMS8yMDA5LEFZKQ==&amp;WINDOW=FIRST_POPUP&amp;HEIGH","T=450&amp;WIDTH=450&amp;START_MAXIMIZED=FALSE&amp;VAR:CALENDAR=US&amp;VAR:SYMBOL=OMG&amp;VAR:INDEX=16"}</definedName>
    <definedName name="_2266__FDSAUDITLINK__" hidden="1">{"fdsup://directions/FAT Viewer?action=UPDATE&amp;creator=factset&amp;DYN_ARGS=TRUE&amp;DOC_NAME=FAT:FQL_AUDITING_CLIENT_TEMPLATE.FAT&amp;display_string=Audit&amp;VAR:KEY=CJGRUPOVYJ&amp;VAR:QUERY=Q1NGX0VCSVRfT1BFUihBTk4sMTIvMzEvMTk4MCwxMi8zMS8yMDA5LEFZKQ==&amp;WINDOW=FIRST_POPUP&amp;HEIGH","T=450&amp;WIDTH=450&amp;START_MAXIMIZED=FALSE&amp;VAR:CALENDAR=US&amp;VAR:SYMBOL=OMG&amp;VAR:INDEX=15"}</definedName>
    <definedName name="_2267__FDSAUDITLINK__" hidden="1">{"fdsup://directions/FAT Viewer?action=UPDATE&amp;creator=factset&amp;DYN_ARGS=TRUE&amp;DOC_NAME=FAT:FQL_AUDITING_CLIENT_TEMPLATE.FAT&amp;display_string=Audit&amp;VAR:KEY=CJGRUPOVYJ&amp;VAR:QUERY=Q1NGX0VCSVRfT1BFUihBTk4sMTIvMzEvMTk4MCwxMi8zMS8yMDA5LEFZKQ==&amp;WINDOW=FIRST_POPUP&amp;HEIGH","T=450&amp;WIDTH=450&amp;START_MAXIMIZED=FALSE&amp;VAR:CALENDAR=US&amp;VAR:SYMBOL=OMG&amp;VAR:INDEX=14"}</definedName>
    <definedName name="_2268__FDSAUDITLINK__" hidden="1">{"fdsup://directions/FAT Viewer?action=UPDATE&amp;creator=factset&amp;DYN_ARGS=TRUE&amp;DOC_NAME=FAT:FQL_AUDITING_CLIENT_TEMPLATE.FAT&amp;display_string=Audit&amp;VAR:KEY=CJGRUPOVYJ&amp;VAR:QUERY=Q1NGX0VCSVRfT1BFUihBTk4sMTIvMzEvMTk4MCwxMi8zMS8yMDA5LEFZKQ==&amp;WINDOW=FIRST_POPUP&amp;HEIGH","T=450&amp;WIDTH=450&amp;START_MAXIMIZED=FALSE&amp;VAR:CALENDAR=US&amp;VAR:SYMBOL=OMG&amp;VAR:INDEX=13"}</definedName>
    <definedName name="_2269__FDSAUDITLINK__" hidden="1">{"fdsup://directions/FAT Viewer?action=UPDATE&amp;creator=factset&amp;DYN_ARGS=TRUE&amp;DOC_NAME=FAT:FQL_AUDITING_CLIENT_TEMPLATE.FAT&amp;display_string=Audit&amp;VAR:KEY=CJGRUPOVYJ&amp;VAR:QUERY=Q1NGX0VCSVRfT1BFUihBTk4sMTIvMzEvMTk4MCwxMi8zMS8yMDA5LEFZKQ==&amp;WINDOW=FIRST_POPUP&amp;HEIGH","T=450&amp;WIDTH=450&amp;START_MAXIMIZED=FALSE&amp;VAR:CALENDAR=US&amp;VAR:SYMBOL=OMG&amp;VAR:INDEX=12"}</definedName>
    <definedName name="_227__FDSAUDITLINK__" hidden="1">{"fdsup://directions/FAT Viewer?action=UPDATE&amp;creator=factset&amp;DYN_ARGS=TRUE&amp;DOC_NAME=FAT:FQL_AUDITING_CLIENT_TEMPLATE.FAT&amp;display_string=Audit&amp;VAR:KEY=WTGLKJAJOF&amp;VAR:QUERY=Q1NGX0VCSVRfT1BFUihBTk4sMTIvMzEvODAsMCk=&amp;WINDOW=FIRST_POPUP&amp;HEIGHT=450&amp;WIDTH=450&amp;STAR","T_MAXIMIZED=FALSE&amp;VAR:CALENDAR=US&amp;VAR:SYMBOL=NLC&amp;VAR:INDEX=13"}</definedName>
    <definedName name="_2270__FDSAUDITLINK__" hidden="1">{"fdsup://directions/FAT Viewer?action=UPDATE&amp;creator=factset&amp;DYN_ARGS=TRUE&amp;DOC_NAME=FAT:FQL_AUDITING_CLIENT_TEMPLATE.FAT&amp;display_string=Audit&amp;VAR:KEY=CJGRUPOVYJ&amp;VAR:QUERY=Q1NGX0VCSVRfT1BFUihBTk4sMTIvMzEvMTk4MCwxMi8zMS8yMDA5LEFZKQ==&amp;WINDOW=FIRST_POPUP&amp;HEIGH","T=450&amp;WIDTH=450&amp;START_MAXIMIZED=FALSE&amp;VAR:CALENDAR=US&amp;VAR:SYMBOL=OMG&amp;VAR:INDEX=11"}</definedName>
    <definedName name="_2271__FDSAUDITLINK__" hidden="1">{"fdsup://directions/FAT Viewer?action=UPDATE&amp;creator=factset&amp;DYN_ARGS=TRUE&amp;DOC_NAME=FAT:FQL_AUDITING_CLIENT_TEMPLATE.FAT&amp;display_string=Audit&amp;VAR:KEY=CJGRUPOVYJ&amp;VAR:QUERY=Q1NGX0VCSVRfT1BFUihBTk4sMTIvMzEvMTk4MCwxMi8zMS8yMDA5LEFZKQ==&amp;WINDOW=FIRST_POPUP&amp;HEIGH","T=450&amp;WIDTH=450&amp;START_MAXIMIZED=FALSE&amp;VAR:CALENDAR=US&amp;VAR:SYMBOL=OMG&amp;VAR:INDEX=10"}</definedName>
    <definedName name="_2272__FDSAUDITLINK__" hidden="1">{"fdsup://directions/FAT Viewer?action=UPDATE&amp;creator=factset&amp;DYN_ARGS=TRUE&amp;DOC_NAME=FAT:FQL_AUDITING_CLIENT_TEMPLATE.FAT&amp;display_string=Audit&amp;VAR:KEY=CJGRUPOVYJ&amp;VAR:QUERY=Q1NGX0VCSVRfT1BFUihBTk4sMTIvMzEvMTk4MCwxMi8zMS8yMDA5LEFZKQ==&amp;WINDOW=FIRST_POPUP&amp;HEIGH","T=450&amp;WIDTH=450&amp;START_MAXIMIZED=FALSE&amp;VAR:CALENDAR=US&amp;VAR:SYMBOL=OMG&amp;VAR:INDEX=9"}</definedName>
    <definedName name="_2273__FDSAUDITLINK__" hidden="1">{"fdsup://directions/FAT Viewer?action=UPDATE&amp;creator=factset&amp;DYN_ARGS=TRUE&amp;DOC_NAME=FAT:FQL_AUDITING_CLIENT_TEMPLATE.FAT&amp;display_string=Audit&amp;VAR:KEY=CJGRUPOVYJ&amp;VAR:QUERY=Q1NGX0VCSVRfT1BFUihBTk4sMTIvMzEvMTk4MCwxMi8zMS8yMDA5LEFZKQ==&amp;WINDOW=FIRST_POPUP&amp;HEIGH","T=450&amp;WIDTH=450&amp;START_MAXIMIZED=FALSE&amp;VAR:CALENDAR=US&amp;VAR:SYMBOL=OMG&amp;VAR:INDEX=8"}</definedName>
    <definedName name="_2274__FDSAUDITLINK__" hidden="1">{"fdsup://directions/FAT Viewer?action=UPDATE&amp;creator=factset&amp;DYN_ARGS=TRUE&amp;DOC_NAME=FAT:FQL_AUDITING_CLIENT_TEMPLATE.FAT&amp;display_string=Audit&amp;VAR:KEY=CJGRUPOVYJ&amp;VAR:QUERY=Q1NGX0VCSVRfT1BFUihBTk4sMTIvMzEvMTk4MCwxMi8zMS8yMDA5LEFZKQ==&amp;WINDOW=FIRST_POPUP&amp;HEIGH","T=450&amp;WIDTH=450&amp;START_MAXIMIZED=FALSE&amp;VAR:CALENDAR=US&amp;VAR:SYMBOL=OMG&amp;VAR:INDEX=7"}</definedName>
    <definedName name="_2275__FDSAUDITLINK__" hidden="1">{"fdsup://directions/FAT Viewer?action=UPDATE&amp;creator=factset&amp;DYN_ARGS=TRUE&amp;DOC_NAME=FAT:FQL_AUDITING_CLIENT_TEMPLATE.FAT&amp;display_string=Audit&amp;VAR:KEY=CJGRUPOVYJ&amp;VAR:QUERY=Q1NGX0VCSVRfT1BFUihBTk4sMTIvMzEvMTk4MCwxMi8zMS8yMDA5LEFZKQ==&amp;WINDOW=FIRST_POPUP&amp;HEIGH","T=450&amp;WIDTH=450&amp;START_MAXIMIZED=FALSE&amp;VAR:CALENDAR=US&amp;VAR:SYMBOL=OMG&amp;VAR:INDEX=6"}</definedName>
    <definedName name="_2276__FDSAUDITLINK__" hidden="1">{"fdsup://directions/FAT Viewer?action=UPDATE&amp;creator=factset&amp;DYN_ARGS=TRUE&amp;DOC_NAME=FAT:FQL_AUDITING_CLIENT_TEMPLATE.FAT&amp;display_string=Audit&amp;VAR:KEY=CJGRUPOVYJ&amp;VAR:QUERY=Q1NGX0VCSVRfT1BFUihBTk4sMTIvMzEvMTk4MCwxMi8zMS8yMDA5LEFZKQ==&amp;WINDOW=FIRST_POPUP&amp;HEIGH","T=450&amp;WIDTH=450&amp;START_MAXIMIZED=FALSE&amp;VAR:CALENDAR=US&amp;VAR:SYMBOL=OMG&amp;VAR:INDEX=5"}</definedName>
    <definedName name="_2277__FDSAUDITLINK__" hidden="1">{"fdsup://directions/FAT Viewer?action=UPDATE&amp;creator=factset&amp;DYN_ARGS=TRUE&amp;DOC_NAME=FAT:FQL_AUDITING_CLIENT_TEMPLATE.FAT&amp;display_string=Audit&amp;VAR:KEY=CJGRUPOVYJ&amp;VAR:QUERY=Q1NGX0VCSVRfT1BFUihBTk4sMTIvMzEvMTk4MCwxMi8zMS8yMDA5LEFZKQ==&amp;WINDOW=FIRST_POPUP&amp;HEIGH","T=450&amp;WIDTH=450&amp;START_MAXIMIZED=FALSE&amp;VAR:CALENDAR=US&amp;VAR:SYMBOL=OMG&amp;VAR:INDEX=4"}</definedName>
    <definedName name="_2278__FDSAUDITLINK__" hidden="1">{"fdsup://directions/FAT Viewer?action=UPDATE&amp;creator=factset&amp;DYN_ARGS=TRUE&amp;DOC_NAME=FAT:FQL_AUDITING_CLIENT_TEMPLATE.FAT&amp;display_string=Audit&amp;VAR:KEY=CJGRUPOVYJ&amp;VAR:QUERY=Q1NGX0VCSVRfT1BFUihBTk4sMTIvMzEvMTk4MCwxMi8zMS8yMDA5LEFZKQ==&amp;WINDOW=FIRST_POPUP&amp;HEIGH","T=450&amp;WIDTH=450&amp;START_MAXIMIZED=FALSE&amp;VAR:CALENDAR=US&amp;VAR:SYMBOL=OMG&amp;VAR:INDEX=3"}</definedName>
    <definedName name="_2279__FDSAUDITLINK__" hidden="1">{"fdsup://directions/FAT Viewer?action=UPDATE&amp;creator=factset&amp;DYN_ARGS=TRUE&amp;DOC_NAME=FAT:FQL_AUDITING_CLIENT_TEMPLATE.FAT&amp;display_string=Audit&amp;VAR:KEY=CJGRUPOVYJ&amp;VAR:QUERY=Q1NGX0VCSVRfT1BFUihBTk4sMTIvMzEvMTk4MCwxMi8zMS8yMDA5LEFZKQ==&amp;WINDOW=FIRST_POPUP&amp;HEIGH","T=450&amp;WIDTH=450&amp;START_MAXIMIZED=FALSE&amp;VAR:CALENDAR=US&amp;VAR:SYMBOL=OMG&amp;VAR:INDEX=2"}</definedName>
    <definedName name="_228__FDSAUDITLINK__" hidden="1">{"fdsup://directions/FAT Viewer?action=UPDATE&amp;creator=factset&amp;DYN_ARGS=TRUE&amp;DOC_NAME=FAT:FQL_AUDITING_CLIENT_TEMPLATE.FAT&amp;display_string=Audit&amp;VAR:KEY=WTGLKJAJOF&amp;VAR:QUERY=Q1NGX0VCSVRfT1BFUihBTk4sMTIvMzEvODAsMCk=&amp;WINDOW=FIRST_POPUP&amp;HEIGHT=450&amp;WIDTH=450&amp;STAR","T_MAXIMIZED=FALSE&amp;VAR:CALENDAR=US&amp;VAR:SYMBOL=NLC&amp;VAR:INDEX=12"}</definedName>
    <definedName name="_2280__FDSAUDITLINK__" hidden="1">{"fdsup://directions/FAT Viewer?action=UPDATE&amp;creator=factset&amp;DYN_ARGS=TRUE&amp;DOC_NAME=FAT:FQL_AUDITING_CLIENT_TEMPLATE.FAT&amp;display_string=Audit&amp;VAR:KEY=CJGRUPOVYJ&amp;VAR:QUERY=Q1NGX0VCSVRfT1BFUihBTk4sMTIvMzEvMTk4MCwxMi8zMS8yMDA5LEFZKQ==&amp;WINDOW=FIRST_POPUP&amp;HEIGH","T=450&amp;WIDTH=450&amp;START_MAXIMIZED=FALSE&amp;VAR:CALENDAR=US&amp;VAR:SYMBOL=OMG&amp;VAR:INDEX=1"}</definedName>
    <definedName name="_2281__FDSAUDITLINK__" hidden="1">{"fdsup://directions/FAT Viewer?action=UPDATE&amp;creator=factset&amp;DYN_ARGS=TRUE&amp;DOC_NAME=FAT:FQL_AUDITING_CLIENT_TEMPLATE.FAT&amp;display_string=Audit&amp;VAR:KEY=CJGRUPOVYJ&amp;VAR:QUERY=Q1NGX0VCSVRfT1BFUihBTk4sMTIvMzEvMTk4MCwxMi8zMS8yMDA5LEFZKQ==&amp;WINDOW=FIRST_POPUP&amp;HEIGH","T=450&amp;WIDTH=450&amp;START_MAXIMIZED=FALSE&amp;VAR:CALENDAR=US&amp;VAR:SYMBOL=OMG&amp;VAR:INDEX=0"}</definedName>
    <definedName name="_2282__FDSAUDITLINK__" hidden="1">{"fdsup://directions/FAT Viewer?action=UPDATE&amp;creator=factset&amp;DYN_ARGS=TRUE&amp;DOC_NAME=FAT:FQL_AUDITING_CLIENT_TEMPLATE.FAT&amp;display_string=Audit&amp;VAR:KEY=VQRQVKPKJE&amp;VAR:QUERY=Q1NGX0VCSVRfT1BFUihMVE1fUiwwKQ==&amp;WINDOW=FIRST_POPUP&amp;HEIGHT=450&amp;WIDTH=450&amp;START_MAXIMI","ZED=FALSE&amp;VAR:CALENDAR=US&amp;VAR:SYMBOL=LXU&amp;VAR:INDEX=0"}</definedName>
    <definedName name="_2283__FDSAUDITLINK__" hidden="1">{"fdsup://directions/FAT Viewer?action=UPDATE&amp;creator=factset&amp;DYN_ARGS=TRUE&amp;DOC_NAME=FAT:FQL_AUDITING_CLIENT_TEMPLATE.FAT&amp;display_string=Audit&amp;VAR:KEY=YLYJKXEXKD&amp;VAR:QUERY=Q1NGX0VCSVRfT1BFUihBTk4sMTIvMzEvMTk4MCwxMi8zMS8yMDA5LEFZKQ==&amp;WINDOW=FIRST_POPUP&amp;HEIGH","T=450&amp;WIDTH=450&amp;START_MAXIMIZED=FALSE&amp;VAR:CALENDAR=US&amp;VAR:SYMBOL=LXU&amp;VAR:INDEX=29"}</definedName>
    <definedName name="_2284__FDSAUDITLINK__" hidden="1">{"fdsup://directions/FAT Viewer?action=UPDATE&amp;creator=factset&amp;DYN_ARGS=TRUE&amp;DOC_NAME=FAT:FQL_AUDITING_CLIENT_TEMPLATE.FAT&amp;display_string=Audit&amp;VAR:KEY=YLYJKXEXKD&amp;VAR:QUERY=Q1NGX0VCSVRfT1BFUihBTk4sMTIvMzEvMTk4MCwxMi8zMS8yMDA5LEFZKQ==&amp;WINDOW=FIRST_POPUP&amp;HEIGH","T=450&amp;WIDTH=450&amp;START_MAXIMIZED=FALSE&amp;VAR:CALENDAR=US&amp;VAR:SYMBOL=LXU&amp;VAR:INDEX=28"}</definedName>
    <definedName name="_2285__FDSAUDITLINK__" hidden="1">{"fdsup://directions/FAT Viewer?action=UPDATE&amp;creator=factset&amp;DYN_ARGS=TRUE&amp;DOC_NAME=FAT:FQL_AUDITING_CLIENT_TEMPLATE.FAT&amp;display_string=Audit&amp;VAR:KEY=YLYJKXEXKD&amp;VAR:QUERY=Q1NGX0VCSVRfT1BFUihBTk4sMTIvMzEvMTk4MCwxMi8zMS8yMDA5LEFZKQ==&amp;WINDOW=FIRST_POPUP&amp;HEIGH","T=450&amp;WIDTH=450&amp;START_MAXIMIZED=FALSE&amp;VAR:CALENDAR=US&amp;VAR:SYMBOL=LXU&amp;VAR:INDEX=27"}</definedName>
    <definedName name="_2286__FDSAUDITLINK__" hidden="1">{"fdsup://directions/FAT Viewer?action=UPDATE&amp;creator=factset&amp;DYN_ARGS=TRUE&amp;DOC_NAME=FAT:FQL_AUDITING_CLIENT_TEMPLATE.FAT&amp;display_string=Audit&amp;VAR:KEY=YLYJKXEXKD&amp;VAR:QUERY=Q1NGX0VCSVRfT1BFUihBTk4sMTIvMzEvMTk4MCwxMi8zMS8yMDA5LEFZKQ==&amp;WINDOW=FIRST_POPUP&amp;HEIGH","T=450&amp;WIDTH=450&amp;START_MAXIMIZED=FALSE&amp;VAR:CALENDAR=US&amp;VAR:SYMBOL=LXU&amp;VAR:INDEX=26"}</definedName>
    <definedName name="_2287__FDSAUDITLINK__" hidden="1">{"fdsup://directions/FAT Viewer?action=UPDATE&amp;creator=factset&amp;DYN_ARGS=TRUE&amp;DOC_NAME=FAT:FQL_AUDITING_CLIENT_TEMPLATE.FAT&amp;display_string=Audit&amp;VAR:KEY=YLYJKXEXKD&amp;VAR:QUERY=Q1NGX0VCSVRfT1BFUihBTk4sMTIvMzEvMTk4MCwxMi8zMS8yMDA5LEFZKQ==&amp;WINDOW=FIRST_POPUP&amp;HEIGH","T=450&amp;WIDTH=450&amp;START_MAXIMIZED=FALSE&amp;VAR:CALENDAR=US&amp;VAR:SYMBOL=LXU&amp;VAR:INDEX=25"}</definedName>
    <definedName name="_2288__FDSAUDITLINK__" hidden="1">{"fdsup://directions/FAT Viewer?action=UPDATE&amp;creator=factset&amp;DYN_ARGS=TRUE&amp;DOC_NAME=FAT:FQL_AUDITING_CLIENT_TEMPLATE.FAT&amp;display_string=Audit&amp;VAR:KEY=YLYJKXEXKD&amp;VAR:QUERY=Q1NGX0VCSVRfT1BFUihBTk4sMTIvMzEvMTk4MCwxMi8zMS8yMDA5LEFZKQ==&amp;WINDOW=FIRST_POPUP&amp;HEIGH","T=450&amp;WIDTH=450&amp;START_MAXIMIZED=FALSE&amp;VAR:CALENDAR=US&amp;VAR:SYMBOL=LXU&amp;VAR:INDEX=24"}</definedName>
    <definedName name="_2289__FDSAUDITLINK__" hidden="1">{"fdsup://directions/FAT Viewer?action=UPDATE&amp;creator=factset&amp;DYN_ARGS=TRUE&amp;DOC_NAME=FAT:FQL_AUDITING_CLIENT_TEMPLATE.FAT&amp;display_string=Audit&amp;VAR:KEY=YLYJKXEXKD&amp;VAR:QUERY=Q1NGX0VCSVRfT1BFUihBTk4sMTIvMzEvMTk4MCwxMi8zMS8yMDA5LEFZKQ==&amp;WINDOW=FIRST_POPUP&amp;HEIGH","T=450&amp;WIDTH=450&amp;START_MAXIMIZED=FALSE&amp;VAR:CALENDAR=US&amp;VAR:SYMBOL=LXU&amp;VAR:INDEX=23"}</definedName>
    <definedName name="_229__FDSAUDITLINK__" hidden="1">{"fdsup://directions/FAT Viewer?action=UPDATE&amp;creator=factset&amp;DYN_ARGS=TRUE&amp;DOC_NAME=FAT:FQL_AUDITING_CLIENT_TEMPLATE.FAT&amp;display_string=Audit&amp;VAR:KEY=WTGLKJAJOF&amp;VAR:QUERY=Q1NGX0VCSVRfT1BFUihBTk4sMTIvMzEvODAsMCk=&amp;WINDOW=FIRST_POPUP&amp;HEIGHT=450&amp;WIDTH=450&amp;STAR","T_MAXIMIZED=FALSE&amp;VAR:CALENDAR=US&amp;VAR:SYMBOL=NLC&amp;VAR:INDEX=11"}</definedName>
    <definedName name="_2290__FDSAUDITLINK__" hidden="1">{"fdsup://directions/FAT Viewer?action=UPDATE&amp;creator=factset&amp;DYN_ARGS=TRUE&amp;DOC_NAME=FAT:FQL_AUDITING_CLIENT_TEMPLATE.FAT&amp;display_string=Audit&amp;VAR:KEY=YLYJKXEXKD&amp;VAR:QUERY=Q1NGX0VCSVRfT1BFUihBTk4sMTIvMzEvMTk4MCwxMi8zMS8yMDA5LEFZKQ==&amp;WINDOW=FIRST_POPUP&amp;HEIGH","T=450&amp;WIDTH=450&amp;START_MAXIMIZED=FALSE&amp;VAR:CALENDAR=US&amp;VAR:SYMBOL=LXU&amp;VAR:INDEX=22"}</definedName>
    <definedName name="_2291__FDSAUDITLINK__" hidden="1">{"fdsup://directions/FAT Viewer?action=UPDATE&amp;creator=factset&amp;DYN_ARGS=TRUE&amp;DOC_NAME=FAT:FQL_AUDITING_CLIENT_TEMPLATE.FAT&amp;display_string=Audit&amp;VAR:KEY=YLYJKXEXKD&amp;VAR:QUERY=Q1NGX0VCSVRfT1BFUihBTk4sMTIvMzEvMTk4MCwxMi8zMS8yMDA5LEFZKQ==&amp;WINDOW=FIRST_POPUP&amp;HEIGH","T=450&amp;WIDTH=450&amp;START_MAXIMIZED=FALSE&amp;VAR:CALENDAR=US&amp;VAR:SYMBOL=LXU&amp;VAR:INDEX=21"}</definedName>
    <definedName name="_2292__FDSAUDITLINK__" hidden="1">{"fdsup://directions/FAT Viewer?action=UPDATE&amp;creator=factset&amp;DYN_ARGS=TRUE&amp;DOC_NAME=FAT:FQL_AUDITING_CLIENT_TEMPLATE.FAT&amp;display_string=Audit&amp;VAR:KEY=YLYJKXEXKD&amp;VAR:QUERY=Q1NGX0VCSVRfT1BFUihBTk4sMTIvMzEvMTk4MCwxMi8zMS8yMDA5LEFZKQ==&amp;WINDOW=FIRST_POPUP&amp;HEIGH","T=450&amp;WIDTH=450&amp;START_MAXIMIZED=FALSE&amp;VAR:CALENDAR=US&amp;VAR:SYMBOL=LXU&amp;VAR:INDEX=20"}</definedName>
    <definedName name="_2293__FDSAUDITLINK__" hidden="1">{"fdsup://directions/FAT Viewer?action=UPDATE&amp;creator=factset&amp;DYN_ARGS=TRUE&amp;DOC_NAME=FAT:FQL_AUDITING_CLIENT_TEMPLATE.FAT&amp;display_string=Audit&amp;VAR:KEY=YLYJKXEXKD&amp;VAR:QUERY=Q1NGX0VCSVRfT1BFUihBTk4sMTIvMzEvMTk4MCwxMi8zMS8yMDA5LEFZKQ==&amp;WINDOW=FIRST_POPUP&amp;HEIGH","T=450&amp;WIDTH=450&amp;START_MAXIMIZED=FALSE&amp;VAR:CALENDAR=US&amp;VAR:SYMBOL=LXU&amp;VAR:INDEX=19"}</definedName>
    <definedName name="_2294__FDSAUDITLINK__" hidden="1">{"fdsup://directions/FAT Viewer?action=UPDATE&amp;creator=factset&amp;DYN_ARGS=TRUE&amp;DOC_NAME=FAT:FQL_AUDITING_CLIENT_TEMPLATE.FAT&amp;display_string=Audit&amp;VAR:KEY=YLYJKXEXKD&amp;VAR:QUERY=Q1NGX0VCSVRfT1BFUihBTk4sMTIvMzEvMTk4MCwxMi8zMS8yMDA5LEFZKQ==&amp;WINDOW=FIRST_POPUP&amp;HEIGH","T=450&amp;WIDTH=450&amp;START_MAXIMIZED=FALSE&amp;VAR:CALENDAR=US&amp;VAR:SYMBOL=LXU&amp;VAR:INDEX=18"}</definedName>
    <definedName name="_2295__FDSAUDITLINK__" hidden="1">{"fdsup://directions/FAT Viewer?action=UPDATE&amp;creator=factset&amp;DYN_ARGS=TRUE&amp;DOC_NAME=FAT:FQL_AUDITING_CLIENT_TEMPLATE.FAT&amp;display_string=Audit&amp;VAR:KEY=YLYJKXEXKD&amp;VAR:QUERY=Q1NGX0VCSVRfT1BFUihBTk4sMTIvMzEvMTk4MCwxMi8zMS8yMDA5LEFZKQ==&amp;WINDOW=FIRST_POPUP&amp;HEIGH","T=450&amp;WIDTH=450&amp;START_MAXIMIZED=FALSE&amp;VAR:CALENDAR=US&amp;VAR:SYMBOL=LXU&amp;VAR:INDEX=17"}</definedName>
    <definedName name="_2296__FDSAUDITLINK__" hidden="1">{"fdsup://directions/FAT Viewer?action=UPDATE&amp;creator=factset&amp;DYN_ARGS=TRUE&amp;DOC_NAME=FAT:FQL_AUDITING_CLIENT_TEMPLATE.FAT&amp;display_string=Audit&amp;VAR:KEY=YLYJKXEXKD&amp;VAR:QUERY=Q1NGX0VCSVRfT1BFUihBTk4sMTIvMzEvMTk4MCwxMi8zMS8yMDA5LEFZKQ==&amp;WINDOW=FIRST_POPUP&amp;HEIGH","T=450&amp;WIDTH=450&amp;START_MAXIMIZED=FALSE&amp;VAR:CALENDAR=US&amp;VAR:SYMBOL=LXU&amp;VAR:INDEX=16"}</definedName>
    <definedName name="_2297__FDSAUDITLINK__" hidden="1">{"fdsup://directions/FAT Viewer?action=UPDATE&amp;creator=factset&amp;DYN_ARGS=TRUE&amp;DOC_NAME=FAT:FQL_AUDITING_CLIENT_TEMPLATE.FAT&amp;display_string=Audit&amp;VAR:KEY=YLYJKXEXKD&amp;VAR:QUERY=Q1NGX0VCSVRfT1BFUihBTk4sMTIvMzEvMTk4MCwxMi8zMS8yMDA5LEFZKQ==&amp;WINDOW=FIRST_POPUP&amp;HEIGH","T=450&amp;WIDTH=450&amp;START_MAXIMIZED=FALSE&amp;VAR:CALENDAR=US&amp;VAR:SYMBOL=LXU&amp;VAR:INDEX=15"}</definedName>
    <definedName name="_2298__FDSAUDITLINK__" hidden="1">{"fdsup://directions/FAT Viewer?action=UPDATE&amp;creator=factset&amp;DYN_ARGS=TRUE&amp;DOC_NAME=FAT:FQL_AUDITING_CLIENT_TEMPLATE.FAT&amp;display_string=Audit&amp;VAR:KEY=YLYJKXEXKD&amp;VAR:QUERY=Q1NGX0VCSVRfT1BFUihBTk4sMTIvMzEvMTk4MCwxMi8zMS8yMDA5LEFZKQ==&amp;WINDOW=FIRST_POPUP&amp;HEIGH","T=450&amp;WIDTH=450&amp;START_MAXIMIZED=FALSE&amp;VAR:CALENDAR=US&amp;VAR:SYMBOL=LXU&amp;VAR:INDEX=14"}</definedName>
    <definedName name="_2299__FDSAUDITLINK__" hidden="1">{"fdsup://directions/FAT Viewer?action=UPDATE&amp;creator=factset&amp;DYN_ARGS=TRUE&amp;DOC_NAME=FAT:FQL_AUDITING_CLIENT_TEMPLATE.FAT&amp;display_string=Audit&amp;VAR:KEY=YLYJKXEXKD&amp;VAR:QUERY=Q1NGX0VCSVRfT1BFUihBTk4sMTIvMzEvMTk4MCwxMi8zMS8yMDA5LEFZKQ==&amp;WINDOW=FIRST_POPUP&amp;HEIGH","T=450&amp;WIDTH=450&amp;START_MAXIMIZED=FALSE&amp;VAR:CALENDAR=US&amp;VAR:SYMBOL=LXU&amp;VAR:INDEX=13"}</definedName>
    <definedName name="_23__FDSAUDITLINK__" hidden="1">{"fdsup://directions/FAT Viewer?action=UPDATE&amp;creator=factset&amp;DYN_ARGS=TRUE&amp;DOC_NAME=FAT:FQL_AUDITING_CLIENT_TEMPLATE.FAT&amp;display_string=Audit&amp;VAR:KEY=QZMTMLQNSF&amp;VAR:QUERY=Q1NGX0dST1NTX0lOQyhRVFJfUiwtM0FZLDAsRlEp&amp;WINDOW=FIRST_POPUP&amp;HEIGHT=450&amp;WIDTH=450&amp;STAR","T_MAXIMIZED=FALSE&amp;VAR:CALENDAR=US&amp;VAR:SYMBOL=CE&amp;VAR:INDEX=3"}</definedName>
    <definedName name="_230__FDSAUDITLINK__" hidden="1">{"fdsup://directions/FAT Viewer?action=UPDATE&amp;creator=factset&amp;DYN_ARGS=TRUE&amp;DOC_NAME=FAT:FQL_AUDITING_CLIENT_TEMPLATE.FAT&amp;display_string=Audit&amp;VAR:KEY=WTGLKJAJOF&amp;VAR:QUERY=Q1NGX0VCSVRfT1BFUihBTk4sMTIvMzEvODAsMCk=&amp;WINDOW=FIRST_POPUP&amp;HEIGHT=450&amp;WIDTH=450&amp;STAR","T_MAXIMIZED=FALSE&amp;VAR:CALENDAR=US&amp;VAR:SYMBOL=NLC&amp;VAR:INDEX=10"}</definedName>
    <definedName name="_2300__FDSAUDITLINK__" hidden="1">{"fdsup://directions/FAT Viewer?action=UPDATE&amp;creator=factset&amp;DYN_ARGS=TRUE&amp;DOC_NAME=FAT:FQL_AUDITING_CLIENT_TEMPLATE.FAT&amp;display_string=Audit&amp;VAR:KEY=YLYJKXEXKD&amp;VAR:QUERY=Q1NGX0VCSVRfT1BFUihBTk4sMTIvMzEvMTk4MCwxMi8zMS8yMDA5LEFZKQ==&amp;WINDOW=FIRST_POPUP&amp;HEIGH","T=450&amp;WIDTH=450&amp;START_MAXIMIZED=FALSE&amp;VAR:CALENDAR=US&amp;VAR:SYMBOL=LXU&amp;VAR:INDEX=12"}</definedName>
    <definedName name="_2301__FDSAUDITLINK__" hidden="1">{"fdsup://directions/FAT Viewer?action=UPDATE&amp;creator=factset&amp;DYN_ARGS=TRUE&amp;DOC_NAME=FAT:FQL_AUDITING_CLIENT_TEMPLATE.FAT&amp;display_string=Audit&amp;VAR:KEY=YLYJKXEXKD&amp;VAR:QUERY=Q1NGX0VCSVRfT1BFUihBTk4sMTIvMzEvMTk4MCwxMi8zMS8yMDA5LEFZKQ==&amp;WINDOW=FIRST_POPUP&amp;HEIGH","T=450&amp;WIDTH=450&amp;START_MAXIMIZED=FALSE&amp;VAR:CALENDAR=US&amp;VAR:SYMBOL=LXU&amp;VAR:INDEX=11"}</definedName>
    <definedName name="_2302__FDSAUDITLINK__" hidden="1">{"fdsup://directions/FAT Viewer?action=UPDATE&amp;creator=factset&amp;DYN_ARGS=TRUE&amp;DOC_NAME=FAT:FQL_AUDITING_CLIENT_TEMPLATE.FAT&amp;display_string=Audit&amp;VAR:KEY=YLYJKXEXKD&amp;VAR:QUERY=Q1NGX0VCSVRfT1BFUihBTk4sMTIvMzEvMTk4MCwxMi8zMS8yMDA5LEFZKQ==&amp;WINDOW=FIRST_POPUP&amp;HEIGH","T=450&amp;WIDTH=450&amp;START_MAXIMIZED=FALSE&amp;VAR:CALENDAR=US&amp;VAR:SYMBOL=LXU&amp;VAR:INDEX=10"}</definedName>
    <definedName name="_2303__FDSAUDITLINK__" hidden="1">{"fdsup://directions/FAT Viewer?action=UPDATE&amp;creator=factset&amp;DYN_ARGS=TRUE&amp;DOC_NAME=FAT:FQL_AUDITING_CLIENT_TEMPLATE.FAT&amp;display_string=Audit&amp;VAR:KEY=YLYJKXEXKD&amp;VAR:QUERY=Q1NGX0VCSVRfT1BFUihBTk4sMTIvMzEvMTk4MCwxMi8zMS8yMDA5LEFZKQ==&amp;WINDOW=FIRST_POPUP&amp;HEIGH","T=450&amp;WIDTH=450&amp;START_MAXIMIZED=FALSE&amp;VAR:CALENDAR=US&amp;VAR:SYMBOL=LXU&amp;VAR:INDEX=9"}</definedName>
    <definedName name="_2304__FDSAUDITLINK__" hidden="1">{"fdsup://directions/FAT Viewer?action=UPDATE&amp;creator=factset&amp;DYN_ARGS=TRUE&amp;DOC_NAME=FAT:FQL_AUDITING_CLIENT_TEMPLATE.FAT&amp;display_string=Audit&amp;VAR:KEY=YLYJKXEXKD&amp;VAR:QUERY=Q1NGX0VCSVRfT1BFUihBTk4sMTIvMzEvMTk4MCwxMi8zMS8yMDA5LEFZKQ==&amp;WINDOW=FIRST_POPUP&amp;HEIGH","T=450&amp;WIDTH=450&amp;START_MAXIMIZED=FALSE&amp;VAR:CALENDAR=US&amp;VAR:SYMBOL=LXU&amp;VAR:INDEX=8"}</definedName>
    <definedName name="_2305__FDSAUDITLINK__" hidden="1">{"fdsup://directions/FAT Viewer?action=UPDATE&amp;creator=factset&amp;DYN_ARGS=TRUE&amp;DOC_NAME=FAT:FQL_AUDITING_CLIENT_TEMPLATE.FAT&amp;display_string=Audit&amp;VAR:KEY=YLYJKXEXKD&amp;VAR:QUERY=Q1NGX0VCSVRfT1BFUihBTk4sMTIvMzEvMTk4MCwxMi8zMS8yMDA5LEFZKQ==&amp;WINDOW=FIRST_POPUP&amp;HEIGH","T=450&amp;WIDTH=450&amp;START_MAXIMIZED=FALSE&amp;VAR:CALENDAR=US&amp;VAR:SYMBOL=LXU&amp;VAR:INDEX=7"}</definedName>
    <definedName name="_2306__FDSAUDITLINK__" hidden="1">{"fdsup://directions/FAT Viewer?action=UPDATE&amp;creator=factset&amp;DYN_ARGS=TRUE&amp;DOC_NAME=FAT:FQL_AUDITING_CLIENT_TEMPLATE.FAT&amp;display_string=Audit&amp;VAR:KEY=YLYJKXEXKD&amp;VAR:QUERY=Q1NGX0VCSVRfT1BFUihBTk4sMTIvMzEvMTk4MCwxMi8zMS8yMDA5LEFZKQ==&amp;WINDOW=FIRST_POPUP&amp;HEIGH","T=450&amp;WIDTH=450&amp;START_MAXIMIZED=FALSE&amp;VAR:CALENDAR=US&amp;VAR:SYMBOL=LXU&amp;VAR:INDEX=6"}</definedName>
    <definedName name="_2307__FDSAUDITLINK__" hidden="1">{"fdsup://directions/FAT Viewer?action=UPDATE&amp;creator=factset&amp;DYN_ARGS=TRUE&amp;DOC_NAME=FAT:FQL_AUDITING_CLIENT_TEMPLATE.FAT&amp;display_string=Audit&amp;VAR:KEY=YLYJKXEXKD&amp;VAR:QUERY=Q1NGX0VCSVRfT1BFUihBTk4sMTIvMzEvMTk4MCwxMi8zMS8yMDA5LEFZKQ==&amp;WINDOW=FIRST_POPUP&amp;HEIGH","T=450&amp;WIDTH=450&amp;START_MAXIMIZED=FALSE&amp;VAR:CALENDAR=US&amp;VAR:SYMBOL=LXU&amp;VAR:INDEX=5"}</definedName>
    <definedName name="_2308__FDSAUDITLINK__" hidden="1">{"fdsup://directions/FAT Viewer?action=UPDATE&amp;creator=factset&amp;DYN_ARGS=TRUE&amp;DOC_NAME=FAT:FQL_AUDITING_CLIENT_TEMPLATE.FAT&amp;display_string=Audit&amp;VAR:KEY=YLYJKXEXKD&amp;VAR:QUERY=Q1NGX0VCSVRfT1BFUihBTk4sMTIvMzEvMTk4MCwxMi8zMS8yMDA5LEFZKQ==&amp;WINDOW=FIRST_POPUP&amp;HEIGH","T=450&amp;WIDTH=450&amp;START_MAXIMIZED=FALSE&amp;VAR:CALENDAR=US&amp;VAR:SYMBOL=LXU&amp;VAR:INDEX=4"}</definedName>
    <definedName name="_2309__FDSAUDITLINK__" hidden="1">{"fdsup://directions/FAT Viewer?action=UPDATE&amp;creator=factset&amp;DYN_ARGS=TRUE&amp;DOC_NAME=FAT:FQL_AUDITING_CLIENT_TEMPLATE.FAT&amp;display_string=Audit&amp;VAR:KEY=YLYJKXEXKD&amp;VAR:QUERY=Q1NGX0VCSVRfT1BFUihBTk4sMTIvMzEvMTk4MCwxMi8zMS8yMDA5LEFZKQ==&amp;WINDOW=FIRST_POPUP&amp;HEIGH","T=450&amp;WIDTH=450&amp;START_MAXIMIZED=FALSE&amp;VAR:CALENDAR=US&amp;VAR:SYMBOL=LXU&amp;VAR:INDEX=3"}</definedName>
    <definedName name="_231__FDSAUDITLINK__" hidden="1">{"fdsup://directions/FAT Viewer?action=UPDATE&amp;creator=factset&amp;DYN_ARGS=TRUE&amp;DOC_NAME=FAT:FQL_AUDITING_CLIENT_TEMPLATE.FAT&amp;display_string=Audit&amp;VAR:KEY=WTGLKJAJOF&amp;VAR:QUERY=Q1NGX0VCSVRfT1BFUihBTk4sMTIvMzEvODAsMCk=&amp;WINDOW=FIRST_POPUP&amp;HEIGHT=450&amp;WIDTH=450&amp;STAR","T_MAXIMIZED=FALSE&amp;VAR:CALENDAR=US&amp;VAR:SYMBOL=NLC&amp;VAR:INDEX=9"}</definedName>
    <definedName name="_2310__FDSAUDITLINK__" hidden="1">{"fdsup://directions/FAT Viewer?action=UPDATE&amp;creator=factset&amp;DYN_ARGS=TRUE&amp;DOC_NAME=FAT:FQL_AUDITING_CLIENT_TEMPLATE.FAT&amp;display_string=Audit&amp;VAR:KEY=YLYJKXEXKD&amp;VAR:QUERY=Q1NGX0VCSVRfT1BFUihBTk4sMTIvMzEvMTk4MCwxMi8zMS8yMDA5LEFZKQ==&amp;WINDOW=FIRST_POPUP&amp;HEIGH","T=450&amp;WIDTH=450&amp;START_MAXIMIZED=FALSE&amp;VAR:CALENDAR=US&amp;VAR:SYMBOL=LXU&amp;VAR:INDEX=2"}</definedName>
    <definedName name="_2311__FDSAUDITLINK__" hidden="1">{"fdsup://directions/FAT Viewer?action=UPDATE&amp;creator=factset&amp;DYN_ARGS=TRUE&amp;DOC_NAME=FAT:FQL_AUDITING_CLIENT_TEMPLATE.FAT&amp;display_string=Audit&amp;VAR:KEY=YLYJKXEXKD&amp;VAR:QUERY=Q1NGX0VCSVRfT1BFUihBTk4sMTIvMzEvMTk4MCwxMi8zMS8yMDA5LEFZKQ==&amp;WINDOW=FIRST_POPUP&amp;HEIGH","T=450&amp;WIDTH=450&amp;START_MAXIMIZED=FALSE&amp;VAR:CALENDAR=US&amp;VAR:SYMBOL=LXU&amp;VAR:INDEX=1"}</definedName>
    <definedName name="_2312__FDSAUDITLINK__" hidden="1">{"fdsup://directions/FAT Viewer?action=UPDATE&amp;creator=factset&amp;DYN_ARGS=TRUE&amp;DOC_NAME=FAT:FQL_AUDITING_CLIENT_TEMPLATE.FAT&amp;display_string=Audit&amp;VAR:KEY=YLYJKXEXKD&amp;VAR:QUERY=Q1NGX0VCSVRfT1BFUihBTk4sMTIvMzEvMTk4MCwxMi8zMS8yMDA5LEFZKQ==&amp;WINDOW=FIRST_POPUP&amp;HEIGH","T=450&amp;WIDTH=450&amp;START_MAXIMIZED=FALSE&amp;VAR:CALENDAR=US&amp;VAR:SYMBOL=LXU&amp;VAR:INDEX=0"}</definedName>
    <definedName name="_2313__FDSAUDITLINK__" hidden="1">{"fdsup://directions/FAT Viewer?action=UPDATE&amp;creator=factset&amp;DYN_ARGS=TRUE&amp;DOC_NAME=FAT:FQL_AUDITING_CLIENT_TEMPLATE.FAT&amp;display_string=Audit&amp;VAR:KEY=XURCNOJKRW&amp;VAR:QUERY=Q1NGX0VCSVRfT1BFUihMVE1fUiwwKQ==&amp;WINDOW=FIRST_POPUP&amp;HEIGHT=450&amp;WIDTH=450&amp;START_MAXIMI","ZED=FALSE&amp;VAR:CALENDAR=US&amp;VAR:SYMBOL=IFF&amp;VAR:INDEX=0"}</definedName>
    <definedName name="_2314__FDSAUDITLINK__" hidden="1">{"fdsup://directions/FAT Viewer?action=UPDATE&amp;creator=factset&amp;DYN_ARGS=TRUE&amp;DOC_NAME=FAT:FQL_AUDITING_CLIENT_TEMPLATE.FAT&amp;display_string=Audit&amp;VAR:KEY=GTUHORQVIH&amp;VAR:QUERY=Q1NGX0VCSVRfT1BFUihBTk4sMTIvMzEvMTk4MCwxMi8zMS8yMDA5LEFZKQ==&amp;WINDOW=FIRST_POPUP&amp;HEIGH","T=450&amp;WIDTH=450&amp;START_MAXIMIZED=FALSE&amp;VAR:CALENDAR=US&amp;VAR:SYMBOL=IFF&amp;VAR:INDEX=29"}</definedName>
    <definedName name="_2315__FDSAUDITLINK__" hidden="1">{"fdsup://directions/FAT Viewer?action=UPDATE&amp;creator=factset&amp;DYN_ARGS=TRUE&amp;DOC_NAME=FAT:FQL_AUDITING_CLIENT_TEMPLATE.FAT&amp;display_string=Audit&amp;VAR:KEY=GTUHORQVIH&amp;VAR:QUERY=Q1NGX0VCSVRfT1BFUihBTk4sMTIvMzEvMTk4MCwxMi8zMS8yMDA5LEFZKQ==&amp;WINDOW=FIRST_POPUP&amp;HEIGH","T=450&amp;WIDTH=450&amp;START_MAXIMIZED=FALSE&amp;VAR:CALENDAR=US&amp;VAR:SYMBOL=IFF&amp;VAR:INDEX=28"}</definedName>
    <definedName name="_2316__FDSAUDITLINK__" hidden="1">{"fdsup://directions/FAT Viewer?action=UPDATE&amp;creator=factset&amp;DYN_ARGS=TRUE&amp;DOC_NAME=FAT:FQL_AUDITING_CLIENT_TEMPLATE.FAT&amp;display_string=Audit&amp;VAR:KEY=GTUHORQVIH&amp;VAR:QUERY=Q1NGX0VCSVRfT1BFUihBTk4sMTIvMzEvMTk4MCwxMi8zMS8yMDA5LEFZKQ==&amp;WINDOW=FIRST_POPUP&amp;HEIGH","T=450&amp;WIDTH=450&amp;START_MAXIMIZED=FALSE&amp;VAR:CALENDAR=US&amp;VAR:SYMBOL=IFF&amp;VAR:INDEX=27"}</definedName>
    <definedName name="_2317__FDSAUDITLINK__" hidden="1">{"fdsup://directions/FAT Viewer?action=UPDATE&amp;creator=factset&amp;DYN_ARGS=TRUE&amp;DOC_NAME=FAT:FQL_AUDITING_CLIENT_TEMPLATE.FAT&amp;display_string=Audit&amp;VAR:KEY=GTUHORQVIH&amp;VAR:QUERY=Q1NGX0VCSVRfT1BFUihBTk4sMTIvMzEvMTk4MCwxMi8zMS8yMDA5LEFZKQ==&amp;WINDOW=FIRST_POPUP&amp;HEIGH","T=450&amp;WIDTH=450&amp;START_MAXIMIZED=FALSE&amp;VAR:CALENDAR=US&amp;VAR:SYMBOL=IFF&amp;VAR:INDEX=26"}</definedName>
    <definedName name="_2318__FDSAUDITLINK__" hidden="1">{"fdsup://directions/FAT Viewer?action=UPDATE&amp;creator=factset&amp;DYN_ARGS=TRUE&amp;DOC_NAME=FAT:FQL_AUDITING_CLIENT_TEMPLATE.FAT&amp;display_string=Audit&amp;VAR:KEY=GTUHORQVIH&amp;VAR:QUERY=Q1NGX0VCSVRfT1BFUihBTk4sMTIvMzEvMTk4MCwxMi8zMS8yMDA5LEFZKQ==&amp;WINDOW=FIRST_POPUP&amp;HEIGH","T=450&amp;WIDTH=450&amp;START_MAXIMIZED=FALSE&amp;VAR:CALENDAR=US&amp;VAR:SYMBOL=IFF&amp;VAR:INDEX=25"}</definedName>
    <definedName name="_2319__FDSAUDITLINK__" hidden="1">{"fdsup://directions/FAT Viewer?action=UPDATE&amp;creator=factset&amp;DYN_ARGS=TRUE&amp;DOC_NAME=FAT:FQL_AUDITING_CLIENT_TEMPLATE.FAT&amp;display_string=Audit&amp;VAR:KEY=GTUHORQVIH&amp;VAR:QUERY=Q1NGX0VCSVRfT1BFUihBTk4sMTIvMzEvMTk4MCwxMi8zMS8yMDA5LEFZKQ==&amp;WINDOW=FIRST_POPUP&amp;HEIGH","T=450&amp;WIDTH=450&amp;START_MAXIMIZED=FALSE&amp;VAR:CALENDAR=US&amp;VAR:SYMBOL=IFF&amp;VAR:INDEX=24"}</definedName>
    <definedName name="_232__FDSAUDITLINK__" hidden="1">{"fdsup://directions/FAT Viewer?action=UPDATE&amp;creator=factset&amp;DYN_ARGS=TRUE&amp;DOC_NAME=FAT:FQL_AUDITING_CLIENT_TEMPLATE.FAT&amp;display_string=Audit&amp;VAR:KEY=WTGLKJAJOF&amp;VAR:QUERY=Q1NGX0VCSVRfT1BFUihBTk4sMTIvMzEvODAsMCk=&amp;WINDOW=FIRST_POPUP&amp;HEIGHT=450&amp;WIDTH=450&amp;STAR","T_MAXIMIZED=FALSE&amp;VAR:CALENDAR=US&amp;VAR:SYMBOL=NLC&amp;VAR:INDEX=8"}</definedName>
    <definedName name="_2320__FDSAUDITLINK__" hidden="1">{"fdsup://directions/FAT Viewer?action=UPDATE&amp;creator=factset&amp;DYN_ARGS=TRUE&amp;DOC_NAME=FAT:FQL_AUDITING_CLIENT_TEMPLATE.FAT&amp;display_string=Audit&amp;VAR:KEY=GTUHORQVIH&amp;VAR:QUERY=Q1NGX0VCSVRfT1BFUihBTk4sMTIvMzEvMTk4MCwxMi8zMS8yMDA5LEFZKQ==&amp;WINDOW=FIRST_POPUP&amp;HEIGH","T=450&amp;WIDTH=450&amp;START_MAXIMIZED=FALSE&amp;VAR:CALENDAR=US&amp;VAR:SYMBOL=IFF&amp;VAR:INDEX=23"}</definedName>
    <definedName name="_2321__FDSAUDITLINK__" hidden="1">{"fdsup://directions/FAT Viewer?action=UPDATE&amp;creator=factset&amp;DYN_ARGS=TRUE&amp;DOC_NAME=FAT:FQL_AUDITING_CLIENT_TEMPLATE.FAT&amp;display_string=Audit&amp;VAR:KEY=GTUHORQVIH&amp;VAR:QUERY=Q1NGX0VCSVRfT1BFUihBTk4sMTIvMzEvMTk4MCwxMi8zMS8yMDA5LEFZKQ==&amp;WINDOW=FIRST_POPUP&amp;HEIGH","T=450&amp;WIDTH=450&amp;START_MAXIMIZED=FALSE&amp;VAR:CALENDAR=US&amp;VAR:SYMBOL=IFF&amp;VAR:INDEX=22"}</definedName>
    <definedName name="_2322__FDSAUDITLINK__" hidden="1">{"fdsup://directions/FAT Viewer?action=UPDATE&amp;creator=factset&amp;DYN_ARGS=TRUE&amp;DOC_NAME=FAT:FQL_AUDITING_CLIENT_TEMPLATE.FAT&amp;display_string=Audit&amp;VAR:KEY=GTUHORQVIH&amp;VAR:QUERY=Q1NGX0VCSVRfT1BFUihBTk4sMTIvMzEvMTk4MCwxMi8zMS8yMDA5LEFZKQ==&amp;WINDOW=FIRST_POPUP&amp;HEIGH","T=450&amp;WIDTH=450&amp;START_MAXIMIZED=FALSE&amp;VAR:CALENDAR=US&amp;VAR:SYMBOL=IFF&amp;VAR:INDEX=21"}</definedName>
    <definedName name="_2323__FDSAUDITLINK__" hidden="1">{"fdsup://directions/FAT Viewer?action=UPDATE&amp;creator=factset&amp;DYN_ARGS=TRUE&amp;DOC_NAME=FAT:FQL_AUDITING_CLIENT_TEMPLATE.FAT&amp;display_string=Audit&amp;VAR:KEY=GTUHORQVIH&amp;VAR:QUERY=Q1NGX0VCSVRfT1BFUihBTk4sMTIvMzEvMTk4MCwxMi8zMS8yMDA5LEFZKQ==&amp;WINDOW=FIRST_POPUP&amp;HEIGH","T=450&amp;WIDTH=450&amp;START_MAXIMIZED=FALSE&amp;VAR:CALENDAR=US&amp;VAR:SYMBOL=IFF&amp;VAR:INDEX=20"}</definedName>
    <definedName name="_2324__FDSAUDITLINK__" hidden="1">{"fdsup://directions/FAT Viewer?action=UPDATE&amp;creator=factset&amp;DYN_ARGS=TRUE&amp;DOC_NAME=FAT:FQL_AUDITING_CLIENT_TEMPLATE.FAT&amp;display_string=Audit&amp;VAR:KEY=GTUHORQVIH&amp;VAR:QUERY=Q1NGX0VCSVRfT1BFUihBTk4sMTIvMzEvMTk4MCwxMi8zMS8yMDA5LEFZKQ==&amp;WINDOW=FIRST_POPUP&amp;HEIGH","T=450&amp;WIDTH=450&amp;START_MAXIMIZED=FALSE&amp;VAR:CALENDAR=US&amp;VAR:SYMBOL=IFF&amp;VAR:INDEX=19"}</definedName>
    <definedName name="_2325__FDSAUDITLINK__" hidden="1">{"fdsup://directions/FAT Viewer?action=UPDATE&amp;creator=factset&amp;DYN_ARGS=TRUE&amp;DOC_NAME=FAT:FQL_AUDITING_CLIENT_TEMPLATE.FAT&amp;display_string=Audit&amp;VAR:KEY=GTUHORQVIH&amp;VAR:QUERY=Q1NGX0VCSVRfT1BFUihBTk4sMTIvMzEvMTk4MCwxMi8zMS8yMDA5LEFZKQ==&amp;WINDOW=FIRST_POPUP&amp;HEIGH","T=450&amp;WIDTH=450&amp;START_MAXIMIZED=FALSE&amp;VAR:CALENDAR=US&amp;VAR:SYMBOL=IFF&amp;VAR:INDEX=18"}</definedName>
    <definedName name="_2326__FDSAUDITLINK__" hidden="1">{"fdsup://directions/FAT Viewer?action=UPDATE&amp;creator=factset&amp;DYN_ARGS=TRUE&amp;DOC_NAME=FAT:FQL_AUDITING_CLIENT_TEMPLATE.FAT&amp;display_string=Audit&amp;VAR:KEY=GTUHORQVIH&amp;VAR:QUERY=Q1NGX0VCSVRfT1BFUihBTk4sMTIvMzEvMTk4MCwxMi8zMS8yMDA5LEFZKQ==&amp;WINDOW=FIRST_POPUP&amp;HEIGH","T=450&amp;WIDTH=450&amp;START_MAXIMIZED=FALSE&amp;VAR:CALENDAR=US&amp;VAR:SYMBOL=IFF&amp;VAR:INDEX=17"}</definedName>
    <definedName name="_2327__FDSAUDITLINK__" hidden="1">{"fdsup://directions/FAT Viewer?action=UPDATE&amp;creator=factset&amp;DYN_ARGS=TRUE&amp;DOC_NAME=FAT:FQL_AUDITING_CLIENT_TEMPLATE.FAT&amp;display_string=Audit&amp;VAR:KEY=GTUHORQVIH&amp;VAR:QUERY=Q1NGX0VCSVRfT1BFUihBTk4sMTIvMzEvMTk4MCwxMi8zMS8yMDA5LEFZKQ==&amp;WINDOW=FIRST_POPUP&amp;HEIGH","T=450&amp;WIDTH=450&amp;START_MAXIMIZED=FALSE&amp;VAR:CALENDAR=US&amp;VAR:SYMBOL=IFF&amp;VAR:INDEX=16"}</definedName>
    <definedName name="_2328__FDSAUDITLINK__" hidden="1">{"fdsup://directions/FAT Viewer?action=UPDATE&amp;creator=factset&amp;DYN_ARGS=TRUE&amp;DOC_NAME=FAT:FQL_AUDITING_CLIENT_TEMPLATE.FAT&amp;display_string=Audit&amp;VAR:KEY=GTUHORQVIH&amp;VAR:QUERY=Q1NGX0VCSVRfT1BFUihBTk4sMTIvMzEvMTk4MCwxMi8zMS8yMDA5LEFZKQ==&amp;WINDOW=FIRST_POPUP&amp;HEIGH","T=450&amp;WIDTH=450&amp;START_MAXIMIZED=FALSE&amp;VAR:CALENDAR=US&amp;VAR:SYMBOL=IFF&amp;VAR:INDEX=15"}</definedName>
    <definedName name="_2329__FDSAUDITLINK__" hidden="1">{"fdsup://directions/FAT Viewer?action=UPDATE&amp;creator=factset&amp;DYN_ARGS=TRUE&amp;DOC_NAME=FAT:FQL_AUDITING_CLIENT_TEMPLATE.FAT&amp;display_string=Audit&amp;VAR:KEY=GTUHORQVIH&amp;VAR:QUERY=Q1NGX0VCSVRfT1BFUihBTk4sMTIvMzEvMTk4MCwxMi8zMS8yMDA5LEFZKQ==&amp;WINDOW=FIRST_POPUP&amp;HEIGH","T=450&amp;WIDTH=450&amp;START_MAXIMIZED=FALSE&amp;VAR:CALENDAR=US&amp;VAR:SYMBOL=IFF&amp;VAR:INDEX=14"}</definedName>
    <definedName name="_233__FDSAUDITLINK__" hidden="1">{"fdsup://directions/FAT Viewer?action=UPDATE&amp;creator=factset&amp;DYN_ARGS=TRUE&amp;DOC_NAME=FAT:FQL_AUDITING_CLIENT_TEMPLATE.FAT&amp;display_string=Audit&amp;VAR:KEY=WTGLKJAJOF&amp;VAR:QUERY=Q1NGX0VCSVRfT1BFUihBTk4sMTIvMzEvODAsMCk=&amp;WINDOW=FIRST_POPUP&amp;HEIGHT=450&amp;WIDTH=450&amp;STAR","T_MAXIMIZED=FALSE&amp;VAR:CALENDAR=US&amp;VAR:SYMBOL=NLC&amp;VAR:INDEX=7"}</definedName>
    <definedName name="_2330__FDSAUDITLINK__" hidden="1">{"fdsup://directions/FAT Viewer?action=UPDATE&amp;creator=factset&amp;DYN_ARGS=TRUE&amp;DOC_NAME=FAT:FQL_AUDITING_CLIENT_TEMPLATE.FAT&amp;display_string=Audit&amp;VAR:KEY=GTUHORQVIH&amp;VAR:QUERY=Q1NGX0VCSVRfT1BFUihBTk4sMTIvMzEvMTk4MCwxMi8zMS8yMDA5LEFZKQ==&amp;WINDOW=FIRST_POPUP&amp;HEIGH","T=450&amp;WIDTH=450&amp;START_MAXIMIZED=FALSE&amp;VAR:CALENDAR=US&amp;VAR:SYMBOL=IFF&amp;VAR:INDEX=13"}</definedName>
    <definedName name="_2331__FDSAUDITLINK__" hidden="1">{"fdsup://directions/FAT Viewer?action=UPDATE&amp;creator=factset&amp;DYN_ARGS=TRUE&amp;DOC_NAME=FAT:FQL_AUDITING_CLIENT_TEMPLATE.FAT&amp;display_string=Audit&amp;VAR:KEY=GTUHORQVIH&amp;VAR:QUERY=Q1NGX0VCSVRfT1BFUihBTk4sMTIvMzEvMTk4MCwxMi8zMS8yMDA5LEFZKQ==&amp;WINDOW=FIRST_POPUP&amp;HEIGH","T=450&amp;WIDTH=450&amp;START_MAXIMIZED=FALSE&amp;VAR:CALENDAR=US&amp;VAR:SYMBOL=IFF&amp;VAR:INDEX=12"}</definedName>
    <definedName name="_2332__FDSAUDITLINK__" hidden="1">{"fdsup://directions/FAT Viewer?action=UPDATE&amp;creator=factset&amp;DYN_ARGS=TRUE&amp;DOC_NAME=FAT:FQL_AUDITING_CLIENT_TEMPLATE.FAT&amp;display_string=Audit&amp;VAR:KEY=GTUHORQVIH&amp;VAR:QUERY=Q1NGX0VCSVRfT1BFUihBTk4sMTIvMzEvMTk4MCwxMi8zMS8yMDA5LEFZKQ==&amp;WINDOW=FIRST_POPUP&amp;HEIGH","T=450&amp;WIDTH=450&amp;START_MAXIMIZED=FALSE&amp;VAR:CALENDAR=US&amp;VAR:SYMBOL=IFF&amp;VAR:INDEX=11"}</definedName>
    <definedName name="_2333__FDSAUDITLINK__" hidden="1">{"fdsup://directions/FAT Viewer?action=UPDATE&amp;creator=factset&amp;DYN_ARGS=TRUE&amp;DOC_NAME=FAT:FQL_AUDITING_CLIENT_TEMPLATE.FAT&amp;display_string=Audit&amp;VAR:KEY=GTUHORQVIH&amp;VAR:QUERY=Q1NGX0VCSVRfT1BFUihBTk4sMTIvMzEvMTk4MCwxMi8zMS8yMDA5LEFZKQ==&amp;WINDOW=FIRST_POPUP&amp;HEIGH","T=450&amp;WIDTH=450&amp;START_MAXIMIZED=FALSE&amp;VAR:CALENDAR=US&amp;VAR:SYMBOL=IFF&amp;VAR:INDEX=10"}</definedName>
    <definedName name="_2334__FDSAUDITLINK__" hidden="1">{"fdsup://directions/FAT Viewer?action=UPDATE&amp;creator=factset&amp;DYN_ARGS=TRUE&amp;DOC_NAME=FAT:FQL_AUDITING_CLIENT_TEMPLATE.FAT&amp;display_string=Audit&amp;VAR:KEY=GTUHORQVIH&amp;VAR:QUERY=Q1NGX0VCSVRfT1BFUihBTk4sMTIvMzEvMTk4MCwxMi8zMS8yMDA5LEFZKQ==&amp;WINDOW=FIRST_POPUP&amp;HEIGH","T=450&amp;WIDTH=450&amp;START_MAXIMIZED=FALSE&amp;VAR:CALENDAR=US&amp;VAR:SYMBOL=IFF&amp;VAR:INDEX=9"}</definedName>
    <definedName name="_2335__FDSAUDITLINK__" hidden="1">{"fdsup://directions/FAT Viewer?action=UPDATE&amp;creator=factset&amp;DYN_ARGS=TRUE&amp;DOC_NAME=FAT:FQL_AUDITING_CLIENT_TEMPLATE.FAT&amp;display_string=Audit&amp;VAR:KEY=GTUHORQVIH&amp;VAR:QUERY=Q1NGX0VCSVRfT1BFUihBTk4sMTIvMzEvMTk4MCwxMi8zMS8yMDA5LEFZKQ==&amp;WINDOW=FIRST_POPUP&amp;HEIGH","T=450&amp;WIDTH=450&amp;START_MAXIMIZED=FALSE&amp;VAR:CALENDAR=US&amp;VAR:SYMBOL=IFF&amp;VAR:INDEX=8"}</definedName>
    <definedName name="_2336__FDSAUDITLINK__" hidden="1">{"fdsup://directions/FAT Viewer?action=UPDATE&amp;creator=factset&amp;DYN_ARGS=TRUE&amp;DOC_NAME=FAT:FQL_AUDITING_CLIENT_TEMPLATE.FAT&amp;display_string=Audit&amp;VAR:KEY=GTUHORQVIH&amp;VAR:QUERY=Q1NGX0VCSVRfT1BFUihBTk4sMTIvMzEvMTk4MCwxMi8zMS8yMDA5LEFZKQ==&amp;WINDOW=FIRST_POPUP&amp;HEIGH","T=450&amp;WIDTH=450&amp;START_MAXIMIZED=FALSE&amp;VAR:CALENDAR=US&amp;VAR:SYMBOL=IFF&amp;VAR:INDEX=7"}</definedName>
    <definedName name="_2337__FDSAUDITLINK__" hidden="1">{"fdsup://directions/FAT Viewer?action=UPDATE&amp;creator=factset&amp;DYN_ARGS=TRUE&amp;DOC_NAME=FAT:FQL_AUDITING_CLIENT_TEMPLATE.FAT&amp;display_string=Audit&amp;VAR:KEY=GTUHORQVIH&amp;VAR:QUERY=Q1NGX0VCSVRfT1BFUihBTk4sMTIvMzEvMTk4MCwxMi8zMS8yMDA5LEFZKQ==&amp;WINDOW=FIRST_POPUP&amp;HEIGH","T=450&amp;WIDTH=450&amp;START_MAXIMIZED=FALSE&amp;VAR:CALENDAR=US&amp;VAR:SYMBOL=IFF&amp;VAR:INDEX=6"}</definedName>
    <definedName name="_2338__FDSAUDITLINK__" hidden="1">{"fdsup://directions/FAT Viewer?action=UPDATE&amp;creator=factset&amp;DYN_ARGS=TRUE&amp;DOC_NAME=FAT:FQL_AUDITING_CLIENT_TEMPLATE.FAT&amp;display_string=Audit&amp;VAR:KEY=GTUHORQVIH&amp;VAR:QUERY=Q1NGX0VCSVRfT1BFUihBTk4sMTIvMzEvMTk4MCwxMi8zMS8yMDA5LEFZKQ==&amp;WINDOW=FIRST_POPUP&amp;HEIGH","T=450&amp;WIDTH=450&amp;START_MAXIMIZED=FALSE&amp;VAR:CALENDAR=US&amp;VAR:SYMBOL=IFF&amp;VAR:INDEX=5"}</definedName>
    <definedName name="_2339__FDSAUDITLINK__" hidden="1">{"fdsup://directions/FAT Viewer?action=UPDATE&amp;creator=factset&amp;DYN_ARGS=TRUE&amp;DOC_NAME=FAT:FQL_AUDITING_CLIENT_TEMPLATE.FAT&amp;display_string=Audit&amp;VAR:KEY=GTUHORQVIH&amp;VAR:QUERY=Q1NGX0VCSVRfT1BFUihBTk4sMTIvMzEvMTk4MCwxMi8zMS8yMDA5LEFZKQ==&amp;WINDOW=FIRST_POPUP&amp;HEIGH","T=450&amp;WIDTH=450&amp;START_MAXIMIZED=FALSE&amp;VAR:CALENDAR=US&amp;VAR:SYMBOL=IFF&amp;VAR:INDEX=4"}</definedName>
    <definedName name="_234__FDSAUDITLINK__" hidden="1">{"fdsup://directions/FAT Viewer?action=UPDATE&amp;creator=factset&amp;DYN_ARGS=TRUE&amp;DOC_NAME=FAT:FQL_AUDITING_CLIENT_TEMPLATE.FAT&amp;display_string=Audit&amp;VAR:KEY=WTGLKJAJOF&amp;VAR:QUERY=Q1NGX0VCSVRfT1BFUihBTk4sMTIvMzEvODAsMCk=&amp;WINDOW=FIRST_POPUP&amp;HEIGHT=450&amp;WIDTH=450&amp;STAR","T_MAXIMIZED=FALSE&amp;VAR:CALENDAR=US&amp;VAR:SYMBOL=NLC&amp;VAR:INDEX=6"}</definedName>
    <definedName name="_2340__FDSAUDITLINK__" hidden="1">{"fdsup://directions/FAT Viewer?action=UPDATE&amp;creator=factset&amp;DYN_ARGS=TRUE&amp;DOC_NAME=FAT:FQL_AUDITING_CLIENT_TEMPLATE.FAT&amp;display_string=Audit&amp;VAR:KEY=GTUHORQVIH&amp;VAR:QUERY=Q1NGX0VCSVRfT1BFUihBTk4sMTIvMzEvMTk4MCwxMi8zMS8yMDA5LEFZKQ==&amp;WINDOW=FIRST_POPUP&amp;HEIGH","T=450&amp;WIDTH=450&amp;START_MAXIMIZED=FALSE&amp;VAR:CALENDAR=US&amp;VAR:SYMBOL=IFF&amp;VAR:INDEX=3"}</definedName>
    <definedName name="_2341__FDSAUDITLINK__" hidden="1">{"fdsup://directions/FAT Viewer?action=UPDATE&amp;creator=factset&amp;DYN_ARGS=TRUE&amp;DOC_NAME=FAT:FQL_AUDITING_CLIENT_TEMPLATE.FAT&amp;display_string=Audit&amp;VAR:KEY=GTUHORQVIH&amp;VAR:QUERY=Q1NGX0VCSVRfT1BFUihBTk4sMTIvMzEvMTk4MCwxMi8zMS8yMDA5LEFZKQ==&amp;WINDOW=FIRST_POPUP&amp;HEIGH","T=450&amp;WIDTH=450&amp;START_MAXIMIZED=FALSE&amp;VAR:CALENDAR=US&amp;VAR:SYMBOL=IFF&amp;VAR:INDEX=2"}</definedName>
    <definedName name="_2342__FDSAUDITLINK__" hidden="1">{"fdsup://directions/FAT Viewer?action=UPDATE&amp;creator=factset&amp;DYN_ARGS=TRUE&amp;DOC_NAME=FAT:FQL_AUDITING_CLIENT_TEMPLATE.FAT&amp;display_string=Audit&amp;VAR:KEY=GTUHORQVIH&amp;VAR:QUERY=Q1NGX0VCSVRfT1BFUihBTk4sMTIvMzEvMTk4MCwxMi8zMS8yMDA5LEFZKQ==&amp;WINDOW=FIRST_POPUP&amp;HEIGH","T=450&amp;WIDTH=450&amp;START_MAXIMIZED=FALSE&amp;VAR:CALENDAR=US&amp;VAR:SYMBOL=IFF&amp;VAR:INDEX=1"}</definedName>
    <definedName name="_2343__FDSAUDITLINK__" hidden="1">{"fdsup://directions/FAT Viewer?action=UPDATE&amp;creator=factset&amp;DYN_ARGS=TRUE&amp;DOC_NAME=FAT:FQL_AUDITING_CLIENT_TEMPLATE.FAT&amp;display_string=Audit&amp;VAR:KEY=GTUHORQVIH&amp;VAR:QUERY=Q1NGX0VCSVRfT1BFUihBTk4sMTIvMzEvMTk4MCwxMi8zMS8yMDA5LEFZKQ==&amp;WINDOW=FIRST_POPUP&amp;HEIGH","T=450&amp;WIDTH=450&amp;START_MAXIMIZED=FALSE&amp;VAR:CALENDAR=US&amp;VAR:SYMBOL=IFF&amp;VAR:INDEX=0"}</definedName>
    <definedName name="_2344__FDSAUDITLINK__" hidden="1">{"fdsup://directions/FAT Viewer?action=UPDATE&amp;creator=factset&amp;DYN_ARGS=TRUE&amp;DOC_NAME=FAT:FQL_AUDITING_CLIENT_TEMPLATE.FAT&amp;display_string=Audit&amp;VAR:KEY=NSTGXCRUJW&amp;VAR:QUERY=Q1NGX0VCSVRfT1BFUihMVE1fUiwwKQ==&amp;WINDOW=FIRST_POPUP&amp;HEIGHT=450&amp;WIDTH=450&amp;START_MAXIMI","ZED=FALSE&amp;VAR:CALENDAR=US&amp;VAR:SYMBOL=ECL&amp;VAR:INDEX=0"}</definedName>
    <definedName name="_2345__FDSAUDITLINK__" hidden="1">{"fdsup://directions/FAT Viewer?action=UPDATE&amp;creator=factset&amp;DYN_ARGS=TRUE&amp;DOC_NAME=FAT:FQL_AUDITING_CLIENT_TEMPLATE.FAT&amp;display_string=Audit&amp;VAR:KEY=CBONELYHAF&amp;VAR:QUERY=Q1NGX0VCSVRfT1BFUihBTk4sMTIvMzEvMTk4MCwxMi8zMS8yMDA5LEFZKQ==&amp;WINDOW=FIRST_POPUP&amp;HEIGH","T=450&amp;WIDTH=450&amp;START_MAXIMIZED=FALSE&amp;VAR:CALENDAR=US&amp;VAR:SYMBOL=ECL&amp;VAR:INDEX=29"}</definedName>
    <definedName name="_2346__FDSAUDITLINK__" hidden="1">{"fdsup://directions/FAT Viewer?action=UPDATE&amp;creator=factset&amp;DYN_ARGS=TRUE&amp;DOC_NAME=FAT:FQL_AUDITING_CLIENT_TEMPLATE.FAT&amp;display_string=Audit&amp;VAR:KEY=CBONELYHAF&amp;VAR:QUERY=Q1NGX0VCSVRfT1BFUihBTk4sMTIvMzEvMTk4MCwxMi8zMS8yMDA5LEFZKQ==&amp;WINDOW=FIRST_POPUP&amp;HEIGH","T=450&amp;WIDTH=450&amp;START_MAXIMIZED=FALSE&amp;VAR:CALENDAR=US&amp;VAR:SYMBOL=ECL&amp;VAR:INDEX=28"}</definedName>
    <definedName name="_2347__FDSAUDITLINK__" hidden="1">{"fdsup://directions/FAT Viewer?action=UPDATE&amp;creator=factset&amp;DYN_ARGS=TRUE&amp;DOC_NAME=FAT:FQL_AUDITING_CLIENT_TEMPLATE.FAT&amp;display_string=Audit&amp;VAR:KEY=CBONELYHAF&amp;VAR:QUERY=Q1NGX0VCSVRfT1BFUihBTk4sMTIvMzEvMTk4MCwxMi8zMS8yMDA5LEFZKQ==&amp;WINDOW=FIRST_POPUP&amp;HEIGH","T=450&amp;WIDTH=450&amp;START_MAXIMIZED=FALSE&amp;VAR:CALENDAR=US&amp;VAR:SYMBOL=ECL&amp;VAR:INDEX=27"}</definedName>
    <definedName name="_2348__FDSAUDITLINK__" hidden="1">{"fdsup://directions/FAT Viewer?action=UPDATE&amp;creator=factset&amp;DYN_ARGS=TRUE&amp;DOC_NAME=FAT:FQL_AUDITING_CLIENT_TEMPLATE.FAT&amp;display_string=Audit&amp;VAR:KEY=CBONELYHAF&amp;VAR:QUERY=Q1NGX0VCSVRfT1BFUihBTk4sMTIvMzEvMTk4MCwxMi8zMS8yMDA5LEFZKQ==&amp;WINDOW=FIRST_POPUP&amp;HEIGH","T=450&amp;WIDTH=450&amp;START_MAXIMIZED=FALSE&amp;VAR:CALENDAR=US&amp;VAR:SYMBOL=ECL&amp;VAR:INDEX=26"}</definedName>
    <definedName name="_2349__FDSAUDITLINK__" hidden="1">{"fdsup://directions/FAT Viewer?action=UPDATE&amp;creator=factset&amp;DYN_ARGS=TRUE&amp;DOC_NAME=FAT:FQL_AUDITING_CLIENT_TEMPLATE.FAT&amp;display_string=Audit&amp;VAR:KEY=CBONELYHAF&amp;VAR:QUERY=Q1NGX0VCSVRfT1BFUihBTk4sMTIvMzEvMTk4MCwxMi8zMS8yMDA5LEFZKQ==&amp;WINDOW=FIRST_POPUP&amp;HEIGH","T=450&amp;WIDTH=450&amp;START_MAXIMIZED=FALSE&amp;VAR:CALENDAR=US&amp;VAR:SYMBOL=ECL&amp;VAR:INDEX=25"}</definedName>
    <definedName name="_235__FDSAUDITLINK__" hidden="1">{"fdsup://directions/FAT Viewer?action=UPDATE&amp;creator=factset&amp;DYN_ARGS=TRUE&amp;DOC_NAME=FAT:FQL_AUDITING_CLIENT_TEMPLATE.FAT&amp;display_string=Audit&amp;VAR:KEY=WTGLKJAJOF&amp;VAR:QUERY=Q1NGX0VCSVRfT1BFUihBTk4sMTIvMzEvODAsMCk=&amp;WINDOW=FIRST_POPUP&amp;HEIGHT=450&amp;WIDTH=450&amp;STAR","T_MAXIMIZED=FALSE&amp;VAR:CALENDAR=US&amp;VAR:SYMBOL=NLC&amp;VAR:INDEX=5"}</definedName>
    <definedName name="_2350__FDSAUDITLINK__" hidden="1">{"fdsup://directions/FAT Viewer?action=UPDATE&amp;creator=factset&amp;DYN_ARGS=TRUE&amp;DOC_NAME=FAT:FQL_AUDITING_CLIENT_TEMPLATE.FAT&amp;display_string=Audit&amp;VAR:KEY=CBONELYHAF&amp;VAR:QUERY=Q1NGX0VCSVRfT1BFUihBTk4sMTIvMzEvMTk4MCwxMi8zMS8yMDA5LEFZKQ==&amp;WINDOW=FIRST_POPUP&amp;HEIGH","T=450&amp;WIDTH=450&amp;START_MAXIMIZED=FALSE&amp;VAR:CALENDAR=US&amp;VAR:SYMBOL=ECL&amp;VAR:INDEX=24"}</definedName>
    <definedName name="_2351__FDSAUDITLINK__" hidden="1">{"fdsup://directions/FAT Viewer?action=UPDATE&amp;creator=factset&amp;DYN_ARGS=TRUE&amp;DOC_NAME=FAT:FQL_AUDITING_CLIENT_TEMPLATE.FAT&amp;display_string=Audit&amp;VAR:KEY=CBONELYHAF&amp;VAR:QUERY=Q1NGX0VCSVRfT1BFUihBTk4sMTIvMzEvMTk4MCwxMi8zMS8yMDA5LEFZKQ==&amp;WINDOW=FIRST_POPUP&amp;HEIGH","T=450&amp;WIDTH=450&amp;START_MAXIMIZED=FALSE&amp;VAR:CALENDAR=US&amp;VAR:SYMBOL=ECL&amp;VAR:INDEX=23"}</definedName>
    <definedName name="_2352__FDSAUDITLINK__" hidden="1">{"fdsup://directions/FAT Viewer?action=UPDATE&amp;creator=factset&amp;DYN_ARGS=TRUE&amp;DOC_NAME=FAT:FQL_AUDITING_CLIENT_TEMPLATE.FAT&amp;display_string=Audit&amp;VAR:KEY=CBONELYHAF&amp;VAR:QUERY=Q1NGX0VCSVRfT1BFUihBTk4sMTIvMzEvMTk4MCwxMi8zMS8yMDA5LEFZKQ==&amp;WINDOW=FIRST_POPUP&amp;HEIGH","T=450&amp;WIDTH=450&amp;START_MAXIMIZED=FALSE&amp;VAR:CALENDAR=US&amp;VAR:SYMBOL=ECL&amp;VAR:INDEX=22"}</definedName>
    <definedName name="_2353__FDSAUDITLINK__" hidden="1">{"fdsup://directions/FAT Viewer?action=UPDATE&amp;creator=factset&amp;DYN_ARGS=TRUE&amp;DOC_NAME=FAT:FQL_AUDITING_CLIENT_TEMPLATE.FAT&amp;display_string=Audit&amp;VAR:KEY=CBONELYHAF&amp;VAR:QUERY=Q1NGX0VCSVRfT1BFUihBTk4sMTIvMzEvMTk4MCwxMi8zMS8yMDA5LEFZKQ==&amp;WINDOW=FIRST_POPUP&amp;HEIGH","T=450&amp;WIDTH=450&amp;START_MAXIMIZED=FALSE&amp;VAR:CALENDAR=US&amp;VAR:SYMBOL=ECL&amp;VAR:INDEX=21"}</definedName>
    <definedName name="_2354__FDSAUDITLINK__" hidden="1">{"fdsup://directions/FAT Viewer?action=UPDATE&amp;creator=factset&amp;DYN_ARGS=TRUE&amp;DOC_NAME=FAT:FQL_AUDITING_CLIENT_TEMPLATE.FAT&amp;display_string=Audit&amp;VAR:KEY=CBONELYHAF&amp;VAR:QUERY=Q1NGX0VCSVRfT1BFUihBTk4sMTIvMzEvMTk4MCwxMi8zMS8yMDA5LEFZKQ==&amp;WINDOW=FIRST_POPUP&amp;HEIGH","T=450&amp;WIDTH=450&amp;START_MAXIMIZED=FALSE&amp;VAR:CALENDAR=US&amp;VAR:SYMBOL=ECL&amp;VAR:INDEX=20"}</definedName>
    <definedName name="_2355__FDSAUDITLINK__" hidden="1">{"fdsup://directions/FAT Viewer?action=UPDATE&amp;creator=factset&amp;DYN_ARGS=TRUE&amp;DOC_NAME=FAT:FQL_AUDITING_CLIENT_TEMPLATE.FAT&amp;display_string=Audit&amp;VAR:KEY=CBONELYHAF&amp;VAR:QUERY=Q1NGX0VCSVRfT1BFUihBTk4sMTIvMzEvMTk4MCwxMi8zMS8yMDA5LEFZKQ==&amp;WINDOW=FIRST_POPUP&amp;HEIGH","T=450&amp;WIDTH=450&amp;START_MAXIMIZED=FALSE&amp;VAR:CALENDAR=US&amp;VAR:SYMBOL=ECL&amp;VAR:INDEX=19"}</definedName>
    <definedName name="_2356__FDSAUDITLINK__" hidden="1">{"fdsup://directions/FAT Viewer?action=UPDATE&amp;creator=factset&amp;DYN_ARGS=TRUE&amp;DOC_NAME=FAT:FQL_AUDITING_CLIENT_TEMPLATE.FAT&amp;display_string=Audit&amp;VAR:KEY=CBONELYHAF&amp;VAR:QUERY=Q1NGX0VCSVRfT1BFUihBTk4sMTIvMzEvMTk4MCwxMi8zMS8yMDA5LEFZKQ==&amp;WINDOW=FIRST_POPUP&amp;HEIGH","T=450&amp;WIDTH=450&amp;START_MAXIMIZED=FALSE&amp;VAR:CALENDAR=US&amp;VAR:SYMBOL=ECL&amp;VAR:INDEX=18"}</definedName>
    <definedName name="_2357__FDSAUDITLINK__" hidden="1">{"fdsup://directions/FAT Viewer?action=UPDATE&amp;creator=factset&amp;DYN_ARGS=TRUE&amp;DOC_NAME=FAT:FQL_AUDITING_CLIENT_TEMPLATE.FAT&amp;display_string=Audit&amp;VAR:KEY=CBONELYHAF&amp;VAR:QUERY=Q1NGX0VCSVRfT1BFUihBTk4sMTIvMzEvMTk4MCwxMi8zMS8yMDA5LEFZKQ==&amp;WINDOW=FIRST_POPUP&amp;HEIGH","T=450&amp;WIDTH=450&amp;START_MAXIMIZED=FALSE&amp;VAR:CALENDAR=US&amp;VAR:SYMBOL=ECL&amp;VAR:INDEX=17"}</definedName>
    <definedName name="_2358__FDSAUDITLINK__" hidden="1">{"fdsup://directions/FAT Viewer?action=UPDATE&amp;creator=factset&amp;DYN_ARGS=TRUE&amp;DOC_NAME=FAT:FQL_AUDITING_CLIENT_TEMPLATE.FAT&amp;display_string=Audit&amp;VAR:KEY=CBONELYHAF&amp;VAR:QUERY=Q1NGX0VCSVRfT1BFUihBTk4sMTIvMzEvMTk4MCwxMi8zMS8yMDA5LEFZKQ==&amp;WINDOW=FIRST_POPUP&amp;HEIGH","T=450&amp;WIDTH=450&amp;START_MAXIMIZED=FALSE&amp;VAR:CALENDAR=US&amp;VAR:SYMBOL=ECL&amp;VAR:INDEX=16"}</definedName>
    <definedName name="_2359__FDSAUDITLINK__" hidden="1">{"fdsup://directions/FAT Viewer?action=UPDATE&amp;creator=factset&amp;DYN_ARGS=TRUE&amp;DOC_NAME=FAT:FQL_AUDITING_CLIENT_TEMPLATE.FAT&amp;display_string=Audit&amp;VAR:KEY=CBONELYHAF&amp;VAR:QUERY=Q1NGX0VCSVRfT1BFUihBTk4sMTIvMzEvMTk4MCwxMi8zMS8yMDA5LEFZKQ==&amp;WINDOW=FIRST_POPUP&amp;HEIGH","T=450&amp;WIDTH=450&amp;START_MAXIMIZED=FALSE&amp;VAR:CALENDAR=US&amp;VAR:SYMBOL=ECL&amp;VAR:INDEX=15"}</definedName>
    <definedName name="_236__FDSAUDITLINK__" hidden="1">{"fdsup://directions/FAT Viewer?action=UPDATE&amp;creator=factset&amp;DYN_ARGS=TRUE&amp;DOC_NAME=FAT:FQL_AUDITING_CLIENT_TEMPLATE.FAT&amp;display_string=Audit&amp;VAR:KEY=WTGLKJAJOF&amp;VAR:QUERY=Q1NGX0VCSVRfT1BFUihBTk4sMTIvMzEvODAsMCk=&amp;WINDOW=FIRST_POPUP&amp;HEIGHT=450&amp;WIDTH=450&amp;STAR","T_MAXIMIZED=FALSE&amp;VAR:CALENDAR=US&amp;VAR:SYMBOL=NLC&amp;VAR:INDEX=4"}</definedName>
    <definedName name="_2360__FDSAUDITLINK__" hidden="1">{"fdsup://directions/FAT Viewer?action=UPDATE&amp;creator=factset&amp;DYN_ARGS=TRUE&amp;DOC_NAME=FAT:FQL_AUDITING_CLIENT_TEMPLATE.FAT&amp;display_string=Audit&amp;VAR:KEY=CBONELYHAF&amp;VAR:QUERY=Q1NGX0VCSVRfT1BFUihBTk4sMTIvMzEvMTk4MCwxMi8zMS8yMDA5LEFZKQ==&amp;WINDOW=FIRST_POPUP&amp;HEIGH","T=450&amp;WIDTH=450&amp;START_MAXIMIZED=FALSE&amp;VAR:CALENDAR=US&amp;VAR:SYMBOL=ECL&amp;VAR:INDEX=14"}</definedName>
    <definedName name="_2361__FDSAUDITLINK__" hidden="1">{"fdsup://directions/FAT Viewer?action=UPDATE&amp;creator=factset&amp;DYN_ARGS=TRUE&amp;DOC_NAME=FAT:FQL_AUDITING_CLIENT_TEMPLATE.FAT&amp;display_string=Audit&amp;VAR:KEY=CBONELYHAF&amp;VAR:QUERY=Q1NGX0VCSVRfT1BFUihBTk4sMTIvMzEvMTk4MCwxMi8zMS8yMDA5LEFZKQ==&amp;WINDOW=FIRST_POPUP&amp;HEIGH","T=450&amp;WIDTH=450&amp;START_MAXIMIZED=FALSE&amp;VAR:CALENDAR=US&amp;VAR:SYMBOL=ECL&amp;VAR:INDEX=13"}</definedName>
    <definedName name="_2362__FDSAUDITLINK__" hidden="1">{"fdsup://directions/FAT Viewer?action=UPDATE&amp;creator=factset&amp;DYN_ARGS=TRUE&amp;DOC_NAME=FAT:FQL_AUDITING_CLIENT_TEMPLATE.FAT&amp;display_string=Audit&amp;VAR:KEY=CBONELYHAF&amp;VAR:QUERY=Q1NGX0VCSVRfT1BFUihBTk4sMTIvMzEvMTk4MCwxMi8zMS8yMDA5LEFZKQ==&amp;WINDOW=FIRST_POPUP&amp;HEIGH","T=450&amp;WIDTH=450&amp;START_MAXIMIZED=FALSE&amp;VAR:CALENDAR=US&amp;VAR:SYMBOL=ECL&amp;VAR:INDEX=12"}</definedName>
    <definedName name="_2363__FDSAUDITLINK__" hidden="1">{"fdsup://directions/FAT Viewer?action=UPDATE&amp;creator=factset&amp;DYN_ARGS=TRUE&amp;DOC_NAME=FAT:FQL_AUDITING_CLIENT_TEMPLATE.FAT&amp;display_string=Audit&amp;VAR:KEY=CBONELYHAF&amp;VAR:QUERY=Q1NGX0VCSVRfT1BFUihBTk4sMTIvMzEvMTk4MCwxMi8zMS8yMDA5LEFZKQ==&amp;WINDOW=FIRST_POPUP&amp;HEIGH","T=450&amp;WIDTH=450&amp;START_MAXIMIZED=FALSE&amp;VAR:CALENDAR=US&amp;VAR:SYMBOL=ECL&amp;VAR:INDEX=11"}</definedName>
    <definedName name="_2364__FDSAUDITLINK__" hidden="1">{"fdsup://directions/FAT Viewer?action=UPDATE&amp;creator=factset&amp;DYN_ARGS=TRUE&amp;DOC_NAME=FAT:FQL_AUDITING_CLIENT_TEMPLATE.FAT&amp;display_string=Audit&amp;VAR:KEY=CBONELYHAF&amp;VAR:QUERY=Q1NGX0VCSVRfT1BFUihBTk4sMTIvMzEvMTk4MCwxMi8zMS8yMDA5LEFZKQ==&amp;WINDOW=FIRST_POPUP&amp;HEIGH","T=450&amp;WIDTH=450&amp;START_MAXIMIZED=FALSE&amp;VAR:CALENDAR=US&amp;VAR:SYMBOL=ECL&amp;VAR:INDEX=10"}</definedName>
    <definedName name="_2365__FDSAUDITLINK__" hidden="1">{"fdsup://directions/FAT Viewer?action=UPDATE&amp;creator=factset&amp;DYN_ARGS=TRUE&amp;DOC_NAME=FAT:FQL_AUDITING_CLIENT_TEMPLATE.FAT&amp;display_string=Audit&amp;VAR:KEY=CBONELYHAF&amp;VAR:QUERY=Q1NGX0VCSVRfT1BFUihBTk4sMTIvMzEvMTk4MCwxMi8zMS8yMDA5LEFZKQ==&amp;WINDOW=FIRST_POPUP&amp;HEIGH","T=450&amp;WIDTH=450&amp;START_MAXIMIZED=FALSE&amp;VAR:CALENDAR=US&amp;VAR:SYMBOL=ECL&amp;VAR:INDEX=9"}</definedName>
    <definedName name="_2366__FDSAUDITLINK__" hidden="1">{"fdsup://directions/FAT Viewer?action=UPDATE&amp;creator=factset&amp;DYN_ARGS=TRUE&amp;DOC_NAME=FAT:FQL_AUDITING_CLIENT_TEMPLATE.FAT&amp;display_string=Audit&amp;VAR:KEY=CBONELYHAF&amp;VAR:QUERY=Q1NGX0VCSVRfT1BFUihBTk4sMTIvMzEvMTk4MCwxMi8zMS8yMDA5LEFZKQ==&amp;WINDOW=FIRST_POPUP&amp;HEIGH","T=450&amp;WIDTH=450&amp;START_MAXIMIZED=FALSE&amp;VAR:CALENDAR=US&amp;VAR:SYMBOL=ECL&amp;VAR:INDEX=8"}</definedName>
    <definedName name="_2367__FDSAUDITLINK__" hidden="1">{"fdsup://directions/FAT Viewer?action=UPDATE&amp;creator=factset&amp;DYN_ARGS=TRUE&amp;DOC_NAME=FAT:FQL_AUDITING_CLIENT_TEMPLATE.FAT&amp;display_string=Audit&amp;VAR:KEY=CBONELYHAF&amp;VAR:QUERY=Q1NGX0VCSVRfT1BFUihBTk4sMTIvMzEvMTk4MCwxMi8zMS8yMDA5LEFZKQ==&amp;WINDOW=FIRST_POPUP&amp;HEIGH","T=450&amp;WIDTH=450&amp;START_MAXIMIZED=FALSE&amp;VAR:CALENDAR=US&amp;VAR:SYMBOL=ECL&amp;VAR:INDEX=7"}</definedName>
    <definedName name="_2368__FDSAUDITLINK__" hidden="1">{"fdsup://directions/FAT Viewer?action=UPDATE&amp;creator=factset&amp;DYN_ARGS=TRUE&amp;DOC_NAME=FAT:FQL_AUDITING_CLIENT_TEMPLATE.FAT&amp;display_string=Audit&amp;VAR:KEY=CBONELYHAF&amp;VAR:QUERY=Q1NGX0VCSVRfT1BFUihBTk4sMTIvMzEvMTk4MCwxMi8zMS8yMDA5LEFZKQ==&amp;WINDOW=FIRST_POPUP&amp;HEIGH","T=450&amp;WIDTH=450&amp;START_MAXIMIZED=FALSE&amp;VAR:CALENDAR=US&amp;VAR:SYMBOL=ECL&amp;VAR:INDEX=6"}</definedName>
    <definedName name="_2369__FDSAUDITLINK__" hidden="1">{"fdsup://directions/FAT Viewer?action=UPDATE&amp;creator=factset&amp;DYN_ARGS=TRUE&amp;DOC_NAME=FAT:FQL_AUDITING_CLIENT_TEMPLATE.FAT&amp;display_string=Audit&amp;VAR:KEY=CBONELYHAF&amp;VAR:QUERY=Q1NGX0VCSVRfT1BFUihBTk4sMTIvMzEvMTk4MCwxMi8zMS8yMDA5LEFZKQ==&amp;WINDOW=FIRST_POPUP&amp;HEIGH","T=450&amp;WIDTH=450&amp;START_MAXIMIZED=FALSE&amp;VAR:CALENDAR=US&amp;VAR:SYMBOL=ECL&amp;VAR:INDEX=5"}</definedName>
    <definedName name="_237__FDSAUDITLINK__" hidden="1">{"fdsup://directions/FAT Viewer?action=UPDATE&amp;creator=factset&amp;DYN_ARGS=TRUE&amp;DOC_NAME=FAT:FQL_AUDITING_CLIENT_TEMPLATE.FAT&amp;display_string=Audit&amp;VAR:KEY=WTGLKJAJOF&amp;VAR:QUERY=Q1NGX0VCSVRfT1BFUihBTk4sMTIvMzEvODAsMCk=&amp;WINDOW=FIRST_POPUP&amp;HEIGHT=450&amp;WIDTH=450&amp;STAR","T_MAXIMIZED=FALSE&amp;VAR:CALENDAR=US&amp;VAR:SYMBOL=NLC&amp;VAR:INDEX=3"}</definedName>
    <definedName name="_2370__FDSAUDITLINK__" hidden="1">{"fdsup://directions/FAT Viewer?action=UPDATE&amp;creator=factset&amp;DYN_ARGS=TRUE&amp;DOC_NAME=FAT:FQL_AUDITING_CLIENT_TEMPLATE.FAT&amp;display_string=Audit&amp;VAR:KEY=CBONELYHAF&amp;VAR:QUERY=Q1NGX0VCSVRfT1BFUihBTk4sMTIvMzEvMTk4MCwxMi8zMS8yMDA5LEFZKQ==&amp;WINDOW=FIRST_POPUP&amp;HEIGH","T=450&amp;WIDTH=450&amp;START_MAXIMIZED=FALSE&amp;VAR:CALENDAR=US&amp;VAR:SYMBOL=ECL&amp;VAR:INDEX=4"}</definedName>
    <definedName name="_2371__FDSAUDITLINK__" hidden="1">{"fdsup://directions/FAT Viewer?action=UPDATE&amp;creator=factset&amp;DYN_ARGS=TRUE&amp;DOC_NAME=FAT:FQL_AUDITING_CLIENT_TEMPLATE.FAT&amp;display_string=Audit&amp;VAR:KEY=CBONELYHAF&amp;VAR:QUERY=Q1NGX0VCSVRfT1BFUihBTk4sMTIvMzEvMTk4MCwxMi8zMS8yMDA5LEFZKQ==&amp;WINDOW=FIRST_POPUP&amp;HEIGH","T=450&amp;WIDTH=450&amp;START_MAXIMIZED=FALSE&amp;VAR:CALENDAR=US&amp;VAR:SYMBOL=ECL&amp;VAR:INDEX=3"}</definedName>
    <definedName name="_2372__FDSAUDITLINK__" hidden="1">{"fdsup://directions/FAT Viewer?action=UPDATE&amp;creator=factset&amp;DYN_ARGS=TRUE&amp;DOC_NAME=FAT:FQL_AUDITING_CLIENT_TEMPLATE.FAT&amp;display_string=Audit&amp;VAR:KEY=CBONELYHAF&amp;VAR:QUERY=Q1NGX0VCSVRfT1BFUihBTk4sMTIvMzEvMTk4MCwxMi8zMS8yMDA5LEFZKQ==&amp;WINDOW=FIRST_POPUP&amp;HEIGH","T=450&amp;WIDTH=450&amp;START_MAXIMIZED=FALSE&amp;VAR:CALENDAR=US&amp;VAR:SYMBOL=ECL&amp;VAR:INDEX=2"}</definedName>
    <definedName name="_2373__FDSAUDITLINK__" hidden="1">{"fdsup://directions/FAT Viewer?action=UPDATE&amp;creator=factset&amp;DYN_ARGS=TRUE&amp;DOC_NAME=FAT:FQL_AUDITING_CLIENT_TEMPLATE.FAT&amp;display_string=Audit&amp;VAR:KEY=CBONELYHAF&amp;VAR:QUERY=Q1NGX0VCSVRfT1BFUihBTk4sMTIvMzEvMTk4MCwxMi8zMS8yMDA5LEFZKQ==&amp;WINDOW=FIRST_POPUP&amp;HEIGH","T=450&amp;WIDTH=450&amp;START_MAXIMIZED=FALSE&amp;VAR:CALENDAR=US&amp;VAR:SYMBOL=ECL&amp;VAR:INDEX=1"}</definedName>
    <definedName name="_2374__FDSAUDITLINK__" hidden="1">{"fdsup://directions/FAT Viewer?action=UPDATE&amp;creator=factset&amp;DYN_ARGS=TRUE&amp;DOC_NAME=FAT:FQL_AUDITING_CLIENT_TEMPLATE.FAT&amp;display_string=Audit&amp;VAR:KEY=CBONELYHAF&amp;VAR:QUERY=Q1NGX0VCSVRfT1BFUihBTk4sMTIvMzEvMTk4MCwxMi8zMS8yMDA5LEFZKQ==&amp;WINDOW=FIRST_POPUP&amp;HEIGH","T=450&amp;WIDTH=450&amp;START_MAXIMIZED=FALSE&amp;VAR:CALENDAR=US&amp;VAR:SYMBOL=ECL&amp;VAR:INDEX=0"}</definedName>
    <definedName name="_2375__FDSAUDITLINK__" hidden="1">{"fdsup://directions/FAT Viewer?action=UPDATE&amp;creator=factset&amp;DYN_ARGS=TRUE&amp;DOC_NAME=FAT:FQL_AUDITING_CLIENT_TEMPLATE.FAT&amp;display_string=Audit&amp;VAR:KEY=LCRMDEVATC&amp;VAR:QUERY=Q1NGX0VCSVRfT1BFUihMVE1fUiwwKQ==&amp;WINDOW=FIRST_POPUP&amp;HEIGHT=450&amp;WIDTH=450&amp;START_MAXIMI","ZED=FALSE&amp;VAR:CALENDAR=US&amp;VAR:SYMBOL=VAL&amp;VAR:INDEX=0"}</definedName>
    <definedName name="_2376__FDSAUDITLINK__" hidden="1">{"fdsup://directions/FAT Viewer?action=UPDATE&amp;creator=factset&amp;DYN_ARGS=TRUE&amp;DOC_NAME=FAT:FQL_AUDITING_CLIENT_TEMPLATE.FAT&amp;display_string=Audit&amp;VAR:KEY=CBGLWFCJIJ&amp;VAR:QUERY=Q1NGX0VCSVRfT1BFUihBTk4sMTIvMzEvMTk4MCwxMi8zMS8yMDA5LEFZKQ==&amp;WINDOW=FIRST_POPUP&amp;HEIGH","T=450&amp;WIDTH=450&amp;START_MAXIMIZED=FALSE&amp;VAR:CALENDAR=US&amp;VAR:SYMBOL=VAL&amp;VAR:INDEX=29"}</definedName>
    <definedName name="_2377__FDSAUDITLINK__" hidden="1">{"fdsup://directions/FAT Viewer?action=UPDATE&amp;creator=factset&amp;DYN_ARGS=TRUE&amp;DOC_NAME=FAT:FQL_AUDITING_CLIENT_TEMPLATE.FAT&amp;display_string=Audit&amp;VAR:KEY=CBGLWFCJIJ&amp;VAR:QUERY=Q1NGX0VCSVRfT1BFUihBTk4sMTIvMzEvMTk4MCwxMi8zMS8yMDA5LEFZKQ==&amp;WINDOW=FIRST_POPUP&amp;HEIGH","T=450&amp;WIDTH=450&amp;START_MAXIMIZED=FALSE&amp;VAR:CALENDAR=US&amp;VAR:SYMBOL=VAL&amp;VAR:INDEX=28"}</definedName>
    <definedName name="_2378__FDSAUDITLINK__" hidden="1">{"fdsup://directions/FAT Viewer?action=UPDATE&amp;creator=factset&amp;DYN_ARGS=TRUE&amp;DOC_NAME=FAT:FQL_AUDITING_CLIENT_TEMPLATE.FAT&amp;display_string=Audit&amp;VAR:KEY=CBGLWFCJIJ&amp;VAR:QUERY=Q1NGX0VCSVRfT1BFUihBTk4sMTIvMzEvMTk4MCwxMi8zMS8yMDA5LEFZKQ==&amp;WINDOW=FIRST_POPUP&amp;HEIGH","T=450&amp;WIDTH=450&amp;START_MAXIMIZED=FALSE&amp;VAR:CALENDAR=US&amp;VAR:SYMBOL=VAL&amp;VAR:INDEX=27"}</definedName>
    <definedName name="_2379__FDSAUDITLINK__" hidden="1">{"fdsup://directions/FAT Viewer?action=UPDATE&amp;creator=factset&amp;DYN_ARGS=TRUE&amp;DOC_NAME=FAT:FQL_AUDITING_CLIENT_TEMPLATE.FAT&amp;display_string=Audit&amp;VAR:KEY=CBGLWFCJIJ&amp;VAR:QUERY=Q1NGX0VCSVRfT1BFUihBTk4sMTIvMzEvMTk4MCwxMi8zMS8yMDA5LEFZKQ==&amp;WINDOW=FIRST_POPUP&amp;HEIGH","T=450&amp;WIDTH=450&amp;START_MAXIMIZED=FALSE&amp;VAR:CALENDAR=US&amp;VAR:SYMBOL=VAL&amp;VAR:INDEX=26"}</definedName>
    <definedName name="_238__FDSAUDITLINK__" hidden="1">{"fdsup://directions/FAT Viewer?action=UPDATE&amp;creator=factset&amp;DYN_ARGS=TRUE&amp;DOC_NAME=FAT:FQL_AUDITING_CLIENT_TEMPLATE.FAT&amp;display_string=Audit&amp;VAR:KEY=WTGLKJAJOF&amp;VAR:QUERY=Q1NGX0VCSVRfT1BFUihBTk4sMTIvMzEvODAsMCk=&amp;WINDOW=FIRST_POPUP&amp;HEIGHT=450&amp;WIDTH=450&amp;STAR","T_MAXIMIZED=FALSE&amp;VAR:CALENDAR=US&amp;VAR:SYMBOL=NLC&amp;VAR:INDEX=2"}</definedName>
    <definedName name="_2380__FDSAUDITLINK__" hidden="1">{"fdsup://directions/FAT Viewer?action=UPDATE&amp;creator=factset&amp;DYN_ARGS=TRUE&amp;DOC_NAME=FAT:FQL_AUDITING_CLIENT_TEMPLATE.FAT&amp;display_string=Audit&amp;VAR:KEY=CBGLWFCJIJ&amp;VAR:QUERY=Q1NGX0VCSVRfT1BFUihBTk4sMTIvMzEvMTk4MCwxMi8zMS8yMDA5LEFZKQ==&amp;WINDOW=FIRST_POPUP&amp;HEIGH","T=450&amp;WIDTH=450&amp;START_MAXIMIZED=FALSE&amp;VAR:CALENDAR=US&amp;VAR:SYMBOL=VAL&amp;VAR:INDEX=25"}</definedName>
    <definedName name="_2381__FDSAUDITLINK__" hidden="1">{"fdsup://directions/FAT Viewer?action=UPDATE&amp;creator=factset&amp;DYN_ARGS=TRUE&amp;DOC_NAME=FAT:FQL_AUDITING_CLIENT_TEMPLATE.FAT&amp;display_string=Audit&amp;VAR:KEY=CBGLWFCJIJ&amp;VAR:QUERY=Q1NGX0VCSVRfT1BFUihBTk4sMTIvMzEvMTk4MCwxMi8zMS8yMDA5LEFZKQ==&amp;WINDOW=FIRST_POPUP&amp;HEIGH","T=450&amp;WIDTH=450&amp;START_MAXIMIZED=FALSE&amp;VAR:CALENDAR=US&amp;VAR:SYMBOL=VAL&amp;VAR:INDEX=24"}</definedName>
    <definedName name="_2382__FDSAUDITLINK__" hidden="1">{"fdsup://directions/FAT Viewer?action=UPDATE&amp;creator=factset&amp;DYN_ARGS=TRUE&amp;DOC_NAME=FAT:FQL_AUDITING_CLIENT_TEMPLATE.FAT&amp;display_string=Audit&amp;VAR:KEY=CBGLWFCJIJ&amp;VAR:QUERY=Q1NGX0VCSVRfT1BFUihBTk4sMTIvMzEvMTk4MCwxMi8zMS8yMDA5LEFZKQ==&amp;WINDOW=FIRST_POPUP&amp;HEIGH","T=450&amp;WIDTH=450&amp;START_MAXIMIZED=FALSE&amp;VAR:CALENDAR=US&amp;VAR:SYMBOL=VAL&amp;VAR:INDEX=23"}</definedName>
    <definedName name="_2383__FDSAUDITLINK__" hidden="1">{"fdsup://directions/FAT Viewer?action=UPDATE&amp;creator=factset&amp;DYN_ARGS=TRUE&amp;DOC_NAME=FAT:FQL_AUDITING_CLIENT_TEMPLATE.FAT&amp;display_string=Audit&amp;VAR:KEY=CBGLWFCJIJ&amp;VAR:QUERY=Q1NGX0VCSVRfT1BFUihBTk4sMTIvMzEvMTk4MCwxMi8zMS8yMDA5LEFZKQ==&amp;WINDOW=FIRST_POPUP&amp;HEIGH","T=450&amp;WIDTH=450&amp;START_MAXIMIZED=FALSE&amp;VAR:CALENDAR=US&amp;VAR:SYMBOL=VAL&amp;VAR:INDEX=22"}</definedName>
    <definedName name="_2384__FDSAUDITLINK__" hidden="1">{"fdsup://directions/FAT Viewer?action=UPDATE&amp;creator=factset&amp;DYN_ARGS=TRUE&amp;DOC_NAME=FAT:FQL_AUDITING_CLIENT_TEMPLATE.FAT&amp;display_string=Audit&amp;VAR:KEY=CBGLWFCJIJ&amp;VAR:QUERY=Q1NGX0VCSVRfT1BFUihBTk4sMTIvMzEvMTk4MCwxMi8zMS8yMDA5LEFZKQ==&amp;WINDOW=FIRST_POPUP&amp;HEIGH","T=450&amp;WIDTH=450&amp;START_MAXIMIZED=FALSE&amp;VAR:CALENDAR=US&amp;VAR:SYMBOL=VAL&amp;VAR:INDEX=21"}</definedName>
    <definedName name="_2385__FDSAUDITLINK__" hidden="1">{"fdsup://directions/FAT Viewer?action=UPDATE&amp;creator=factset&amp;DYN_ARGS=TRUE&amp;DOC_NAME=FAT:FQL_AUDITING_CLIENT_TEMPLATE.FAT&amp;display_string=Audit&amp;VAR:KEY=CBGLWFCJIJ&amp;VAR:QUERY=Q1NGX0VCSVRfT1BFUihBTk4sMTIvMzEvMTk4MCwxMi8zMS8yMDA5LEFZKQ==&amp;WINDOW=FIRST_POPUP&amp;HEIGH","T=450&amp;WIDTH=450&amp;START_MAXIMIZED=FALSE&amp;VAR:CALENDAR=US&amp;VAR:SYMBOL=VAL&amp;VAR:INDEX=20"}</definedName>
    <definedName name="_2386__FDSAUDITLINK__" hidden="1">{"fdsup://directions/FAT Viewer?action=UPDATE&amp;creator=factset&amp;DYN_ARGS=TRUE&amp;DOC_NAME=FAT:FQL_AUDITING_CLIENT_TEMPLATE.FAT&amp;display_string=Audit&amp;VAR:KEY=CBGLWFCJIJ&amp;VAR:QUERY=Q1NGX0VCSVRfT1BFUihBTk4sMTIvMzEvMTk4MCwxMi8zMS8yMDA5LEFZKQ==&amp;WINDOW=FIRST_POPUP&amp;HEIGH","T=450&amp;WIDTH=450&amp;START_MAXIMIZED=FALSE&amp;VAR:CALENDAR=US&amp;VAR:SYMBOL=VAL&amp;VAR:INDEX=19"}</definedName>
    <definedName name="_2387__FDSAUDITLINK__" hidden="1">{"fdsup://directions/FAT Viewer?action=UPDATE&amp;creator=factset&amp;DYN_ARGS=TRUE&amp;DOC_NAME=FAT:FQL_AUDITING_CLIENT_TEMPLATE.FAT&amp;display_string=Audit&amp;VAR:KEY=CBGLWFCJIJ&amp;VAR:QUERY=Q1NGX0VCSVRfT1BFUihBTk4sMTIvMzEvMTk4MCwxMi8zMS8yMDA5LEFZKQ==&amp;WINDOW=FIRST_POPUP&amp;HEIGH","T=450&amp;WIDTH=450&amp;START_MAXIMIZED=FALSE&amp;VAR:CALENDAR=US&amp;VAR:SYMBOL=VAL&amp;VAR:INDEX=18"}</definedName>
    <definedName name="_2388__FDSAUDITLINK__" hidden="1">{"fdsup://directions/FAT Viewer?action=UPDATE&amp;creator=factset&amp;DYN_ARGS=TRUE&amp;DOC_NAME=FAT:FQL_AUDITING_CLIENT_TEMPLATE.FAT&amp;display_string=Audit&amp;VAR:KEY=CBGLWFCJIJ&amp;VAR:QUERY=Q1NGX0VCSVRfT1BFUihBTk4sMTIvMzEvMTk4MCwxMi8zMS8yMDA5LEFZKQ==&amp;WINDOW=FIRST_POPUP&amp;HEIGH","T=450&amp;WIDTH=450&amp;START_MAXIMIZED=FALSE&amp;VAR:CALENDAR=US&amp;VAR:SYMBOL=VAL&amp;VAR:INDEX=17"}</definedName>
    <definedName name="_2389__FDSAUDITLINK__" hidden="1">{"fdsup://directions/FAT Viewer?action=UPDATE&amp;creator=factset&amp;DYN_ARGS=TRUE&amp;DOC_NAME=FAT:FQL_AUDITING_CLIENT_TEMPLATE.FAT&amp;display_string=Audit&amp;VAR:KEY=CBGLWFCJIJ&amp;VAR:QUERY=Q1NGX0VCSVRfT1BFUihBTk4sMTIvMzEvMTk4MCwxMi8zMS8yMDA5LEFZKQ==&amp;WINDOW=FIRST_POPUP&amp;HEIGH","T=450&amp;WIDTH=450&amp;START_MAXIMIZED=FALSE&amp;VAR:CALENDAR=US&amp;VAR:SYMBOL=VAL&amp;VAR:INDEX=16"}</definedName>
    <definedName name="_239__FDSAUDITLINK__" hidden="1">{"fdsup://directions/FAT Viewer?action=UPDATE&amp;creator=factset&amp;DYN_ARGS=TRUE&amp;DOC_NAME=FAT:FQL_AUDITING_CLIENT_TEMPLATE.FAT&amp;display_string=Audit&amp;VAR:KEY=WTGLKJAJOF&amp;VAR:QUERY=Q1NGX0VCSVRfT1BFUihBTk4sMTIvMzEvODAsMCk=&amp;WINDOW=FIRST_POPUP&amp;HEIGHT=450&amp;WIDTH=450&amp;STAR","T_MAXIMIZED=FALSE&amp;VAR:CALENDAR=US&amp;VAR:SYMBOL=NLC&amp;VAR:INDEX=1"}</definedName>
    <definedName name="_2390__FDSAUDITLINK__" hidden="1">{"fdsup://directions/FAT Viewer?action=UPDATE&amp;creator=factset&amp;DYN_ARGS=TRUE&amp;DOC_NAME=FAT:FQL_AUDITING_CLIENT_TEMPLATE.FAT&amp;display_string=Audit&amp;VAR:KEY=CBGLWFCJIJ&amp;VAR:QUERY=Q1NGX0VCSVRfT1BFUihBTk4sMTIvMzEvMTk4MCwxMi8zMS8yMDA5LEFZKQ==&amp;WINDOW=FIRST_POPUP&amp;HEIGH","T=450&amp;WIDTH=450&amp;START_MAXIMIZED=FALSE&amp;VAR:CALENDAR=US&amp;VAR:SYMBOL=VAL&amp;VAR:INDEX=15"}</definedName>
    <definedName name="_2391__FDSAUDITLINK__" hidden="1">{"fdsup://directions/FAT Viewer?action=UPDATE&amp;creator=factset&amp;DYN_ARGS=TRUE&amp;DOC_NAME=FAT:FQL_AUDITING_CLIENT_TEMPLATE.FAT&amp;display_string=Audit&amp;VAR:KEY=CBGLWFCJIJ&amp;VAR:QUERY=Q1NGX0VCSVRfT1BFUihBTk4sMTIvMzEvMTk4MCwxMi8zMS8yMDA5LEFZKQ==&amp;WINDOW=FIRST_POPUP&amp;HEIGH","T=450&amp;WIDTH=450&amp;START_MAXIMIZED=FALSE&amp;VAR:CALENDAR=US&amp;VAR:SYMBOL=VAL&amp;VAR:INDEX=14"}</definedName>
    <definedName name="_2392__FDSAUDITLINK__" hidden="1">{"fdsup://directions/FAT Viewer?action=UPDATE&amp;creator=factset&amp;DYN_ARGS=TRUE&amp;DOC_NAME=FAT:FQL_AUDITING_CLIENT_TEMPLATE.FAT&amp;display_string=Audit&amp;VAR:KEY=CBGLWFCJIJ&amp;VAR:QUERY=Q1NGX0VCSVRfT1BFUihBTk4sMTIvMzEvMTk4MCwxMi8zMS8yMDA5LEFZKQ==&amp;WINDOW=FIRST_POPUP&amp;HEIGH","T=450&amp;WIDTH=450&amp;START_MAXIMIZED=FALSE&amp;VAR:CALENDAR=US&amp;VAR:SYMBOL=VAL&amp;VAR:INDEX=13"}</definedName>
    <definedName name="_2393__FDSAUDITLINK__" hidden="1">{"fdsup://directions/FAT Viewer?action=UPDATE&amp;creator=factset&amp;DYN_ARGS=TRUE&amp;DOC_NAME=FAT:FQL_AUDITING_CLIENT_TEMPLATE.FAT&amp;display_string=Audit&amp;VAR:KEY=CBGLWFCJIJ&amp;VAR:QUERY=Q1NGX0VCSVRfT1BFUihBTk4sMTIvMzEvMTk4MCwxMi8zMS8yMDA5LEFZKQ==&amp;WINDOW=FIRST_POPUP&amp;HEIGH","T=450&amp;WIDTH=450&amp;START_MAXIMIZED=FALSE&amp;VAR:CALENDAR=US&amp;VAR:SYMBOL=VAL&amp;VAR:INDEX=12"}</definedName>
    <definedName name="_2394__FDSAUDITLINK__" hidden="1">{"fdsup://directions/FAT Viewer?action=UPDATE&amp;creator=factset&amp;DYN_ARGS=TRUE&amp;DOC_NAME=FAT:FQL_AUDITING_CLIENT_TEMPLATE.FAT&amp;display_string=Audit&amp;VAR:KEY=CBGLWFCJIJ&amp;VAR:QUERY=Q1NGX0VCSVRfT1BFUihBTk4sMTIvMzEvMTk4MCwxMi8zMS8yMDA5LEFZKQ==&amp;WINDOW=FIRST_POPUP&amp;HEIGH","T=450&amp;WIDTH=450&amp;START_MAXIMIZED=FALSE&amp;VAR:CALENDAR=US&amp;VAR:SYMBOL=VAL&amp;VAR:INDEX=11"}</definedName>
    <definedName name="_2395__FDSAUDITLINK__" hidden="1">{"fdsup://directions/FAT Viewer?action=UPDATE&amp;creator=factset&amp;DYN_ARGS=TRUE&amp;DOC_NAME=FAT:FQL_AUDITING_CLIENT_TEMPLATE.FAT&amp;display_string=Audit&amp;VAR:KEY=CBGLWFCJIJ&amp;VAR:QUERY=Q1NGX0VCSVRfT1BFUihBTk4sMTIvMzEvMTk4MCwxMi8zMS8yMDA5LEFZKQ==&amp;WINDOW=FIRST_POPUP&amp;HEIGH","T=450&amp;WIDTH=450&amp;START_MAXIMIZED=FALSE&amp;VAR:CALENDAR=US&amp;VAR:SYMBOL=VAL&amp;VAR:INDEX=10"}</definedName>
    <definedName name="_2396__FDSAUDITLINK__" hidden="1">{"fdsup://directions/FAT Viewer?action=UPDATE&amp;creator=factset&amp;DYN_ARGS=TRUE&amp;DOC_NAME=FAT:FQL_AUDITING_CLIENT_TEMPLATE.FAT&amp;display_string=Audit&amp;VAR:KEY=CBGLWFCJIJ&amp;VAR:QUERY=Q1NGX0VCSVRfT1BFUihBTk4sMTIvMzEvMTk4MCwxMi8zMS8yMDA5LEFZKQ==&amp;WINDOW=FIRST_POPUP&amp;HEIGH","T=450&amp;WIDTH=450&amp;START_MAXIMIZED=FALSE&amp;VAR:CALENDAR=US&amp;VAR:SYMBOL=VAL&amp;VAR:INDEX=9"}</definedName>
    <definedName name="_2397__FDSAUDITLINK__" hidden="1">{"fdsup://directions/FAT Viewer?action=UPDATE&amp;creator=factset&amp;DYN_ARGS=TRUE&amp;DOC_NAME=FAT:FQL_AUDITING_CLIENT_TEMPLATE.FAT&amp;display_string=Audit&amp;VAR:KEY=CBGLWFCJIJ&amp;VAR:QUERY=Q1NGX0VCSVRfT1BFUihBTk4sMTIvMzEvMTk4MCwxMi8zMS8yMDA5LEFZKQ==&amp;WINDOW=FIRST_POPUP&amp;HEIGH","T=450&amp;WIDTH=450&amp;START_MAXIMIZED=FALSE&amp;VAR:CALENDAR=US&amp;VAR:SYMBOL=VAL&amp;VAR:INDEX=8"}</definedName>
    <definedName name="_2398__FDSAUDITLINK__" hidden="1">{"fdsup://directions/FAT Viewer?action=UPDATE&amp;creator=factset&amp;DYN_ARGS=TRUE&amp;DOC_NAME=FAT:FQL_AUDITING_CLIENT_TEMPLATE.FAT&amp;display_string=Audit&amp;VAR:KEY=CBGLWFCJIJ&amp;VAR:QUERY=Q1NGX0VCSVRfT1BFUihBTk4sMTIvMzEvMTk4MCwxMi8zMS8yMDA5LEFZKQ==&amp;WINDOW=FIRST_POPUP&amp;HEIGH","T=450&amp;WIDTH=450&amp;START_MAXIMIZED=FALSE&amp;VAR:CALENDAR=US&amp;VAR:SYMBOL=VAL&amp;VAR:INDEX=7"}</definedName>
    <definedName name="_2399__FDSAUDITLINK__" hidden="1">{"fdsup://directions/FAT Viewer?action=UPDATE&amp;creator=factset&amp;DYN_ARGS=TRUE&amp;DOC_NAME=FAT:FQL_AUDITING_CLIENT_TEMPLATE.FAT&amp;display_string=Audit&amp;VAR:KEY=CBGLWFCJIJ&amp;VAR:QUERY=Q1NGX0VCSVRfT1BFUihBTk4sMTIvMzEvMTk4MCwxMi8zMS8yMDA5LEFZKQ==&amp;WINDOW=FIRST_POPUP&amp;HEIGH","T=450&amp;WIDTH=450&amp;START_MAXIMIZED=FALSE&amp;VAR:CALENDAR=US&amp;VAR:SYMBOL=VAL&amp;VAR:INDEX=6"}</definedName>
    <definedName name="_24__FDSAUDITLINK__" hidden="1">{"fdsup://directions/FAT Viewer?action=UPDATE&amp;creator=factset&amp;DYN_ARGS=TRUE&amp;DOC_NAME=FAT:FQL_AUDITING_CLIENT_TEMPLATE.FAT&amp;display_string=Audit&amp;VAR:KEY=QZMTMLQNSF&amp;VAR:QUERY=Q1NGX0dST1NTX0lOQyhRVFJfUiwtM0FZLDAsRlEp&amp;WINDOW=FIRST_POPUP&amp;HEIGHT=450&amp;WIDTH=450&amp;STAR","T_MAXIMIZED=FALSE&amp;VAR:CALENDAR=US&amp;VAR:SYMBOL=CE&amp;VAR:INDEX=2"}</definedName>
    <definedName name="_240__FDSAUDITLINK__" hidden="1">{"fdsup://directions/FAT Viewer?action=UPDATE&amp;creator=factset&amp;DYN_ARGS=TRUE&amp;DOC_NAME=FAT:FQL_AUDITING_CLIENT_TEMPLATE.FAT&amp;display_string=Audit&amp;VAR:KEY=WTGLKJAJOF&amp;VAR:QUERY=Q1NGX0VCSVRfT1BFUihBTk4sMTIvMzEvODAsMCk=&amp;WINDOW=FIRST_POPUP&amp;HEIGHT=450&amp;WIDTH=450&amp;STAR","T_MAXIMIZED=FALSE&amp;VAR:CALENDAR=US&amp;VAR:SYMBOL=NLC&amp;VAR:INDEX=0"}</definedName>
    <definedName name="_2400__FDSAUDITLINK__" hidden="1">{"fdsup://directions/FAT Viewer?action=UPDATE&amp;creator=factset&amp;DYN_ARGS=TRUE&amp;DOC_NAME=FAT:FQL_AUDITING_CLIENT_TEMPLATE.FAT&amp;display_string=Audit&amp;VAR:KEY=CBGLWFCJIJ&amp;VAR:QUERY=Q1NGX0VCSVRfT1BFUihBTk4sMTIvMzEvMTk4MCwxMi8zMS8yMDA5LEFZKQ==&amp;WINDOW=FIRST_POPUP&amp;HEIGH","T=450&amp;WIDTH=450&amp;START_MAXIMIZED=FALSE&amp;VAR:CALENDAR=US&amp;VAR:SYMBOL=VAL&amp;VAR:INDEX=5"}</definedName>
    <definedName name="_2401__FDSAUDITLINK__" hidden="1">{"fdsup://directions/FAT Viewer?action=UPDATE&amp;creator=factset&amp;DYN_ARGS=TRUE&amp;DOC_NAME=FAT:FQL_AUDITING_CLIENT_TEMPLATE.FAT&amp;display_string=Audit&amp;VAR:KEY=CBGLWFCJIJ&amp;VAR:QUERY=Q1NGX0VCSVRfT1BFUihBTk4sMTIvMzEvMTk4MCwxMi8zMS8yMDA5LEFZKQ==&amp;WINDOW=FIRST_POPUP&amp;HEIGH","T=450&amp;WIDTH=450&amp;START_MAXIMIZED=FALSE&amp;VAR:CALENDAR=US&amp;VAR:SYMBOL=VAL&amp;VAR:INDEX=4"}</definedName>
    <definedName name="_2402__FDSAUDITLINK__" hidden="1">{"fdsup://directions/FAT Viewer?action=UPDATE&amp;creator=factset&amp;DYN_ARGS=TRUE&amp;DOC_NAME=FAT:FQL_AUDITING_CLIENT_TEMPLATE.FAT&amp;display_string=Audit&amp;VAR:KEY=CBGLWFCJIJ&amp;VAR:QUERY=Q1NGX0VCSVRfT1BFUihBTk4sMTIvMzEvMTk4MCwxMi8zMS8yMDA5LEFZKQ==&amp;WINDOW=FIRST_POPUP&amp;HEIGH","T=450&amp;WIDTH=450&amp;START_MAXIMIZED=FALSE&amp;VAR:CALENDAR=US&amp;VAR:SYMBOL=VAL&amp;VAR:INDEX=3"}</definedName>
    <definedName name="_2403__FDSAUDITLINK__" hidden="1">{"fdsup://directions/FAT Viewer?action=UPDATE&amp;creator=factset&amp;DYN_ARGS=TRUE&amp;DOC_NAME=FAT:FQL_AUDITING_CLIENT_TEMPLATE.FAT&amp;display_string=Audit&amp;VAR:KEY=CBGLWFCJIJ&amp;VAR:QUERY=Q1NGX0VCSVRfT1BFUihBTk4sMTIvMzEvMTk4MCwxMi8zMS8yMDA5LEFZKQ==&amp;WINDOW=FIRST_POPUP&amp;HEIGH","T=450&amp;WIDTH=450&amp;START_MAXIMIZED=FALSE&amp;VAR:CALENDAR=US&amp;VAR:SYMBOL=VAL&amp;VAR:INDEX=2"}</definedName>
    <definedName name="_2404__FDSAUDITLINK__" hidden="1">{"fdsup://directions/FAT Viewer?action=UPDATE&amp;creator=factset&amp;DYN_ARGS=TRUE&amp;DOC_NAME=FAT:FQL_AUDITING_CLIENT_TEMPLATE.FAT&amp;display_string=Audit&amp;VAR:KEY=CBGLWFCJIJ&amp;VAR:QUERY=Q1NGX0VCSVRfT1BFUihBTk4sMTIvMzEvMTk4MCwxMi8zMS8yMDA5LEFZKQ==&amp;WINDOW=FIRST_POPUP&amp;HEIGH","T=450&amp;WIDTH=450&amp;START_MAXIMIZED=FALSE&amp;VAR:CALENDAR=US&amp;VAR:SYMBOL=VAL&amp;VAR:INDEX=1"}</definedName>
    <definedName name="_2405__FDSAUDITLINK__" hidden="1">{"fdsup://directions/FAT Viewer?action=UPDATE&amp;creator=factset&amp;DYN_ARGS=TRUE&amp;DOC_NAME=FAT:FQL_AUDITING_CLIENT_TEMPLATE.FAT&amp;display_string=Audit&amp;VAR:KEY=CBGLWFCJIJ&amp;VAR:QUERY=Q1NGX0VCSVRfT1BFUihBTk4sMTIvMzEvMTk4MCwxMi8zMS8yMDA5LEFZKQ==&amp;WINDOW=FIRST_POPUP&amp;HEIGH","T=450&amp;WIDTH=450&amp;START_MAXIMIZED=FALSE&amp;VAR:CALENDAR=US&amp;VAR:SYMBOL=VAL&amp;VAR:INDEX=0"}</definedName>
    <definedName name="_2406__FDSAUDITLINK__" hidden="1">{"fdsup://directions/FAT Viewer?action=UPDATE&amp;creator=factset&amp;DYN_ARGS=TRUE&amp;DOC_NAME=FAT:FQL_AUDITING_CLIENT_TEMPLATE.FAT&amp;display_string=Audit&amp;VAR:KEY=TUNOHMDWXA&amp;VAR:QUERY=Q1NGX0VCSVRfT1BFUihMVE1fUiwwKQ==&amp;WINDOW=FIRST_POPUP&amp;HEIGHT=450&amp;WIDTH=450&amp;START_MAXIMI","ZED=FALSE&amp;VAR:CALENDAR=US&amp;VAR:SYMBOL=SHW&amp;VAR:INDEX=0"}</definedName>
    <definedName name="_2407__FDSAUDITLINK__" hidden="1">{"fdsup://directions/FAT Viewer?action=UPDATE&amp;creator=factset&amp;DYN_ARGS=TRUE&amp;DOC_NAME=FAT:FQL_AUDITING_CLIENT_TEMPLATE.FAT&amp;display_string=Audit&amp;VAR:KEY=CBWLOHGTUP&amp;VAR:QUERY=Q1NGX0VCSVRfT1BFUihBTk4sMTIvMzEvMTk4MCwxMi8zMS8yMDA5LEFZKQ==&amp;WINDOW=FIRST_POPUP&amp;HEIGH","T=450&amp;WIDTH=450&amp;START_MAXIMIZED=FALSE&amp;VAR:CALENDAR=US&amp;VAR:SYMBOL=SHW&amp;VAR:INDEX=29"}</definedName>
    <definedName name="_2408__FDSAUDITLINK__" hidden="1">{"fdsup://directions/FAT Viewer?action=UPDATE&amp;creator=factset&amp;DYN_ARGS=TRUE&amp;DOC_NAME=FAT:FQL_AUDITING_CLIENT_TEMPLATE.FAT&amp;display_string=Audit&amp;VAR:KEY=CBWLOHGTUP&amp;VAR:QUERY=Q1NGX0VCSVRfT1BFUihBTk4sMTIvMzEvMTk4MCwxMi8zMS8yMDA5LEFZKQ==&amp;WINDOW=FIRST_POPUP&amp;HEIGH","T=450&amp;WIDTH=450&amp;START_MAXIMIZED=FALSE&amp;VAR:CALENDAR=US&amp;VAR:SYMBOL=SHW&amp;VAR:INDEX=28"}</definedName>
    <definedName name="_2409__FDSAUDITLINK__" hidden="1">{"fdsup://directions/FAT Viewer?action=UPDATE&amp;creator=factset&amp;DYN_ARGS=TRUE&amp;DOC_NAME=FAT:FQL_AUDITING_CLIENT_TEMPLATE.FAT&amp;display_string=Audit&amp;VAR:KEY=CBWLOHGTUP&amp;VAR:QUERY=Q1NGX0VCSVRfT1BFUihBTk4sMTIvMzEvMTk4MCwxMi8zMS8yMDA5LEFZKQ==&amp;WINDOW=FIRST_POPUP&amp;HEIGH","T=450&amp;WIDTH=450&amp;START_MAXIMIZED=FALSE&amp;VAR:CALENDAR=US&amp;VAR:SYMBOL=SHW&amp;VAR:INDEX=27"}</definedName>
    <definedName name="_241__FDSAUDITLINK__" hidden="1">{"fdsup://directions/FAT Viewer?action=UPDATE&amp;creator=factset&amp;DYN_ARGS=TRUE&amp;DOC_NAME=FAT:FQL_AUDITING_CLIENT_TEMPLATE.FAT&amp;display_string=Audit&amp;VAR:KEY=KHABQZCFGJ&amp;VAR:QUERY=Q1NGX0VCSVRfT1BFUihMVE1fUiwwKQ==&amp;WINDOW=FIRST_POPUP&amp;HEIGHT=450&amp;WIDTH=450&amp;START_MAXIMI","ZED=FALSE&amp;VAR:CALENDAR=US&amp;VAR:SYMBOL=CYT&amp;VAR:INDEX=0"}</definedName>
    <definedName name="_2410__FDSAUDITLINK__" hidden="1">{"fdsup://directions/FAT Viewer?action=UPDATE&amp;creator=factset&amp;DYN_ARGS=TRUE&amp;DOC_NAME=FAT:FQL_AUDITING_CLIENT_TEMPLATE.FAT&amp;display_string=Audit&amp;VAR:KEY=CBWLOHGTUP&amp;VAR:QUERY=Q1NGX0VCSVRfT1BFUihBTk4sMTIvMzEvMTk4MCwxMi8zMS8yMDA5LEFZKQ==&amp;WINDOW=FIRST_POPUP&amp;HEIGH","T=450&amp;WIDTH=450&amp;START_MAXIMIZED=FALSE&amp;VAR:CALENDAR=US&amp;VAR:SYMBOL=SHW&amp;VAR:INDEX=26"}</definedName>
    <definedName name="_2411__FDSAUDITLINK__" hidden="1">{"fdsup://directions/FAT Viewer?action=UPDATE&amp;creator=factset&amp;DYN_ARGS=TRUE&amp;DOC_NAME=FAT:FQL_AUDITING_CLIENT_TEMPLATE.FAT&amp;display_string=Audit&amp;VAR:KEY=CBWLOHGTUP&amp;VAR:QUERY=Q1NGX0VCSVRfT1BFUihBTk4sMTIvMzEvMTk4MCwxMi8zMS8yMDA5LEFZKQ==&amp;WINDOW=FIRST_POPUP&amp;HEIGH","T=450&amp;WIDTH=450&amp;START_MAXIMIZED=FALSE&amp;VAR:CALENDAR=US&amp;VAR:SYMBOL=SHW&amp;VAR:INDEX=25"}</definedName>
    <definedName name="_2412__FDSAUDITLINK__" hidden="1">{"fdsup://directions/FAT Viewer?action=UPDATE&amp;creator=factset&amp;DYN_ARGS=TRUE&amp;DOC_NAME=FAT:FQL_AUDITING_CLIENT_TEMPLATE.FAT&amp;display_string=Audit&amp;VAR:KEY=CBWLOHGTUP&amp;VAR:QUERY=Q1NGX0VCSVRfT1BFUihBTk4sMTIvMzEvMTk4MCwxMi8zMS8yMDA5LEFZKQ==&amp;WINDOW=FIRST_POPUP&amp;HEIGH","T=450&amp;WIDTH=450&amp;START_MAXIMIZED=FALSE&amp;VAR:CALENDAR=US&amp;VAR:SYMBOL=SHW&amp;VAR:INDEX=24"}</definedName>
    <definedName name="_2413__FDSAUDITLINK__" hidden="1">{"fdsup://directions/FAT Viewer?action=UPDATE&amp;creator=factset&amp;DYN_ARGS=TRUE&amp;DOC_NAME=FAT:FQL_AUDITING_CLIENT_TEMPLATE.FAT&amp;display_string=Audit&amp;VAR:KEY=CBWLOHGTUP&amp;VAR:QUERY=Q1NGX0VCSVRfT1BFUihBTk4sMTIvMzEvMTk4MCwxMi8zMS8yMDA5LEFZKQ==&amp;WINDOW=FIRST_POPUP&amp;HEIGH","T=450&amp;WIDTH=450&amp;START_MAXIMIZED=FALSE&amp;VAR:CALENDAR=US&amp;VAR:SYMBOL=SHW&amp;VAR:INDEX=23"}</definedName>
    <definedName name="_2414__FDSAUDITLINK__" hidden="1">{"fdsup://directions/FAT Viewer?action=UPDATE&amp;creator=factset&amp;DYN_ARGS=TRUE&amp;DOC_NAME=FAT:FQL_AUDITING_CLIENT_TEMPLATE.FAT&amp;display_string=Audit&amp;VAR:KEY=CBWLOHGTUP&amp;VAR:QUERY=Q1NGX0VCSVRfT1BFUihBTk4sMTIvMzEvMTk4MCwxMi8zMS8yMDA5LEFZKQ==&amp;WINDOW=FIRST_POPUP&amp;HEIGH","T=450&amp;WIDTH=450&amp;START_MAXIMIZED=FALSE&amp;VAR:CALENDAR=US&amp;VAR:SYMBOL=SHW&amp;VAR:INDEX=22"}</definedName>
    <definedName name="_2415__FDSAUDITLINK__" hidden="1">{"fdsup://directions/FAT Viewer?action=UPDATE&amp;creator=factset&amp;DYN_ARGS=TRUE&amp;DOC_NAME=FAT:FQL_AUDITING_CLIENT_TEMPLATE.FAT&amp;display_string=Audit&amp;VAR:KEY=CBWLOHGTUP&amp;VAR:QUERY=Q1NGX0VCSVRfT1BFUihBTk4sMTIvMzEvMTk4MCwxMi8zMS8yMDA5LEFZKQ==&amp;WINDOW=FIRST_POPUP&amp;HEIGH","T=450&amp;WIDTH=450&amp;START_MAXIMIZED=FALSE&amp;VAR:CALENDAR=US&amp;VAR:SYMBOL=SHW&amp;VAR:INDEX=21"}</definedName>
    <definedName name="_2416__FDSAUDITLINK__" hidden="1">{"fdsup://directions/FAT Viewer?action=UPDATE&amp;creator=factset&amp;DYN_ARGS=TRUE&amp;DOC_NAME=FAT:FQL_AUDITING_CLIENT_TEMPLATE.FAT&amp;display_string=Audit&amp;VAR:KEY=CBWLOHGTUP&amp;VAR:QUERY=Q1NGX0VCSVRfT1BFUihBTk4sMTIvMzEvMTk4MCwxMi8zMS8yMDA5LEFZKQ==&amp;WINDOW=FIRST_POPUP&amp;HEIGH","T=450&amp;WIDTH=450&amp;START_MAXIMIZED=FALSE&amp;VAR:CALENDAR=US&amp;VAR:SYMBOL=SHW&amp;VAR:INDEX=20"}</definedName>
    <definedName name="_2417__FDSAUDITLINK__" hidden="1">{"fdsup://directions/FAT Viewer?action=UPDATE&amp;creator=factset&amp;DYN_ARGS=TRUE&amp;DOC_NAME=FAT:FQL_AUDITING_CLIENT_TEMPLATE.FAT&amp;display_string=Audit&amp;VAR:KEY=CBWLOHGTUP&amp;VAR:QUERY=Q1NGX0VCSVRfT1BFUihBTk4sMTIvMzEvMTk4MCwxMi8zMS8yMDA5LEFZKQ==&amp;WINDOW=FIRST_POPUP&amp;HEIGH","T=450&amp;WIDTH=450&amp;START_MAXIMIZED=FALSE&amp;VAR:CALENDAR=US&amp;VAR:SYMBOL=SHW&amp;VAR:INDEX=19"}</definedName>
    <definedName name="_2418__FDSAUDITLINK__" hidden="1">{"fdsup://directions/FAT Viewer?action=UPDATE&amp;creator=factset&amp;DYN_ARGS=TRUE&amp;DOC_NAME=FAT:FQL_AUDITING_CLIENT_TEMPLATE.FAT&amp;display_string=Audit&amp;VAR:KEY=CBWLOHGTUP&amp;VAR:QUERY=Q1NGX0VCSVRfT1BFUihBTk4sMTIvMzEvMTk4MCwxMi8zMS8yMDA5LEFZKQ==&amp;WINDOW=FIRST_POPUP&amp;HEIGH","T=450&amp;WIDTH=450&amp;START_MAXIMIZED=FALSE&amp;VAR:CALENDAR=US&amp;VAR:SYMBOL=SHW&amp;VAR:INDEX=18"}</definedName>
    <definedName name="_2419__FDSAUDITLINK__" hidden="1">{"fdsup://directions/FAT Viewer?action=UPDATE&amp;creator=factset&amp;DYN_ARGS=TRUE&amp;DOC_NAME=FAT:FQL_AUDITING_CLIENT_TEMPLATE.FAT&amp;display_string=Audit&amp;VAR:KEY=CBWLOHGTUP&amp;VAR:QUERY=Q1NGX0VCSVRfT1BFUihBTk4sMTIvMzEvMTk4MCwxMi8zMS8yMDA5LEFZKQ==&amp;WINDOW=FIRST_POPUP&amp;HEIGH","T=450&amp;WIDTH=450&amp;START_MAXIMIZED=FALSE&amp;VAR:CALENDAR=US&amp;VAR:SYMBOL=SHW&amp;VAR:INDEX=17"}</definedName>
    <definedName name="_242__FDSAUDITLINK__" hidden="1">{"fdsup://directions/FAT Viewer?action=UPDATE&amp;creator=factset&amp;DYN_ARGS=TRUE&amp;DOC_NAME=FAT:FQL_AUDITING_CLIENT_TEMPLATE.FAT&amp;display_string=Audit&amp;VAR:KEY=CNWFMPUVUB&amp;VAR:QUERY=Q1NGX0VCSVRfT1BFUihBTk4sMTIvMzEvODAsMCk=&amp;WINDOW=FIRST_POPUP&amp;HEIGHT=450&amp;WIDTH=450&amp;STAR","T_MAXIMIZED=FALSE&amp;VAR:CALENDAR=US&amp;VAR:SYMBOL=CYT&amp;VAR:INDEX=29"}</definedName>
    <definedName name="_2420__FDSAUDITLINK__" hidden="1">{"fdsup://directions/FAT Viewer?action=UPDATE&amp;creator=factset&amp;DYN_ARGS=TRUE&amp;DOC_NAME=FAT:FQL_AUDITING_CLIENT_TEMPLATE.FAT&amp;display_string=Audit&amp;VAR:KEY=CBWLOHGTUP&amp;VAR:QUERY=Q1NGX0VCSVRfT1BFUihBTk4sMTIvMzEvMTk4MCwxMi8zMS8yMDA5LEFZKQ==&amp;WINDOW=FIRST_POPUP&amp;HEIGH","T=450&amp;WIDTH=450&amp;START_MAXIMIZED=FALSE&amp;VAR:CALENDAR=US&amp;VAR:SYMBOL=SHW&amp;VAR:INDEX=16"}</definedName>
    <definedName name="_2421__FDSAUDITLINK__" hidden="1">{"fdsup://directions/FAT Viewer?action=UPDATE&amp;creator=factset&amp;DYN_ARGS=TRUE&amp;DOC_NAME=FAT:FQL_AUDITING_CLIENT_TEMPLATE.FAT&amp;display_string=Audit&amp;VAR:KEY=CBWLOHGTUP&amp;VAR:QUERY=Q1NGX0VCSVRfT1BFUihBTk4sMTIvMzEvMTk4MCwxMi8zMS8yMDA5LEFZKQ==&amp;WINDOW=FIRST_POPUP&amp;HEIGH","T=450&amp;WIDTH=450&amp;START_MAXIMIZED=FALSE&amp;VAR:CALENDAR=US&amp;VAR:SYMBOL=SHW&amp;VAR:INDEX=15"}</definedName>
    <definedName name="_2422__FDSAUDITLINK__" hidden="1">{"fdsup://directions/FAT Viewer?action=UPDATE&amp;creator=factset&amp;DYN_ARGS=TRUE&amp;DOC_NAME=FAT:FQL_AUDITING_CLIENT_TEMPLATE.FAT&amp;display_string=Audit&amp;VAR:KEY=CBWLOHGTUP&amp;VAR:QUERY=Q1NGX0VCSVRfT1BFUihBTk4sMTIvMzEvMTk4MCwxMi8zMS8yMDA5LEFZKQ==&amp;WINDOW=FIRST_POPUP&amp;HEIGH","T=450&amp;WIDTH=450&amp;START_MAXIMIZED=FALSE&amp;VAR:CALENDAR=US&amp;VAR:SYMBOL=SHW&amp;VAR:INDEX=14"}</definedName>
    <definedName name="_2423__FDSAUDITLINK__" hidden="1">{"fdsup://directions/FAT Viewer?action=UPDATE&amp;creator=factset&amp;DYN_ARGS=TRUE&amp;DOC_NAME=FAT:FQL_AUDITING_CLIENT_TEMPLATE.FAT&amp;display_string=Audit&amp;VAR:KEY=CBWLOHGTUP&amp;VAR:QUERY=Q1NGX0VCSVRfT1BFUihBTk4sMTIvMzEvMTk4MCwxMi8zMS8yMDA5LEFZKQ==&amp;WINDOW=FIRST_POPUP&amp;HEIGH","T=450&amp;WIDTH=450&amp;START_MAXIMIZED=FALSE&amp;VAR:CALENDAR=US&amp;VAR:SYMBOL=SHW&amp;VAR:INDEX=13"}</definedName>
    <definedName name="_2424__FDSAUDITLINK__" hidden="1">{"fdsup://directions/FAT Viewer?action=UPDATE&amp;creator=factset&amp;DYN_ARGS=TRUE&amp;DOC_NAME=FAT:FQL_AUDITING_CLIENT_TEMPLATE.FAT&amp;display_string=Audit&amp;VAR:KEY=CBWLOHGTUP&amp;VAR:QUERY=Q1NGX0VCSVRfT1BFUihBTk4sMTIvMzEvMTk4MCwxMi8zMS8yMDA5LEFZKQ==&amp;WINDOW=FIRST_POPUP&amp;HEIGH","T=450&amp;WIDTH=450&amp;START_MAXIMIZED=FALSE&amp;VAR:CALENDAR=US&amp;VAR:SYMBOL=SHW&amp;VAR:INDEX=12"}</definedName>
    <definedName name="_2425__FDSAUDITLINK__" hidden="1">{"fdsup://directions/FAT Viewer?action=UPDATE&amp;creator=factset&amp;DYN_ARGS=TRUE&amp;DOC_NAME=FAT:FQL_AUDITING_CLIENT_TEMPLATE.FAT&amp;display_string=Audit&amp;VAR:KEY=CBWLOHGTUP&amp;VAR:QUERY=Q1NGX0VCSVRfT1BFUihBTk4sMTIvMzEvMTk4MCwxMi8zMS8yMDA5LEFZKQ==&amp;WINDOW=FIRST_POPUP&amp;HEIGH","T=450&amp;WIDTH=450&amp;START_MAXIMIZED=FALSE&amp;VAR:CALENDAR=US&amp;VAR:SYMBOL=SHW&amp;VAR:INDEX=11"}</definedName>
    <definedName name="_2426__FDSAUDITLINK__" hidden="1">{"fdsup://directions/FAT Viewer?action=UPDATE&amp;creator=factset&amp;DYN_ARGS=TRUE&amp;DOC_NAME=FAT:FQL_AUDITING_CLIENT_TEMPLATE.FAT&amp;display_string=Audit&amp;VAR:KEY=CBWLOHGTUP&amp;VAR:QUERY=Q1NGX0VCSVRfT1BFUihBTk4sMTIvMzEvMTk4MCwxMi8zMS8yMDA5LEFZKQ==&amp;WINDOW=FIRST_POPUP&amp;HEIGH","T=450&amp;WIDTH=450&amp;START_MAXIMIZED=FALSE&amp;VAR:CALENDAR=US&amp;VAR:SYMBOL=SHW&amp;VAR:INDEX=10"}</definedName>
    <definedName name="_2427__FDSAUDITLINK__" hidden="1">{"fdsup://directions/FAT Viewer?action=UPDATE&amp;creator=factset&amp;DYN_ARGS=TRUE&amp;DOC_NAME=FAT:FQL_AUDITING_CLIENT_TEMPLATE.FAT&amp;display_string=Audit&amp;VAR:KEY=CBWLOHGTUP&amp;VAR:QUERY=Q1NGX0VCSVRfT1BFUihBTk4sMTIvMzEvMTk4MCwxMi8zMS8yMDA5LEFZKQ==&amp;WINDOW=FIRST_POPUP&amp;HEIGH","T=450&amp;WIDTH=450&amp;START_MAXIMIZED=FALSE&amp;VAR:CALENDAR=US&amp;VAR:SYMBOL=SHW&amp;VAR:INDEX=9"}</definedName>
    <definedName name="_2428__FDSAUDITLINK__" hidden="1">{"fdsup://directions/FAT Viewer?action=UPDATE&amp;creator=factset&amp;DYN_ARGS=TRUE&amp;DOC_NAME=FAT:FQL_AUDITING_CLIENT_TEMPLATE.FAT&amp;display_string=Audit&amp;VAR:KEY=CBWLOHGTUP&amp;VAR:QUERY=Q1NGX0VCSVRfT1BFUihBTk4sMTIvMzEvMTk4MCwxMi8zMS8yMDA5LEFZKQ==&amp;WINDOW=FIRST_POPUP&amp;HEIGH","T=450&amp;WIDTH=450&amp;START_MAXIMIZED=FALSE&amp;VAR:CALENDAR=US&amp;VAR:SYMBOL=SHW&amp;VAR:INDEX=8"}</definedName>
    <definedName name="_2429__FDSAUDITLINK__" hidden="1">{"fdsup://directions/FAT Viewer?action=UPDATE&amp;creator=factset&amp;DYN_ARGS=TRUE&amp;DOC_NAME=FAT:FQL_AUDITING_CLIENT_TEMPLATE.FAT&amp;display_string=Audit&amp;VAR:KEY=CBWLOHGTUP&amp;VAR:QUERY=Q1NGX0VCSVRfT1BFUihBTk4sMTIvMzEvMTk4MCwxMi8zMS8yMDA5LEFZKQ==&amp;WINDOW=FIRST_POPUP&amp;HEIGH","T=450&amp;WIDTH=450&amp;START_MAXIMIZED=FALSE&amp;VAR:CALENDAR=US&amp;VAR:SYMBOL=SHW&amp;VAR:INDEX=7"}</definedName>
    <definedName name="_243__FDSAUDITLINK__" hidden="1">{"fdsup://directions/FAT Viewer?action=UPDATE&amp;creator=factset&amp;DYN_ARGS=TRUE&amp;DOC_NAME=FAT:FQL_AUDITING_CLIENT_TEMPLATE.FAT&amp;display_string=Audit&amp;VAR:KEY=CNWFMPUVUB&amp;VAR:QUERY=Q1NGX0VCSVRfT1BFUihBTk4sMTIvMzEvODAsMCk=&amp;WINDOW=FIRST_POPUP&amp;HEIGHT=450&amp;WIDTH=450&amp;STAR","T_MAXIMIZED=FALSE&amp;VAR:CALENDAR=US&amp;VAR:SYMBOL=CYT&amp;VAR:INDEX=28"}</definedName>
    <definedName name="_2430__FDSAUDITLINK__" hidden="1">{"fdsup://directions/FAT Viewer?action=UPDATE&amp;creator=factset&amp;DYN_ARGS=TRUE&amp;DOC_NAME=FAT:FQL_AUDITING_CLIENT_TEMPLATE.FAT&amp;display_string=Audit&amp;VAR:KEY=CBWLOHGTUP&amp;VAR:QUERY=Q1NGX0VCSVRfT1BFUihBTk4sMTIvMzEvMTk4MCwxMi8zMS8yMDA5LEFZKQ==&amp;WINDOW=FIRST_POPUP&amp;HEIGH","T=450&amp;WIDTH=450&amp;START_MAXIMIZED=FALSE&amp;VAR:CALENDAR=US&amp;VAR:SYMBOL=SHW&amp;VAR:INDEX=6"}</definedName>
    <definedName name="_2431__FDSAUDITLINK__" hidden="1">{"fdsup://directions/FAT Viewer?action=UPDATE&amp;creator=factset&amp;DYN_ARGS=TRUE&amp;DOC_NAME=FAT:FQL_AUDITING_CLIENT_TEMPLATE.FAT&amp;display_string=Audit&amp;VAR:KEY=CBWLOHGTUP&amp;VAR:QUERY=Q1NGX0VCSVRfT1BFUihBTk4sMTIvMzEvMTk4MCwxMi8zMS8yMDA5LEFZKQ==&amp;WINDOW=FIRST_POPUP&amp;HEIGH","T=450&amp;WIDTH=450&amp;START_MAXIMIZED=FALSE&amp;VAR:CALENDAR=US&amp;VAR:SYMBOL=SHW&amp;VAR:INDEX=5"}</definedName>
    <definedName name="_2432__FDSAUDITLINK__" hidden="1">{"fdsup://directions/FAT Viewer?action=UPDATE&amp;creator=factset&amp;DYN_ARGS=TRUE&amp;DOC_NAME=FAT:FQL_AUDITING_CLIENT_TEMPLATE.FAT&amp;display_string=Audit&amp;VAR:KEY=CBWLOHGTUP&amp;VAR:QUERY=Q1NGX0VCSVRfT1BFUihBTk4sMTIvMzEvMTk4MCwxMi8zMS8yMDA5LEFZKQ==&amp;WINDOW=FIRST_POPUP&amp;HEIGH","T=450&amp;WIDTH=450&amp;START_MAXIMIZED=FALSE&amp;VAR:CALENDAR=US&amp;VAR:SYMBOL=SHW&amp;VAR:INDEX=4"}</definedName>
    <definedName name="_2433__FDSAUDITLINK__" hidden="1">{"fdsup://directions/FAT Viewer?action=UPDATE&amp;creator=factset&amp;DYN_ARGS=TRUE&amp;DOC_NAME=FAT:FQL_AUDITING_CLIENT_TEMPLATE.FAT&amp;display_string=Audit&amp;VAR:KEY=CBWLOHGTUP&amp;VAR:QUERY=Q1NGX0VCSVRfT1BFUihBTk4sMTIvMzEvMTk4MCwxMi8zMS8yMDA5LEFZKQ==&amp;WINDOW=FIRST_POPUP&amp;HEIGH","T=450&amp;WIDTH=450&amp;START_MAXIMIZED=FALSE&amp;VAR:CALENDAR=US&amp;VAR:SYMBOL=SHW&amp;VAR:INDEX=3"}</definedName>
    <definedName name="_2434__FDSAUDITLINK__" hidden="1">{"fdsup://directions/FAT Viewer?action=UPDATE&amp;creator=factset&amp;DYN_ARGS=TRUE&amp;DOC_NAME=FAT:FQL_AUDITING_CLIENT_TEMPLATE.FAT&amp;display_string=Audit&amp;VAR:KEY=CBWLOHGTUP&amp;VAR:QUERY=Q1NGX0VCSVRfT1BFUihBTk4sMTIvMzEvMTk4MCwxMi8zMS8yMDA5LEFZKQ==&amp;WINDOW=FIRST_POPUP&amp;HEIGH","T=450&amp;WIDTH=450&amp;START_MAXIMIZED=FALSE&amp;VAR:CALENDAR=US&amp;VAR:SYMBOL=SHW&amp;VAR:INDEX=2"}</definedName>
    <definedName name="_2435__FDSAUDITLINK__" hidden="1">{"fdsup://directions/FAT Viewer?action=UPDATE&amp;creator=factset&amp;DYN_ARGS=TRUE&amp;DOC_NAME=FAT:FQL_AUDITING_CLIENT_TEMPLATE.FAT&amp;display_string=Audit&amp;VAR:KEY=CBWLOHGTUP&amp;VAR:QUERY=Q1NGX0VCSVRfT1BFUihBTk4sMTIvMzEvMTk4MCwxMi8zMS8yMDA5LEFZKQ==&amp;WINDOW=FIRST_POPUP&amp;HEIGH","T=450&amp;WIDTH=450&amp;START_MAXIMIZED=FALSE&amp;VAR:CALENDAR=US&amp;VAR:SYMBOL=SHW&amp;VAR:INDEX=1"}</definedName>
    <definedName name="_2436__FDSAUDITLINK__" hidden="1">{"fdsup://directions/FAT Viewer?action=UPDATE&amp;creator=factset&amp;DYN_ARGS=TRUE&amp;DOC_NAME=FAT:FQL_AUDITING_CLIENT_TEMPLATE.FAT&amp;display_string=Audit&amp;VAR:KEY=CBWLOHGTUP&amp;VAR:QUERY=Q1NGX0VCSVRfT1BFUihBTk4sMTIvMzEvMTk4MCwxMi8zMS8yMDA5LEFZKQ==&amp;WINDOW=FIRST_POPUP&amp;HEIGH","T=450&amp;WIDTH=450&amp;START_MAXIMIZED=FALSE&amp;VAR:CALENDAR=US&amp;VAR:SYMBOL=SHW&amp;VAR:INDEX=0"}</definedName>
    <definedName name="_2437__FDSAUDITLINK__" hidden="1">{"fdsup://directions/FAT Viewer?action=UPDATE&amp;creator=factset&amp;DYN_ARGS=TRUE&amp;DOC_NAME=FAT:FQL_AUDITING_CLIENT_TEMPLATE.FAT&amp;display_string=Audit&amp;VAR:KEY=DQTCXSBSVC&amp;VAR:QUERY=Q1NGX0VCSVRfT1BFUihMVE1fUiwwKQ==&amp;WINDOW=FIRST_POPUP&amp;HEIGHT=450&amp;WIDTH=450&amp;START_MAXIMI","ZED=FALSE&amp;VAR:CALENDAR=US&amp;VAR:SYMBOL=RPM&amp;VAR:INDEX=0"}</definedName>
    <definedName name="_2438__FDSAUDITLINK__" hidden="1">{"fdsup://directions/FAT Viewer?action=UPDATE&amp;creator=factset&amp;DYN_ARGS=TRUE&amp;DOC_NAME=FAT:FQL_AUDITING_CLIENT_TEMPLATE.FAT&amp;display_string=Audit&amp;VAR:KEY=MPOHCBYBWD&amp;VAR:QUERY=Q1NGX0VCSVRfT1BFUihBTk4sMTIvMzEvMTk4MCwxMi8zMS8yMDA5LEFZKQ==&amp;WINDOW=FIRST_POPUP&amp;HEIGH","T=450&amp;WIDTH=450&amp;START_MAXIMIZED=FALSE&amp;VAR:CALENDAR=US&amp;VAR:SYMBOL=RPM&amp;VAR:INDEX=29"}</definedName>
    <definedName name="_2439__FDSAUDITLINK__" hidden="1">{"fdsup://directions/FAT Viewer?action=UPDATE&amp;creator=factset&amp;DYN_ARGS=TRUE&amp;DOC_NAME=FAT:FQL_AUDITING_CLIENT_TEMPLATE.FAT&amp;display_string=Audit&amp;VAR:KEY=MPOHCBYBWD&amp;VAR:QUERY=Q1NGX0VCSVRfT1BFUihBTk4sMTIvMzEvMTk4MCwxMi8zMS8yMDA5LEFZKQ==&amp;WINDOW=FIRST_POPUP&amp;HEIGH","T=450&amp;WIDTH=450&amp;START_MAXIMIZED=FALSE&amp;VAR:CALENDAR=US&amp;VAR:SYMBOL=RPM&amp;VAR:INDEX=28"}</definedName>
    <definedName name="_244__FDSAUDITLINK__" hidden="1">{"fdsup://directions/FAT Viewer?action=UPDATE&amp;creator=factset&amp;DYN_ARGS=TRUE&amp;DOC_NAME=FAT:FQL_AUDITING_CLIENT_TEMPLATE.FAT&amp;display_string=Audit&amp;VAR:KEY=CNWFMPUVUB&amp;VAR:QUERY=Q1NGX0VCSVRfT1BFUihBTk4sMTIvMzEvODAsMCk=&amp;WINDOW=FIRST_POPUP&amp;HEIGHT=450&amp;WIDTH=450&amp;STAR","T_MAXIMIZED=FALSE&amp;VAR:CALENDAR=US&amp;VAR:SYMBOL=CYT&amp;VAR:INDEX=27"}</definedName>
    <definedName name="_2440__FDSAUDITLINK__" hidden="1">{"fdsup://directions/FAT Viewer?action=UPDATE&amp;creator=factset&amp;DYN_ARGS=TRUE&amp;DOC_NAME=FAT:FQL_AUDITING_CLIENT_TEMPLATE.FAT&amp;display_string=Audit&amp;VAR:KEY=MPOHCBYBWD&amp;VAR:QUERY=Q1NGX0VCSVRfT1BFUihBTk4sMTIvMzEvMTk4MCwxMi8zMS8yMDA5LEFZKQ==&amp;WINDOW=FIRST_POPUP&amp;HEIGH","T=450&amp;WIDTH=450&amp;START_MAXIMIZED=FALSE&amp;VAR:CALENDAR=US&amp;VAR:SYMBOL=RPM&amp;VAR:INDEX=27"}</definedName>
    <definedName name="_2441__FDSAUDITLINK__" hidden="1">{"fdsup://directions/FAT Viewer?action=UPDATE&amp;creator=factset&amp;DYN_ARGS=TRUE&amp;DOC_NAME=FAT:FQL_AUDITING_CLIENT_TEMPLATE.FAT&amp;display_string=Audit&amp;VAR:KEY=MPOHCBYBWD&amp;VAR:QUERY=Q1NGX0VCSVRfT1BFUihBTk4sMTIvMzEvMTk4MCwxMi8zMS8yMDA5LEFZKQ==&amp;WINDOW=FIRST_POPUP&amp;HEIGH","T=450&amp;WIDTH=450&amp;START_MAXIMIZED=FALSE&amp;VAR:CALENDAR=US&amp;VAR:SYMBOL=RPM&amp;VAR:INDEX=26"}</definedName>
    <definedName name="_2442__FDSAUDITLINK__" hidden="1">{"fdsup://directions/FAT Viewer?action=UPDATE&amp;creator=factset&amp;DYN_ARGS=TRUE&amp;DOC_NAME=FAT:FQL_AUDITING_CLIENT_TEMPLATE.FAT&amp;display_string=Audit&amp;VAR:KEY=MPOHCBYBWD&amp;VAR:QUERY=Q1NGX0VCSVRfT1BFUihBTk4sMTIvMzEvMTk4MCwxMi8zMS8yMDA5LEFZKQ==&amp;WINDOW=FIRST_POPUP&amp;HEIGH","T=450&amp;WIDTH=450&amp;START_MAXIMIZED=FALSE&amp;VAR:CALENDAR=US&amp;VAR:SYMBOL=RPM&amp;VAR:INDEX=25"}</definedName>
    <definedName name="_2443__FDSAUDITLINK__" hidden="1">{"fdsup://directions/FAT Viewer?action=UPDATE&amp;creator=factset&amp;DYN_ARGS=TRUE&amp;DOC_NAME=FAT:FQL_AUDITING_CLIENT_TEMPLATE.FAT&amp;display_string=Audit&amp;VAR:KEY=MPOHCBYBWD&amp;VAR:QUERY=Q1NGX0VCSVRfT1BFUihBTk4sMTIvMzEvMTk4MCwxMi8zMS8yMDA5LEFZKQ==&amp;WINDOW=FIRST_POPUP&amp;HEIGH","T=450&amp;WIDTH=450&amp;START_MAXIMIZED=FALSE&amp;VAR:CALENDAR=US&amp;VAR:SYMBOL=RPM&amp;VAR:INDEX=24"}</definedName>
    <definedName name="_2444__FDSAUDITLINK__" hidden="1">{"fdsup://directions/FAT Viewer?action=UPDATE&amp;creator=factset&amp;DYN_ARGS=TRUE&amp;DOC_NAME=FAT:FQL_AUDITING_CLIENT_TEMPLATE.FAT&amp;display_string=Audit&amp;VAR:KEY=MPOHCBYBWD&amp;VAR:QUERY=Q1NGX0VCSVRfT1BFUihBTk4sMTIvMzEvMTk4MCwxMi8zMS8yMDA5LEFZKQ==&amp;WINDOW=FIRST_POPUP&amp;HEIGH","T=450&amp;WIDTH=450&amp;START_MAXIMIZED=FALSE&amp;VAR:CALENDAR=US&amp;VAR:SYMBOL=RPM&amp;VAR:INDEX=23"}</definedName>
    <definedName name="_2445__FDSAUDITLINK__" hidden="1">{"fdsup://directions/FAT Viewer?action=UPDATE&amp;creator=factset&amp;DYN_ARGS=TRUE&amp;DOC_NAME=FAT:FQL_AUDITING_CLIENT_TEMPLATE.FAT&amp;display_string=Audit&amp;VAR:KEY=MPOHCBYBWD&amp;VAR:QUERY=Q1NGX0VCSVRfT1BFUihBTk4sMTIvMzEvMTk4MCwxMi8zMS8yMDA5LEFZKQ==&amp;WINDOW=FIRST_POPUP&amp;HEIGH","T=450&amp;WIDTH=450&amp;START_MAXIMIZED=FALSE&amp;VAR:CALENDAR=US&amp;VAR:SYMBOL=RPM&amp;VAR:INDEX=22"}</definedName>
    <definedName name="_2446__FDSAUDITLINK__" hidden="1">{"fdsup://directions/FAT Viewer?action=UPDATE&amp;creator=factset&amp;DYN_ARGS=TRUE&amp;DOC_NAME=FAT:FQL_AUDITING_CLIENT_TEMPLATE.FAT&amp;display_string=Audit&amp;VAR:KEY=MPOHCBYBWD&amp;VAR:QUERY=Q1NGX0VCSVRfT1BFUihBTk4sMTIvMzEvMTk4MCwxMi8zMS8yMDA5LEFZKQ==&amp;WINDOW=FIRST_POPUP&amp;HEIGH","T=450&amp;WIDTH=450&amp;START_MAXIMIZED=FALSE&amp;VAR:CALENDAR=US&amp;VAR:SYMBOL=RPM&amp;VAR:INDEX=21"}</definedName>
    <definedName name="_2447__FDSAUDITLINK__" hidden="1">{"fdsup://directions/FAT Viewer?action=UPDATE&amp;creator=factset&amp;DYN_ARGS=TRUE&amp;DOC_NAME=FAT:FQL_AUDITING_CLIENT_TEMPLATE.FAT&amp;display_string=Audit&amp;VAR:KEY=MPOHCBYBWD&amp;VAR:QUERY=Q1NGX0VCSVRfT1BFUihBTk4sMTIvMzEvMTk4MCwxMi8zMS8yMDA5LEFZKQ==&amp;WINDOW=FIRST_POPUP&amp;HEIGH","T=450&amp;WIDTH=450&amp;START_MAXIMIZED=FALSE&amp;VAR:CALENDAR=US&amp;VAR:SYMBOL=RPM&amp;VAR:INDEX=20"}</definedName>
    <definedName name="_2448__FDSAUDITLINK__" hidden="1">{"fdsup://directions/FAT Viewer?action=UPDATE&amp;creator=factset&amp;DYN_ARGS=TRUE&amp;DOC_NAME=FAT:FQL_AUDITING_CLIENT_TEMPLATE.FAT&amp;display_string=Audit&amp;VAR:KEY=MPOHCBYBWD&amp;VAR:QUERY=Q1NGX0VCSVRfT1BFUihBTk4sMTIvMzEvMTk4MCwxMi8zMS8yMDA5LEFZKQ==&amp;WINDOW=FIRST_POPUP&amp;HEIGH","T=450&amp;WIDTH=450&amp;START_MAXIMIZED=FALSE&amp;VAR:CALENDAR=US&amp;VAR:SYMBOL=RPM&amp;VAR:INDEX=19"}</definedName>
    <definedName name="_2449__FDSAUDITLINK__" hidden="1">{"fdsup://directions/FAT Viewer?action=UPDATE&amp;creator=factset&amp;DYN_ARGS=TRUE&amp;DOC_NAME=FAT:FQL_AUDITING_CLIENT_TEMPLATE.FAT&amp;display_string=Audit&amp;VAR:KEY=MPOHCBYBWD&amp;VAR:QUERY=Q1NGX0VCSVRfT1BFUihBTk4sMTIvMzEvMTk4MCwxMi8zMS8yMDA5LEFZKQ==&amp;WINDOW=FIRST_POPUP&amp;HEIGH","T=450&amp;WIDTH=450&amp;START_MAXIMIZED=FALSE&amp;VAR:CALENDAR=US&amp;VAR:SYMBOL=RPM&amp;VAR:INDEX=18"}</definedName>
    <definedName name="_245__FDSAUDITLINK__" hidden="1">{"fdsup://directions/FAT Viewer?action=UPDATE&amp;creator=factset&amp;DYN_ARGS=TRUE&amp;DOC_NAME=FAT:FQL_AUDITING_CLIENT_TEMPLATE.FAT&amp;display_string=Audit&amp;VAR:KEY=CNWFMPUVUB&amp;VAR:QUERY=Q1NGX0VCSVRfT1BFUihBTk4sMTIvMzEvODAsMCk=&amp;WINDOW=FIRST_POPUP&amp;HEIGHT=450&amp;WIDTH=450&amp;STAR","T_MAXIMIZED=FALSE&amp;VAR:CALENDAR=US&amp;VAR:SYMBOL=CYT&amp;VAR:INDEX=26"}</definedName>
    <definedName name="_2450__FDSAUDITLINK__" hidden="1">{"fdsup://directions/FAT Viewer?action=UPDATE&amp;creator=factset&amp;DYN_ARGS=TRUE&amp;DOC_NAME=FAT:FQL_AUDITING_CLIENT_TEMPLATE.FAT&amp;display_string=Audit&amp;VAR:KEY=MPOHCBYBWD&amp;VAR:QUERY=Q1NGX0VCSVRfT1BFUihBTk4sMTIvMzEvMTk4MCwxMi8zMS8yMDA5LEFZKQ==&amp;WINDOW=FIRST_POPUP&amp;HEIGH","T=450&amp;WIDTH=450&amp;START_MAXIMIZED=FALSE&amp;VAR:CALENDAR=US&amp;VAR:SYMBOL=RPM&amp;VAR:INDEX=17"}</definedName>
    <definedName name="_2451__FDSAUDITLINK__" hidden="1">{"fdsup://directions/FAT Viewer?action=UPDATE&amp;creator=factset&amp;DYN_ARGS=TRUE&amp;DOC_NAME=FAT:FQL_AUDITING_CLIENT_TEMPLATE.FAT&amp;display_string=Audit&amp;VAR:KEY=MPOHCBYBWD&amp;VAR:QUERY=Q1NGX0VCSVRfT1BFUihBTk4sMTIvMzEvMTk4MCwxMi8zMS8yMDA5LEFZKQ==&amp;WINDOW=FIRST_POPUP&amp;HEIGH","T=450&amp;WIDTH=450&amp;START_MAXIMIZED=FALSE&amp;VAR:CALENDAR=US&amp;VAR:SYMBOL=RPM&amp;VAR:INDEX=16"}</definedName>
    <definedName name="_2452__FDSAUDITLINK__" hidden="1">{"fdsup://directions/FAT Viewer?action=UPDATE&amp;creator=factset&amp;DYN_ARGS=TRUE&amp;DOC_NAME=FAT:FQL_AUDITING_CLIENT_TEMPLATE.FAT&amp;display_string=Audit&amp;VAR:KEY=MPOHCBYBWD&amp;VAR:QUERY=Q1NGX0VCSVRfT1BFUihBTk4sMTIvMzEvMTk4MCwxMi8zMS8yMDA5LEFZKQ==&amp;WINDOW=FIRST_POPUP&amp;HEIGH","T=450&amp;WIDTH=450&amp;START_MAXIMIZED=FALSE&amp;VAR:CALENDAR=US&amp;VAR:SYMBOL=RPM&amp;VAR:INDEX=15"}</definedName>
    <definedName name="_2453__FDSAUDITLINK__" hidden="1">{"fdsup://directions/FAT Viewer?action=UPDATE&amp;creator=factset&amp;DYN_ARGS=TRUE&amp;DOC_NAME=FAT:FQL_AUDITING_CLIENT_TEMPLATE.FAT&amp;display_string=Audit&amp;VAR:KEY=MPOHCBYBWD&amp;VAR:QUERY=Q1NGX0VCSVRfT1BFUihBTk4sMTIvMzEvMTk4MCwxMi8zMS8yMDA5LEFZKQ==&amp;WINDOW=FIRST_POPUP&amp;HEIGH","T=450&amp;WIDTH=450&amp;START_MAXIMIZED=FALSE&amp;VAR:CALENDAR=US&amp;VAR:SYMBOL=RPM&amp;VAR:INDEX=14"}</definedName>
    <definedName name="_2454__FDSAUDITLINK__" hidden="1">{"fdsup://directions/FAT Viewer?action=UPDATE&amp;creator=factset&amp;DYN_ARGS=TRUE&amp;DOC_NAME=FAT:FQL_AUDITING_CLIENT_TEMPLATE.FAT&amp;display_string=Audit&amp;VAR:KEY=MPOHCBYBWD&amp;VAR:QUERY=Q1NGX0VCSVRfT1BFUihBTk4sMTIvMzEvMTk4MCwxMi8zMS8yMDA5LEFZKQ==&amp;WINDOW=FIRST_POPUP&amp;HEIGH","T=450&amp;WIDTH=450&amp;START_MAXIMIZED=FALSE&amp;VAR:CALENDAR=US&amp;VAR:SYMBOL=RPM&amp;VAR:INDEX=13"}</definedName>
    <definedName name="_2455__FDSAUDITLINK__" hidden="1">{"fdsup://directions/FAT Viewer?action=UPDATE&amp;creator=factset&amp;DYN_ARGS=TRUE&amp;DOC_NAME=FAT:FQL_AUDITING_CLIENT_TEMPLATE.FAT&amp;display_string=Audit&amp;VAR:KEY=MPOHCBYBWD&amp;VAR:QUERY=Q1NGX0VCSVRfT1BFUihBTk4sMTIvMzEvMTk4MCwxMi8zMS8yMDA5LEFZKQ==&amp;WINDOW=FIRST_POPUP&amp;HEIGH","T=450&amp;WIDTH=450&amp;START_MAXIMIZED=FALSE&amp;VAR:CALENDAR=US&amp;VAR:SYMBOL=RPM&amp;VAR:INDEX=12"}</definedName>
    <definedName name="_2456__FDSAUDITLINK__" hidden="1">{"fdsup://directions/FAT Viewer?action=UPDATE&amp;creator=factset&amp;DYN_ARGS=TRUE&amp;DOC_NAME=FAT:FQL_AUDITING_CLIENT_TEMPLATE.FAT&amp;display_string=Audit&amp;VAR:KEY=MPOHCBYBWD&amp;VAR:QUERY=Q1NGX0VCSVRfT1BFUihBTk4sMTIvMzEvMTk4MCwxMi8zMS8yMDA5LEFZKQ==&amp;WINDOW=FIRST_POPUP&amp;HEIGH","T=450&amp;WIDTH=450&amp;START_MAXIMIZED=FALSE&amp;VAR:CALENDAR=US&amp;VAR:SYMBOL=RPM&amp;VAR:INDEX=11"}</definedName>
    <definedName name="_2457__FDSAUDITLINK__" hidden="1">{"fdsup://directions/FAT Viewer?action=UPDATE&amp;creator=factset&amp;DYN_ARGS=TRUE&amp;DOC_NAME=FAT:FQL_AUDITING_CLIENT_TEMPLATE.FAT&amp;display_string=Audit&amp;VAR:KEY=MPOHCBYBWD&amp;VAR:QUERY=Q1NGX0VCSVRfT1BFUihBTk4sMTIvMzEvMTk4MCwxMi8zMS8yMDA5LEFZKQ==&amp;WINDOW=FIRST_POPUP&amp;HEIGH","T=450&amp;WIDTH=450&amp;START_MAXIMIZED=FALSE&amp;VAR:CALENDAR=US&amp;VAR:SYMBOL=RPM&amp;VAR:INDEX=10"}</definedName>
    <definedName name="_2458__FDSAUDITLINK__" hidden="1">{"fdsup://directions/FAT Viewer?action=UPDATE&amp;creator=factset&amp;DYN_ARGS=TRUE&amp;DOC_NAME=FAT:FQL_AUDITING_CLIENT_TEMPLATE.FAT&amp;display_string=Audit&amp;VAR:KEY=MPOHCBYBWD&amp;VAR:QUERY=Q1NGX0VCSVRfT1BFUihBTk4sMTIvMzEvMTk4MCwxMi8zMS8yMDA5LEFZKQ==&amp;WINDOW=FIRST_POPUP&amp;HEIGH","T=450&amp;WIDTH=450&amp;START_MAXIMIZED=FALSE&amp;VAR:CALENDAR=US&amp;VAR:SYMBOL=RPM&amp;VAR:INDEX=9"}</definedName>
    <definedName name="_2459__FDSAUDITLINK__" hidden="1">{"fdsup://directions/FAT Viewer?action=UPDATE&amp;creator=factset&amp;DYN_ARGS=TRUE&amp;DOC_NAME=FAT:FQL_AUDITING_CLIENT_TEMPLATE.FAT&amp;display_string=Audit&amp;VAR:KEY=MPOHCBYBWD&amp;VAR:QUERY=Q1NGX0VCSVRfT1BFUihBTk4sMTIvMzEvMTk4MCwxMi8zMS8yMDA5LEFZKQ==&amp;WINDOW=FIRST_POPUP&amp;HEIGH","T=450&amp;WIDTH=450&amp;START_MAXIMIZED=FALSE&amp;VAR:CALENDAR=US&amp;VAR:SYMBOL=RPM&amp;VAR:INDEX=8"}</definedName>
    <definedName name="_246__FDSAUDITLINK__" hidden="1">{"fdsup://directions/FAT Viewer?action=UPDATE&amp;creator=factset&amp;DYN_ARGS=TRUE&amp;DOC_NAME=FAT:FQL_AUDITING_CLIENT_TEMPLATE.FAT&amp;display_string=Audit&amp;VAR:KEY=CNWFMPUVUB&amp;VAR:QUERY=Q1NGX0VCSVRfT1BFUihBTk4sMTIvMzEvODAsMCk=&amp;WINDOW=FIRST_POPUP&amp;HEIGHT=450&amp;WIDTH=450&amp;STAR","T_MAXIMIZED=FALSE&amp;VAR:CALENDAR=US&amp;VAR:SYMBOL=CYT&amp;VAR:INDEX=25"}</definedName>
    <definedName name="_2460__FDSAUDITLINK__" hidden="1">{"fdsup://directions/FAT Viewer?action=UPDATE&amp;creator=factset&amp;DYN_ARGS=TRUE&amp;DOC_NAME=FAT:FQL_AUDITING_CLIENT_TEMPLATE.FAT&amp;display_string=Audit&amp;VAR:KEY=MPOHCBYBWD&amp;VAR:QUERY=Q1NGX0VCSVRfT1BFUihBTk4sMTIvMzEvMTk4MCwxMi8zMS8yMDA5LEFZKQ==&amp;WINDOW=FIRST_POPUP&amp;HEIGH","T=450&amp;WIDTH=450&amp;START_MAXIMIZED=FALSE&amp;VAR:CALENDAR=US&amp;VAR:SYMBOL=RPM&amp;VAR:INDEX=7"}</definedName>
    <definedName name="_2461__FDSAUDITLINK__" hidden="1">{"fdsup://directions/FAT Viewer?action=UPDATE&amp;creator=factset&amp;DYN_ARGS=TRUE&amp;DOC_NAME=FAT:FQL_AUDITING_CLIENT_TEMPLATE.FAT&amp;display_string=Audit&amp;VAR:KEY=MPOHCBYBWD&amp;VAR:QUERY=Q1NGX0VCSVRfT1BFUihBTk4sMTIvMzEvMTk4MCwxMi8zMS8yMDA5LEFZKQ==&amp;WINDOW=FIRST_POPUP&amp;HEIGH","T=450&amp;WIDTH=450&amp;START_MAXIMIZED=FALSE&amp;VAR:CALENDAR=US&amp;VAR:SYMBOL=RPM&amp;VAR:INDEX=6"}</definedName>
    <definedName name="_2462__FDSAUDITLINK__" hidden="1">{"fdsup://directions/FAT Viewer?action=UPDATE&amp;creator=factset&amp;DYN_ARGS=TRUE&amp;DOC_NAME=FAT:FQL_AUDITING_CLIENT_TEMPLATE.FAT&amp;display_string=Audit&amp;VAR:KEY=MPOHCBYBWD&amp;VAR:QUERY=Q1NGX0VCSVRfT1BFUihBTk4sMTIvMzEvMTk4MCwxMi8zMS8yMDA5LEFZKQ==&amp;WINDOW=FIRST_POPUP&amp;HEIGH","T=450&amp;WIDTH=450&amp;START_MAXIMIZED=FALSE&amp;VAR:CALENDAR=US&amp;VAR:SYMBOL=RPM&amp;VAR:INDEX=5"}</definedName>
    <definedName name="_2463__FDSAUDITLINK__" hidden="1">{"fdsup://directions/FAT Viewer?action=UPDATE&amp;creator=factset&amp;DYN_ARGS=TRUE&amp;DOC_NAME=FAT:FQL_AUDITING_CLIENT_TEMPLATE.FAT&amp;display_string=Audit&amp;VAR:KEY=MPOHCBYBWD&amp;VAR:QUERY=Q1NGX0VCSVRfT1BFUihBTk4sMTIvMzEvMTk4MCwxMi8zMS8yMDA5LEFZKQ==&amp;WINDOW=FIRST_POPUP&amp;HEIGH","T=450&amp;WIDTH=450&amp;START_MAXIMIZED=FALSE&amp;VAR:CALENDAR=US&amp;VAR:SYMBOL=RPM&amp;VAR:INDEX=4"}</definedName>
    <definedName name="_2464__FDSAUDITLINK__" hidden="1">{"fdsup://directions/FAT Viewer?action=UPDATE&amp;creator=factset&amp;DYN_ARGS=TRUE&amp;DOC_NAME=FAT:FQL_AUDITING_CLIENT_TEMPLATE.FAT&amp;display_string=Audit&amp;VAR:KEY=MPOHCBYBWD&amp;VAR:QUERY=Q1NGX0VCSVRfT1BFUihBTk4sMTIvMzEvMTk4MCwxMi8zMS8yMDA5LEFZKQ==&amp;WINDOW=FIRST_POPUP&amp;HEIGH","T=450&amp;WIDTH=450&amp;START_MAXIMIZED=FALSE&amp;VAR:CALENDAR=US&amp;VAR:SYMBOL=RPM&amp;VAR:INDEX=3"}</definedName>
    <definedName name="_2465__FDSAUDITLINK__" hidden="1">{"fdsup://directions/FAT Viewer?action=UPDATE&amp;creator=factset&amp;DYN_ARGS=TRUE&amp;DOC_NAME=FAT:FQL_AUDITING_CLIENT_TEMPLATE.FAT&amp;display_string=Audit&amp;VAR:KEY=MPOHCBYBWD&amp;VAR:QUERY=Q1NGX0VCSVRfT1BFUihBTk4sMTIvMzEvMTk4MCwxMi8zMS8yMDA5LEFZKQ==&amp;WINDOW=FIRST_POPUP&amp;HEIGH","T=450&amp;WIDTH=450&amp;START_MAXIMIZED=FALSE&amp;VAR:CALENDAR=US&amp;VAR:SYMBOL=RPM&amp;VAR:INDEX=2"}</definedName>
    <definedName name="_2466__FDSAUDITLINK__" hidden="1">{"fdsup://directions/FAT Viewer?action=UPDATE&amp;creator=factset&amp;DYN_ARGS=TRUE&amp;DOC_NAME=FAT:FQL_AUDITING_CLIENT_TEMPLATE.FAT&amp;display_string=Audit&amp;VAR:KEY=MPOHCBYBWD&amp;VAR:QUERY=Q1NGX0VCSVRfT1BFUihBTk4sMTIvMzEvMTk4MCwxMi8zMS8yMDA5LEFZKQ==&amp;WINDOW=FIRST_POPUP&amp;HEIGH","T=450&amp;WIDTH=450&amp;START_MAXIMIZED=FALSE&amp;VAR:CALENDAR=US&amp;VAR:SYMBOL=RPM&amp;VAR:INDEX=1"}</definedName>
    <definedName name="_2467__FDSAUDITLINK__" hidden="1">{"fdsup://directions/FAT Viewer?action=UPDATE&amp;creator=factset&amp;DYN_ARGS=TRUE&amp;DOC_NAME=FAT:FQL_AUDITING_CLIENT_TEMPLATE.FAT&amp;display_string=Audit&amp;VAR:KEY=MPOHCBYBWD&amp;VAR:QUERY=Q1NGX0VCSVRfT1BFUihBTk4sMTIvMzEvMTk4MCwxMi8zMS8yMDA5LEFZKQ==&amp;WINDOW=FIRST_POPUP&amp;HEIGH","T=450&amp;WIDTH=450&amp;START_MAXIMIZED=FALSE&amp;VAR:CALENDAR=US&amp;VAR:SYMBOL=RPM&amp;VAR:INDEX=0"}</definedName>
    <definedName name="_2468__FDSAUDITLINK__" hidden="1">{"fdsup://directions/FAT Viewer?action=UPDATE&amp;creator=factset&amp;DYN_ARGS=TRUE&amp;DOC_NAME=FAT:FQL_AUDITING_CLIENT_TEMPLATE.FAT&amp;display_string=Audit&amp;VAR:KEY=ZGRCZGJARG&amp;VAR:QUERY=Q1NGX0VCSVRfT1BFUihMVE1fUiwwKQ==&amp;WINDOW=FIRST_POPUP&amp;HEIGHT=450&amp;WIDTH=450&amp;START_MAXIMI","ZED=FALSE&amp;VAR:CALENDAR=US&amp;VAR:SYMBOL=PX&amp;VAR:INDEX=0"}</definedName>
    <definedName name="_2469__FDSAUDITLINK__" hidden="1">{"fdsup://directions/FAT Viewer?action=UPDATE&amp;creator=factset&amp;DYN_ARGS=TRUE&amp;DOC_NAME=FAT:FQL_AUDITING_CLIENT_TEMPLATE.FAT&amp;display_string=Audit&amp;VAR:KEY=MREBOZGZYT&amp;VAR:QUERY=Q1NGX0VCSVRfT1BFUihBTk4sMTIvMzEvMTk4MCwxMi8zMS8yMDA5LEFZKQ==&amp;WINDOW=FIRST_POPUP&amp;HEIGH","T=450&amp;WIDTH=450&amp;START_MAXIMIZED=FALSE&amp;VAR:CALENDAR=US&amp;VAR:SYMBOL=PX&amp;VAR:INDEX=29"}</definedName>
    <definedName name="_247__FDSAUDITLINK__" hidden="1">{"fdsup://directions/FAT Viewer?action=UPDATE&amp;creator=factset&amp;DYN_ARGS=TRUE&amp;DOC_NAME=FAT:FQL_AUDITING_CLIENT_TEMPLATE.FAT&amp;display_string=Audit&amp;VAR:KEY=CNWFMPUVUB&amp;VAR:QUERY=Q1NGX0VCSVRfT1BFUihBTk4sMTIvMzEvODAsMCk=&amp;WINDOW=FIRST_POPUP&amp;HEIGHT=450&amp;WIDTH=450&amp;STAR","T_MAXIMIZED=FALSE&amp;VAR:CALENDAR=US&amp;VAR:SYMBOL=CYT&amp;VAR:INDEX=24"}</definedName>
    <definedName name="_2470__FDSAUDITLINK__" hidden="1">{"fdsup://directions/FAT Viewer?action=UPDATE&amp;creator=factset&amp;DYN_ARGS=TRUE&amp;DOC_NAME=FAT:FQL_AUDITING_CLIENT_TEMPLATE.FAT&amp;display_string=Audit&amp;VAR:KEY=MREBOZGZYT&amp;VAR:QUERY=Q1NGX0VCSVRfT1BFUihBTk4sMTIvMzEvMTk4MCwxMi8zMS8yMDA5LEFZKQ==&amp;WINDOW=FIRST_POPUP&amp;HEIGH","T=450&amp;WIDTH=450&amp;START_MAXIMIZED=FALSE&amp;VAR:CALENDAR=US&amp;VAR:SYMBOL=PX&amp;VAR:INDEX=28"}</definedName>
    <definedName name="_2471__FDSAUDITLINK__" hidden="1">{"fdsup://directions/FAT Viewer?action=UPDATE&amp;creator=factset&amp;DYN_ARGS=TRUE&amp;DOC_NAME=FAT:FQL_AUDITING_CLIENT_TEMPLATE.FAT&amp;display_string=Audit&amp;VAR:KEY=MREBOZGZYT&amp;VAR:QUERY=Q1NGX0VCSVRfT1BFUihBTk4sMTIvMzEvMTk4MCwxMi8zMS8yMDA5LEFZKQ==&amp;WINDOW=FIRST_POPUP&amp;HEIGH","T=450&amp;WIDTH=450&amp;START_MAXIMIZED=FALSE&amp;VAR:CALENDAR=US&amp;VAR:SYMBOL=PX&amp;VAR:INDEX=27"}</definedName>
    <definedName name="_2472__FDSAUDITLINK__" hidden="1">{"fdsup://directions/FAT Viewer?action=UPDATE&amp;creator=factset&amp;DYN_ARGS=TRUE&amp;DOC_NAME=FAT:FQL_AUDITING_CLIENT_TEMPLATE.FAT&amp;display_string=Audit&amp;VAR:KEY=MREBOZGZYT&amp;VAR:QUERY=Q1NGX0VCSVRfT1BFUihBTk4sMTIvMzEvMTk4MCwxMi8zMS8yMDA5LEFZKQ==&amp;WINDOW=FIRST_POPUP&amp;HEIGH","T=450&amp;WIDTH=450&amp;START_MAXIMIZED=FALSE&amp;VAR:CALENDAR=US&amp;VAR:SYMBOL=PX&amp;VAR:INDEX=26"}</definedName>
    <definedName name="_2473__FDSAUDITLINK__" hidden="1">{"fdsup://directions/FAT Viewer?action=UPDATE&amp;creator=factset&amp;DYN_ARGS=TRUE&amp;DOC_NAME=FAT:FQL_AUDITING_CLIENT_TEMPLATE.FAT&amp;display_string=Audit&amp;VAR:KEY=MREBOZGZYT&amp;VAR:QUERY=Q1NGX0VCSVRfT1BFUihBTk4sMTIvMzEvMTk4MCwxMi8zMS8yMDA5LEFZKQ==&amp;WINDOW=FIRST_POPUP&amp;HEIGH","T=450&amp;WIDTH=450&amp;START_MAXIMIZED=FALSE&amp;VAR:CALENDAR=US&amp;VAR:SYMBOL=PX&amp;VAR:INDEX=25"}</definedName>
    <definedName name="_2474__FDSAUDITLINK__" hidden="1">{"fdsup://directions/FAT Viewer?action=UPDATE&amp;creator=factset&amp;DYN_ARGS=TRUE&amp;DOC_NAME=FAT:FQL_AUDITING_CLIENT_TEMPLATE.FAT&amp;display_string=Audit&amp;VAR:KEY=MREBOZGZYT&amp;VAR:QUERY=Q1NGX0VCSVRfT1BFUihBTk4sMTIvMzEvMTk4MCwxMi8zMS8yMDA5LEFZKQ==&amp;WINDOW=FIRST_POPUP&amp;HEIGH","T=450&amp;WIDTH=450&amp;START_MAXIMIZED=FALSE&amp;VAR:CALENDAR=US&amp;VAR:SYMBOL=PX&amp;VAR:INDEX=24"}</definedName>
    <definedName name="_2475__FDSAUDITLINK__" hidden="1">{"fdsup://directions/FAT Viewer?action=UPDATE&amp;creator=factset&amp;DYN_ARGS=TRUE&amp;DOC_NAME=FAT:FQL_AUDITING_CLIENT_TEMPLATE.FAT&amp;display_string=Audit&amp;VAR:KEY=MREBOZGZYT&amp;VAR:QUERY=Q1NGX0VCSVRfT1BFUihBTk4sMTIvMzEvMTk4MCwxMi8zMS8yMDA5LEFZKQ==&amp;WINDOW=FIRST_POPUP&amp;HEIGH","T=450&amp;WIDTH=450&amp;START_MAXIMIZED=FALSE&amp;VAR:CALENDAR=US&amp;VAR:SYMBOL=PX&amp;VAR:INDEX=23"}</definedName>
    <definedName name="_2476__FDSAUDITLINK__" hidden="1">{"fdsup://directions/FAT Viewer?action=UPDATE&amp;creator=factset&amp;DYN_ARGS=TRUE&amp;DOC_NAME=FAT:FQL_AUDITING_CLIENT_TEMPLATE.FAT&amp;display_string=Audit&amp;VAR:KEY=MREBOZGZYT&amp;VAR:QUERY=Q1NGX0VCSVRfT1BFUihBTk4sMTIvMzEvMTk4MCwxMi8zMS8yMDA5LEFZKQ==&amp;WINDOW=FIRST_POPUP&amp;HEIGH","T=450&amp;WIDTH=450&amp;START_MAXIMIZED=FALSE&amp;VAR:CALENDAR=US&amp;VAR:SYMBOL=PX&amp;VAR:INDEX=22"}</definedName>
    <definedName name="_2477__FDSAUDITLINK__" hidden="1">{"fdsup://directions/FAT Viewer?action=UPDATE&amp;creator=factset&amp;DYN_ARGS=TRUE&amp;DOC_NAME=FAT:FQL_AUDITING_CLIENT_TEMPLATE.FAT&amp;display_string=Audit&amp;VAR:KEY=MREBOZGZYT&amp;VAR:QUERY=Q1NGX0VCSVRfT1BFUihBTk4sMTIvMzEvMTk4MCwxMi8zMS8yMDA5LEFZKQ==&amp;WINDOW=FIRST_POPUP&amp;HEIGH","T=450&amp;WIDTH=450&amp;START_MAXIMIZED=FALSE&amp;VAR:CALENDAR=US&amp;VAR:SYMBOL=PX&amp;VAR:INDEX=21"}</definedName>
    <definedName name="_2478__FDSAUDITLINK__" hidden="1">{"fdsup://directions/FAT Viewer?action=UPDATE&amp;creator=factset&amp;DYN_ARGS=TRUE&amp;DOC_NAME=FAT:FQL_AUDITING_CLIENT_TEMPLATE.FAT&amp;display_string=Audit&amp;VAR:KEY=MREBOZGZYT&amp;VAR:QUERY=Q1NGX0VCSVRfT1BFUihBTk4sMTIvMzEvMTk4MCwxMi8zMS8yMDA5LEFZKQ==&amp;WINDOW=FIRST_POPUP&amp;HEIGH","T=450&amp;WIDTH=450&amp;START_MAXIMIZED=FALSE&amp;VAR:CALENDAR=US&amp;VAR:SYMBOL=PX&amp;VAR:INDEX=20"}</definedName>
    <definedName name="_2479__FDSAUDITLINK__" hidden="1">{"fdsup://directions/FAT Viewer?action=UPDATE&amp;creator=factset&amp;DYN_ARGS=TRUE&amp;DOC_NAME=FAT:FQL_AUDITING_CLIENT_TEMPLATE.FAT&amp;display_string=Audit&amp;VAR:KEY=MREBOZGZYT&amp;VAR:QUERY=Q1NGX0VCSVRfT1BFUihBTk4sMTIvMzEvMTk4MCwxMi8zMS8yMDA5LEFZKQ==&amp;WINDOW=FIRST_POPUP&amp;HEIGH","T=450&amp;WIDTH=450&amp;START_MAXIMIZED=FALSE&amp;VAR:CALENDAR=US&amp;VAR:SYMBOL=PX&amp;VAR:INDEX=19"}</definedName>
    <definedName name="_248__FDSAUDITLINK__" hidden="1">{"fdsup://directions/FAT Viewer?action=UPDATE&amp;creator=factset&amp;DYN_ARGS=TRUE&amp;DOC_NAME=FAT:FQL_AUDITING_CLIENT_TEMPLATE.FAT&amp;display_string=Audit&amp;VAR:KEY=CNWFMPUVUB&amp;VAR:QUERY=Q1NGX0VCSVRfT1BFUihBTk4sMTIvMzEvODAsMCk=&amp;WINDOW=FIRST_POPUP&amp;HEIGHT=450&amp;WIDTH=450&amp;STAR","T_MAXIMIZED=FALSE&amp;VAR:CALENDAR=US&amp;VAR:SYMBOL=CYT&amp;VAR:INDEX=23"}</definedName>
    <definedName name="_2480__FDSAUDITLINK__" hidden="1">{"fdsup://directions/FAT Viewer?action=UPDATE&amp;creator=factset&amp;DYN_ARGS=TRUE&amp;DOC_NAME=FAT:FQL_AUDITING_CLIENT_TEMPLATE.FAT&amp;display_string=Audit&amp;VAR:KEY=MREBOZGZYT&amp;VAR:QUERY=Q1NGX0VCSVRfT1BFUihBTk4sMTIvMzEvMTk4MCwxMi8zMS8yMDA5LEFZKQ==&amp;WINDOW=FIRST_POPUP&amp;HEIGH","T=450&amp;WIDTH=450&amp;START_MAXIMIZED=FALSE&amp;VAR:CALENDAR=US&amp;VAR:SYMBOL=PX&amp;VAR:INDEX=18"}</definedName>
    <definedName name="_2481__FDSAUDITLINK__" hidden="1">{"fdsup://directions/FAT Viewer?action=UPDATE&amp;creator=factset&amp;DYN_ARGS=TRUE&amp;DOC_NAME=FAT:FQL_AUDITING_CLIENT_TEMPLATE.FAT&amp;display_string=Audit&amp;VAR:KEY=MREBOZGZYT&amp;VAR:QUERY=Q1NGX0VCSVRfT1BFUihBTk4sMTIvMzEvMTk4MCwxMi8zMS8yMDA5LEFZKQ==&amp;WINDOW=FIRST_POPUP&amp;HEIGH","T=450&amp;WIDTH=450&amp;START_MAXIMIZED=FALSE&amp;VAR:CALENDAR=US&amp;VAR:SYMBOL=PX&amp;VAR:INDEX=17"}</definedName>
    <definedName name="_2482__FDSAUDITLINK__" hidden="1">{"fdsup://directions/FAT Viewer?action=UPDATE&amp;creator=factset&amp;DYN_ARGS=TRUE&amp;DOC_NAME=FAT:FQL_AUDITING_CLIENT_TEMPLATE.FAT&amp;display_string=Audit&amp;VAR:KEY=MREBOZGZYT&amp;VAR:QUERY=Q1NGX0VCSVRfT1BFUihBTk4sMTIvMzEvMTk4MCwxMi8zMS8yMDA5LEFZKQ==&amp;WINDOW=FIRST_POPUP&amp;HEIGH","T=450&amp;WIDTH=450&amp;START_MAXIMIZED=FALSE&amp;VAR:CALENDAR=US&amp;VAR:SYMBOL=PX&amp;VAR:INDEX=16"}</definedName>
    <definedName name="_2483__FDSAUDITLINK__" hidden="1">{"fdsup://directions/FAT Viewer?action=UPDATE&amp;creator=factset&amp;DYN_ARGS=TRUE&amp;DOC_NAME=FAT:FQL_AUDITING_CLIENT_TEMPLATE.FAT&amp;display_string=Audit&amp;VAR:KEY=MREBOZGZYT&amp;VAR:QUERY=Q1NGX0VCSVRfT1BFUihBTk4sMTIvMzEvMTk4MCwxMi8zMS8yMDA5LEFZKQ==&amp;WINDOW=FIRST_POPUP&amp;HEIGH","T=450&amp;WIDTH=450&amp;START_MAXIMIZED=FALSE&amp;VAR:CALENDAR=US&amp;VAR:SYMBOL=PX&amp;VAR:INDEX=15"}</definedName>
    <definedName name="_2484__FDSAUDITLINK__" hidden="1">{"fdsup://directions/FAT Viewer?action=UPDATE&amp;creator=factset&amp;DYN_ARGS=TRUE&amp;DOC_NAME=FAT:FQL_AUDITING_CLIENT_TEMPLATE.FAT&amp;display_string=Audit&amp;VAR:KEY=MREBOZGZYT&amp;VAR:QUERY=Q1NGX0VCSVRfT1BFUihBTk4sMTIvMzEvMTk4MCwxMi8zMS8yMDA5LEFZKQ==&amp;WINDOW=FIRST_POPUP&amp;HEIGH","T=450&amp;WIDTH=450&amp;START_MAXIMIZED=FALSE&amp;VAR:CALENDAR=US&amp;VAR:SYMBOL=PX&amp;VAR:INDEX=14"}</definedName>
    <definedName name="_2485__FDSAUDITLINK__" hidden="1">{"fdsup://directions/FAT Viewer?action=UPDATE&amp;creator=factset&amp;DYN_ARGS=TRUE&amp;DOC_NAME=FAT:FQL_AUDITING_CLIENT_TEMPLATE.FAT&amp;display_string=Audit&amp;VAR:KEY=MREBOZGZYT&amp;VAR:QUERY=Q1NGX0VCSVRfT1BFUihBTk4sMTIvMzEvMTk4MCwxMi8zMS8yMDA5LEFZKQ==&amp;WINDOW=FIRST_POPUP&amp;HEIGH","T=450&amp;WIDTH=450&amp;START_MAXIMIZED=FALSE&amp;VAR:CALENDAR=US&amp;VAR:SYMBOL=PX&amp;VAR:INDEX=13"}</definedName>
    <definedName name="_2486__FDSAUDITLINK__" hidden="1">{"fdsup://directions/FAT Viewer?action=UPDATE&amp;creator=factset&amp;DYN_ARGS=TRUE&amp;DOC_NAME=FAT:FQL_AUDITING_CLIENT_TEMPLATE.FAT&amp;display_string=Audit&amp;VAR:KEY=MREBOZGZYT&amp;VAR:QUERY=Q1NGX0VCSVRfT1BFUihBTk4sMTIvMzEvMTk4MCwxMi8zMS8yMDA5LEFZKQ==&amp;WINDOW=FIRST_POPUP&amp;HEIGH","T=450&amp;WIDTH=450&amp;START_MAXIMIZED=FALSE&amp;VAR:CALENDAR=US&amp;VAR:SYMBOL=PX&amp;VAR:INDEX=12"}</definedName>
    <definedName name="_2487__FDSAUDITLINK__" hidden="1">{"fdsup://directions/FAT Viewer?action=UPDATE&amp;creator=factset&amp;DYN_ARGS=TRUE&amp;DOC_NAME=FAT:FQL_AUDITING_CLIENT_TEMPLATE.FAT&amp;display_string=Audit&amp;VAR:KEY=MREBOZGZYT&amp;VAR:QUERY=Q1NGX0VCSVRfT1BFUihBTk4sMTIvMzEvMTk4MCwxMi8zMS8yMDA5LEFZKQ==&amp;WINDOW=FIRST_POPUP&amp;HEIGH","T=450&amp;WIDTH=450&amp;START_MAXIMIZED=FALSE&amp;VAR:CALENDAR=US&amp;VAR:SYMBOL=PX&amp;VAR:INDEX=11"}</definedName>
    <definedName name="_2488__FDSAUDITLINK__" hidden="1">{"fdsup://directions/FAT Viewer?action=UPDATE&amp;creator=factset&amp;DYN_ARGS=TRUE&amp;DOC_NAME=FAT:FQL_AUDITING_CLIENT_TEMPLATE.FAT&amp;display_string=Audit&amp;VAR:KEY=MREBOZGZYT&amp;VAR:QUERY=Q1NGX0VCSVRfT1BFUihBTk4sMTIvMzEvMTk4MCwxMi8zMS8yMDA5LEFZKQ==&amp;WINDOW=FIRST_POPUP&amp;HEIGH","T=450&amp;WIDTH=450&amp;START_MAXIMIZED=FALSE&amp;VAR:CALENDAR=US&amp;VAR:SYMBOL=PX&amp;VAR:INDEX=10"}</definedName>
    <definedName name="_2489__FDSAUDITLINK__" hidden="1">{"fdsup://directions/FAT Viewer?action=UPDATE&amp;creator=factset&amp;DYN_ARGS=TRUE&amp;DOC_NAME=FAT:FQL_AUDITING_CLIENT_TEMPLATE.FAT&amp;display_string=Audit&amp;VAR:KEY=MREBOZGZYT&amp;VAR:QUERY=Q1NGX0VCSVRfT1BFUihBTk4sMTIvMzEvMTk4MCwxMi8zMS8yMDA5LEFZKQ==&amp;WINDOW=FIRST_POPUP&amp;HEIGH","T=450&amp;WIDTH=450&amp;START_MAXIMIZED=FALSE&amp;VAR:CALENDAR=US&amp;VAR:SYMBOL=PX&amp;VAR:INDEX=9"}</definedName>
    <definedName name="_249__FDSAUDITLINK__" hidden="1">{"fdsup://directions/FAT Viewer?action=UPDATE&amp;creator=factset&amp;DYN_ARGS=TRUE&amp;DOC_NAME=FAT:FQL_AUDITING_CLIENT_TEMPLATE.FAT&amp;display_string=Audit&amp;VAR:KEY=CNWFMPUVUB&amp;VAR:QUERY=Q1NGX0VCSVRfT1BFUihBTk4sMTIvMzEvODAsMCk=&amp;WINDOW=FIRST_POPUP&amp;HEIGHT=450&amp;WIDTH=450&amp;STAR","T_MAXIMIZED=FALSE&amp;VAR:CALENDAR=US&amp;VAR:SYMBOL=CYT&amp;VAR:INDEX=22"}</definedName>
    <definedName name="_2490__FDSAUDITLINK__" hidden="1">{"fdsup://directions/FAT Viewer?action=UPDATE&amp;creator=factset&amp;DYN_ARGS=TRUE&amp;DOC_NAME=FAT:FQL_AUDITING_CLIENT_TEMPLATE.FAT&amp;display_string=Audit&amp;VAR:KEY=MREBOZGZYT&amp;VAR:QUERY=Q1NGX0VCSVRfT1BFUihBTk4sMTIvMzEvMTk4MCwxMi8zMS8yMDA5LEFZKQ==&amp;WINDOW=FIRST_POPUP&amp;HEIGH","T=450&amp;WIDTH=450&amp;START_MAXIMIZED=FALSE&amp;VAR:CALENDAR=US&amp;VAR:SYMBOL=PX&amp;VAR:INDEX=8"}</definedName>
    <definedName name="_2491__FDSAUDITLINK__" hidden="1">{"fdsup://directions/FAT Viewer?action=UPDATE&amp;creator=factset&amp;DYN_ARGS=TRUE&amp;DOC_NAME=FAT:FQL_AUDITING_CLIENT_TEMPLATE.FAT&amp;display_string=Audit&amp;VAR:KEY=MREBOZGZYT&amp;VAR:QUERY=Q1NGX0VCSVRfT1BFUihBTk4sMTIvMzEvMTk4MCwxMi8zMS8yMDA5LEFZKQ==&amp;WINDOW=FIRST_POPUP&amp;HEIGH","T=450&amp;WIDTH=450&amp;START_MAXIMIZED=FALSE&amp;VAR:CALENDAR=US&amp;VAR:SYMBOL=PX&amp;VAR:INDEX=7"}</definedName>
    <definedName name="_2492__FDSAUDITLINK__" hidden="1">{"fdsup://directions/FAT Viewer?action=UPDATE&amp;creator=factset&amp;DYN_ARGS=TRUE&amp;DOC_NAME=FAT:FQL_AUDITING_CLIENT_TEMPLATE.FAT&amp;display_string=Audit&amp;VAR:KEY=MREBOZGZYT&amp;VAR:QUERY=Q1NGX0VCSVRfT1BFUihBTk4sMTIvMzEvMTk4MCwxMi8zMS8yMDA5LEFZKQ==&amp;WINDOW=FIRST_POPUP&amp;HEIGH","T=450&amp;WIDTH=450&amp;START_MAXIMIZED=FALSE&amp;VAR:CALENDAR=US&amp;VAR:SYMBOL=PX&amp;VAR:INDEX=6"}</definedName>
    <definedName name="_2493__FDSAUDITLINK__" hidden="1">{"fdsup://directions/FAT Viewer?action=UPDATE&amp;creator=factset&amp;DYN_ARGS=TRUE&amp;DOC_NAME=FAT:FQL_AUDITING_CLIENT_TEMPLATE.FAT&amp;display_string=Audit&amp;VAR:KEY=MREBOZGZYT&amp;VAR:QUERY=Q1NGX0VCSVRfT1BFUihBTk4sMTIvMzEvMTk4MCwxMi8zMS8yMDA5LEFZKQ==&amp;WINDOW=FIRST_POPUP&amp;HEIGH","T=450&amp;WIDTH=450&amp;START_MAXIMIZED=FALSE&amp;VAR:CALENDAR=US&amp;VAR:SYMBOL=PX&amp;VAR:INDEX=5"}</definedName>
    <definedName name="_2494__FDSAUDITLINK__" hidden="1">{"fdsup://directions/FAT Viewer?action=UPDATE&amp;creator=factset&amp;DYN_ARGS=TRUE&amp;DOC_NAME=FAT:FQL_AUDITING_CLIENT_TEMPLATE.FAT&amp;display_string=Audit&amp;VAR:KEY=MREBOZGZYT&amp;VAR:QUERY=Q1NGX0VCSVRfT1BFUihBTk4sMTIvMzEvMTk4MCwxMi8zMS8yMDA5LEFZKQ==&amp;WINDOW=FIRST_POPUP&amp;HEIGH","T=450&amp;WIDTH=450&amp;START_MAXIMIZED=FALSE&amp;VAR:CALENDAR=US&amp;VAR:SYMBOL=PX&amp;VAR:INDEX=4"}</definedName>
    <definedName name="_2495__FDSAUDITLINK__" hidden="1">{"fdsup://directions/FAT Viewer?action=UPDATE&amp;creator=factset&amp;DYN_ARGS=TRUE&amp;DOC_NAME=FAT:FQL_AUDITING_CLIENT_TEMPLATE.FAT&amp;display_string=Audit&amp;VAR:KEY=MREBOZGZYT&amp;VAR:QUERY=Q1NGX0VCSVRfT1BFUihBTk4sMTIvMzEvMTk4MCwxMi8zMS8yMDA5LEFZKQ==&amp;WINDOW=FIRST_POPUP&amp;HEIGH","T=450&amp;WIDTH=450&amp;START_MAXIMIZED=FALSE&amp;VAR:CALENDAR=US&amp;VAR:SYMBOL=PX&amp;VAR:INDEX=3"}</definedName>
    <definedName name="_2496__FDSAUDITLINK__" hidden="1">{"fdsup://directions/FAT Viewer?action=UPDATE&amp;creator=factset&amp;DYN_ARGS=TRUE&amp;DOC_NAME=FAT:FQL_AUDITING_CLIENT_TEMPLATE.FAT&amp;display_string=Audit&amp;VAR:KEY=MREBOZGZYT&amp;VAR:QUERY=Q1NGX0VCSVRfT1BFUihBTk4sMTIvMzEvMTk4MCwxMi8zMS8yMDA5LEFZKQ==&amp;WINDOW=FIRST_POPUP&amp;HEIGH","T=450&amp;WIDTH=450&amp;START_MAXIMIZED=FALSE&amp;VAR:CALENDAR=US&amp;VAR:SYMBOL=PX&amp;VAR:INDEX=2"}</definedName>
    <definedName name="_2497__FDSAUDITLINK__" hidden="1">{"fdsup://directions/FAT Viewer?action=UPDATE&amp;creator=factset&amp;DYN_ARGS=TRUE&amp;DOC_NAME=FAT:FQL_AUDITING_CLIENT_TEMPLATE.FAT&amp;display_string=Audit&amp;VAR:KEY=MREBOZGZYT&amp;VAR:QUERY=Q1NGX0VCSVRfT1BFUihBTk4sMTIvMzEvMTk4MCwxMi8zMS8yMDA5LEFZKQ==&amp;WINDOW=FIRST_POPUP&amp;HEIGH","T=450&amp;WIDTH=450&amp;START_MAXIMIZED=FALSE&amp;VAR:CALENDAR=US&amp;VAR:SYMBOL=PX&amp;VAR:INDEX=1"}</definedName>
    <definedName name="_2498__FDSAUDITLINK__" hidden="1">{"fdsup://directions/FAT Viewer?action=UPDATE&amp;creator=factset&amp;DYN_ARGS=TRUE&amp;DOC_NAME=FAT:FQL_AUDITING_CLIENT_TEMPLATE.FAT&amp;display_string=Audit&amp;VAR:KEY=MREBOZGZYT&amp;VAR:QUERY=Q1NGX0VCSVRfT1BFUihBTk4sMTIvMzEvMTk4MCwxMi8zMS8yMDA5LEFZKQ==&amp;WINDOW=FIRST_POPUP&amp;HEIGH","T=450&amp;WIDTH=450&amp;START_MAXIMIZED=FALSE&amp;VAR:CALENDAR=US&amp;VAR:SYMBOL=PX&amp;VAR:INDEX=0"}</definedName>
    <definedName name="_2499__FDSAUDITLINK__" hidden="1">{"fdsup://directions/FAT Viewer?action=UPDATE&amp;creator=factset&amp;DYN_ARGS=TRUE&amp;DOC_NAME=FAT:FQL_AUDITING_CLIENT_TEMPLATE.FAT&amp;display_string=Audit&amp;VAR:KEY=LEJATCNIBO&amp;VAR:QUERY=Q1NGX0VCSVRfT1BFUihMVE1fUiwwKQ==&amp;WINDOW=FIRST_POPUP&amp;HEIGHT=450&amp;WIDTH=450&amp;START_MAXIMI","ZED=FALSE&amp;VAR:CALENDAR=US&amp;VAR:SYMBOL=APD&amp;VAR:INDEX=0"}</definedName>
    <definedName name="_25__FDSAUDITLINK__" hidden="1">{"fdsup://directions/FAT Viewer?action=UPDATE&amp;creator=factset&amp;DYN_ARGS=TRUE&amp;DOC_NAME=FAT:FQL_AUDITING_CLIENT_TEMPLATE.FAT&amp;display_string=Audit&amp;VAR:KEY=CNSDINEVYP&amp;VAR:QUERY=Q1NGX0VCSVREQV9PUEVSKEFOTiwtMSk=&amp;WINDOW=FIRST_POPUP&amp;HEIGHT=450&amp;WIDTH=450&amp;START_MAXIMI","ZED=FALSE&amp;VAR:CALENDAR=US&amp;VAR:SYMBOL=FMC&amp;VAR:INDEX=0"}</definedName>
    <definedName name="_250__FDSAUDITLINK__" hidden="1">{"fdsup://directions/FAT Viewer?action=UPDATE&amp;creator=factset&amp;DYN_ARGS=TRUE&amp;DOC_NAME=FAT:FQL_AUDITING_CLIENT_TEMPLATE.FAT&amp;display_string=Audit&amp;VAR:KEY=CNWFMPUVUB&amp;VAR:QUERY=Q1NGX0VCSVRfT1BFUihBTk4sMTIvMzEvODAsMCk=&amp;WINDOW=FIRST_POPUP&amp;HEIGHT=450&amp;WIDTH=450&amp;STAR","T_MAXIMIZED=FALSE&amp;VAR:CALENDAR=US&amp;VAR:SYMBOL=CYT&amp;VAR:INDEX=21"}</definedName>
    <definedName name="_2500__FDSAUDITLINK__" hidden="1">{"fdsup://directions/FAT Viewer?action=UPDATE&amp;creator=factset&amp;DYN_ARGS=TRUE&amp;DOC_NAME=FAT:FQL_AUDITING_CLIENT_TEMPLATE.FAT&amp;display_string=Audit&amp;VAR:KEY=YBYRSHKNKR&amp;VAR:QUERY=Q1NGX0VCSVRfT1BFUihBTk4sMTIvMzEvMTk4MCwxMi8zMS8yMDA5LEFZKQ==&amp;WINDOW=FIRST_POPUP&amp;HEIGH","T=450&amp;WIDTH=450&amp;START_MAXIMIZED=FALSE&amp;VAR:CALENDAR=US&amp;VAR:SYMBOL=APD&amp;VAR:INDEX=29"}</definedName>
    <definedName name="_2501__FDSAUDITLINK__" hidden="1">{"fdsup://directions/FAT Viewer?action=UPDATE&amp;creator=factset&amp;DYN_ARGS=TRUE&amp;DOC_NAME=FAT:FQL_AUDITING_CLIENT_TEMPLATE.FAT&amp;display_string=Audit&amp;VAR:KEY=YBYRSHKNKR&amp;VAR:QUERY=Q1NGX0VCSVRfT1BFUihBTk4sMTIvMzEvMTk4MCwxMi8zMS8yMDA5LEFZKQ==&amp;WINDOW=FIRST_POPUP&amp;HEIGH","T=450&amp;WIDTH=450&amp;START_MAXIMIZED=FALSE&amp;VAR:CALENDAR=US&amp;VAR:SYMBOL=APD&amp;VAR:INDEX=28"}</definedName>
    <definedName name="_2502__FDSAUDITLINK__" hidden="1">{"fdsup://directions/FAT Viewer?action=UPDATE&amp;creator=factset&amp;DYN_ARGS=TRUE&amp;DOC_NAME=FAT:FQL_AUDITING_CLIENT_TEMPLATE.FAT&amp;display_string=Audit&amp;VAR:KEY=YBYRSHKNKR&amp;VAR:QUERY=Q1NGX0VCSVRfT1BFUihBTk4sMTIvMzEvMTk4MCwxMi8zMS8yMDA5LEFZKQ==&amp;WINDOW=FIRST_POPUP&amp;HEIGH","T=450&amp;WIDTH=450&amp;START_MAXIMIZED=FALSE&amp;VAR:CALENDAR=US&amp;VAR:SYMBOL=APD&amp;VAR:INDEX=27"}</definedName>
    <definedName name="_2503__FDSAUDITLINK__" hidden="1">{"fdsup://directions/FAT Viewer?action=UPDATE&amp;creator=factset&amp;DYN_ARGS=TRUE&amp;DOC_NAME=FAT:FQL_AUDITING_CLIENT_TEMPLATE.FAT&amp;display_string=Audit&amp;VAR:KEY=YBYRSHKNKR&amp;VAR:QUERY=Q1NGX0VCSVRfT1BFUihBTk4sMTIvMzEvMTk4MCwxMi8zMS8yMDA5LEFZKQ==&amp;WINDOW=FIRST_POPUP&amp;HEIGH","T=450&amp;WIDTH=450&amp;START_MAXIMIZED=FALSE&amp;VAR:CALENDAR=US&amp;VAR:SYMBOL=APD&amp;VAR:INDEX=26"}</definedName>
    <definedName name="_2504__FDSAUDITLINK__" hidden="1">{"fdsup://directions/FAT Viewer?action=UPDATE&amp;creator=factset&amp;DYN_ARGS=TRUE&amp;DOC_NAME=FAT:FQL_AUDITING_CLIENT_TEMPLATE.FAT&amp;display_string=Audit&amp;VAR:KEY=YBYRSHKNKR&amp;VAR:QUERY=Q1NGX0VCSVRfT1BFUihBTk4sMTIvMzEvMTk4MCwxMi8zMS8yMDA5LEFZKQ==&amp;WINDOW=FIRST_POPUP&amp;HEIGH","T=450&amp;WIDTH=450&amp;START_MAXIMIZED=FALSE&amp;VAR:CALENDAR=US&amp;VAR:SYMBOL=APD&amp;VAR:INDEX=25"}</definedName>
    <definedName name="_2505__FDSAUDITLINK__" hidden="1">{"fdsup://directions/FAT Viewer?action=UPDATE&amp;creator=factset&amp;DYN_ARGS=TRUE&amp;DOC_NAME=FAT:FQL_AUDITING_CLIENT_TEMPLATE.FAT&amp;display_string=Audit&amp;VAR:KEY=YBYRSHKNKR&amp;VAR:QUERY=Q1NGX0VCSVRfT1BFUihBTk4sMTIvMzEvMTk4MCwxMi8zMS8yMDA5LEFZKQ==&amp;WINDOW=FIRST_POPUP&amp;HEIGH","T=450&amp;WIDTH=450&amp;START_MAXIMIZED=FALSE&amp;VAR:CALENDAR=US&amp;VAR:SYMBOL=APD&amp;VAR:INDEX=24"}</definedName>
    <definedName name="_2506__FDSAUDITLINK__" hidden="1">{"fdsup://directions/FAT Viewer?action=UPDATE&amp;creator=factset&amp;DYN_ARGS=TRUE&amp;DOC_NAME=FAT:FQL_AUDITING_CLIENT_TEMPLATE.FAT&amp;display_string=Audit&amp;VAR:KEY=YBYRSHKNKR&amp;VAR:QUERY=Q1NGX0VCSVRfT1BFUihBTk4sMTIvMzEvMTk4MCwxMi8zMS8yMDA5LEFZKQ==&amp;WINDOW=FIRST_POPUP&amp;HEIGH","T=450&amp;WIDTH=450&amp;START_MAXIMIZED=FALSE&amp;VAR:CALENDAR=US&amp;VAR:SYMBOL=APD&amp;VAR:INDEX=23"}</definedName>
    <definedName name="_2507__FDSAUDITLINK__" hidden="1">{"fdsup://directions/FAT Viewer?action=UPDATE&amp;creator=factset&amp;DYN_ARGS=TRUE&amp;DOC_NAME=FAT:FQL_AUDITING_CLIENT_TEMPLATE.FAT&amp;display_string=Audit&amp;VAR:KEY=YBYRSHKNKR&amp;VAR:QUERY=Q1NGX0VCSVRfT1BFUihBTk4sMTIvMzEvMTk4MCwxMi8zMS8yMDA5LEFZKQ==&amp;WINDOW=FIRST_POPUP&amp;HEIGH","T=450&amp;WIDTH=450&amp;START_MAXIMIZED=FALSE&amp;VAR:CALENDAR=US&amp;VAR:SYMBOL=APD&amp;VAR:INDEX=22"}</definedName>
    <definedName name="_2508__FDSAUDITLINK__" hidden="1">{"fdsup://directions/FAT Viewer?action=UPDATE&amp;creator=factset&amp;DYN_ARGS=TRUE&amp;DOC_NAME=FAT:FQL_AUDITING_CLIENT_TEMPLATE.FAT&amp;display_string=Audit&amp;VAR:KEY=YBYRSHKNKR&amp;VAR:QUERY=Q1NGX0VCSVRfT1BFUihBTk4sMTIvMzEvMTk4MCwxMi8zMS8yMDA5LEFZKQ==&amp;WINDOW=FIRST_POPUP&amp;HEIGH","T=450&amp;WIDTH=450&amp;START_MAXIMIZED=FALSE&amp;VAR:CALENDAR=US&amp;VAR:SYMBOL=APD&amp;VAR:INDEX=21"}</definedName>
    <definedName name="_2509__FDSAUDITLINK__" hidden="1">{"fdsup://directions/FAT Viewer?action=UPDATE&amp;creator=factset&amp;DYN_ARGS=TRUE&amp;DOC_NAME=FAT:FQL_AUDITING_CLIENT_TEMPLATE.FAT&amp;display_string=Audit&amp;VAR:KEY=YBYRSHKNKR&amp;VAR:QUERY=Q1NGX0VCSVRfT1BFUihBTk4sMTIvMzEvMTk4MCwxMi8zMS8yMDA5LEFZKQ==&amp;WINDOW=FIRST_POPUP&amp;HEIGH","T=450&amp;WIDTH=450&amp;START_MAXIMIZED=FALSE&amp;VAR:CALENDAR=US&amp;VAR:SYMBOL=APD&amp;VAR:INDEX=20"}</definedName>
    <definedName name="_251__FDSAUDITLINK__" hidden="1">{"fdsup://directions/FAT Viewer?action=UPDATE&amp;creator=factset&amp;DYN_ARGS=TRUE&amp;DOC_NAME=FAT:FQL_AUDITING_CLIENT_TEMPLATE.FAT&amp;display_string=Audit&amp;VAR:KEY=CNWFMPUVUB&amp;VAR:QUERY=Q1NGX0VCSVRfT1BFUihBTk4sMTIvMzEvODAsMCk=&amp;WINDOW=FIRST_POPUP&amp;HEIGHT=450&amp;WIDTH=450&amp;STAR","T_MAXIMIZED=FALSE&amp;VAR:CALENDAR=US&amp;VAR:SYMBOL=CYT&amp;VAR:INDEX=20"}</definedName>
    <definedName name="_2510__FDSAUDITLINK__" hidden="1">{"fdsup://directions/FAT Viewer?action=UPDATE&amp;creator=factset&amp;DYN_ARGS=TRUE&amp;DOC_NAME=FAT:FQL_AUDITING_CLIENT_TEMPLATE.FAT&amp;display_string=Audit&amp;VAR:KEY=YBYRSHKNKR&amp;VAR:QUERY=Q1NGX0VCSVRfT1BFUihBTk4sMTIvMzEvMTk4MCwxMi8zMS8yMDA5LEFZKQ==&amp;WINDOW=FIRST_POPUP&amp;HEIGH","T=450&amp;WIDTH=450&amp;START_MAXIMIZED=FALSE&amp;VAR:CALENDAR=US&amp;VAR:SYMBOL=APD&amp;VAR:INDEX=19"}</definedName>
    <definedName name="_2511__FDSAUDITLINK__" hidden="1">{"fdsup://directions/FAT Viewer?action=UPDATE&amp;creator=factset&amp;DYN_ARGS=TRUE&amp;DOC_NAME=FAT:FQL_AUDITING_CLIENT_TEMPLATE.FAT&amp;display_string=Audit&amp;VAR:KEY=YBYRSHKNKR&amp;VAR:QUERY=Q1NGX0VCSVRfT1BFUihBTk4sMTIvMzEvMTk4MCwxMi8zMS8yMDA5LEFZKQ==&amp;WINDOW=FIRST_POPUP&amp;HEIGH","T=450&amp;WIDTH=450&amp;START_MAXIMIZED=FALSE&amp;VAR:CALENDAR=US&amp;VAR:SYMBOL=APD&amp;VAR:INDEX=18"}</definedName>
    <definedName name="_2512__FDSAUDITLINK__" hidden="1">{"fdsup://directions/FAT Viewer?action=UPDATE&amp;creator=factset&amp;DYN_ARGS=TRUE&amp;DOC_NAME=FAT:FQL_AUDITING_CLIENT_TEMPLATE.FAT&amp;display_string=Audit&amp;VAR:KEY=YBYRSHKNKR&amp;VAR:QUERY=Q1NGX0VCSVRfT1BFUihBTk4sMTIvMzEvMTk4MCwxMi8zMS8yMDA5LEFZKQ==&amp;WINDOW=FIRST_POPUP&amp;HEIGH","T=450&amp;WIDTH=450&amp;START_MAXIMIZED=FALSE&amp;VAR:CALENDAR=US&amp;VAR:SYMBOL=APD&amp;VAR:INDEX=17"}</definedName>
    <definedName name="_2513__FDSAUDITLINK__" hidden="1">{"fdsup://directions/FAT Viewer?action=UPDATE&amp;creator=factset&amp;DYN_ARGS=TRUE&amp;DOC_NAME=FAT:FQL_AUDITING_CLIENT_TEMPLATE.FAT&amp;display_string=Audit&amp;VAR:KEY=YBYRSHKNKR&amp;VAR:QUERY=Q1NGX0VCSVRfT1BFUihBTk4sMTIvMzEvMTk4MCwxMi8zMS8yMDA5LEFZKQ==&amp;WINDOW=FIRST_POPUP&amp;HEIGH","T=450&amp;WIDTH=450&amp;START_MAXIMIZED=FALSE&amp;VAR:CALENDAR=US&amp;VAR:SYMBOL=APD&amp;VAR:INDEX=16"}</definedName>
    <definedName name="_2514__FDSAUDITLINK__" hidden="1">{"fdsup://directions/FAT Viewer?action=UPDATE&amp;creator=factset&amp;DYN_ARGS=TRUE&amp;DOC_NAME=FAT:FQL_AUDITING_CLIENT_TEMPLATE.FAT&amp;display_string=Audit&amp;VAR:KEY=YBYRSHKNKR&amp;VAR:QUERY=Q1NGX0VCSVRfT1BFUihBTk4sMTIvMzEvMTk4MCwxMi8zMS8yMDA5LEFZKQ==&amp;WINDOW=FIRST_POPUP&amp;HEIGH","T=450&amp;WIDTH=450&amp;START_MAXIMIZED=FALSE&amp;VAR:CALENDAR=US&amp;VAR:SYMBOL=APD&amp;VAR:INDEX=15"}</definedName>
    <definedName name="_2515__FDSAUDITLINK__" hidden="1">{"fdsup://directions/FAT Viewer?action=UPDATE&amp;creator=factset&amp;DYN_ARGS=TRUE&amp;DOC_NAME=FAT:FQL_AUDITING_CLIENT_TEMPLATE.FAT&amp;display_string=Audit&amp;VAR:KEY=YBYRSHKNKR&amp;VAR:QUERY=Q1NGX0VCSVRfT1BFUihBTk4sMTIvMzEvMTk4MCwxMi8zMS8yMDA5LEFZKQ==&amp;WINDOW=FIRST_POPUP&amp;HEIGH","T=450&amp;WIDTH=450&amp;START_MAXIMIZED=FALSE&amp;VAR:CALENDAR=US&amp;VAR:SYMBOL=APD&amp;VAR:INDEX=14"}</definedName>
    <definedName name="_2516__FDSAUDITLINK__" hidden="1">{"fdsup://directions/FAT Viewer?action=UPDATE&amp;creator=factset&amp;DYN_ARGS=TRUE&amp;DOC_NAME=FAT:FQL_AUDITING_CLIENT_TEMPLATE.FAT&amp;display_string=Audit&amp;VAR:KEY=YBYRSHKNKR&amp;VAR:QUERY=Q1NGX0VCSVRfT1BFUihBTk4sMTIvMzEvMTk4MCwxMi8zMS8yMDA5LEFZKQ==&amp;WINDOW=FIRST_POPUP&amp;HEIGH","T=450&amp;WIDTH=450&amp;START_MAXIMIZED=FALSE&amp;VAR:CALENDAR=US&amp;VAR:SYMBOL=APD&amp;VAR:INDEX=13"}</definedName>
    <definedName name="_2517__FDSAUDITLINK__" hidden="1">{"fdsup://directions/FAT Viewer?action=UPDATE&amp;creator=factset&amp;DYN_ARGS=TRUE&amp;DOC_NAME=FAT:FQL_AUDITING_CLIENT_TEMPLATE.FAT&amp;display_string=Audit&amp;VAR:KEY=YBYRSHKNKR&amp;VAR:QUERY=Q1NGX0VCSVRfT1BFUihBTk4sMTIvMzEvMTk4MCwxMi8zMS8yMDA5LEFZKQ==&amp;WINDOW=FIRST_POPUP&amp;HEIGH","T=450&amp;WIDTH=450&amp;START_MAXIMIZED=FALSE&amp;VAR:CALENDAR=US&amp;VAR:SYMBOL=APD&amp;VAR:INDEX=12"}</definedName>
    <definedName name="_2518__FDSAUDITLINK__" hidden="1">{"fdsup://directions/FAT Viewer?action=UPDATE&amp;creator=factset&amp;DYN_ARGS=TRUE&amp;DOC_NAME=FAT:FQL_AUDITING_CLIENT_TEMPLATE.FAT&amp;display_string=Audit&amp;VAR:KEY=YBYRSHKNKR&amp;VAR:QUERY=Q1NGX0VCSVRfT1BFUihBTk4sMTIvMzEvMTk4MCwxMi8zMS8yMDA5LEFZKQ==&amp;WINDOW=FIRST_POPUP&amp;HEIGH","T=450&amp;WIDTH=450&amp;START_MAXIMIZED=FALSE&amp;VAR:CALENDAR=US&amp;VAR:SYMBOL=APD&amp;VAR:INDEX=11"}</definedName>
    <definedName name="_2519__FDSAUDITLINK__" hidden="1">{"fdsup://directions/FAT Viewer?action=UPDATE&amp;creator=factset&amp;DYN_ARGS=TRUE&amp;DOC_NAME=FAT:FQL_AUDITING_CLIENT_TEMPLATE.FAT&amp;display_string=Audit&amp;VAR:KEY=YBYRSHKNKR&amp;VAR:QUERY=Q1NGX0VCSVRfT1BFUihBTk4sMTIvMzEvMTk4MCwxMi8zMS8yMDA5LEFZKQ==&amp;WINDOW=FIRST_POPUP&amp;HEIGH","T=450&amp;WIDTH=450&amp;START_MAXIMIZED=FALSE&amp;VAR:CALENDAR=US&amp;VAR:SYMBOL=APD&amp;VAR:INDEX=10"}</definedName>
    <definedName name="_252__FDSAUDITLINK__" hidden="1">{"fdsup://directions/FAT Viewer?action=UPDATE&amp;creator=factset&amp;DYN_ARGS=TRUE&amp;DOC_NAME=FAT:FQL_AUDITING_CLIENT_TEMPLATE.FAT&amp;display_string=Audit&amp;VAR:KEY=CNWFMPUVUB&amp;VAR:QUERY=Q1NGX0VCSVRfT1BFUihBTk4sMTIvMzEvODAsMCk=&amp;WINDOW=FIRST_POPUP&amp;HEIGHT=450&amp;WIDTH=450&amp;STAR","T_MAXIMIZED=FALSE&amp;VAR:CALENDAR=US&amp;VAR:SYMBOL=CYT&amp;VAR:INDEX=19"}</definedName>
    <definedName name="_2520__FDSAUDITLINK__" hidden="1">{"fdsup://directions/FAT Viewer?action=UPDATE&amp;creator=factset&amp;DYN_ARGS=TRUE&amp;DOC_NAME=FAT:FQL_AUDITING_CLIENT_TEMPLATE.FAT&amp;display_string=Audit&amp;VAR:KEY=YBYRSHKNKR&amp;VAR:QUERY=Q1NGX0VCSVRfT1BFUihBTk4sMTIvMzEvMTk4MCwxMi8zMS8yMDA5LEFZKQ==&amp;WINDOW=FIRST_POPUP&amp;HEIGH","T=450&amp;WIDTH=450&amp;START_MAXIMIZED=FALSE&amp;VAR:CALENDAR=US&amp;VAR:SYMBOL=APD&amp;VAR:INDEX=9"}</definedName>
    <definedName name="_2521__FDSAUDITLINK__" hidden="1">{"fdsup://directions/FAT Viewer?action=UPDATE&amp;creator=factset&amp;DYN_ARGS=TRUE&amp;DOC_NAME=FAT:FQL_AUDITING_CLIENT_TEMPLATE.FAT&amp;display_string=Audit&amp;VAR:KEY=YBYRSHKNKR&amp;VAR:QUERY=Q1NGX0VCSVRfT1BFUihBTk4sMTIvMzEvMTk4MCwxMi8zMS8yMDA5LEFZKQ==&amp;WINDOW=FIRST_POPUP&amp;HEIGH","T=450&amp;WIDTH=450&amp;START_MAXIMIZED=FALSE&amp;VAR:CALENDAR=US&amp;VAR:SYMBOL=APD&amp;VAR:INDEX=8"}</definedName>
    <definedName name="_2522__FDSAUDITLINK__" hidden="1">{"fdsup://directions/FAT Viewer?action=UPDATE&amp;creator=factset&amp;DYN_ARGS=TRUE&amp;DOC_NAME=FAT:FQL_AUDITING_CLIENT_TEMPLATE.FAT&amp;display_string=Audit&amp;VAR:KEY=YBYRSHKNKR&amp;VAR:QUERY=Q1NGX0VCSVRfT1BFUihBTk4sMTIvMzEvMTk4MCwxMi8zMS8yMDA5LEFZKQ==&amp;WINDOW=FIRST_POPUP&amp;HEIGH","T=450&amp;WIDTH=450&amp;START_MAXIMIZED=FALSE&amp;VAR:CALENDAR=US&amp;VAR:SYMBOL=APD&amp;VAR:INDEX=7"}</definedName>
    <definedName name="_2523__FDSAUDITLINK__" hidden="1">{"fdsup://directions/FAT Viewer?action=UPDATE&amp;creator=factset&amp;DYN_ARGS=TRUE&amp;DOC_NAME=FAT:FQL_AUDITING_CLIENT_TEMPLATE.FAT&amp;display_string=Audit&amp;VAR:KEY=YBYRSHKNKR&amp;VAR:QUERY=Q1NGX0VCSVRfT1BFUihBTk4sMTIvMzEvMTk4MCwxMi8zMS8yMDA5LEFZKQ==&amp;WINDOW=FIRST_POPUP&amp;HEIGH","T=450&amp;WIDTH=450&amp;START_MAXIMIZED=FALSE&amp;VAR:CALENDAR=US&amp;VAR:SYMBOL=APD&amp;VAR:INDEX=6"}</definedName>
    <definedName name="_2524__FDSAUDITLINK__" hidden="1">{"fdsup://directions/FAT Viewer?action=UPDATE&amp;creator=factset&amp;DYN_ARGS=TRUE&amp;DOC_NAME=FAT:FQL_AUDITING_CLIENT_TEMPLATE.FAT&amp;display_string=Audit&amp;VAR:KEY=YBYRSHKNKR&amp;VAR:QUERY=Q1NGX0VCSVRfT1BFUihBTk4sMTIvMzEvMTk4MCwxMi8zMS8yMDA5LEFZKQ==&amp;WINDOW=FIRST_POPUP&amp;HEIGH","T=450&amp;WIDTH=450&amp;START_MAXIMIZED=FALSE&amp;VAR:CALENDAR=US&amp;VAR:SYMBOL=APD&amp;VAR:INDEX=5"}</definedName>
    <definedName name="_2525__FDSAUDITLINK__" hidden="1">{"fdsup://directions/FAT Viewer?action=UPDATE&amp;creator=factset&amp;DYN_ARGS=TRUE&amp;DOC_NAME=FAT:FQL_AUDITING_CLIENT_TEMPLATE.FAT&amp;display_string=Audit&amp;VAR:KEY=YBYRSHKNKR&amp;VAR:QUERY=Q1NGX0VCSVRfT1BFUihBTk4sMTIvMzEvMTk4MCwxMi8zMS8yMDA5LEFZKQ==&amp;WINDOW=FIRST_POPUP&amp;HEIGH","T=450&amp;WIDTH=450&amp;START_MAXIMIZED=FALSE&amp;VAR:CALENDAR=US&amp;VAR:SYMBOL=APD&amp;VAR:INDEX=4"}</definedName>
    <definedName name="_2526__FDSAUDITLINK__" hidden="1">{"fdsup://directions/FAT Viewer?action=UPDATE&amp;creator=factset&amp;DYN_ARGS=TRUE&amp;DOC_NAME=FAT:FQL_AUDITING_CLIENT_TEMPLATE.FAT&amp;display_string=Audit&amp;VAR:KEY=YBYRSHKNKR&amp;VAR:QUERY=Q1NGX0VCSVRfT1BFUihBTk4sMTIvMzEvMTk4MCwxMi8zMS8yMDA5LEFZKQ==&amp;WINDOW=FIRST_POPUP&amp;HEIGH","T=450&amp;WIDTH=450&amp;START_MAXIMIZED=FALSE&amp;VAR:CALENDAR=US&amp;VAR:SYMBOL=APD&amp;VAR:INDEX=3"}</definedName>
    <definedName name="_2527__FDSAUDITLINK__" hidden="1">{"fdsup://directions/FAT Viewer?action=UPDATE&amp;creator=factset&amp;DYN_ARGS=TRUE&amp;DOC_NAME=FAT:FQL_AUDITING_CLIENT_TEMPLATE.FAT&amp;display_string=Audit&amp;VAR:KEY=YBYRSHKNKR&amp;VAR:QUERY=Q1NGX0VCSVRfT1BFUihBTk4sMTIvMzEvMTk4MCwxMi8zMS8yMDA5LEFZKQ==&amp;WINDOW=FIRST_POPUP&amp;HEIGH","T=450&amp;WIDTH=450&amp;START_MAXIMIZED=FALSE&amp;VAR:CALENDAR=US&amp;VAR:SYMBOL=APD&amp;VAR:INDEX=2"}</definedName>
    <definedName name="_2528__FDSAUDITLINK__" hidden="1">{"fdsup://directions/FAT Viewer?action=UPDATE&amp;creator=factset&amp;DYN_ARGS=TRUE&amp;DOC_NAME=FAT:FQL_AUDITING_CLIENT_TEMPLATE.FAT&amp;display_string=Audit&amp;VAR:KEY=YBYRSHKNKR&amp;VAR:QUERY=Q1NGX0VCSVRfT1BFUihBTk4sMTIvMzEvMTk4MCwxMi8zMS8yMDA5LEFZKQ==&amp;WINDOW=FIRST_POPUP&amp;HEIGH","T=450&amp;WIDTH=450&amp;START_MAXIMIZED=FALSE&amp;VAR:CALENDAR=US&amp;VAR:SYMBOL=APD&amp;VAR:INDEX=1"}</definedName>
    <definedName name="_2529__FDSAUDITLINK__" hidden="1">{"fdsup://directions/FAT Viewer?action=UPDATE&amp;creator=factset&amp;DYN_ARGS=TRUE&amp;DOC_NAME=FAT:FQL_AUDITING_CLIENT_TEMPLATE.FAT&amp;display_string=Audit&amp;VAR:KEY=YBYRSHKNKR&amp;VAR:QUERY=Q1NGX0VCSVRfT1BFUihBTk4sMTIvMzEvMTk4MCwxMi8zMS8yMDA5LEFZKQ==&amp;WINDOW=FIRST_POPUP&amp;HEIGH","T=450&amp;WIDTH=450&amp;START_MAXIMIZED=FALSE&amp;VAR:CALENDAR=US&amp;VAR:SYMBOL=APD&amp;VAR:INDEX=0"}</definedName>
    <definedName name="_253__FDSAUDITLINK__" hidden="1">{"fdsup://directions/FAT Viewer?action=UPDATE&amp;creator=factset&amp;DYN_ARGS=TRUE&amp;DOC_NAME=FAT:FQL_AUDITING_CLIENT_TEMPLATE.FAT&amp;display_string=Audit&amp;VAR:KEY=CNWFMPUVUB&amp;VAR:QUERY=Q1NGX0VCSVRfT1BFUihBTk4sMTIvMzEvODAsMCk=&amp;WINDOW=FIRST_POPUP&amp;HEIGHT=450&amp;WIDTH=450&amp;STAR","T_MAXIMIZED=FALSE&amp;VAR:CALENDAR=US&amp;VAR:SYMBOL=CYT&amp;VAR:INDEX=18"}</definedName>
    <definedName name="_2530__FDSAUDITLINK__" hidden="1">{"fdsup://directions/FAT Viewer?action=UPDATE&amp;creator=factset&amp;DYN_ARGS=TRUE&amp;DOC_NAME=FAT:FQL_AUDITING_CLIENT_TEMPLATE.FAT&amp;display_string=Audit&amp;VAR:KEY=VSTILOVCLM&amp;VAR:QUERY=Q1NGX0VCSVRfT1BFUihMVE1fUiwwKQ==&amp;WINDOW=FIRST_POPUP&amp;HEIGHT=450&amp;WIDTH=450&amp;START_MAXIMI","ZED=FALSE&amp;VAR:CALENDAR=US&amp;VAR:SYMBOL=ARG&amp;VAR:INDEX=0"}</definedName>
    <definedName name="_2531__FDSAUDITLINK__" hidden="1">{"fdsup://directions/FAT Viewer?action=UPDATE&amp;creator=factset&amp;DYN_ARGS=TRUE&amp;DOC_NAME=FAT:FQL_AUDITING_CLIENT_TEMPLATE.FAT&amp;display_string=Audit&amp;VAR:KEY=IBYTKFWFQL&amp;VAR:QUERY=Q1NGX0VCSVRfT1BFUihBTk4sMTIvMzEvMTk4MCwxMi8zMS8yMDA5LEFZKQ==&amp;WINDOW=FIRST_POPUP&amp;HEIGH","T=450&amp;WIDTH=450&amp;START_MAXIMIZED=FALSE&amp;VAR:CALENDAR=US&amp;VAR:SYMBOL=ARG&amp;VAR:INDEX=29"}</definedName>
    <definedName name="_2532__FDSAUDITLINK__" hidden="1">{"fdsup://directions/FAT Viewer?action=UPDATE&amp;creator=factset&amp;DYN_ARGS=TRUE&amp;DOC_NAME=FAT:FQL_AUDITING_CLIENT_TEMPLATE.FAT&amp;display_string=Audit&amp;VAR:KEY=IBYTKFWFQL&amp;VAR:QUERY=Q1NGX0VCSVRfT1BFUihBTk4sMTIvMzEvMTk4MCwxMi8zMS8yMDA5LEFZKQ==&amp;WINDOW=FIRST_POPUP&amp;HEIGH","T=450&amp;WIDTH=450&amp;START_MAXIMIZED=FALSE&amp;VAR:CALENDAR=US&amp;VAR:SYMBOL=ARG&amp;VAR:INDEX=28"}</definedName>
    <definedName name="_2533__FDSAUDITLINK__" hidden="1">{"fdsup://directions/FAT Viewer?action=UPDATE&amp;creator=factset&amp;DYN_ARGS=TRUE&amp;DOC_NAME=FAT:FQL_AUDITING_CLIENT_TEMPLATE.FAT&amp;display_string=Audit&amp;VAR:KEY=IBYTKFWFQL&amp;VAR:QUERY=Q1NGX0VCSVRfT1BFUihBTk4sMTIvMzEvMTk4MCwxMi8zMS8yMDA5LEFZKQ==&amp;WINDOW=FIRST_POPUP&amp;HEIGH","T=450&amp;WIDTH=450&amp;START_MAXIMIZED=FALSE&amp;VAR:CALENDAR=US&amp;VAR:SYMBOL=ARG&amp;VAR:INDEX=27"}</definedName>
    <definedName name="_2534__FDSAUDITLINK__" hidden="1">{"fdsup://directions/FAT Viewer?action=UPDATE&amp;creator=factset&amp;DYN_ARGS=TRUE&amp;DOC_NAME=FAT:FQL_AUDITING_CLIENT_TEMPLATE.FAT&amp;display_string=Audit&amp;VAR:KEY=IBYTKFWFQL&amp;VAR:QUERY=Q1NGX0VCSVRfT1BFUihBTk4sMTIvMzEvMTk4MCwxMi8zMS8yMDA5LEFZKQ==&amp;WINDOW=FIRST_POPUP&amp;HEIGH","T=450&amp;WIDTH=450&amp;START_MAXIMIZED=FALSE&amp;VAR:CALENDAR=US&amp;VAR:SYMBOL=ARG&amp;VAR:INDEX=26"}</definedName>
    <definedName name="_2535__FDSAUDITLINK__" hidden="1">{"fdsup://directions/FAT Viewer?action=UPDATE&amp;creator=factset&amp;DYN_ARGS=TRUE&amp;DOC_NAME=FAT:FQL_AUDITING_CLIENT_TEMPLATE.FAT&amp;display_string=Audit&amp;VAR:KEY=IBYTKFWFQL&amp;VAR:QUERY=Q1NGX0VCSVRfT1BFUihBTk4sMTIvMzEvMTk4MCwxMi8zMS8yMDA5LEFZKQ==&amp;WINDOW=FIRST_POPUP&amp;HEIGH","T=450&amp;WIDTH=450&amp;START_MAXIMIZED=FALSE&amp;VAR:CALENDAR=US&amp;VAR:SYMBOL=ARG&amp;VAR:INDEX=25"}</definedName>
    <definedName name="_2536__FDSAUDITLINK__" hidden="1">{"fdsup://directions/FAT Viewer?action=UPDATE&amp;creator=factset&amp;DYN_ARGS=TRUE&amp;DOC_NAME=FAT:FQL_AUDITING_CLIENT_TEMPLATE.FAT&amp;display_string=Audit&amp;VAR:KEY=IBYTKFWFQL&amp;VAR:QUERY=Q1NGX0VCSVRfT1BFUihBTk4sMTIvMzEvMTk4MCwxMi8zMS8yMDA5LEFZKQ==&amp;WINDOW=FIRST_POPUP&amp;HEIGH","T=450&amp;WIDTH=450&amp;START_MAXIMIZED=FALSE&amp;VAR:CALENDAR=US&amp;VAR:SYMBOL=ARG&amp;VAR:INDEX=24"}</definedName>
    <definedName name="_2537__FDSAUDITLINK__" hidden="1">{"fdsup://directions/FAT Viewer?action=UPDATE&amp;creator=factset&amp;DYN_ARGS=TRUE&amp;DOC_NAME=FAT:FQL_AUDITING_CLIENT_TEMPLATE.FAT&amp;display_string=Audit&amp;VAR:KEY=IBYTKFWFQL&amp;VAR:QUERY=Q1NGX0VCSVRfT1BFUihBTk4sMTIvMzEvMTk4MCwxMi8zMS8yMDA5LEFZKQ==&amp;WINDOW=FIRST_POPUP&amp;HEIGH","T=450&amp;WIDTH=450&amp;START_MAXIMIZED=FALSE&amp;VAR:CALENDAR=US&amp;VAR:SYMBOL=ARG&amp;VAR:INDEX=23"}</definedName>
    <definedName name="_2538__FDSAUDITLINK__" hidden="1">{"fdsup://directions/FAT Viewer?action=UPDATE&amp;creator=factset&amp;DYN_ARGS=TRUE&amp;DOC_NAME=FAT:FQL_AUDITING_CLIENT_TEMPLATE.FAT&amp;display_string=Audit&amp;VAR:KEY=IBYTKFWFQL&amp;VAR:QUERY=Q1NGX0VCSVRfT1BFUihBTk4sMTIvMzEvMTk4MCwxMi8zMS8yMDA5LEFZKQ==&amp;WINDOW=FIRST_POPUP&amp;HEIGH","T=450&amp;WIDTH=450&amp;START_MAXIMIZED=FALSE&amp;VAR:CALENDAR=US&amp;VAR:SYMBOL=ARG&amp;VAR:INDEX=22"}</definedName>
    <definedName name="_2539__FDSAUDITLINK__" hidden="1">{"fdsup://directions/FAT Viewer?action=UPDATE&amp;creator=factset&amp;DYN_ARGS=TRUE&amp;DOC_NAME=FAT:FQL_AUDITING_CLIENT_TEMPLATE.FAT&amp;display_string=Audit&amp;VAR:KEY=IBYTKFWFQL&amp;VAR:QUERY=Q1NGX0VCSVRfT1BFUihBTk4sMTIvMzEvMTk4MCwxMi8zMS8yMDA5LEFZKQ==&amp;WINDOW=FIRST_POPUP&amp;HEIGH","T=450&amp;WIDTH=450&amp;START_MAXIMIZED=FALSE&amp;VAR:CALENDAR=US&amp;VAR:SYMBOL=ARG&amp;VAR:INDEX=21"}</definedName>
    <definedName name="_254__FDSAUDITLINK__" hidden="1">{"fdsup://directions/FAT Viewer?action=UPDATE&amp;creator=factset&amp;DYN_ARGS=TRUE&amp;DOC_NAME=FAT:FQL_AUDITING_CLIENT_TEMPLATE.FAT&amp;display_string=Audit&amp;VAR:KEY=CNWFMPUVUB&amp;VAR:QUERY=Q1NGX0VCSVRfT1BFUihBTk4sMTIvMzEvODAsMCk=&amp;WINDOW=FIRST_POPUP&amp;HEIGHT=450&amp;WIDTH=450&amp;STAR","T_MAXIMIZED=FALSE&amp;VAR:CALENDAR=US&amp;VAR:SYMBOL=CYT&amp;VAR:INDEX=17"}</definedName>
    <definedName name="_2540__FDSAUDITLINK__" hidden="1">{"fdsup://directions/FAT Viewer?action=UPDATE&amp;creator=factset&amp;DYN_ARGS=TRUE&amp;DOC_NAME=FAT:FQL_AUDITING_CLIENT_TEMPLATE.FAT&amp;display_string=Audit&amp;VAR:KEY=IBYTKFWFQL&amp;VAR:QUERY=Q1NGX0VCSVRfT1BFUihBTk4sMTIvMzEvMTk4MCwxMi8zMS8yMDA5LEFZKQ==&amp;WINDOW=FIRST_POPUP&amp;HEIGH","T=450&amp;WIDTH=450&amp;START_MAXIMIZED=FALSE&amp;VAR:CALENDAR=US&amp;VAR:SYMBOL=ARG&amp;VAR:INDEX=20"}</definedName>
    <definedName name="_2541__FDSAUDITLINK__" hidden="1">{"fdsup://directions/FAT Viewer?action=UPDATE&amp;creator=factset&amp;DYN_ARGS=TRUE&amp;DOC_NAME=FAT:FQL_AUDITING_CLIENT_TEMPLATE.FAT&amp;display_string=Audit&amp;VAR:KEY=IBYTKFWFQL&amp;VAR:QUERY=Q1NGX0VCSVRfT1BFUihBTk4sMTIvMzEvMTk4MCwxMi8zMS8yMDA5LEFZKQ==&amp;WINDOW=FIRST_POPUP&amp;HEIGH","T=450&amp;WIDTH=450&amp;START_MAXIMIZED=FALSE&amp;VAR:CALENDAR=US&amp;VAR:SYMBOL=ARG&amp;VAR:INDEX=19"}</definedName>
    <definedName name="_2542__FDSAUDITLINK__" hidden="1">{"fdsup://directions/FAT Viewer?action=UPDATE&amp;creator=factset&amp;DYN_ARGS=TRUE&amp;DOC_NAME=FAT:FQL_AUDITING_CLIENT_TEMPLATE.FAT&amp;display_string=Audit&amp;VAR:KEY=IBYTKFWFQL&amp;VAR:QUERY=Q1NGX0VCSVRfT1BFUihBTk4sMTIvMzEvMTk4MCwxMi8zMS8yMDA5LEFZKQ==&amp;WINDOW=FIRST_POPUP&amp;HEIGH","T=450&amp;WIDTH=450&amp;START_MAXIMIZED=FALSE&amp;VAR:CALENDAR=US&amp;VAR:SYMBOL=ARG&amp;VAR:INDEX=18"}</definedName>
    <definedName name="_2543__FDSAUDITLINK__" hidden="1">{"fdsup://directions/FAT Viewer?action=UPDATE&amp;creator=factset&amp;DYN_ARGS=TRUE&amp;DOC_NAME=FAT:FQL_AUDITING_CLIENT_TEMPLATE.FAT&amp;display_string=Audit&amp;VAR:KEY=IBYTKFWFQL&amp;VAR:QUERY=Q1NGX0VCSVRfT1BFUihBTk4sMTIvMzEvMTk4MCwxMi8zMS8yMDA5LEFZKQ==&amp;WINDOW=FIRST_POPUP&amp;HEIGH","T=450&amp;WIDTH=450&amp;START_MAXIMIZED=FALSE&amp;VAR:CALENDAR=US&amp;VAR:SYMBOL=ARG&amp;VAR:INDEX=17"}</definedName>
    <definedName name="_2544__FDSAUDITLINK__" hidden="1">{"fdsup://directions/FAT Viewer?action=UPDATE&amp;creator=factset&amp;DYN_ARGS=TRUE&amp;DOC_NAME=FAT:FQL_AUDITING_CLIENT_TEMPLATE.FAT&amp;display_string=Audit&amp;VAR:KEY=IBYTKFWFQL&amp;VAR:QUERY=Q1NGX0VCSVRfT1BFUihBTk4sMTIvMzEvMTk4MCwxMi8zMS8yMDA5LEFZKQ==&amp;WINDOW=FIRST_POPUP&amp;HEIGH","T=450&amp;WIDTH=450&amp;START_MAXIMIZED=FALSE&amp;VAR:CALENDAR=US&amp;VAR:SYMBOL=ARG&amp;VAR:INDEX=16"}</definedName>
    <definedName name="_2545__FDSAUDITLINK__" hidden="1">{"fdsup://directions/FAT Viewer?action=UPDATE&amp;creator=factset&amp;DYN_ARGS=TRUE&amp;DOC_NAME=FAT:FQL_AUDITING_CLIENT_TEMPLATE.FAT&amp;display_string=Audit&amp;VAR:KEY=IBYTKFWFQL&amp;VAR:QUERY=Q1NGX0VCSVRfT1BFUihBTk4sMTIvMzEvMTk4MCwxMi8zMS8yMDA5LEFZKQ==&amp;WINDOW=FIRST_POPUP&amp;HEIGH","T=450&amp;WIDTH=450&amp;START_MAXIMIZED=FALSE&amp;VAR:CALENDAR=US&amp;VAR:SYMBOL=ARG&amp;VAR:INDEX=15"}</definedName>
    <definedName name="_2546__FDSAUDITLINK__" hidden="1">{"fdsup://directions/FAT Viewer?action=UPDATE&amp;creator=factset&amp;DYN_ARGS=TRUE&amp;DOC_NAME=FAT:FQL_AUDITING_CLIENT_TEMPLATE.FAT&amp;display_string=Audit&amp;VAR:KEY=IBYTKFWFQL&amp;VAR:QUERY=Q1NGX0VCSVRfT1BFUihBTk4sMTIvMzEvMTk4MCwxMi8zMS8yMDA5LEFZKQ==&amp;WINDOW=FIRST_POPUP&amp;HEIGH","T=450&amp;WIDTH=450&amp;START_MAXIMIZED=FALSE&amp;VAR:CALENDAR=US&amp;VAR:SYMBOL=ARG&amp;VAR:INDEX=14"}</definedName>
    <definedName name="_2547__FDSAUDITLINK__" hidden="1">{"fdsup://directions/FAT Viewer?action=UPDATE&amp;creator=factset&amp;DYN_ARGS=TRUE&amp;DOC_NAME=FAT:FQL_AUDITING_CLIENT_TEMPLATE.FAT&amp;display_string=Audit&amp;VAR:KEY=IBYTKFWFQL&amp;VAR:QUERY=Q1NGX0VCSVRfT1BFUihBTk4sMTIvMzEvMTk4MCwxMi8zMS8yMDA5LEFZKQ==&amp;WINDOW=FIRST_POPUP&amp;HEIGH","T=450&amp;WIDTH=450&amp;START_MAXIMIZED=FALSE&amp;VAR:CALENDAR=US&amp;VAR:SYMBOL=ARG&amp;VAR:INDEX=13"}</definedName>
    <definedName name="_2548__FDSAUDITLINK__" hidden="1">{"fdsup://directions/FAT Viewer?action=UPDATE&amp;creator=factset&amp;DYN_ARGS=TRUE&amp;DOC_NAME=FAT:FQL_AUDITING_CLIENT_TEMPLATE.FAT&amp;display_string=Audit&amp;VAR:KEY=IBYTKFWFQL&amp;VAR:QUERY=Q1NGX0VCSVRfT1BFUihBTk4sMTIvMzEvMTk4MCwxMi8zMS8yMDA5LEFZKQ==&amp;WINDOW=FIRST_POPUP&amp;HEIGH","T=450&amp;WIDTH=450&amp;START_MAXIMIZED=FALSE&amp;VAR:CALENDAR=US&amp;VAR:SYMBOL=ARG&amp;VAR:INDEX=12"}</definedName>
    <definedName name="_2549__FDSAUDITLINK__" hidden="1">{"fdsup://directions/FAT Viewer?action=UPDATE&amp;creator=factset&amp;DYN_ARGS=TRUE&amp;DOC_NAME=FAT:FQL_AUDITING_CLIENT_TEMPLATE.FAT&amp;display_string=Audit&amp;VAR:KEY=IBYTKFWFQL&amp;VAR:QUERY=Q1NGX0VCSVRfT1BFUihBTk4sMTIvMzEvMTk4MCwxMi8zMS8yMDA5LEFZKQ==&amp;WINDOW=FIRST_POPUP&amp;HEIGH","T=450&amp;WIDTH=450&amp;START_MAXIMIZED=FALSE&amp;VAR:CALENDAR=US&amp;VAR:SYMBOL=ARG&amp;VAR:INDEX=11"}</definedName>
    <definedName name="_255__FDSAUDITLINK__" hidden="1">{"fdsup://directions/FAT Viewer?action=UPDATE&amp;creator=factset&amp;DYN_ARGS=TRUE&amp;DOC_NAME=FAT:FQL_AUDITING_CLIENT_TEMPLATE.FAT&amp;display_string=Audit&amp;VAR:KEY=CNWFMPUVUB&amp;VAR:QUERY=Q1NGX0VCSVRfT1BFUihBTk4sMTIvMzEvODAsMCk=&amp;WINDOW=FIRST_POPUP&amp;HEIGHT=450&amp;WIDTH=450&amp;STAR","T_MAXIMIZED=FALSE&amp;VAR:CALENDAR=US&amp;VAR:SYMBOL=CYT&amp;VAR:INDEX=16"}</definedName>
    <definedName name="_2550__FDSAUDITLINK__" hidden="1">{"fdsup://directions/FAT Viewer?action=UPDATE&amp;creator=factset&amp;DYN_ARGS=TRUE&amp;DOC_NAME=FAT:FQL_AUDITING_CLIENT_TEMPLATE.FAT&amp;display_string=Audit&amp;VAR:KEY=IBYTKFWFQL&amp;VAR:QUERY=Q1NGX0VCSVRfT1BFUihBTk4sMTIvMzEvMTk4MCwxMi8zMS8yMDA5LEFZKQ==&amp;WINDOW=FIRST_POPUP&amp;HEIGH","T=450&amp;WIDTH=450&amp;START_MAXIMIZED=FALSE&amp;VAR:CALENDAR=US&amp;VAR:SYMBOL=ARG&amp;VAR:INDEX=10"}</definedName>
    <definedName name="_2551__FDSAUDITLINK__" hidden="1">{"fdsup://directions/FAT Viewer?action=UPDATE&amp;creator=factset&amp;DYN_ARGS=TRUE&amp;DOC_NAME=FAT:FQL_AUDITING_CLIENT_TEMPLATE.FAT&amp;display_string=Audit&amp;VAR:KEY=IBYTKFWFQL&amp;VAR:QUERY=Q1NGX0VCSVRfT1BFUihBTk4sMTIvMzEvMTk4MCwxMi8zMS8yMDA5LEFZKQ==&amp;WINDOW=FIRST_POPUP&amp;HEIGH","T=450&amp;WIDTH=450&amp;START_MAXIMIZED=FALSE&amp;VAR:CALENDAR=US&amp;VAR:SYMBOL=ARG&amp;VAR:INDEX=9"}</definedName>
    <definedName name="_2552__FDSAUDITLINK__" hidden="1">{"fdsup://directions/FAT Viewer?action=UPDATE&amp;creator=factset&amp;DYN_ARGS=TRUE&amp;DOC_NAME=FAT:FQL_AUDITING_CLIENT_TEMPLATE.FAT&amp;display_string=Audit&amp;VAR:KEY=IBYTKFWFQL&amp;VAR:QUERY=Q1NGX0VCSVRfT1BFUihBTk4sMTIvMzEvMTk4MCwxMi8zMS8yMDA5LEFZKQ==&amp;WINDOW=FIRST_POPUP&amp;HEIGH","T=450&amp;WIDTH=450&amp;START_MAXIMIZED=FALSE&amp;VAR:CALENDAR=US&amp;VAR:SYMBOL=ARG&amp;VAR:INDEX=8"}</definedName>
    <definedName name="_2553__FDSAUDITLINK__" hidden="1">{"fdsup://directions/FAT Viewer?action=UPDATE&amp;creator=factset&amp;DYN_ARGS=TRUE&amp;DOC_NAME=FAT:FQL_AUDITING_CLIENT_TEMPLATE.FAT&amp;display_string=Audit&amp;VAR:KEY=IBYTKFWFQL&amp;VAR:QUERY=Q1NGX0VCSVRfT1BFUihBTk4sMTIvMzEvMTk4MCwxMi8zMS8yMDA5LEFZKQ==&amp;WINDOW=FIRST_POPUP&amp;HEIGH","T=450&amp;WIDTH=450&amp;START_MAXIMIZED=FALSE&amp;VAR:CALENDAR=US&amp;VAR:SYMBOL=ARG&amp;VAR:INDEX=7"}</definedName>
    <definedName name="_2554__FDSAUDITLINK__" hidden="1">{"fdsup://directions/FAT Viewer?action=UPDATE&amp;creator=factset&amp;DYN_ARGS=TRUE&amp;DOC_NAME=FAT:FQL_AUDITING_CLIENT_TEMPLATE.FAT&amp;display_string=Audit&amp;VAR:KEY=IBYTKFWFQL&amp;VAR:QUERY=Q1NGX0VCSVRfT1BFUihBTk4sMTIvMzEvMTk4MCwxMi8zMS8yMDA5LEFZKQ==&amp;WINDOW=FIRST_POPUP&amp;HEIGH","T=450&amp;WIDTH=450&amp;START_MAXIMIZED=FALSE&amp;VAR:CALENDAR=US&amp;VAR:SYMBOL=ARG&amp;VAR:INDEX=6"}</definedName>
    <definedName name="_2555__FDSAUDITLINK__" hidden="1">{"fdsup://directions/FAT Viewer?action=UPDATE&amp;creator=factset&amp;DYN_ARGS=TRUE&amp;DOC_NAME=FAT:FQL_AUDITING_CLIENT_TEMPLATE.FAT&amp;display_string=Audit&amp;VAR:KEY=IBYTKFWFQL&amp;VAR:QUERY=Q1NGX0VCSVRfT1BFUihBTk4sMTIvMzEvMTk4MCwxMi8zMS8yMDA5LEFZKQ==&amp;WINDOW=FIRST_POPUP&amp;HEIGH","T=450&amp;WIDTH=450&amp;START_MAXIMIZED=FALSE&amp;VAR:CALENDAR=US&amp;VAR:SYMBOL=ARG&amp;VAR:INDEX=5"}</definedName>
    <definedName name="_2556__FDSAUDITLINK__" hidden="1">{"fdsup://directions/FAT Viewer?action=UPDATE&amp;creator=factset&amp;DYN_ARGS=TRUE&amp;DOC_NAME=FAT:FQL_AUDITING_CLIENT_TEMPLATE.FAT&amp;display_string=Audit&amp;VAR:KEY=IBYTKFWFQL&amp;VAR:QUERY=Q1NGX0VCSVRfT1BFUihBTk4sMTIvMzEvMTk4MCwxMi8zMS8yMDA5LEFZKQ==&amp;WINDOW=FIRST_POPUP&amp;HEIGH","T=450&amp;WIDTH=450&amp;START_MAXIMIZED=FALSE&amp;VAR:CALENDAR=US&amp;VAR:SYMBOL=ARG&amp;VAR:INDEX=4"}</definedName>
    <definedName name="_2557__FDSAUDITLINK__" hidden="1">{"fdsup://directions/FAT Viewer?action=UPDATE&amp;creator=factset&amp;DYN_ARGS=TRUE&amp;DOC_NAME=FAT:FQL_AUDITING_CLIENT_TEMPLATE.FAT&amp;display_string=Audit&amp;VAR:KEY=IBYTKFWFQL&amp;VAR:QUERY=Q1NGX0VCSVRfT1BFUihBTk4sMTIvMzEvMTk4MCwxMi8zMS8yMDA5LEFZKQ==&amp;WINDOW=FIRST_POPUP&amp;HEIGH","T=450&amp;WIDTH=450&amp;START_MAXIMIZED=FALSE&amp;VAR:CALENDAR=US&amp;VAR:SYMBOL=ARG&amp;VAR:INDEX=3"}</definedName>
    <definedName name="_2558__FDSAUDITLINK__" hidden="1">{"fdsup://directions/FAT Viewer?action=UPDATE&amp;creator=factset&amp;DYN_ARGS=TRUE&amp;DOC_NAME=FAT:FQL_AUDITING_CLIENT_TEMPLATE.FAT&amp;display_string=Audit&amp;VAR:KEY=IBYTKFWFQL&amp;VAR:QUERY=Q1NGX0VCSVRfT1BFUihBTk4sMTIvMzEvMTk4MCwxMi8zMS8yMDA5LEFZKQ==&amp;WINDOW=FIRST_POPUP&amp;HEIGH","T=450&amp;WIDTH=450&amp;START_MAXIMIZED=FALSE&amp;VAR:CALENDAR=US&amp;VAR:SYMBOL=ARG&amp;VAR:INDEX=2"}</definedName>
    <definedName name="_2559__FDSAUDITLINK__" hidden="1">{"fdsup://directions/FAT Viewer?action=UPDATE&amp;creator=factset&amp;DYN_ARGS=TRUE&amp;DOC_NAME=FAT:FQL_AUDITING_CLIENT_TEMPLATE.FAT&amp;display_string=Audit&amp;VAR:KEY=IBYTKFWFQL&amp;VAR:QUERY=Q1NGX0VCSVRfT1BFUihBTk4sMTIvMzEvMTk4MCwxMi8zMS8yMDA5LEFZKQ==&amp;WINDOW=FIRST_POPUP&amp;HEIGH","T=450&amp;WIDTH=450&amp;START_MAXIMIZED=FALSE&amp;VAR:CALENDAR=US&amp;VAR:SYMBOL=ARG&amp;VAR:INDEX=1"}</definedName>
    <definedName name="_256__FDSAUDITLINK__" hidden="1">{"fdsup://directions/FAT Viewer?action=UPDATE&amp;creator=factset&amp;DYN_ARGS=TRUE&amp;DOC_NAME=FAT:FQL_AUDITING_CLIENT_TEMPLATE.FAT&amp;display_string=Audit&amp;VAR:KEY=CNWFMPUVUB&amp;VAR:QUERY=Q1NGX0VCSVRfT1BFUihBTk4sMTIvMzEvODAsMCk=&amp;WINDOW=FIRST_POPUP&amp;HEIGHT=450&amp;WIDTH=450&amp;STAR","T_MAXIMIZED=FALSE&amp;VAR:CALENDAR=US&amp;VAR:SYMBOL=CYT&amp;VAR:INDEX=15"}</definedName>
    <definedName name="_2560__FDSAUDITLINK__" hidden="1">{"fdsup://directions/FAT Viewer?action=UPDATE&amp;creator=factset&amp;DYN_ARGS=TRUE&amp;DOC_NAME=FAT:FQL_AUDITING_CLIENT_TEMPLATE.FAT&amp;display_string=Audit&amp;VAR:KEY=IBYTKFWFQL&amp;VAR:QUERY=Q1NGX0VCSVRfT1BFUihBTk4sMTIvMzEvMTk4MCwxMi8zMS8yMDA5LEFZKQ==&amp;WINDOW=FIRST_POPUP&amp;HEIGH","T=450&amp;WIDTH=450&amp;START_MAXIMIZED=FALSE&amp;VAR:CALENDAR=US&amp;VAR:SYMBOL=ARG&amp;VAR:INDEX=0"}</definedName>
    <definedName name="_2561__FDSAUDITLINK__" hidden="1">{"fdsup://directions/FAT Viewer?action=UPDATE&amp;creator=factset&amp;DYN_ARGS=TRUE&amp;DOC_NAME=FAT:FQL_AUDITING_CLIENT_TEMPLATE.FAT&amp;display_string=Audit&amp;VAR:KEY=XUZCJGDEDI&amp;VAR:QUERY=Q1NGX0VCSVRfT1BFUihMVE1fUiwwKQ==&amp;WINDOW=FIRST_POPUP&amp;HEIGHT=450&amp;WIDTH=450&amp;START_MAXIMI","ZED=FALSE&amp;VAR:CALENDAR=US&amp;VAR:SYMBOL=MOS&amp;VAR:INDEX=0"}</definedName>
    <definedName name="_2562__FDSAUDITLINK__" hidden="1">{"fdsup://directions/FAT Viewer?action=UPDATE&amp;creator=factset&amp;DYN_ARGS=TRUE&amp;DOC_NAME=FAT:FQL_AUDITING_CLIENT_TEMPLATE.FAT&amp;display_string=Audit&amp;VAR:KEY=GJCPGNILEB&amp;VAR:QUERY=Q1NGX0VCSVRfT1BFUihBTk4sMTIvMzEvMTk4MCwxMi8zMS8yMDA5LEFZKQ==&amp;WINDOW=FIRST_POPUP&amp;HEIGH","T=450&amp;WIDTH=450&amp;START_MAXIMIZED=FALSE&amp;VAR:CALENDAR=US&amp;VAR:SYMBOL=MOS&amp;VAR:INDEX=29"}</definedName>
    <definedName name="_2563__FDSAUDITLINK__" hidden="1">{"fdsup://directions/FAT Viewer?action=UPDATE&amp;creator=factset&amp;DYN_ARGS=TRUE&amp;DOC_NAME=FAT:FQL_AUDITING_CLIENT_TEMPLATE.FAT&amp;display_string=Audit&amp;VAR:KEY=GJCPGNILEB&amp;VAR:QUERY=Q1NGX0VCSVRfT1BFUihBTk4sMTIvMzEvMTk4MCwxMi8zMS8yMDA5LEFZKQ==&amp;WINDOW=FIRST_POPUP&amp;HEIGH","T=450&amp;WIDTH=450&amp;START_MAXIMIZED=FALSE&amp;VAR:CALENDAR=US&amp;VAR:SYMBOL=MOS&amp;VAR:INDEX=28"}</definedName>
    <definedName name="_2564__FDSAUDITLINK__" hidden="1">{"fdsup://directions/FAT Viewer?action=UPDATE&amp;creator=factset&amp;DYN_ARGS=TRUE&amp;DOC_NAME=FAT:FQL_AUDITING_CLIENT_TEMPLATE.FAT&amp;display_string=Audit&amp;VAR:KEY=GJCPGNILEB&amp;VAR:QUERY=Q1NGX0VCSVRfT1BFUihBTk4sMTIvMzEvMTk4MCwxMi8zMS8yMDA5LEFZKQ==&amp;WINDOW=FIRST_POPUP&amp;HEIGH","T=450&amp;WIDTH=450&amp;START_MAXIMIZED=FALSE&amp;VAR:CALENDAR=US&amp;VAR:SYMBOL=MOS&amp;VAR:INDEX=27"}</definedName>
    <definedName name="_2565__FDSAUDITLINK__" hidden="1">{"fdsup://directions/FAT Viewer?action=UPDATE&amp;creator=factset&amp;DYN_ARGS=TRUE&amp;DOC_NAME=FAT:FQL_AUDITING_CLIENT_TEMPLATE.FAT&amp;display_string=Audit&amp;VAR:KEY=GJCPGNILEB&amp;VAR:QUERY=Q1NGX0VCSVRfT1BFUihBTk4sMTIvMzEvMTk4MCwxMi8zMS8yMDA5LEFZKQ==&amp;WINDOW=FIRST_POPUP&amp;HEIGH","T=450&amp;WIDTH=450&amp;START_MAXIMIZED=FALSE&amp;VAR:CALENDAR=US&amp;VAR:SYMBOL=MOS&amp;VAR:INDEX=26"}</definedName>
    <definedName name="_2566__FDSAUDITLINK__" hidden="1">{"fdsup://directions/FAT Viewer?action=UPDATE&amp;creator=factset&amp;DYN_ARGS=TRUE&amp;DOC_NAME=FAT:FQL_AUDITING_CLIENT_TEMPLATE.FAT&amp;display_string=Audit&amp;VAR:KEY=GJCPGNILEB&amp;VAR:QUERY=Q1NGX0VCSVRfT1BFUihBTk4sMTIvMzEvMTk4MCwxMi8zMS8yMDA5LEFZKQ==&amp;WINDOW=FIRST_POPUP&amp;HEIGH","T=450&amp;WIDTH=450&amp;START_MAXIMIZED=FALSE&amp;VAR:CALENDAR=US&amp;VAR:SYMBOL=MOS&amp;VAR:INDEX=25"}</definedName>
    <definedName name="_2567__FDSAUDITLINK__" hidden="1">{"fdsup://directions/FAT Viewer?action=UPDATE&amp;creator=factset&amp;DYN_ARGS=TRUE&amp;DOC_NAME=FAT:FQL_AUDITING_CLIENT_TEMPLATE.FAT&amp;display_string=Audit&amp;VAR:KEY=GJCPGNILEB&amp;VAR:QUERY=Q1NGX0VCSVRfT1BFUihBTk4sMTIvMzEvMTk4MCwxMi8zMS8yMDA5LEFZKQ==&amp;WINDOW=FIRST_POPUP&amp;HEIGH","T=450&amp;WIDTH=450&amp;START_MAXIMIZED=FALSE&amp;VAR:CALENDAR=US&amp;VAR:SYMBOL=MOS&amp;VAR:INDEX=24"}</definedName>
    <definedName name="_2568__FDSAUDITLINK__" hidden="1">{"fdsup://directions/FAT Viewer?action=UPDATE&amp;creator=factset&amp;DYN_ARGS=TRUE&amp;DOC_NAME=FAT:FQL_AUDITING_CLIENT_TEMPLATE.FAT&amp;display_string=Audit&amp;VAR:KEY=GJCPGNILEB&amp;VAR:QUERY=Q1NGX0VCSVRfT1BFUihBTk4sMTIvMzEvMTk4MCwxMi8zMS8yMDA5LEFZKQ==&amp;WINDOW=FIRST_POPUP&amp;HEIGH","T=450&amp;WIDTH=450&amp;START_MAXIMIZED=FALSE&amp;VAR:CALENDAR=US&amp;VAR:SYMBOL=MOS&amp;VAR:INDEX=23"}</definedName>
    <definedName name="_2569__FDSAUDITLINK__" hidden="1">{"fdsup://directions/FAT Viewer?action=UPDATE&amp;creator=factset&amp;DYN_ARGS=TRUE&amp;DOC_NAME=FAT:FQL_AUDITING_CLIENT_TEMPLATE.FAT&amp;display_string=Audit&amp;VAR:KEY=GJCPGNILEB&amp;VAR:QUERY=Q1NGX0VCSVRfT1BFUihBTk4sMTIvMzEvMTk4MCwxMi8zMS8yMDA5LEFZKQ==&amp;WINDOW=FIRST_POPUP&amp;HEIGH","T=450&amp;WIDTH=450&amp;START_MAXIMIZED=FALSE&amp;VAR:CALENDAR=US&amp;VAR:SYMBOL=MOS&amp;VAR:INDEX=22"}</definedName>
    <definedName name="_257__FDSAUDITLINK__" hidden="1">{"fdsup://directions/FAT Viewer?action=UPDATE&amp;creator=factset&amp;DYN_ARGS=TRUE&amp;DOC_NAME=FAT:FQL_AUDITING_CLIENT_TEMPLATE.FAT&amp;display_string=Audit&amp;VAR:KEY=CNWFMPUVUB&amp;VAR:QUERY=Q1NGX0VCSVRfT1BFUihBTk4sMTIvMzEvODAsMCk=&amp;WINDOW=FIRST_POPUP&amp;HEIGHT=450&amp;WIDTH=450&amp;STAR","T_MAXIMIZED=FALSE&amp;VAR:CALENDAR=US&amp;VAR:SYMBOL=CYT&amp;VAR:INDEX=14"}</definedName>
    <definedName name="_2570__FDSAUDITLINK__" hidden="1">{"fdsup://directions/FAT Viewer?action=UPDATE&amp;creator=factset&amp;DYN_ARGS=TRUE&amp;DOC_NAME=FAT:FQL_AUDITING_CLIENT_TEMPLATE.FAT&amp;display_string=Audit&amp;VAR:KEY=GJCPGNILEB&amp;VAR:QUERY=Q1NGX0VCSVRfT1BFUihBTk4sMTIvMzEvMTk4MCwxMi8zMS8yMDA5LEFZKQ==&amp;WINDOW=FIRST_POPUP&amp;HEIGH","T=450&amp;WIDTH=450&amp;START_MAXIMIZED=FALSE&amp;VAR:CALENDAR=US&amp;VAR:SYMBOL=MOS&amp;VAR:INDEX=21"}</definedName>
    <definedName name="_2571__FDSAUDITLINK__" hidden="1">{"fdsup://directions/FAT Viewer?action=UPDATE&amp;creator=factset&amp;DYN_ARGS=TRUE&amp;DOC_NAME=FAT:FQL_AUDITING_CLIENT_TEMPLATE.FAT&amp;display_string=Audit&amp;VAR:KEY=GJCPGNILEB&amp;VAR:QUERY=Q1NGX0VCSVRfT1BFUihBTk4sMTIvMzEvMTk4MCwxMi8zMS8yMDA5LEFZKQ==&amp;WINDOW=FIRST_POPUP&amp;HEIGH","T=450&amp;WIDTH=450&amp;START_MAXIMIZED=FALSE&amp;VAR:CALENDAR=US&amp;VAR:SYMBOL=MOS&amp;VAR:INDEX=20"}</definedName>
    <definedName name="_2572__FDSAUDITLINK__" hidden="1">{"fdsup://directions/FAT Viewer?action=UPDATE&amp;creator=factset&amp;DYN_ARGS=TRUE&amp;DOC_NAME=FAT:FQL_AUDITING_CLIENT_TEMPLATE.FAT&amp;display_string=Audit&amp;VAR:KEY=GJCPGNILEB&amp;VAR:QUERY=Q1NGX0VCSVRfT1BFUihBTk4sMTIvMzEvMTk4MCwxMi8zMS8yMDA5LEFZKQ==&amp;WINDOW=FIRST_POPUP&amp;HEIGH","T=450&amp;WIDTH=450&amp;START_MAXIMIZED=FALSE&amp;VAR:CALENDAR=US&amp;VAR:SYMBOL=MOS&amp;VAR:INDEX=19"}</definedName>
    <definedName name="_2573__FDSAUDITLINK__" hidden="1">{"fdsup://directions/FAT Viewer?action=UPDATE&amp;creator=factset&amp;DYN_ARGS=TRUE&amp;DOC_NAME=FAT:FQL_AUDITING_CLIENT_TEMPLATE.FAT&amp;display_string=Audit&amp;VAR:KEY=GJCPGNILEB&amp;VAR:QUERY=Q1NGX0VCSVRfT1BFUihBTk4sMTIvMzEvMTk4MCwxMi8zMS8yMDA5LEFZKQ==&amp;WINDOW=FIRST_POPUP&amp;HEIGH","T=450&amp;WIDTH=450&amp;START_MAXIMIZED=FALSE&amp;VAR:CALENDAR=US&amp;VAR:SYMBOL=MOS&amp;VAR:INDEX=18"}</definedName>
    <definedName name="_2574__FDSAUDITLINK__" hidden="1">{"fdsup://directions/FAT Viewer?action=UPDATE&amp;creator=factset&amp;DYN_ARGS=TRUE&amp;DOC_NAME=FAT:FQL_AUDITING_CLIENT_TEMPLATE.FAT&amp;display_string=Audit&amp;VAR:KEY=GJCPGNILEB&amp;VAR:QUERY=Q1NGX0VCSVRfT1BFUihBTk4sMTIvMzEvMTk4MCwxMi8zMS8yMDA5LEFZKQ==&amp;WINDOW=FIRST_POPUP&amp;HEIGH","T=450&amp;WIDTH=450&amp;START_MAXIMIZED=FALSE&amp;VAR:CALENDAR=US&amp;VAR:SYMBOL=MOS&amp;VAR:INDEX=17"}</definedName>
    <definedName name="_2575__FDSAUDITLINK__" hidden="1">{"fdsup://directions/FAT Viewer?action=UPDATE&amp;creator=factset&amp;DYN_ARGS=TRUE&amp;DOC_NAME=FAT:FQL_AUDITING_CLIENT_TEMPLATE.FAT&amp;display_string=Audit&amp;VAR:KEY=GJCPGNILEB&amp;VAR:QUERY=Q1NGX0VCSVRfT1BFUihBTk4sMTIvMzEvMTk4MCwxMi8zMS8yMDA5LEFZKQ==&amp;WINDOW=FIRST_POPUP&amp;HEIGH","T=450&amp;WIDTH=450&amp;START_MAXIMIZED=FALSE&amp;VAR:CALENDAR=US&amp;VAR:SYMBOL=MOS&amp;VAR:INDEX=16"}</definedName>
    <definedName name="_2576__FDSAUDITLINK__" hidden="1">{"fdsup://directions/FAT Viewer?action=UPDATE&amp;creator=factset&amp;DYN_ARGS=TRUE&amp;DOC_NAME=FAT:FQL_AUDITING_CLIENT_TEMPLATE.FAT&amp;display_string=Audit&amp;VAR:KEY=GJCPGNILEB&amp;VAR:QUERY=Q1NGX0VCSVRfT1BFUihBTk4sMTIvMzEvMTk4MCwxMi8zMS8yMDA5LEFZKQ==&amp;WINDOW=FIRST_POPUP&amp;HEIGH","T=450&amp;WIDTH=450&amp;START_MAXIMIZED=FALSE&amp;VAR:CALENDAR=US&amp;VAR:SYMBOL=MOS&amp;VAR:INDEX=15"}</definedName>
    <definedName name="_2577__FDSAUDITLINK__" hidden="1">{"fdsup://directions/FAT Viewer?action=UPDATE&amp;creator=factset&amp;DYN_ARGS=TRUE&amp;DOC_NAME=FAT:FQL_AUDITING_CLIENT_TEMPLATE.FAT&amp;display_string=Audit&amp;VAR:KEY=GJCPGNILEB&amp;VAR:QUERY=Q1NGX0VCSVRfT1BFUihBTk4sMTIvMzEvMTk4MCwxMi8zMS8yMDA5LEFZKQ==&amp;WINDOW=FIRST_POPUP&amp;HEIGH","T=450&amp;WIDTH=450&amp;START_MAXIMIZED=FALSE&amp;VAR:CALENDAR=US&amp;VAR:SYMBOL=MOS&amp;VAR:INDEX=14"}</definedName>
    <definedName name="_2578__FDSAUDITLINK__" hidden="1">{"fdsup://directions/FAT Viewer?action=UPDATE&amp;creator=factset&amp;DYN_ARGS=TRUE&amp;DOC_NAME=FAT:FQL_AUDITING_CLIENT_TEMPLATE.FAT&amp;display_string=Audit&amp;VAR:KEY=GJCPGNILEB&amp;VAR:QUERY=Q1NGX0VCSVRfT1BFUihBTk4sMTIvMzEvMTk4MCwxMi8zMS8yMDA5LEFZKQ==&amp;WINDOW=FIRST_POPUP&amp;HEIGH","T=450&amp;WIDTH=450&amp;START_MAXIMIZED=FALSE&amp;VAR:CALENDAR=US&amp;VAR:SYMBOL=MOS&amp;VAR:INDEX=13"}</definedName>
    <definedName name="_2579__FDSAUDITLINK__" hidden="1">{"fdsup://directions/FAT Viewer?action=UPDATE&amp;creator=factset&amp;DYN_ARGS=TRUE&amp;DOC_NAME=FAT:FQL_AUDITING_CLIENT_TEMPLATE.FAT&amp;display_string=Audit&amp;VAR:KEY=GJCPGNILEB&amp;VAR:QUERY=Q1NGX0VCSVRfT1BFUihBTk4sMTIvMzEvMTk4MCwxMi8zMS8yMDA5LEFZKQ==&amp;WINDOW=FIRST_POPUP&amp;HEIGH","T=450&amp;WIDTH=450&amp;START_MAXIMIZED=FALSE&amp;VAR:CALENDAR=US&amp;VAR:SYMBOL=MOS&amp;VAR:INDEX=12"}</definedName>
    <definedName name="_258__FDSAUDITLINK__" hidden="1">{"fdsup://directions/FAT Viewer?action=UPDATE&amp;creator=factset&amp;DYN_ARGS=TRUE&amp;DOC_NAME=FAT:FQL_AUDITING_CLIENT_TEMPLATE.FAT&amp;display_string=Audit&amp;VAR:KEY=CNWFMPUVUB&amp;VAR:QUERY=Q1NGX0VCSVRfT1BFUihBTk4sMTIvMzEvODAsMCk=&amp;WINDOW=FIRST_POPUP&amp;HEIGHT=450&amp;WIDTH=450&amp;STAR","T_MAXIMIZED=FALSE&amp;VAR:CALENDAR=US&amp;VAR:SYMBOL=CYT&amp;VAR:INDEX=13"}</definedName>
    <definedName name="_2580__FDSAUDITLINK__" hidden="1">{"fdsup://directions/FAT Viewer?action=UPDATE&amp;creator=factset&amp;DYN_ARGS=TRUE&amp;DOC_NAME=FAT:FQL_AUDITING_CLIENT_TEMPLATE.FAT&amp;display_string=Audit&amp;VAR:KEY=GJCPGNILEB&amp;VAR:QUERY=Q1NGX0VCSVRfT1BFUihBTk4sMTIvMzEvMTk4MCwxMi8zMS8yMDA5LEFZKQ==&amp;WINDOW=FIRST_POPUP&amp;HEIGH","T=450&amp;WIDTH=450&amp;START_MAXIMIZED=FALSE&amp;VAR:CALENDAR=US&amp;VAR:SYMBOL=MOS&amp;VAR:INDEX=11"}</definedName>
    <definedName name="_2581__FDSAUDITLINK__" hidden="1">{"fdsup://directions/FAT Viewer?action=UPDATE&amp;creator=factset&amp;DYN_ARGS=TRUE&amp;DOC_NAME=FAT:FQL_AUDITING_CLIENT_TEMPLATE.FAT&amp;display_string=Audit&amp;VAR:KEY=GJCPGNILEB&amp;VAR:QUERY=Q1NGX0VCSVRfT1BFUihBTk4sMTIvMzEvMTk4MCwxMi8zMS8yMDA5LEFZKQ==&amp;WINDOW=FIRST_POPUP&amp;HEIGH","T=450&amp;WIDTH=450&amp;START_MAXIMIZED=FALSE&amp;VAR:CALENDAR=US&amp;VAR:SYMBOL=MOS&amp;VAR:INDEX=10"}</definedName>
    <definedName name="_2582__FDSAUDITLINK__" hidden="1">{"fdsup://directions/FAT Viewer?action=UPDATE&amp;creator=factset&amp;DYN_ARGS=TRUE&amp;DOC_NAME=FAT:FQL_AUDITING_CLIENT_TEMPLATE.FAT&amp;display_string=Audit&amp;VAR:KEY=GJCPGNILEB&amp;VAR:QUERY=Q1NGX0VCSVRfT1BFUihBTk4sMTIvMzEvMTk4MCwxMi8zMS8yMDA5LEFZKQ==&amp;WINDOW=FIRST_POPUP&amp;HEIGH","T=450&amp;WIDTH=450&amp;START_MAXIMIZED=FALSE&amp;VAR:CALENDAR=US&amp;VAR:SYMBOL=MOS&amp;VAR:INDEX=9"}</definedName>
    <definedName name="_2583__FDSAUDITLINK__" hidden="1">{"fdsup://directions/FAT Viewer?action=UPDATE&amp;creator=factset&amp;DYN_ARGS=TRUE&amp;DOC_NAME=FAT:FQL_AUDITING_CLIENT_TEMPLATE.FAT&amp;display_string=Audit&amp;VAR:KEY=GJCPGNILEB&amp;VAR:QUERY=Q1NGX0VCSVRfT1BFUihBTk4sMTIvMzEvMTk4MCwxMi8zMS8yMDA5LEFZKQ==&amp;WINDOW=FIRST_POPUP&amp;HEIGH","T=450&amp;WIDTH=450&amp;START_MAXIMIZED=FALSE&amp;VAR:CALENDAR=US&amp;VAR:SYMBOL=MOS&amp;VAR:INDEX=8"}</definedName>
    <definedName name="_2584__FDSAUDITLINK__" hidden="1">{"fdsup://directions/FAT Viewer?action=UPDATE&amp;creator=factset&amp;DYN_ARGS=TRUE&amp;DOC_NAME=FAT:FQL_AUDITING_CLIENT_TEMPLATE.FAT&amp;display_string=Audit&amp;VAR:KEY=GJCPGNILEB&amp;VAR:QUERY=Q1NGX0VCSVRfT1BFUihBTk4sMTIvMzEvMTk4MCwxMi8zMS8yMDA5LEFZKQ==&amp;WINDOW=FIRST_POPUP&amp;HEIGH","T=450&amp;WIDTH=450&amp;START_MAXIMIZED=FALSE&amp;VAR:CALENDAR=US&amp;VAR:SYMBOL=MOS&amp;VAR:INDEX=7"}</definedName>
    <definedName name="_2585__FDSAUDITLINK__" hidden="1">{"fdsup://directions/FAT Viewer?action=UPDATE&amp;creator=factset&amp;DYN_ARGS=TRUE&amp;DOC_NAME=FAT:FQL_AUDITING_CLIENT_TEMPLATE.FAT&amp;display_string=Audit&amp;VAR:KEY=GJCPGNILEB&amp;VAR:QUERY=Q1NGX0VCSVRfT1BFUihBTk4sMTIvMzEvMTk4MCwxMi8zMS8yMDA5LEFZKQ==&amp;WINDOW=FIRST_POPUP&amp;HEIGH","T=450&amp;WIDTH=450&amp;START_MAXIMIZED=FALSE&amp;VAR:CALENDAR=US&amp;VAR:SYMBOL=MOS&amp;VAR:INDEX=6"}</definedName>
    <definedName name="_2586__FDSAUDITLINK__" hidden="1">{"fdsup://directions/FAT Viewer?action=UPDATE&amp;creator=factset&amp;DYN_ARGS=TRUE&amp;DOC_NAME=FAT:FQL_AUDITING_CLIENT_TEMPLATE.FAT&amp;display_string=Audit&amp;VAR:KEY=GJCPGNILEB&amp;VAR:QUERY=Q1NGX0VCSVRfT1BFUihBTk4sMTIvMzEvMTk4MCwxMi8zMS8yMDA5LEFZKQ==&amp;WINDOW=FIRST_POPUP&amp;HEIGH","T=450&amp;WIDTH=450&amp;START_MAXIMIZED=FALSE&amp;VAR:CALENDAR=US&amp;VAR:SYMBOL=MOS&amp;VAR:INDEX=5"}</definedName>
    <definedName name="_2587__FDSAUDITLINK__" hidden="1">{"fdsup://directions/FAT Viewer?action=UPDATE&amp;creator=factset&amp;DYN_ARGS=TRUE&amp;DOC_NAME=FAT:FQL_AUDITING_CLIENT_TEMPLATE.FAT&amp;display_string=Audit&amp;VAR:KEY=GJCPGNILEB&amp;VAR:QUERY=Q1NGX0VCSVRfT1BFUihBTk4sMTIvMzEvMTk4MCwxMi8zMS8yMDA5LEFZKQ==&amp;WINDOW=FIRST_POPUP&amp;HEIGH","T=450&amp;WIDTH=450&amp;START_MAXIMIZED=FALSE&amp;VAR:CALENDAR=US&amp;VAR:SYMBOL=MOS&amp;VAR:INDEX=4"}</definedName>
    <definedName name="_2588__FDSAUDITLINK__" hidden="1">{"fdsup://directions/FAT Viewer?action=UPDATE&amp;creator=factset&amp;DYN_ARGS=TRUE&amp;DOC_NAME=FAT:FQL_AUDITING_CLIENT_TEMPLATE.FAT&amp;display_string=Audit&amp;VAR:KEY=GJCPGNILEB&amp;VAR:QUERY=Q1NGX0VCSVRfT1BFUihBTk4sMTIvMzEvMTk4MCwxMi8zMS8yMDA5LEFZKQ==&amp;WINDOW=FIRST_POPUP&amp;HEIGH","T=450&amp;WIDTH=450&amp;START_MAXIMIZED=FALSE&amp;VAR:CALENDAR=US&amp;VAR:SYMBOL=MOS&amp;VAR:INDEX=3"}</definedName>
    <definedName name="_2589__FDSAUDITLINK__" hidden="1">{"fdsup://directions/FAT Viewer?action=UPDATE&amp;creator=factset&amp;DYN_ARGS=TRUE&amp;DOC_NAME=FAT:FQL_AUDITING_CLIENT_TEMPLATE.FAT&amp;display_string=Audit&amp;VAR:KEY=GJCPGNILEB&amp;VAR:QUERY=Q1NGX0VCSVRfT1BFUihBTk4sMTIvMzEvMTk4MCwxMi8zMS8yMDA5LEFZKQ==&amp;WINDOW=FIRST_POPUP&amp;HEIGH","T=450&amp;WIDTH=450&amp;START_MAXIMIZED=FALSE&amp;VAR:CALENDAR=US&amp;VAR:SYMBOL=MOS&amp;VAR:INDEX=2"}</definedName>
    <definedName name="_259__FDSAUDITLINK__" hidden="1">{"fdsup://directions/FAT Viewer?action=UPDATE&amp;creator=factset&amp;DYN_ARGS=TRUE&amp;DOC_NAME=FAT:FQL_AUDITING_CLIENT_TEMPLATE.FAT&amp;display_string=Audit&amp;VAR:KEY=CNWFMPUVUB&amp;VAR:QUERY=Q1NGX0VCSVRfT1BFUihBTk4sMTIvMzEvODAsMCk=&amp;WINDOW=FIRST_POPUP&amp;HEIGHT=450&amp;WIDTH=450&amp;STAR","T_MAXIMIZED=FALSE&amp;VAR:CALENDAR=US&amp;VAR:SYMBOL=CYT&amp;VAR:INDEX=12"}</definedName>
    <definedName name="_2590__FDSAUDITLINK__" hidden="1">{"fdsup://directions/FAT Viewer?action=UPDATE&amp;creator=factset&amp;DYN_ARGS=TRUE&amp;DOC_NAME=FAT:FQL_AUDITING_CLIENT_TEMPLATE.FAT&amp;display_string=Audit&amp;VAR:KEY=GJCPGNILEB&amp;VAR:QUERY=Q1NGX0VCSVRfT1BFUihBTk4sMTIvMzEvMTk4MCwxMi8zMS8yMDA5LEFZKQ==&amp;WINDOW=FIRST_POPUP&amp;HEIGH","T=450&amp;WIDTH=450&amp;START_MAXIMIZED=FALSE&amp;VAR:CALENDAR=US&amp;VAR:SYMBOL=MOS&amp;VAR:INDEX=1"}</definedName>
    <definedName name="_2591__FDSAUDITLINK__" hidden="1">{"fdsup://directions/FAT Viewer?action=UPDATE&amp;creator=factset&amp;DYN_ARGS=TRUE&amp;DOC_NAME=FAT:FQL_AUDITING_CLIENT_TEMPLATE.FAT&amp;display_string=Audit&amp;VAR:KEY=GJCPGNILEB&amp;VAR:QUERY=Q1NGX0VCSVRfT1BFUihBTk4sMTIvMzEvMTk4MCwxMi8zMS8yMDA5LEFZKQ==&amp;WINDOW=FIRST_POPUP&amp;HEIGH","T=450&amp;WIDTH=450&amp;START_MAXIMIZED=FALSE&amp;VAR:CALENDAR=US&amp;VAR:SYMBOL=MOS&amp;VAR:INDEX=0"}</definedName>
    <definedName name="_2592__FDSAUDITLINK__" hidden="1">{"fdsup://directions/FAT Viewer?action=UPDATE&amp;creator=factset&amp;DYN_ARGS=TRUE&amp;DOC_NAME=FAT:FQL_AUDITING_CLIENT_TEMPLATE.FAT&amp;display_string=Audit&amp;VAR:KEY=ZSDCFIPIBA&amp;VAR:QUERY=Q1NGX0VCSVRfT1BFUihMVE1fUiwwKQ==&amp;WINDOW=FIRST_POPUP&amp;HEIGHT=450&amp;WIDTH=450&amp;START_MAXIMI","ZED=FALSE&amp;VAR:CALENDAR=US&amp;VAR:SYMBOL=MON&amp;VAR:INDEX=0"}</definedName>
    <definedName name="_2593__FDSAUDITLINK__" hidden="1">{"fdsup://directions/FAT Viewer?action=UPDATE&amp;creator=factset&amp;DYN_ARGS=TRUE&amp;DOC_NAME=FAT:FQL_AUDITING_CLIENT_TEMPLATE.FAT&amp;display_string=Audit&amp;VAR:KEY=ENWFCDYJMX&amp;VAR:QUERY=Q1NGX0VCSVRfT1BFUihBTk4sMTIvMzEvMTk4MCwxMi8zMS8yMDA5LEFZKQ==&amp;WINDOW=FIRST_POPUP&amp;HEIGH","T=450&amp;WIDTH=450&amp;START_MAXIMIZED=FALSE&amp;VAR:CALENDAR=US&amp;VAR:SYMBOL=MON&amp;VAR:INDEX=29"}</definedName>
    <definedName name="_2594__FDSAUDITLINK__" hidden="1">{"fdsup://directions/FAT Viewer?action=UPDATE&amp;creator=factset&amp;DYN_ARGS=TRUE&amp;DOC_NAME=FAT:FQL_AUDITING_CLIENT_TEMPLATE.FAT&amp;display_string=Audit&amp;VAR:KEY=ENWFCDYJMX&amp;VAR:QUERY=Q1NGX0VCSVRfT1BFUihBTk4sMTIvMzEvMTk4MCwxMi8zMS8yMDA5LEFZKQ==&amp;WINDOW=FIRST_POPUP&amp;HEIGH","T=450&amp;WIDTH=450&amp;START_MAXIMIZED=FALSE&amp;VAR:CALENDAR=US&amp;VAR:SYMBOL=MON&amp;VAR:INDEX=28"}</definedName>
    <definedName name="_2595__FDSAUDITLINK__" hidden="1">{"fdsup://directions/FAT Viewer?action=UPDATE&amp;creator=factset&amp;DYN_ARGS=TRUE&amp;DOC_NAME=FAT:FQL_AUDITING_CLIENT_TEMPLATE.FAT&amp;display_string=Audit&amp;VAR:KEY=ENWFCDYJMX&amp;VAR:QUERY=Q1NGX0VCSVRfT1BFUihBTk4sMTIvMzEvMTk4MCwxMi8zMS8yMDA5LEFZKQ==&amp;WINDOW=FIRST_POPUP&amp;HEIGH","T=450&amp;WIDTH=450&amp;START_MAXIMIZED=FALSE&amp;VAR:CALENDAR=US&amp;VAR:SYMBOL=MON&amp;VAR:INDEX=27"}</definedName>
    <definedName name="_2596__FDSAUDITLINK__" hidden="1">{"fdsup://directions/FAT Viewer?action=UPDATE&amp;creator=factset&amp;DYN_ARGS=TRUE&amp;DOC_NAME=FAT:FQL_AUDITING_CLIENT_TEMPLATE.FAT&amp;display_string=Audit&amp;VAR:KEY=ENWFCDYJMX&amp;VAR:QUERY=Q1NGX0VCSVRfT1BFUihBTk4sMTIvMzEvMTk4MCwxMi8zMS8yMDA5LEFZKQ==&amp;WINDOW=FIRST_POPUP&amp;HEIGH","T=450&amp;WIDTH=450&amp;START_MAXIMIZED=FALSE&amp;VAR:CALENDAR=US&amp;VAR:SYMBOL=MON&amp;VAR:INDEX=26"}</definedName>
    <definedName name="_2597__FDSAUDITLINK__" hidden="1">{"fdsup://directions/FAT Viewer?action=UPDATE&amp;creator=factset&amp;DYN_ARGS=TRUE&amp;DOC_NAME=FAT:FQL_AUDITING_CLIENT_TEMPLATE.FAT&amp;display_string=Audit&amp;VAR:KEY=ENWFCDYJMX&amp;VAR:QUERY=Q1NGX0VCSVRfT1BFUihBTk4sMTIvMzEvMTk4MCwxMi8zMS8yMDA5LEFZKQ==&amp;WINDOW=FIRST_POPUP&amp;HEIGH","T=450&amp;WIDTH=450&amp;START_MAXIMIZED=FALSE&amp;VAR:CALENDAR=US&amp;VAR:SYMBOL=MON&amp;VAR:INDEX=25"}</definedName>
    <definedName name="_2598__FDSAUDITLINK__" hidden="1">{"fdsup://directions/FAT Viewer?action=UPDATE&amp;creator=factset&amp;DYN_ARGS=TRUE&amp;DOC_NAME=FAT:FQL_AUDITING_CLIENT_TEMPLATE.FAT&amp;display_string=Audit&amp;VAR:KEY=ENWFCDYJMX&amp;VAR:QUERY=Q1NGX0VCSVRfT1BFUihBTk4sMTIvMzEvMTk4MCwxMi8zMS8yMDA5LEFZKQ==&amp;WINDOW=FIRST_POPUP&amp;HEIGH","T=450&amp;WIDTH=450&amp;START_MAXIMIZED=FALSE&amp;VAR:CALENDAR=US&amp;VAR:SYMBOL=MON&amp;VAR:INDEX=24"}</definedName>
    <definedName name="_2599__FDSAUDITLINK__" hidden="1">{"fdsup://directions/FAT Viewer?action=UPDATE&amp;creator=factset&amp;DYN_ARGS=TRUE&amp;DOC_NAME=FAT:FQL_AUDITING_CLIENT_TEMPLATE.FAT&amp;display_string=Audit&amp;VAR:KEY=ENWFCDYJMX&amp;VAR:QUERY=Q1NGX0VCSVRfT1BFUihBTk4sMTIvMzEvMTk4MCwxMi8zMS8yMDA5LEFZKQ==&amp;WINDOW=FIRST_POPUP&amp;HEIGH","T=450&amp;WIDTH=450&amp;START_MAXIMIZED=FALSE&amp;VAR:CALENDAR=US&amp;VAR:SYMBOL=MON&amp;VAR:INDEX=23"}</definedName>
    <definedName name="_26__FDSAUDITLINK__" hidden="1">{"fdsup://directions/FAT Viewer?action=UPDATE&amp;creator=factset&amp;DYN_ARGS=TRUE&amp;DOC_NAME=FAT:FQL_AUDITING_CLIENT_TEMPLATE.FAT&amp;display_string=Audit&amp;VAR:KEY=QZMTMLQNSF&amp;VAR:QUERY=Q1NGX0dST1NTX0lOQyhRVFJfUiwtM0FZLDAsRlEp&amp;WINDOW=FIRST_POPUP&amp;HEIGHT=450&amp;WIDTH=450&amp;STAR","T_MAXIMIZED=FALSE&amp;VAR:CALENDAR=US&amp;VAR:SYMBOL=CE&amp;VAR:INDEX=0"}</definedName>
    <definedName name="_260__FDSAUDITLINK__" hidden="1">{"fdsup://directions/FAT Viewer?action=UPDATE&amp;creator=factset&amp;DYN_ARGS=TRUE&amp;DOC_NAME=FAT:FQL_AUDITING_CLIENT_TEMPLATE.FAT&amp;display_string=Audit&amp;VAR:KEY=CNWFMPUVUB&amp;VAR:QUERY=Q1NGX0VCSVRfT1BFUihBTk4sMTIvMzEvODAsMCk=&amp;WINDOW=FIRST_POPUP&amp;HEIGHT=450&amp;WIDTH=450&amp;STAR","T_MAXIMIZED=FALSE&amp;VAR:CALENDAR=US&amp;VAR:SYMBOL=CYT&amp;VAR:INDEX=11"}</definedName>
    <definedName name="_2600__FDSAUDITLINK__" hidden="1">{"fdsup://directions/FAT Viewer?action=UPDATE&amp;creator=factset&amp;DYN_ARGS=TRUE&amp;DOC_NAME=FAT:FQL_AUDITING_CLIENT_TEMPLATE.FAT&amp;display_string=Audit&amp;VAR:KEY=ENWFCDYJMX&amp;VAR:QUERY=Q1NGX0VCSVRfT1BFUihBTk4sMTIvMzEvMTk4MCwxMi8zMS8yMDA5LEFZKQ==&amp;WINDOW=FIRST_POPUP&amp;HEIGH","T=450&amp;WIDTH=450&amp;START_MAXIMIZED=FALSE&amp;VAR:CALENDAR=US&amp;VAR:SYMBOL=MON&amp;VAR:INDEX=22"}</definedName>
    <definedName name="_2601__FDSAUDITLINK__" hidden="1">{"fdsup://directions/FAT Viewer?action=UPDATE&amp;creator=factset&amp;DYN_ARGS=TRUE&amp;DOC_NAME=FAT:FQL_AUDITING_CLIENT_TEMPLATE.FAT&amp;display_string=Audit&amp;VAR:KEY=ENWFCDYJMX&amp;VAR:QUERY=Q1NGX0VCSVRfT1BFUihBTk4sMTIvMzEvMTk4MCwxMi8zMS8yMDA5LEFZKQ==&amp;WINDOW=FIRST_POPUP&amp;HEIGH","T=450&amp;WIDTH=450&amp;START_MAXIMIZED=FALSE&amp;VAR:CALENDAR=US&amp;VAR:SYMBOL=MON&amp;VAR:INDEX=21"}</definedName>
    <definedName name="_2602__FDSAUDITLINK__" hidden="1">{"fdsup://directions/FAT Viewer?action=UPDATE&amp;creator=factset&amp;DYN_ARGS=TRUE&amp;DOC_NAME=FAT:FQL_AUDITING_CLIENT_TEMPLATE.FAT&amp;display_string=Audit&amp;VAR:KEY=ENWFCDYJMX&amp;VAR:QUERY=Q1NGX0VCSVRfT1BFUihBTk4sMTIvMzEvMTk4MCwxMi8zMS8yMDA5LEFZKQ==&amp;WINDOW=FIRST_POPUP&amp;HEIGH","T=450&amp;WIDTH=450&amp;START_MAXIMIZED=FALSE&amp;VAR:CALENDAR=US&amp;VAR:SYMBOL=MON&amp;VAR:INDEX=20"}</definedName>
    <definedName name="_2603__FDSAUDITLINK__" hidden="1">{"fdsup://directions/FAT Viewer?action=UPDATE&amp;creator=factset&amp;DYN_ARGS=TRUE&amp;DOC_NAME=FAT:FQL_AUDITING_CLIENT_TEMPLATE.FAT&amp;display_string=Audit&amp;VAR:KEY=ENWFCDYJMX&amp;VAR:QUERY=Q1NGX0VCSVRfT1BFUihBTk4sMTIvMzEvMTk4MCwxMi8zMS8yMDA5LEFZKQ==&amp;WINDOW=FIRST_POPUP&amp;HEIGH","T=450&amp;WIDTH=450&amp;START_MAXIMIZED=FALSE&amp;VAR:CALENDAR=US&amp;VAR:SYMBOL=MON&amp;VAR:INDEX=19"}</definedName>
    <definedName name="_2604__FDSAUDITLINK__" hidden="1">{"fdsup://directions/FAT Viewer?action=UPDATE&amp;creator=factset&amp;DYN_ARGS=TRUE&amp;DOC_NAME=FAT:FQL_AUDITING_CLIENT_TEMPLATE.FAT&amp;display_string=Audit&amp;VAR:KEY=ENWFCDYJMX&amp;VAR:QUERY=Q1NGX0VCSVRfT1BFUihBTk4sMTIvMzEvMTk4MCwxMi8zMS8yMDA5LEFZKQ==&amp;WINDOW=FIRST_POPUP&amp;HEIGH","T=450&amp;WIDTH=450&amp;START_MAXIMIZED=FALSE&amp;VAR:CALENDAR=US&amp;VAR:SYMBOL=MON&amp;VAR:INDEX=18"}</definedName>
    <definedName name="_2605__FDSAUDITLINK__" hidden="1">{"fdsup://directions/FAT Viewer?action=UPDATE&amp;creator=factset&amp;DYN_ARGS=TRUE&amp;DOC_NAME=FAT:FQL_AUDITING_CLIENT_TEMPLATE.FAT&amp;display_string=Audit&amp;VAR:KEY=ENWFCDYJMX&amp;VAR:QUERY=Q1NGX0VCSVRfT1BFUihBTk4sMTIvMzEvMTk4MCwxMi8zMS8yMDA5LEFZKQ==&amp;WINDOW=FIRST_POPUP&amp;HEIGH","T=450&amp;WIDTH=450&amp;START_MAXIMIZED=FALSE&amp;VAR:CALENDAR=US&amp;VAR:SYMBOL=MON&amp;VAR:INDEX=17"}</definedName>
    <definedName name="_2606__FDSAUDITLINK__" hidden="1">{"fdsup://directions/FAT Viewer?action=UPDATE&amp;creator=factset&amp;DYN_ARGS=TRUE&amp;DOC_NAME=FAT:FQL_AUDITING_CLIENT_TEMPLATE.FAT&amp;display_string=Audit&amp;VAR:KEY=ENWFCDYJMX&amp;VAR:QUERY=Q1NGX0VCSVRfT1BFUihBTk4sMTIvMzEvMTk4MCwxMi8zMS8yMDA5LEFZKQ==&amp;WINDOW=FIRST_POPUP&amp;HEIGH","T=450&amp;WIDTH=450&amp;START_MAXIMIZED=FALSE&amp;VAR:CALENDAR=US&amp;VAR:SYMBOL=MON&amp;VAR:INDEX=16"}</definedName>
    <definedName name="_2607__FDSAUDITLINK__" hidden="1">{"fdsup://directions/FAT Viewer?action=UPDATE&amp;creator=factset&amp;DYN_ARGS=TRUE&amp;DOC_NAME=FAT:FQL_AUDITING_CLIENT_TEMPLATE.FAT&amp;display_string=Audit&amp;VAR:KEY=ENWFCDYJMX&amp;VAR:QUERY=Q1NGX0VCSVRfT1BFUihBTk4sMTIvMzEvMTk4MCwxMi8zMS8yMDA5LEFZKQ==&amp;WINDOW=FIRST_POPUP&amp;HEIGH","T=450&amp;WIDTH=450&amp;START_MAXIMIZED=FALSE&amp;VAR:CALENDAR=US&amp;VAR:SYMBOL=MON&amp;VAR:INDEX=15"}</definedName>
    <definedName name="_2608__FDSAUDITLINK__" hidden="1">{"fdsup://directions/FAT Viewer?action=UPDATE&amp;creator=factset&amp;DYN_ARGS=TRUE&amp;DOC_NAME=FAT:FQL_AUDITING_CLIENT_TEMPLATE.FAT&amp;display_string=Audit&amp;VAR:KEY=ENWFCDYJMX&amp;VAR:QUERY=Q1NGX0VCSVRfT1BFUihBTk4sMTIvMzEvMTk4MCwxMi8zMS8yMDA5LEFZKQ==&amp;WINDOW=FIRST_POPUP&amp;HEIGH","T=450&amp;WIDTH=450&amp;START_MAXIMIZED=FALSE&amp;VAR:CALENDAR=US&amp;VAR:SYMBOL=MON&amp;VAR:INDEX=14"}</definedName>
    <definedName name="_2609__FDSAUDITLINK__" hidden="1">{"fdsup://directions/FAT Viewer?action=UPDATE&amp;creator=factset&amp;DYN_ARGS=TRUE&amp;DOC_NAME=FAT:FQL_AUDITING_CLIENT_TEMPLATE.FAT&amp;display_string=Audit&amp;VAR:KEY=ENWFCDYJMX&amp;VAR:QUERY=Q1NGX0VCSVRfT1BFUihBTk4sMTIvMzEvMTk4MCwxMi8zMS8yMDA5LEFZKQ==&amp;WINDOW=FIRST_POPUP&amp;HEIGH","T=450&amp;WIDTH=450&amp;START_MAXIMIZED=FALSE&amp;VAR:CALENDAR=US&amp;VAR:SYMBOL=MON&amp;VAR:INDEX=13"}</definedName>
    <definedName name="_261__FDSAUDITLINK__" hidden="1">{"fdsup://directions/FAT Viewer?action=UPDATE&amp;creator=factset&amp;DYN_ARGS=TRUE&amp;DOC_NAME=FAT:FQL_AUDITING_CLIENT_TEMPLATE.FAT&amp;display_string=Audit&amp;VAR:KEY=CNWFMPUVUB&amp;VAR:QUERY=Q1NGX0VCSVRfT1BFUihBTk4sMTIvMzEvODAsMCk=&amp;WINDOW=FIRST_POPUP&amp;HEIGHT=450&amp;WIDTH=450&amp;STAR","T_MAXIMIZED=FALSE&amp;VAR:CALENDAR=US&amp;VAR:SYMBOL=CYT&amp;VAR:INDEX=10"}</definedName>
    <definedName name="_2610__FDSAUDITLINK__" hidden="1">{"fdsup://directions/FAT Viewer?action=UPDATE&amp;creator=factset&amp;DYN_ARGS=TRUE&amp;DOC_NAME=FAT:FQL_AUDITING_CLIENT_TEMPLATE.FAT&amp;display_string=Audit&amp;VAR:KEY=ENWFCDYJMX&amp;VAR:QUERY=Q1NGX0VCSVRfT1BFUihBTk4sMTIvMzEvMTk4MCwxMi8zMS8yMDA5LEFZKQ==&amp;WINDOW=FIRST_POPUP&amp;HEIGH","T=450&amp;WIDTH=450&amp;START_MAXIMIZED=FALSE&amp;VAR:CALENDAR=US&amp;VAR:SYMBOL=MON&amp;VAR:INDEX=12"}</definedName>
    <definedName name="_2611__FDSAUDITLINK__" hidden="1">{"fdsup://directions/FAT Viewer?action=UPDATE&amp;creator=factset&amp;DYN_ARGS=TRUE&amp;DOC_NAME=FAT:FQL_AUDITING_CLIENT_TEMPLATE.FAT&amp;display_string=Audit&amp;VAR:KEY=ENWFCDYJMX&amp;VAR:QUERY=Q1NGX0VCSVRfT1BFUihBTk4sMTIvMzEvMTk4MCwxMi8zMS8yMDA5LEFZKQ==&amp;WINDOW=FIRST_POPUP&amp;HEIGH","T=450&amp;WIDTH=450&amp;START_MAXIMIZED=FALSE&amp;VAR:CALENDAR=US&amp;VAR:SYMBOL=MON&amp;VAR:INDEX=11"}</definedName>
    <definedName name="_2612__FDSAUDITLINK__" hidden="1">{"fdsup://directions/FAT Viewer?action=UPDATE&amp;creator=factset&amp;DYN_ARGS=TRUE&amp;DOC_NAME=FAT:FQL_AUDITING_CLIENT_TEMPLATE.FAT&amp;display_string=Audit&amp;VAR:KEY=ENWFCDYJMX&amp;VAR:QUERY=Q1NGX0VCSVRfT1BFUihBTk4sMTIvMzEvMTk4MCwxMi8zMS8yMDA5LEFZKQ==&amp;WINDOW=FIRST_POPUP&amp;HEIGH","T=450&amp;WIDTH=450&amp;START_MAXIMIZED=FALSE&amp;VAR:CALENDAR=US&amp;VAR:SYMBOL=MON&amp;VAR:INDEX=10"}</definedName>
    <definedName name="_2613__FDSAUDITLINK__" hidden="1">{"fdsup://directions/FAT Viewer?action=UPDATE&amp;creator=factset&amp;DYN_ARGS=TRUE&amp;DOC_NAME=FAT:FQL_AUDITING_CLIENT_TEMPLATE.FAT&amp;display_string=Audit&amp;VAR:KEY=ENWFCDYJMX&amp;VAR:QUERY=Q1NGX0VCSVRfT1BFUihBTk4sMTIvMzEvMTk4MCwxMi8zMS8yMDA5LEFZKQ==&amp;WINDOW=FIRST_POPUP&amp;HEIGH","T=450&amp;WIDTH=450&amp;START_MAXIMIZED=FALSE&amp;VAR:CALENDAR=US&amp;VAR:SYMBOL=MON&amp;VAR:INDEX=9"}</definedName>
    <definedName name="_2614__FDSAUDITLINK__" hidden="1">{"fdsup://directions/FAT Viewer?action=UPDATE&amp;creator=factset&amp;DYN_ARGS=TRUE&amp;DOC_NAME=FAT:FQL_AUDITING_CLIENT_TEMPLATE.FAT&amp;display_string=Audit&amp;VAR:KEY=ENWFCDYJMX&amp;VAR:QUERY=Q1NGX0VCSVRfT1BFUihBTk4sMTIvMzEvMTk4MCwxMi8zMS8yMDA5LEFZKQ==&amp;WINDOW=FIRST_POPUP&amp;HEIGH","T=450&amp;WIDTH=450&amp;START_MAXIMIZED=FALSE&amp;VAR:CALENDAR=US&amp;VAR:SYMBOL=MON&amp;VAR:INDEX=8"}</definedName>
    <definedName name="_2615__FDSAUDITLINK__" hidden="1">{"fdsup://directions/FAT Viewer?action=UPDATE&amp;creator=factset&amp;DYN_ARGS=TRUE&amp;DOC_NAME=FAT:FQL_AUDITING_CLIENT_TEMPLATE.FAT&amp;display_string=Audit&amp;VAR:KEY=ENWFCDYJMX&amp;VAR:QUERY=Q1NGX0VCSVRfT1BFUihBTk4sMTIvMzEvMTk4MCwxMi8zMS8yMDA5LEFZKQ==&amp;WINDOW=FIRST_POPUP&amp;HEIGH","T=450&amp;WIDTH=450&amp;START_MAXIMIZED=FALSE&amp;VAR:CALENDAR=US&amp;VAR:SYMBOL=MON&amp;VAR:INDEX=7"}</definedName>
    <definedName name="_2616__FDSAUDITLINK__" hidden="1">{"fdsup://directions/FAT Viewer?action=UPDATE&amp;creator=factset&amp;DYN_ARGS=TRUE&amp;DOC_NAME=FAT:FQL_AUDITING_CLIENT_TEMPLATE.FAT&amp;display_string=Audit&amp;VAR:KEY=ENWFCDYJMX&amp;VAR:QUERY=Q1NGX0VCSVRfT1BFUihBTk4sMTIvMzEvMTk4MCwxMi8zMS8yMDA5LEFZKQ==&amp;WINDOW=FIRST_POPUP&amp;HEIGH","T=450&amp;WIDTH=450&amp;START_MAXIMIZED=FALSE&amp;VAR:CALENDAR=US&amp;VAR:SYMBOL=MON&amp;VAR:INDEX=6"}</definedName>
    <definedName name="_2617__FDSAUDITLINK__" hidden="1">{"fdsup://directions/FAT Viewer?action=UPDATE&amp;creator=factset&amp;DYN_ARGS=TRUE&amp;DOC_NAME=FAT:FQL_AUDITING_CLIENT_TEMPLATE.FAT&amp;display_string=Audit&amp;VAR:KEY=ENWFCDYJMX&amp;VAR:QUERY=Q1NGX0VCSVRfT1BFUihBTk4sMTIvMzEvMTk4MCwxMi8zMS8yMDA5LEFZKQ==&amp;WINDOW=FIRST_POPUP&amp;HEIGH","T=450&amp;WIDTH=450&amp;START_MAXIMIZED=FALSE&amp;VAR:CALENDAR=US&amp;VAR:SYMBOL=MON&amp;VAR:INDEX=5"}</definedName>
    <definedName name="_2618__FDSAUDITLINK__" hidden="1">{"fdsup://directions/FAT Viewer?action=UPDATE&amp;creator=factset&amp;DYN_ARGS=TRUE&amp;DOC_NAME=FAT:FQL_AUDITING_CLIENT_TEMPLATE.FAT&amp;display_string=Audit&amp;VAR:KEY=ENWFCDYJMX&amp;VAR:QUERY=Q1NGX0VCSVRfT1BFUihBTk4sMTIvMzEvMTk4MCwxMi8zMS8yMDA5LEFZKQ==&amp;WINDOW=FIRST_POPUP&amp;HEIGH","T=450&amp;WIDTH=450&amp;START_MAXIMIZED=FALSE&amp;VAR:CALENDAR=US&amp;VAR:SYMBOL=MON&amp;VAR:INDEX=4"}</definedName>
    <definedName name="_2619__FDSAUDITLINK__" hidden="1">{"fdsup://directions/FAT Viewer?action=UPDATE&amp;creator=factset&amp;DYN_ARGS=TRUE&amp;DOC_NAME=FAT:FQL_AUDITING_CLIENT_TEMPLATE.FAT&amp;display_string=Audit&amp;VAR:KEY=ENWFCDYJMX&amp;VAR:QUERY=Q1NGX0VCSVRfT1BFUihBTk4sMTIvMzEvMTk4MCwxMi8zMS8yMDA5LEFZKQ==&amp;WINDOW=FIRST_POPUP&amp;HEIGH","T=450&amp;WIDTH=450&amp;START_MAXIMIZED=FALSE&amp;VAR:CALENDAR=US&amp;VAR:SYMBOL=MON&amp;VAR:INDEX=3"}</definedName>
    <definedName name="_262__FDSAUDITLINK__" hidden="1">{"fdsup://directions/FAT Viewer?action=UPDATE&amp;creator=factset&amp;DYN_ARGS=TRUE&amp;DOC_NAME=FAT:FQL_AUDITING_CLIENT_TEMPLATE.FAT&amp;display_string=Audit&amp;VAR:KEY=CNWFMPUVUB&amp;VAR:QUERY=Q1NGX0VCSVRfT1BFUihBTk4sMTIvMzEvODAsMCk=&amp;WINDOW=FIRST_POPUP&amp;HEIGHT=450&amp;WIDTH=450&amp;STAR","T_MAXIMIZED=FALSE&amp;VAR:CALENDAR=US&amp;VAR:SYMBOL=CYT&amp;VAR:INDEX=9"}</definedName>
    <definedName name="_2620__FDSAUDITLINK__" hidden="1">{"fdsup://directions/FAT Viewer?action=UPDATE&amp;creator=factset&amp;DYN_ARGS=TRUE&amp;DOC_NAME=FAT:FQL_AUDITING_CLIENT_TEMPLATE.FAT&amp;display_string=Audit&amp;VAR:KEY=ENWFCDYJMX&amp;VAR:QUERY=Q1NGX0VCSVRfT1BFUihBTk4sMTIvMzEvMTk4MCwxMi8zMS8yMDA5LEFZKQ==&amp;WINDOW=FIRST_POPUP&amp;HEIGH","T=450&amp;WIDTH=450&amp;START_MAXIMIZED=FALSE&amp;VAR:CALENDAR=US&amp;VAR:SYMBOL=MON&amp;VAR:INDEX=2"}</definedName>
    <definedName name="_2621__FDSAUDITLINK__" hidden="1">{"fdsup://directions/FAT Viewer?action=UPDATE&amp;creator=factset&amp;DYN_ARGS=TRUE&amp;DOC_NAME=FAT:FQL_AUDITING_CLIENT_TEMPLATE.FAT&amp;display_string=Audit&amp;VAR:KEY=ENWFCDYJMX&amp;VAR:QUERY=Q1NGX0VCSVRfT1BFUihBTk4sMTIvMzEvMTk4MCwxMi8zMS8yMDA5LEFZKQ==&amp;WINDOW=FIRST_POPUP&amp;HEIGH","T=450&amp;WIDTH=450&amp;START_MAXIMIZED=FALSE&amp;VAR:CALENDAR=US&amp;VAR:SYMBOL=MON&amp;VAR:INDEX=1"}</definedName>
    <definedName name="_2622__FDSAUDITLINK__" hidden="1">{"fdsup://directions/FAT Viewer?action=UPDATE&amp;creator=factset&amp;DYN_ARGS=TRUE&amp;DOC_NAME=FAT:FQL_AUDITING_CLIENT_TEMPLATE.FAT&amp;display_string=Audit&amp;VAR:KEY=ENWFCDYJMX&amp;VAR:QUERY=Q1NGX0VCSVRfT1BFUihBTk4sMTIvMzEvMTk4MCwxMi8zMS8yMDA5LEFZKQ==&amp;WINDOW=FIRST_POPUP&amp;HEIGH","T=450&amp;WIDTH=450&amp;START_MAXIMIZED=FALSE&amp;VAR:CALENDAR=US&amp;VAR:SYMBOL=MON&amp;VAR:INDEX=0"}</definedName>
    <definedName name="_2623__FDSAUDITLINK__" hidden="1">{"fdsup://directions/FAT Viewer?action=UPDATE&amp;creator=factset&amp;DYN_ARGS=TRUE&amp;DOC_NAME=FAT:FQL_AUDITING_CLIENT_TEMPLATE.FAT&amp;display_string=Audit&amp;VAR:KEY=FEFSVGPOLK&amp;VAR:QUERY=Q1NGX0VCSVRfT1BFUihMVE1fUiwwKQ==&amp;WINDOW=FIRST_POPUP&amp;HEIGHT=450&amp;WIDTH=450&amp;START_MAXIMI","ZED=FALSE&amp;VAR:CALENDAR=US&amp;VAR:SYMBOL=IPI&amp;VAR:INDEX=0"}</definedName>
    <definedName name="_2624__FDSAUDITLINK__" hidden="1">{"fdsup://directions/FAT Viewer?action=UPDATE&amp;creator=factset&amp;DYN_ARGS=TRUE&amp;DOC_NAME=FAT:FQL_AUDITING_CLIENT_TEMPLATE.FAT&amp;display_string=Audit&amp;VAR:KEY=ERMXCLUNAX&amp;VAR:QUERY=Q1NGX0VCSVRfT1BFUihBTk4sMTIvMzEvMTk4MCwxMi8zMS8yMDA5LEFZKQ==&amp;WINDOW=FIRST_POPUP&amp;HEIGH","T=450&amp;WIDTH=450&amp;START_MAXIMIZED=FALSE&amp;VAR:CALENDAR=US&amp;VAR:SYMBOL=IPI&amp;VAR:INDEX=29"}</definedName>
    <definedName name="_2625__FDSAUDITLINK__" hidden="1">{"fdsup://directions/FAT Viewer?action=UPDATE&amp;creator=factset&amp;DYN_ARGS=TRUE&amp;DOC_NAME=FAT:FQL_AUDITING_CLIENT_TEMPLATE.FAT&amp;display_string=Audit&amp;VAR:KEY=ERMXCLUNAX&amp;VAR:QUERY=Q1NGX0VCSVRfT1BFUihBTk4sMTIvMzEvMTk4MCwxMi8zMS8yMDA5LEFZKQ==&amp;WINDOW=FIRST_POPUP&amp;HEIGH","T=450&amp;WIDTH=450&amp;START_MAXIMIZED=FALSE&amp;VAR:CALENDAR=US&amp;VAR:SYMBOL=IPI&amp;VAR:INDEX=28"}</definedName>
    <definedName name="_2626__FDSAUDITLINK__" hidden="1">{"fdsup://directions/FAT Viewer?action=UPDATE&amp;creator=factset&amp;DYN_ARGS=TRUE&amp;DOC_NAME=FAT:FQL_AUDITING_CLIENT_TEMPLATE.FAT&amp;display_string=Audit&amp;VAR:KEY=ERMXCLUNAX&amp;VAR:QUERY=Q1NGX0VCSVRfT1BFUihBTk4sMTIvMzEvMTk4MCwxMi8zMS8yMDA5LEFZKQ==&amp;WINDOW=FIRST_POPUP&amp;HEIGH","T=450&amp;WIDTH=450&amp;START_MAXIMIZED=FALSE&amp;VAR:CALENDAR=US&amp;VAR:SYMBOL=IPI&amp;VAR:INDEX=27"}</definedName>
    <definedName name="_2627__FDSAUDITLINK__" hidden="1">{"fdsup://directions/FAT Viewer?action=UPDATE&amp;creator=factset&amp;DYN_ARGS=TRUE&amp;DOC_NAME=FAT:FQL_AUDITING_CLIENT_TEMPLATE.FAT&amp;display_string=Audit&amp;VAR:KEY=ERMXCLUNAX&amp;VAR:QUERY=Q1NGX0VCSVRfT1BFUihBTk4sMTIvMzEvMTk4MCwxMi8zMS8yMDA5LEFZKQ==&amp;WINDOW=FIRST_POPUP&amp;HEIGH","T=450&amp;WIDTH=450&amp;START_MAXIMIZED=FALSE&amp;VAR:CALENDAR=US&amp;VAR:SYMBOL=IPI&amp;VAR:INDEX=26"}</definedName>
    <definedName name="_2628__FDSAUDITLINK__" hidden="1">{"fdsup://directions/FAT Viewer?action=UPDATE&amp;creator=factset&amp;DYN_ARGS=TRUE&amp;DOC_NAME=FAT:FQL_AUDITING_CLIENT_TEMPLATE.FAT&amp;display_string=Audit&amp;VAR:KEY=ERMXCLUNAX&amp;VAR:QUERY=Q1NGX0VCSVRfT1BFUihBTk4sMTIvMzEvMTk4MCwxMi8zMS8yMDA5LEFZKQ==&amp;WINDOW=FIRST_POPUP&amp;HEIGH","T=450&amp;WIDTH=450&amp;START_MAXIMIZED=FALSE&amp;VAR:CALENDAR=US&amp;VAR:SYMBOL=IPI&amp;VAR:INDEX=25"}</definedName>
    <definedName name="_2629__FDSAUDITLINK__" hidden="1">{"fdsup://directions/FAT Viewer?action=UPDATE&amp;creator=factset&amp;DYN_ARGS=TRUE&amp;DOC_NAME=FAT:FQL_AUDITING_CLIENT_TEMPLATE.FAT&amp;display_string=Audit&amp;VAR:KEY=ERMXCLUNAX&amp;VAR:QUERY=Q1NGX0VCSVRfT1BFUihBTk4sMTIvMzEvMTk4MCwxMi8zMS8yMDA5LEFZKQ==&amp;WINDOW=FIRST_POPUP&amp;HEIGH","T=450&amp;WIDTH=450&amp;START_MAXIMIZED=FALSE&amp;VAR:CALENDAR=US&amp;VAR:SYMBOL=IPI&amp;VAR:INDEX=24"}</definedName>
    <definedName name="_263__FDSAUDITLINK__" hidden="1">{"fdsup://directions/FAT Viewer?action=UPDATE&amp;creator=factset&amp;DYN_ARGS=TRUE&amp;DOC_NAME=FAT:FQL_AUDITING_CLIENT_TEMPLATE.FAT&amp;display_string=Audit&amp;VAR:KEY=CNWFMPUVUB&amp;VAR:QUERY=Q1NGX0VCSVRfT1BFUihBTk4sMTIvMzEvODAsMCk=&amp;WINDOW=FIRST_POPUP&amp;HEIGHT=450&amp;WIDTH=450&amp;STAR","T_MAXIMIZED=FALSE&amp;VAR:CALENDAR=US&amp;VAR:SYMBOL=CYT&amp;VAR:INDEX=8"}</definedName>
    <definedName name="_2630__FDSAUDITLINK__" hidden="1">{"fdsup://directions/FAT Viewer?action=UPDATE&amp;creator=factset&amp;DYN_ARGS=TRUE&amp;DOC_NAME=FAT:FQL_AUDITING_CLIENT_TEMPLATE.FAT&amp;display_string=Audit&amp;VAR:KEY=ERMXCLUNAX&amp;VAR:QUERY=Q1NGX0VCSVRfT1BFUihBTk4sMTIvMzEvMTk4MCwxMi8zMS8yMDA5LEFZKQ==&amp;WINDOW=FIRST_POPUP&amp;HEIGH","T=450&amp;WIDTH=450&amp;START_MAXIMIZED=FALSE&amp;VAR:CALENDAR=US&amp;VAR:SYMBOL=IPI&amp;VAR:INDEX=23"}</definedName>
    <definedName name="_2631__FDSAUDITLINK__" hidden="1">{"fdsup://directions/FAT Viewer?action=UPDATE&amp;creator=factset&amp;DYN_ARGS=TRUE&amp;DOC_NAME=FAT:FQL_AUDITING_CLIENT_TEMPLATE.FAT&amp;display_string=Audit&amp;VAR:KEY=ERMXCLUNAX&amp;VAR:QUERY=Q1NGX0VCSVRfT1BFUihBTk4sMTIvMzEvMTk4MCwxMi8zMS8yMDA5LEFZKQ==&amp;WINDOW=FIRST_POPUP&amp;HEIGH","T=450&amp;WIDTH=450&amp;START_MAXIMIZED=FALSE&amp;VAR:CALENDAR=US&amp;VAR:SYMBOL=IPI&amp;VAR:INDEX=22"}</definedName>
    <definedName name="_2632__FDSAUDITLINK__" hidden="1">{"fdsup://directions/FAT Viewer?action=UPDATE&amp;creator=factset&amp;DYN_ARGS=TRUE&amp;DOC_NAME=FAT:FQL_AUDITING_CLIENT_TEMPLATE.FAT&amp;display_string=Audit&amp;VAR:KEY=ERMXCLUNAX&amp;VAR:QUERY=Q1NGX0VCSVRfT1BFUihBTk4sMTIvMzEvMTk4MCwxMi8zMS8yMDA5LEFZKQ==&amp;WINDOW=FIRST_POPUP&amp;HEIGH","T=450&amp;WIDTH=450&amp;START_MAXIMIZED=FALSE&amp;VAR:CALENDAR=US&amp;VAR:SYMBOL=IPI&amp;VAR:INDEX=21"}</definedName>
    <definedName name="_2633__FDSAUDITLINK__" hidden="1">{"fdsup://directions/FAT Viewer?action=UPDATE&amp;creator=factset&amp;DYN_ARGS=TRUE&amp;DOC_NAME=FAT:FQL_AUDITING_CLIENT_TEMPLATE.FAT&amp;display_string=Audit&amp;VAR:KEY=ERMXCLUNAX&amp;VAR:QUERY=Q1NGX0VCSVRfT1BFUihBTk4sMTIvMzEvMTk4MCwxMi8zMS8yMDA5LEFZKQ==&amp;WINDOW=FIRST_POPUP&amp;HEIGH","T=450&amp;WIDTH=450&amp;START_MAXIMIZED=FALSE&amp;VAR:CALENDAR=US&amp;VAR:SYMBOL=IPI&amp;VAR:INDEX=20"}</definedName>
    <definedName name="_2634__FDSAUDITLINK__" hidden="1">{"fdsup://directions/FAT Viewer?action=UPDATE&amp;creator=factset&amp;DYN_ARGS=TRUE&amp;DOC_NAME=FAT:FQL_AUDITING_CLIENT_TEMPLATE.FAT&amp;display_string=Audit&amp;VAR:KEY=ERMXCLUNAX&amp;VAR:QUERY=Q1NGX0VCSVRfT1BFUihBTk4sMTIvMzEvMTk4MCwxMi8zMS8yMDA5LEFZKQ==&amp;WINDOW=FIRST_POPUP&amp;HEIGH","T=450&amp;WIDTH=450&amp;START_MAXIMIZED=FALSE&amp;VAR:CALENDAR=US&amp;VAR:SYMBOL=IPI&amp;VAR:INDEX=19"}</definedName>
    <definedName name="_2635__FDSAUDITLINK__" hidden="1">{"fdsup://directions/FAT Viewer?action=UPDATE&amp;creator=factset&amp;DYN_ARGS=TRUE&amp;DOC_NAME=FAT:FQL_AUDITING_CLIENT_TEMPLATE.FAT&amp;display_string=Audit&amp;VAR:KEY=ERMXCLUNAX&amp;VAR:QUERY=Q1NGX0VCSVRfT1BFUihBTk4sMTIvMzEvMTk4MCwxMi8zMS8yMDA5LEFZKQ==&amp;WINDOW=FIRST_POPUP&amp;HEIGH","T=450&amp;WIDTH=450&amp;START_MAXIMIZED=FALSE&amp;VAR:CALENDAR=US&amp;VAR:SYMBOL=IPI&amp;VAR:INDEX=18"}</definedName>
    <definedName name="_2636__FDSAUDITLINK__" hidden="1">{"fdsup://directions/FAT Viewer?action=UPDATE&amp;creator=factset&amp;DYN_ARGS=TRUE&amp;DOC_NAME=FAT:FQL_AUDITING_CLIENT_TEMPLATE.FAT&amp;display_string=Audit&amp;VAR:KEY=ERMXCLUNAX&amp;VAR:QUERY=Q1NGX0VCSVRfT1BFUihBTk4sMTIvMzEvMTk4MCwxMi8zMS8yMDA5LEFZKQ==&amp;WINDOW=FIRST_POPUP&amp;HEIGH","T=450&amp;WIDTH=450&amp;START_MAXIMIZED=FALSE&amp;VAR:CALENDAR=US&amp;VAR:SYMBOL=IPI&amp;VAR:INDEX=17"}</definedName>
    <definedName name="_2637__FDSAUDITLINK__" hidden="1">{"fdsup://directions/FAT Viewer?action=UPDATE&amp;creator=factset&amp;DYN_ARGS=TRUE&amp;DOC_NAME=FAT:FQL_AUDITING_CLIENT_TEMPLATE.FAT&amp;display_string=Audit&amp;VAR:KEY=ERMXCLUNAX&amp;VAR:QUERY=Q1NGX0VCSVRfT1BFUihBTk4sMTIvMzEvMTk4MCwxMi8zMS8yMDA5LEFZKQ==&amp;WINDOW=FIRST_POPUP&amp;HEIGH","T=450&amp;WIDTH=450&amp;START_MAXIMIZED=FALSE&amp;VAR:CALENDAR=US&amp;VAR:SYMBOL=IPI&amp;VAR:INDEX=16"}</definedName>
    <definedName name="_2638__FDSAUDITLINK__" hidden="1">{"fdsup://directions/FAT Viewer?action=UPDATE&amp;creator=factset&amp;DYN_ARGS=TRUE&amp;DOC_NAME=FAT:FQL_AUDITING_CLIENT_TEMPLATE.FAT&amp;display_string=Audit&amp;VAR:KEY=ERMXCLUNAX&amp;VAR:QUERY=Q1NGX0VCSVRfT1BFUihBTk4sMTIvMzEvMTk4MCwxMi8zMS8yMDA5LEFZKQ==&amp;WINDOW=FIRST_POPUP&amp;HEIGH","T=450&amp;WIDTH=450&amp;START_MAXIMIZED=FALSE&amp;VAR:CALENDAR=US&amp;VAR:SYMBOL=IPI&amp;VAR:INDEX=15"}</definedName>
    <definedName name="_2639__FDSAUDITLINK__" hidden="1">{"fdsup://directions/FAT Viewer?action=UPDATE&amp;creator=factset&amp;DYN_ARGS=TRUE&amp;DOC_NAME=FAT:FQL_AUDITING_CLIENT_TEMPLATE.FAT&amp;display_string=Audit&amp;VAR:KEY=ERMXCLUNAX&amp;VAR:QUERY=Q1NGX0VCSVRfT1BFUihBTk4sMTIvMzEvMTk4MCwxMi8zMS8yMDA5LEFZKQ==&amp;WINDOW=FIRST_POPUP&amp;HEIGH","T=450&amp;WIDTH=450&amp;START_MAXIMIZED=FALSE&amp;VAR:CALENDAR=US&amp;VAR:SYMBOL=IPI&amp;VAR:INDEX=14"}</definedName>
    <definedName name="_264__FDSAUDITLINK__" hidden="1">{"fdsup://directions/FAT Viewer?action=UPDATE&amp;creator=factset&amp;DYN_ARGS=TRUE&amp;DOC_NAME=FAT:FQL_AUDITING_CLIENT_TEMPLATE.FAT&amp;display_string=Audit&amp;VAR:KEY=CNWFMPUVUB&amp;VAR:QUERY=Q1NGX0VCSVRfT1BFUihBTk4sMTIvMzEvODAsMCk=&amp;WINDOW=FIRST_POPUP&amp;HEIGHT=450&amp;WIDTH=450&amp;STAR","T_MAXIMIZED=FALSE&amp;VAR:CALENDAR=US&amp;VAR:SYMBOL=CYT&amp;VAR:INDEX=7"}</definedName>
    <definedName name="_2640__FDSAUDITLINK__" hidden="1">{"fdsup://directions/FAT Viewer?action=UPDATE&amp;creator=factset&amp;DYN_ARGS=TRUE&amp;DOC_NAME=FAT:FQL_AUDITING_CLIENT_TEMPLATE.FAT&amp;display_string=Audit&amp;VAR:KEY=ERMXCLUNAX&amp;VAR:QUERY=Q1NGX0VCSVRfT1BFUihBTk4sMTIvMzEvMTk4MCwxMi8zMS8yMDA5LEFZKQ==&amp;WINDOW=FIRST_POPUP&amp;HEIGH","T=450&amp;WIDTH=450&amp;START_MAXIMIZED=FALSE&amp;VAR:CALENDAR=US&amp;VAR:SYMBOL=IPI&amp;VAR:INDEX=13"}</definedName>
    <definedName name="_2641__FDSAUDITLINK__" hidden="1">{"fdsup://directions/FAT Viewer?action=UPDATE&amp;creator=factset&amp;DYN_ARGS=TRUE&amp;DOC_NAME=FAT:FQL_AUDITING_CLIENT_TEMPLATE.FAT&amp;display_string=Audit&amp;VAR:KEY=ERMXCLUNAX&amp;VAR:QUERY=Q1NGX0VCSVRfT1BFUihBTk4sMTIvMzEvMTk4MCwxMi8zMS8yMDA5LEFZKQ==&amp;WINDOW=FIRST_POPUP&amp;HEIGH","T=450&amp;WIDTH=450&amp;START_MAXIMIZED=FALSE&amp;VAR:CALENDAR=US&amp;VAR:SYMBOL=IPI&amp;VAR:INDEX=12"}</definedName>
    <definedName name="_2642__FDSAUDITLINK__" hidden="1">{"fdsup://directions/FAT Viewer?action=UPDATE&amp;creator=factset&amp;DYN_ARGS=TRUE&amp;DOC_NAME=FAT:FQL_AUDITING_CLIENT_TEMPLATE.FAT&amp;display_string=Audit&amp;VAR:KEY=ERMXCLUNAX&amp;VAR:QUERY=Q1NGX0VCSVRfT1BFUihBTk4sMTIvMzEvMTk4MCwxMi8zMS8yMDA5LEFZKQ==&amp;WINDOW=FIRST_POPUP&amp;HEIGH","T=450&amp;WIDTH=450&amp;START_MAXIMIZED=FALSE&amp;VAR:CALENDAR=US&amp;VAR:SYMBOL=IPI&amp;VAR:INDEX=11"}</definedName>
    <definedName name="_2643__FDSAUDITLINK__" hidden="1">{"fdsup://directions/FAT Viewer?action=UPDATE&amp;creator=factset&amp;DYN_ARGS=TRUE&amp;DOC_NAME=FAT:FQL_AUDITING_CLIENT_TEMPLATE.FAT&amp;display_string=Audit&amp;VAR:KEY=ERMXCLUNAX&amp;VAR:QUERY=Q1NGX0VCSVRfT1BFUihBTk4sMTIvMzEvMTk4MCwxMi8zMS8yMDA5LEFZKQ==&amp;WINDOW=FIRST_POPUP&amp;HEIGH","T=450&amp;WIDTH=450&amp;START_MAXIMIZED=FALSE&amp;VAR:CALENDAR=US&amp;VAR:SYMBOL=IPI&amp;VAR:INDEX=10"}</definedName>
    <definedName name="_2644__FDSAUDITLINK__" hidden="1">{"fdsup://directions/FAT Viewer?action=UPDATE&amp;creator=factset&amp;DYN_ARGS=TRUE&amp;DOC_NAME=FAT:FQL_AUDITING_CLIENT_TEMPLATE.FAT&amp;display_string=Audit&amp;VAR:KEY=ERMXCLUNAX&amp;VAR:QUERY=Q1NGX0VCSVRfT1BFUihBTk4sMTIvMzEvMTk4MCwxMi8zMS8yMDA5LEFZKQ==&amp;WINDOW=FIRST_POPUP&amp;HEIGH","T=450&amp;WIDTH=450&amp;START_MAXIMIZED=FALSE&amp;VAR:CALENDAR=US&amp;VAR:SYMBOL=IPI&amp;VAR:INDEX=9"}</definedName>
    <definedName name="_2645__FDSAUDITLINK__" hidden="1">{"fdsup://directions/FAT Viewer?action=UPDATE&amp;creator=factset&amp;DYN_ARGS=TRUE&amp;DOC_NAME=FAT:FQL_AUDITING_CLIENT_TEMPLATE.FAT&amp;display_string=Audit&amp;VAR:KEY=ERMXCLUNAX&amp;VAR:QUERY=Q1NGX0VCSVRfT1BFUihBTk4sMTIvMzEvMTk4MCwxMi8zMS8yMDA5LEFZKQ==&amp;WINDOW=FIRST_POPUP&amp;HEIGH","T=450&amp;WIDTH=450&amp;START_MAXIMIZED=FALSE&amp;VAR:CALENDAR=US&amp;VAR:SYMBOL=IPI&amp;VAR:INDEX=8"}</definedName>
    <definedName name="_2646__FDSAUDITLINK__" hidden="1">{"fdsup://directions/FAT Viewer?action=UPDATE&amp;creator=factset&amp;DYN_ARGS=TRUE&amp;DOC_NAME=FAT:FQL_AUDITING_CLIENT_TEMPLATE.FAT&amp;display_string=Audit&amp;VAR:KEY=ERMXCLUNAX&amp;VAR:QUERY=Q1NGX0VCSVRfT1BFUihBTk4sMTIvMzEvMTk4MCwxMi8zMS8yMDA5LEFZKQ==&amp;WINDOW=FIRST_POPUP&amp;HEIGH","T=450&amp;WIDTH=450&amp;START_MAXIMIZED=FALSE&amp;VAR:CALENDAR=US&amp;VAR:SYMBOL=IPI&amp;VAR:INDEX=7"}</definedName>
    <definedName name="_2647__FDSAUDITLINK__" hidden="1">{"fdsup://directions/FAT Viewer?action=UPDATE&amp;creator=factset&amp;DYN_ARGS=TRUE&amp;DOC_NAME=FAT:FQL_AUDITING_CLIENT_TEMPLATE.FAT&amp;display_string=Audit&amp;VAR:KEY=ERMXCLUNAX&amp;VAR:QUERY=Q1NGX0VCSVRfT1BFUihBTk4sMTIvMzEvMTk4MCwxMi8zMS8yMDA5LEFZKQ==&amp;WINDOW=FIRST_POPUP&amp;HEIGH","T=450&amp;WIDTH=450&amp;START_MAXIMIZED=FALSE&amp;VAR:CALENDAR=US&amp;VAR:SYMBOL=IPI&amp;VAR:INDEX=6"}</definedName>
    <definedName name="_2648__FDSAUDITLINK__" hidden="1">{"fdsup://directions/FAT Viewer?action=UPDATE&amp;creator=factset&amp;DYN_ARGS=TRUE&amp;DOC_NAME=FAT:FQL_AUDITING_CLIENT_TEMPLATE.FAT&amp;display_string=Audit&amp;VAR:KEY=ERMXCLUNAX&amp;VAR:QUERY=Q1NGX0VCSVRfT1BFUihBTk4sMTIvMzEvMTk4MCwxMi8zMS8yMDA5LEFZKQ==&amp;WINDOW=FIRST_POPUP&amp;HEIGH","T=450&amp;WIDTH=450&amp;START_MAXIMIZED=FALSE&amp;VAR:CALENDAR=US&amp;VAR:SYMBOL=IPI&amp;VAR:INDEX=5"}</definedName>
    <definedName name="_2649__FDSAUDITLINK__" hidden="1">{"fdsup://directions/FAT Viewer?action=UPDATE&amp;creator=factset&amp;DYN_ARGS=TRUE&amp;DOC_NAME=FAT:FQL_AUDITING_CLIENT_TEMPLATE.FAT&amp;display_string=Audit&amp;VAR:KEY=ERMXCLUNAX&amp;VAR:QUERY=Q1NGX0VCSVRfT1BFUihBTk4sMTIvMzEvMTk4MCwxMi8zMS8yMDA5LEFZKQ==&amp;WINDOW=FIRST_POPUP&amp;HEIGH","T=450&amp;WIDTH=450&amp;START_MAXIMIZED=FALSE&amp;VAR:CALENDAR=US&amp;VAR:SYMBOL=IPI&amp;VAR:INDEX=4"}</definedName>
    <definedName name="_265__FDSAUDITLINK__" hidden="1">{"fdsup://directions/FAT Viewer?action=UPDATE&amp;creator=factset&amp;DYN_ARGS=TRUE&amp;DOC_NAME=FAT:FQL_AUDITING_CLIENT_TEMPLATE.FAT&amp;display_string=Audit&amp;VAR:KEY=CNWFMPUVUB&amp;VAR:QUERY=Q1NGX0VCSVRfT1BFUihBTk4sMTIvMzEvODAsMCk=&amp;WINDOW=FIRST_POPUP&amp;HEIGHT=450&amp;WIDTH=450&amp;STAR","T_MAXIMIZED=FALSE&amp;VAR:CALENDAR=US&amp;VAR:SYMBOL=CYT&amp;VAR:INDEX=6"}</definedName>
    <definedName name="_2650__FDSAUDITLINK__" hidden="1">{"fdsup://directions/FAT Viewer?action=UPDATE&amp;creator=factset&amp;DYN_ARGS=TRUE&amp;DOC_NAME=FAT:FQL_AUDITING_CLIENT_TEMPLATE.FAT&amp;display_string=Audit&amp;VAR:KEY=ERMXCLUNAX&amp;VAR:QUERY=Q1NGX0VCSVRfT1BFUihBTk4sMTIvMzEvMTk4MCwxMi8zMS8yMDA5LEFZKQ==&amp;WINDOW=FIRST_POPUP&amp;HEIGH","T=450&amp;WIDTH=450&amp;START_MAXIMIZED=FALSE&amp;VAR:CALENDAR=US&amp;VAR:SYMBOL=IPI&amp;VAR:INDEX=3"}</definedName>
    <definedName name="_2651__FDSAUDITLINK__" hidden="1">{"fdsup://directions/FAT Viewer?action=UPDATE&amp;creator=factset&amp;DYN_ARGS=TRUE&amp;DOC_NAME=FAT:FQL_AUDITING_CLIENT_TEMPLATE.FAT&amp;display_string=Audit&amp;VAR:KEY=ERMXCLUNAX&amp;VAR:QUERY=Q1NGX0VCSVRfT1BFUihBTk4sMTIvMzEvMTk4MCwxMi8zMS8yMDA5LEFZKQ==&amp;WINDOW=FIRST_POPUP&amp;HEIGH","T=450&amp;WIDTH=450&amp;START_MAXIMIZED=FALSE&amp;VAR:CALENDAR=US&amp;VAR:SYMBOL=IPI&amp;VAR:INDEX=2"}</definedName>
    <definedName name="_2652__FDSAUDITLINK__" hidden="1">{"fdsup://directions/FAT Viewer?action=UPDATE&amp;creator=factset&amp;DYN_ARGS=TRUE&amp;DOC_NAME=FAT:FQL_AUDITING_CLIENT_TEMPLATE.FAT&amp;display_string=Audit&amp;VAR:KEY=ERMXCLUNAX&amp;VAR:QUERY=Q1NGX0VCSVRfT1BFUihBTk4sMTIvMzEvMTk4MCwxMi8zMS8yMDA5LEFZKQ==&amp;WINDOW=FIRST_POPUP&amp;HEIGH","T=450&amp;WIDTH=450&amp;START_MAXIMIZED=FALSE&amp;VAR:CALENDAR=US&amp;VAR:SYMBOL=IPI&amp;VAR:INDEX=1"}</definedName>
    <definedName name="_2653__FDSAUDITLINK__" hidden="1">{"fdsup://directions/FAT Viewer?action=UPDATE&amp;creator=factset&amp;DYN_ARGS=TRUE&amp;DOC_NAME=FAT:FQL_AUDITING_CLIENT_TEMPLATE.FAT&amp;display_string=Audit&amp;VAR:KEY=ERMXCLUNAX&amp;VAR:QUERY=Q1NGX0VCSVRfT1BFUihBTk4sMTIvMzEvMTk4MCwxMi8zMS8yMDA5LEFZKQ==&amp;WINDOW=FIRST_POPUP&amp;HEIGH","T=450&amp;WIDTH=450&amp;START_MAXIMIZED=FALSE&amp;VAR:CALENDAR=US&amp;VAR:SYMBOL=IPI&amp;VAR:INDEX=0"}</definedName>
    <definedName name="_2654__FDSAUDITLINK__" hidden="1">{"fdsup://directions/FAT Viewer?action=UPDATE&amp;creator=factset&amp;DYN_ARGS=TRUE&amp;DOC_NAME=FAT:FQL_AUDITING_CLIENT_TEMPLATE.FAT&amp;display_string=Audit&amp;VAR:KEY=VIDCRMLIFO&amp;VAR:QUERY=Q1NGX0VCSVRfT1BFUihMVE1fUiwwKQ==&amp;WINDOW=FIRST_POPUP&amp;HEIGHT=450&amp;WIDTH=450&amp;START_MAXIMI","ZED=FALSE&amp;VAR:CALENDAR=US&amp;VAR:SYMBOL=CF&amp;VAR:INDEX=0"}</definedName>
    <definedName name="_2655__FDSAUDITLINK__" hidden="1">{"fdsup://directions/FAT Viewer?action=UPDATE&amp;creator=factset&amp;DYN_ARGS=TRUE&amp;DOC_NAME=FAT:FQL_AUDITING_CLIENT_TEMPLATE.FAT&amp;display_string=Audit&amp;VAR:KEY=WTGNCLOJSR&amp;VAR:QUERY=Q1NGX0VCSVRfT1BFUihBTk4sMTIvMzEvMTk4MCwxMi8zMS8yMDA5LEFZKQ==&amp;WINDOW=FIRST_POPUP&amp;HEIGH","T=450&amp;WIDTH=450&amp;START_MAXIMIZED=FALSE&amp;VAR:CALENDAR=US&amp;VAR:SYMBOL=CF&amp;VAR:INDEX=29"}</definedName>
    <definedName name="_2656__FDSAUDITLINK__" hidden="1">{"fdsup://directions/FAT Viewer?action=UPDATE&amp;creator=factset&amp;DYN_ARGS=TRUE&amp;DOC_NAME=FAT:FQL_AUDITING_CLIENT_TEMPLATE.FAT&amp;display_string=Audit&amp;VAR:KEY=WTGNCLOJSR&amp;VAR:QUERY=Q1NGX0VCSVRfT1BFUihBTk4sMTIvMzEvMTk4MCwxMi8zMS8yMDA5LEFZKQ==&amp;WINDOW=FIRST_POPUP&amp;HEIGH","T=450&amp;WIDTH=450&amp;START_MAXIMIZED=FALSE&amp;VAR:CALENDAR=US&amp;VAR:SYMBOL=CF&amp;VAR:INDEX=28"}</definedName>
    <definedName name="_2657__FDSAUDITLINK__" hidden="1">{"fdsup://directions/FAT Viewer?action=UPDATE&amp;creator=factset&amp;DYN_ARGS=TRUE&amp;DOC_NAME=FAT:FQL_AUDITING_CLIENT_TEMPLATE.FAT&amp;display_string=Audit&amp;VAR:KEY=WTGNCLOJSR&amp;VAR:QUERY=Q1NGX0VCSVRfT1BFUihBTk4sMTIvMzEvMTk4MCwxMi8zMS8yMDA5LEFZKQ==&amp;WINDOW=FIRST_POPUP&amp;HEIGH","T=450&amp;WIDTH=450&amp;START_MAXIMIZED=FALSE&amp;VAR:CALENDAR=US&amp;VAR:SYMBOL=CF&amp;VAR:INDEX=27"}</definedName>
    <definedName name="_2658__FDSAUDITLINK__" hidden="1">{"fdsup://directions/FAT Viewer?action=UPDATE&amp;creator=factset&amp;DYN_ARGS=TRUE&amp;DOC_NAME=FAT:FQL_AUDITING_CLIENT_TEMPLATE.FAT&amp;display_string=Audit&amp;VAR:KEY=WTGNCLOJSR&amp;VAR:QUERY=Q1NGX0VCSVRfT1BFUihBTk4sMTIvMzEvMTk4MCwxMi8zMS8yMDA5LEFZKQ==&amp;WINDOW=FIRST_POPUP&amp;HEIGH","T=450&amp;WIDTH=450&amp;START_MAXIMIZED=FALSE&amp;VAR:CALENDAR=US&amp;VAR:SYMBOL=CF&amp;VAR:INDEX=26"}</definedName>
    <definedName name="_2659__FDSAUDITLINK__" hidden="1">{"fdsup://directions/FAT Viewer?action=UPDATE&amp;creator=factset&amp;DYN_ARGS=TRUE&amp;DOC_NAME=FAT:FQL_AUDITING_CLIENT_TEMPLATE.FAT&amp;display_string=Audit&amp;VAR:KEY=WTGNCLOJSR&amp;VAR:QUERY=Q1NGX0VCSVRfT1BFUihBTk4sMTIvMzEvMTk4MCwxMi8zMS8yMDA5LEFZKQ==&amp;WINDOW=FIRST_POPUP&amp;HEIGH","T=450&amp;WIDTH=450&amp;START_MAXIMIZED=FALSE&amp;VAR:CALENDAR=US&amp;VAR:SYMBOL=CF&amp;VAR:INDEX=25"}</definedName>
    <definedName name="_266__FDSAUDITLINK__" hidden="1">{"fdsup://directions/FAT Viewer?action=UPDATE&amp;creator=factset&amp;DYN_ARGS=TRUE&amp;DOC_NAME=FAT:FQL_AUDITING_CLIENT_TEMPLATE.FAT&amp;display_string=Audit&amp;VAR:KEY=CNWFMPUVUB&amp;VAR:QUERY=Q1NGX0VCSVRfT1BFUihBTk4sMTIvMzEvODAsMCk=&amp;WINDOW=FIRST_POPUP&amp;HEIGHT=450&amp;WIDTH=450&amp;STAR","T_MAXIMIZED=FALSE&amp;VAR:CALENDAR=US&amp;VAR:SYMBOL=CYT&amp;VAR:INDEX=5"}</definedName>
    <definedName name="_2660__FDSAUDITLINK__" hidden="1">{"fdsup://directions/FAT Viewer?action=UPDATE&amp;creator=factset&amp;DYN_ARGS=TRUE&amp;DOC_NAME=FAT:FQL_AUDITING_CLIENT_TEMPLATE.FAT&amp;display_string=Audit&amp;VAR:KEY=WTGNCLOJSR&amp;VAR:QUERY=Q1NGX0VCSVRfT1BFUihBTk4sMTIvMzEvMTk4MCwxMi8zMS8yMDA5LEFZKQ==&amp;WINDOW=FIRST_POPUP&amp;HEIGH","T=450&amp;WIDTH=450&amp;START_MAXIMIZED=FALSE&amp;VAR:CALENDAR=US&amp;VAR:SYMBOL=CF&amp;VAR:INDEX=24"}</definedName>
    <definedName name="_2661__FDSAUDITLINK__" hidden="1">{"fdsup://directions/FAT Viewer?action=UPDATE&amp;creator=factset&amp;DYN_ARGS=TRUE&amp;DOC_NAME=FAT:FQL_AUDITING_CLIENT_TEMPLATE.FAT&amp;display_string=Audit&amp;VAR:KEY=WTGNCLOJSR&amp;VAR:QUERY=Q1NGX0VCSVRfT1BFUihBTk4sMTIvMzEvMTk4MCwxMi8zMS8yMDA5LEFZKQ==&amp;WINDOW=FIRST_POPUP&amp;HEIGH","T=450&amp;WIDTH=450&amp;START_MAXIMIZED=FALSE&amp;VAR:CALENDAR=US&amp;VAR:SYMBOL=CF&amp;VAR:INDEX=23"}</definedName>
    <definedName name="_2662__FDSAUDITLINK__" hidden="1">{"fdsup://directions/FAT Viewer?action=UPDATE&amp;creator=factset&amp;DYN_ARGS=TRUE&amp;DOC_NAME=FAT:FQL_AUDITING_CLIENT_TEMPLATE.FAT&amp;display_string=Audit&amp;VAR:KEY=WTGNCLOJSR&amp;VAR:QUERY=Q1NGX0VCSVRfT1BFUihBTk4sMTIvMzEvMTk4MCwxMi8zMS8yMDA5LEFZKQ==&amp;WINDOW=FIRST_POPUP&amp;HEIGH","T=450&amp;WIDTH=450&amp;START_MAXIMIZED=FALSE&amp;VAR:CALENDAR=US&amp;VAR:SYMBOL=CF&amp;VAR:INDEX=22"}</definedName>
    <definedName name="_2663__FDSAUDITLINK__" hidden="1">{"fdsup://directions/FAT Viewer?action=UPDATE&amp;creator=factset&amp;DYN_ARGS=TRUE&amp;DOC_NAME=FAT:FQL_AUDITING_CLIENT_TEMPLATE.FAT&amp;display_string=Audit&amp;VAR:KEY=WTGNCLOJSR&amp;VAR:QUERY=Q1NGX0VCSVRfT1BFUihBTk4sMTIvMzEvMTk4MCwxMi8zMS8yMDA5LEFZKQ==&amp;WINDOW=FIRST_POPUP&amp;HEIGH","T=450&amp;WIDTH=450&amp;START_MAXIMIZED=FALSE&amp;VAR:CALENDAR=US&amp;VAR:SYMBOL=CF&amp;VAR:INDEX=21"}</definedName>
    <definedName name="_2664__FDSAUDITLINK__" hidden="1">{"fdsup://directions/FAT Viewer?action=UPDATE&amp;creator=factset&amp;DYN_ARGS=TRUE&amp;DOC_NAME=FAT:FQL_AUDITING_CLIENT_TEMPLATE.FAT&amp;display_string=Audit&amp;VAR:KEY=WTGNCLOJSR&amp;VAR:QUERY=Q1NGX0VCSVRfT1BFUihBTk4sMTIvMzEvMTk4MCwxMi8zMS8yMDA5LEFZKQ==&amp;WINDOW=FIRST_POPUP&amp;HEIGH","T=450&amp;WIDTH=450&amp;START_MAXIMIZED=FALSE&amp;VAR:CALENDAR=US&amp;VAR:SYMBOL=CF&amp;VAR:INDEX=20"}</definedName>
    <definedName name="_2665__FDSAUDITLINK__" hidden="1">{"fdsup://directions/FAT Viewer?action=UPDATE&amp;creator=factset&amp;DYN_ARGS=TRUE&amp;DOC_NAME=FAT:FQL_AUDITING_CLIENT_TEMPLATE.FAT&amp;display_string=Audit&amp;VAR:KEY=WTGNCLOJSR&amp;VAR:QUERY=Q1NGX0VCSVRfT1BFUihBTk4sMTIvMzEvMTk4MCwxMi8zMS8yMDA5LEFZKQ==&amp;WINDOW=FIRST_POPUP&amp;HEIGH","T=450&amp;WIDTH=450&amp;START_MAXIMIZED=FALSE&amp;VAR:CALENDAR=US&amp;VAR:SYMBOL=CF&amp;VAR:INDEX=19"}</definedName>
    <definedName name="_2666__FDSAUDITLINK__" hidden="1">{"fdsup://directions/FAT Viewer?action=UPDATE&amp;creator=factset&amp;DYN_ARGS=TRUE&amp;DOC_NAME=FAT:FQL_AUDITING_CLIENT_TEMPLATE.FAT&amp;display_string=Audit&amp;VAR:KEY=WTGNCLOJSR&amp;VAR:QUERY=Q1NGX0VCSVRfT1BFUihBTk4sMTIvMzEvMTk4MCwxMi8zMS8yMDA5LEFZKQ==&amp;WINDOW=FIRST_POPUP&amp;HEIGH","T=450&amp;WIDTH=450&amp;START_MAXIMIZED=FALSE&amp;VAR:CALENDAR=US&amp;VAR:SYMBOL=CF&amp;VAR:INDEX=18"}</definedName>
    <definedName name="_2667__FDSAUDITLINK__" hidden="1">{"fdsup://directions/FAT Viewer?action=UPDATE&amp;creator=factset&amp;DYN_ARGS=TRUE&amp;DOC_NAME=FAT:FQL_AUDITING_CLIENT_TEMPLATE.FAT&amp;display_string=Audit&amp;VAR:KEY=WTGNCLOJSR&amp;VAR:QUERY=Q1NGX0VCSVRfT1BFUihBTk4sMTIvMzEvMTk4MCwxMi8zMS8yMDA5LEFZKQ==&amp;WINDOW=FIRST_POPUP&amp;HEIGH","T=450&amp;WIDTH=450&amp;START_MAXIMIZED=FALSE&amp;VAR:CALENDAR=US&amp;VAR:SYMBOL=CF&amp;VAR:INDEX=17"}</definedName>
    <definedName name="_2668__FDSAUDITLINK__" hidden="1">{"fdsup://directions/FAT Viewer?action=UPDATE&amp;creator=factset&amp;DYN_ARGS=TRUE&amp;DOC_NAME=FAT:FQL_AUDITING_CLIENT_TEMPLATE.FAT&amp;display_string=Audit&amp;VAR:KEY=WTGNCLOJSR&amp;VAR:QUERY=Q1NGX0VCSVRfT1BFUihBTk4sMTIvMzEvMTk4MCwxMi8zMS8yMDA5LEFZKQ==&amp;WINDOW=FIRST_POPUP&amp;HEIGH","T=450&amp;WIDTH=450&amp;START_MAXIMIZED=FALSE&amp;VAR:CALENDAR=US&amp;VAR:SYMBOL=CF&amp;VAR:INDEX=16"}</definedName>
    <definedName name="_2669__FDSAUDITLINK__" hidden="1">{"fdsup://directions/FAT Viewer?action=UPDATE&amp;creator=factset&amp;DYN_ARGS=TRUE&amp;DOC_NAME=FAT:FQL_AUDITING_CLIENT_TEMPLATE.FAT&amp;display_string=Audit&amp;VAR:KEY=WTGNCLOJSR&amp;VAR:QUERY=Q1NGX0VCSVRfT1BFUihBTk4sMTIvMzEvMTk4MCwxMi8zMS8yMDA5LEFZKQ==&amp;WINDOW=FIRST_POPUP&amp;HEIGH","T=450&amp;WIDTH=450&amp;START_MAXIMIZED=FALSE&amp;VAR:CALENDAR=US&amp;VAR:SYMBOL=CF&amp;VAR:INDEX=15"}</definedName>
    <definedName name="_267__FDSAUDITLINK__" hidden="1">{"fdsup://directions/FAT Viewer?action=UPDATE&amp;creator=factset&amp;DYN_ARGS=TRUE&amp;DOC_NAME=FAT:FQL_AUDITING_CLIENT_TEMPLATE.FAT&amp;display_string=Audit&amp;VAR:KEY=CNWFMPUVUB&amp;VAR:QUERY=Q1NGX0VCSVRfT1BFUihBTk4sMTIvMzEvODAsMCk=&amp;WINDOW=FIRST_POPUP&amp;HEIGHT=450&amp;WIDTH=450&amp;STAR","T_MAXIMIZED=FALSE&amp;VAR:CALENDAR=US&amp;VAR:SYMBOL=CYT&amp;VAR:INDEX=4"}</definedName>
    <definedName name="_2670__FDSAUDITLINK__" hidden="1">{"fdsup://directions/FAT Viewer?action=UPDATE&amp;creator=factset&amp;DYN_ARGS=TRUE&amp;DOC_NAME=FAT:FQL_AUDITING_CLIENT_TEMPLATE.FAT&amp;display_string=Audit&amp;VAR:KEY=WTGNCLOJSR&amp;VAR:QUERY=Q1NGX0VCSVRfT1BFUihBTk4sMTIvMzEvMTk4MCwxMi8zMS8yMDA5LEFZKQ==&amp;WINDOW=FIRST_POPUP&amp;HEIGH","T=450&amp;WIDTH=450&amp;START_MAXIMIZED=FALSE&amp;VAR:CALENDAR=US&amp;VAR:SYMBOL=CF&amp;VAR:INDEX=14"}</definedName>
    <definedName name="_2671__FDSAUDITLINK__" hidden="1">{"fdsup://directions/FAT Viewer?action=UPDATE&amp;creator=factset&amp;DYN_ARGS=TRUE&amp;DOC_NAME=FAT:FQL_AUDITING_CLIENT_TEMPLATE.FAT&amp;display_string=Audit&amp;VAR:KEY=WTGNCLOJSR&amp;VAR:QUERY=Q1NGX0VCSVRfT1BFUihBTk4sMTIvMzEvMTk4MCwxMi8zMS8yMDA5LEFZKQ==&amp;WINDOW=FIRST_POPUP&amp;HEIGH","T=450&amp;WIDTH=450&amp;START_MAXIMIZED=FALSE&amp;VAR:CALENDAR=US&amp;VAR:SYMBOL=CF&amp;VAR:INDEX=13"}</definedName>
    <definedName name="_2672__FDSAUDITLINK__" hidden="1">{"fdsup://directions/FAT Viewer?action=UPDATE&amp;creator=factset&amp;DYN_ARGS=TRUE&amp;DOC_NAME=FAT:FQL_AUDITING_CLIENT_TEMPLATE.FAT&amp;display_string=Audit&amp;VAR:KEY=WTGNCLOJSR&amp;VAR:QUERY=Q1NGX0VCSVRfT1BFUihBTk4sMTIvMzEvMTk4MCwxMi8zMS8yMDA5LEFZKQ==&amp;WINDOW=FIRST_POPUP&amp;HEIGH","T=450&amp;WIDTH=450&amp;START_MAXIMIZED=FALSE&amp;VAR:CALENDAR=US&amp;VAR:SYMBOL=CF&amp;VAR:INDEX=12"}</definedName>
    <definedName name="_2673__FDSAUDITLINK__" hidden="1">{"fdsup://directions/FAT Viewer?action=UPDATE&amp;creator=factset&amp;DYN_ARGS=TRUE&amp;DOC_NAME=FAT:FQL_AUDITING_CLIENT_TEMPLATE.FAT&amp;display_string=Audit&amp;VAR:KEY=WTGNCLOJSR&amp;VAR:QUERY=Q1NGX0VCSVRfT1BFUihBTk4sMTIvMzEvMTk4MCwxMi8zMS8yMDA5LEFZKQ==&amp;WINDOW=FIRST_POPUP&amp;HEIGH","T=450&amp;WIDTH=450&amp;START_MAXIMIZED=FALSE&amp;VAR:CALENDAR=US&amp;VAR:SYMBOL=CF&amp;VAR:INDEX=11"}</definedName>
    <definedName name="_2674__FDSAUDITLINK__" hidden="1">{"fdsup://directions/FAT Viewer?action=UPDATE&amp;creator=factset&amp;DYN_ARGS=TRUE&amp;DOC_NAME=FAT:FQL_AUDITING_CLIENT_TEMPLATE.FAT&amp;display_string=Audit&amp;VAR:KEY=WTGNCLOJSR&amp;VAR:QUERY=Q1NGX0VCSVRfT1BFUihBTk4sMTIvMzEvMTk4MCwxMi8zMS8yMDA5LEFZKQ==&amp;WINDOW=FIRST_POPUP&amp;HEIGH","T=450&amp;WIDTH=450&amp;START_MAXIMIZED=FALSE&amp;VAR:CALENDAR=US&amp;VAR:SYMBOL=CF&amp;VAR:INDEX=10"}</definedName>
    <definedName name="_2675__FDSAUDITLINK__" hidden="1">{"fdsup://directions/FAT Viewer?action=UPDATE&amp;creator=factset&amp;DYN_ARGS=TRUE&amp;DOC_NAME=FAT:FQL_AUDITING_CLIENT_TEMPLATE.FAT&amp;display_string=Audit&amp;VAR:KEY=WTGNCLOJSR&amp;VAR:QUERY=Q1NGX0VCSVRfT1BFUihBTk4sMTIvMzEvMTk4MCwxMi8zMS8yMDA5LEFZKQ==&amp;WINDOW=FIRST_POPUP&amp;HEIGH","T=450&amp;WIDTH=450&amp;START_MAXIMIZED=FALSE&amp;VAR:CALENDAR=US&amp;VAR:SYMBOL=CF&amp;VAR:INDEX=9"}</definedName>
    <definedName name="_2676__FDSAUDITLINK__" hidden="1">{"fdsup://directions/FAT Viewer?action=UPDATE&amp;creator=factset&amp;DYN_ARGS=TRUE&amp;DOC_NAME=FAT:FQL_AUDITING_CLIENT_TEMPLATE.FAT&amp;display_string=Audit&amp;VAR:KEY=WTGNCLOJSR&amp;VAR:QUERY=Q1NGX0VCSVRfT1BFUihBTk4sMTIvMzEvMTk4MCwxMi8zMS8yMDA5LEFZKQ==&amp;WINDOW=FIRST_POPUP&amp;HEIGH","T=450&amp;WIDTH=450&amp;START_MAXIMIZED=FALSE&amp;VAR:CALENDAR=US&amp;VAR:SYMBOL=CF&amp;VAR:INDEX=8"}</definedName>
    <definedName name="_2677__FDSAUDITLINK__" hidden="1">{"fdsup://directions/FAT Viewer?action=UPDATE&amp;creator=factset&amp;DYN_ARGS=TRUE&amp;DOC_NAME=FAT:FQL_AUDITING_CLIENT_TEMPLATE.FAT&amp;display_string=Audit&amp;VAR:KEY=WTGNCLOJSR&amp;VAR:QUERY=Q1NGX0VCSVRfT1BFUihBTk4sMTIvMzEvMTk4MCwxMi8zMS8yMDA5LEFZKQ==&amp;WINDOW=FIRST_POPUP&amp;HEIGH","T=450&amp;WIDTH=450&amp;START_MAXIMIZED=FALSE&amp;VAR:CALENDAR=US&amp;VAR:SYMBOL=CF&amp;VAR:INDEX=7"}</definedName>
    <definedName name="_2678__FDSAUDITLINK__" hidden="1">{"fdsup://directions/FAT Viewer?action=UPDATE&amp;creator=factset&amp;DYN_ARGS=TRUE&amp;DOC_NAME=FAT:FQL_AUDITING_CLIENT_TEMPLATE.FAT&amp;display_string=Audit&amp;VAR:KEY=WTGNCLOJSR&amp;VAR:QUERY=Q1NGX0VCSVRfT1BFUihBTk4sMTIvMzEvMTk4MCwxMi8zMS8yMDA5LEFZKQ==&amp;WINDOW=FIRST_POPUP&amp;HEIGH","T=450&amp;WIDTH=450&amp;START_MAXIMIZED=FALSE&amp;VAR:CALENDAR=US&amp;VAR:SYMBOL=CF&amp;VAR:INDEX=6"}</definedName>
    <definedName name="_2679__FDSAUDITLINK__" hidden="1">{"fdsup://directions/FAT Viewer?action=UPDATE&amp;creator=factset&amp;DYN_ARGS=TRUE&amp;DOC_NAME=FAT:FQL_AUDITING_CLIENT_TEMPLATE.FAT&amp;display_string=Audit&amp;VAR:KEY=WTGNCLOJSR&amp;VAR:QUERY=Q1NGX0VCSVRfT1BFUihBTk4sMTIvMzEvMTk4MCwxMi8zMS8yMDA5LEFZKQ==&amp;WINDOW=FIRST_POPUP&amp;HEIGH","T=450&amp;WIDTH=450&amp;START_MAXIMIZED=FALSE&amp;VAR:CALENDAR=US&amp;VAR:SYMBOL=CF&amp;VAR:INDEX=5"}</definedName>
    <definedName name="_268__FDSAUDITLINK__" hidden="1">{"fdsup://directions/FAT Viewer?action=UPDATE&amp;creator=factset&amp;DYN_ARGS=TRUE&amp;DOC_NAME=FAT:FQL_AUDITING_CLIENT_TEMPLATE.FAT&amp;display_string=Audit&amp;VAR:KEY=CNWFMPUVUB&amp;VAR:QUERY=Q1NGX0VCSVRfT1BFUihBTk4sMTIvMzEvODAsMCk=&amp;WINDOW=FIRST_POPUP&amp;HEIGHT=450&amp;WIDTH=450&amp;STAR","T_MAXIMIZED=FALSE&amp;VAR:CALENDAR=US&amp;VAR:SYMBOL=CYT&amp;VAR:INDEX=3"}</definedName>
    <definedName name="_2680__FDSAUDITLINK__" hidden="1">{"fdsup://directions/FAT Viewer?action=UPDATE&amp;creator=factset&amp;DYN_ARGS=TRUE&amp;DOC_NAME=FAT:FQL_AUDITING_CLIENT_TEMPLATE.FAT&amp;display_string=Audit&amp;VAR:KEY=WTGNCLOJSR&amp;VAR:QUERY=Q1NGX0VCSVRfT1BFUihBTk4sMTIvMzEvMTk4MCwxMi8zMS8yMDA5LEFZKQ==&amp;WINDOW=FIRST_POPUP&amp;HEIGH","T=450&amp;WIDTH=450&amp;START_MAXIMIZED=FALSE&amp;VAR:CALENDAR=US&amp;VAR:SYMBOL=CF&amp;VAR:INDEX=4"}</definedName>
    <definedName name="_2681__FDSAUDITLINK__" hidden="1">{"fdsup://directions/FAT Viewer?action=UPDATE&amp;creator=factset&amp;DYN_ARGS=TRUE&amp;DOC_NAME=FAT:FQL_AUDITING_CLIENT_TEMPLATE.FAT&amp;display_string=Audit&amp;VAR:KEY=WTGNCLOJSR&amp;VAR:QUERY=Q1NGX0VCSVRfT1BFUihBTk4sMTIvMzEvMTk4MCwxMi8zMS8yMDA5LEFZKQ==&amp;WINDOW=FIRST_POPUP&amp;HEIGH","T=450&amp;WIDTH=450&amp;START_MAXIMIZED=FALSE&amp;VAR:CALENDAR=US&amp;VAR:SYMBOL=CF&amp;VAR:INDEX=3"}</definedName>
    <definedName name="_2682__FDSAUDITLINK__" hidden="1">{"fdsup://directions/FAT Viewer?action=UPDATE&amp;creator=factset&amp;DYN_ARGS=TRUE&amp;DOC_NAME=FAT:FQL_AUDITING_CLIENT_TEMPLATE.FAT&amp;display_string=Audit&amp;VAR:KEY=WTGNCLOJSR&amp;VAR:QUERY=Q1NGX0VCSVRfT1BFUihBTk4sMTIvMzEvMTk4MCwxMi8zMS8yMDA5LEFZKQ==&amp;WINDOW=FIRST_POPUP&amp;HEIGH","T=450&amp;WIDTH=450&amp;START_MAXIMIZED=FALSE&amp;VAR:CALENDAR=US&amp;VAR:SYMBOL=CF&amp;VAR:INDEX=2"}</definedName>
    <definedName name="_2683__FDSAUDITLINK__" hidden="1">{"fdsup://directions/FAT Viewer?action=UPDATE&amp;creator=factset&amp;DYN_ARGS=TRUE&amp;DOC_NAME=FAT:FQL_AUDITING_CLIENT_TEMPLATE.FAT&amp;display_string=Audit&amp;VAR:KEY=WTGNCLOJSR&amp;VAR:QUERY=Q1NGX0VCSVRfT1BFUihBTk4sMTIvMzEvMTk4MCwxMi8zMS8yMDA5LEFZKQ==&amp;WINDOW=FIRST_POPUP&amp;HEIGH","T=450&amp;WIDTH=450&amp;START_MAXIMIZED=FALSE&amp;VAR:CALENDAR=US&amp;VAR:SYMBOL=CF&amp;VAR:INDEX=1"}</definedName>
    <definedName name="_2684__FDSAUDITLINK__" hidden="1">{"fdsup://directions/FAT Viewer?action=UPDATE&amp;creator=factset&amp;DYN_ARGS=TRUE&amp;DOC_NAME=FAT:FQL_AUDITING_CLIENT_TEMPLATE.FAT&amp;display_string=Audit&amp;VAR:KEY=WTGNCLOJSR&amp;VAR:QUERY=Q1NGX0VCSVRfT1BFUihBTk4sMTIvMzEvMTk4MCwxMi8zMS8yMDA5LEFZKQ==&amp;WINDOW=FIRST_POPUP&amp;HEIGH","T=450&amp;WIDTH=450&amp;START_MAXIMIZED=FALSE&amp;VAR:CALENDAR=US&amp;VAR:SYMBOL=CF&amp;VAR:INDEX=0"}</definedName>
    <definedName name="_2685__FDSAUDITLINK__" hidden="1">{"fdsup://directions/FAT Viewer?action=UPDATE&amp;creator=factset&amp;DYN_ARGS=TRUE&amp;DOC_NAME=FAT:FQL_AUDITING_CLIENT_TEMPLATE.FAT&amp;display_string=Audit&amp;VAR:KEY=NOHKVMDKBO&amp;VAR:QUERY=Q1NGX0VCSVRfT1BFUihMVE1fUiwwKQ==&amp;WINDOW=FIRST_POPUP&amp;HEIGHT=450&amp;WIDTH=450&amp;START_MAXIMI","ZED=FALSE&amp;VAR:CALENDAR=US&amp;VAR:SYMBOL=AVD&amp;VAR:INDEX=0"}</definedName>
    <definedName name="_2686__FDSAUDITLINK__" hidden="1">{"fdsup://directions/FAT Viewer?action=UPDATE&amp;creator=factset&amp;DYN_ARGS=TRUE&amp;DOC_NAME=FAT:FQL_AUDITING_CLIENT_TEMPLATE.FAT&amp;display_string=Audit&amp;VAR:KEY=YHWDILSZUL&amp;VAR:QUERY=Q1NGX0VCSVRfT1BFUihBTk4sMTIvMzEvMTk4MCwxMi8zMS8yMDA5LEFZKQ==&amp;WINDOW=FIRST_POPUP&amp;HEIGH","T=450&amp;WIDTH=450&amp;START_MAXIMIZED=FALSE&amp;VAR:CALENDAR=US&amp;VAR:SYMBOL=AVD&amp;VAR:INDEX=29"}</definedName>
    <definedName name="_2687__FDSAUDITLINK__" hidden="1">{"fdsup://directions/FAT Viewer?action=UPDATE&amp;creator=factset&amp;DYN_ARGS=TRUE&amp;DOC_NAME=FAT:FQL_AUDITING_CLIENT_TEMPLATE.FAT&amp;display_string=Audit&amp;VAR:KEY=YHWDILSZUL&amp;VAR:QUERY=Q1NGX0VCSVRfT1BFUihBTk4sMTIvMzEvMTk4MCwxMi8zMS8yMDA5LEFZKQ==&amp;WINDOW=FIRST_POPUP&amp;HEIGH","T=450&amp;WIDTH=450&amp;START_MAXIMIZED=FALSE&amp;VAR:CALENDAR=US&amp;VAR:SYMBOL=AVD&amp;VAR:INDEX=28"}</definedName>
    <definedName name="_2688__FDSAUDITLINK__" hidden="1">{"fdsup://directions/FAT Viewer?action=UPDATE&amp;creator=factset&amp;DYN_ARGS=TRUE&amp;DOC_NAME=FAT:FQL_AUDITING_CLIENT_TEMPLATE.FAT&amp;display_string=Audit&amp;VAR:KEY=YHWDILSZUL&amp;VAR:QUERY=Q1NGX0VCSVRfT1BFUihBTk4sMTIvMzEvMTk4MCwxMi8zMS8yMDA5LEFZKQ==&amp;WINDOW=FIRST_POPUP&amp;HEIGH","T=450&amp;WIDTH=450&amp;START_MAXIMIZED=FALSE&amp;VAR:CALENDAR=US&amp;VAR:SYMBOL=AVD&amp;VAR:INDEX=27"}</definedName>
    <definedName name="_2689__FDSAUDITLINK__" hidden="1">{"fdsup://directions/FAT Viewer?action=UPDATE&amp;creator=factset&amp;DYN_ARGS=TRUE&amp;DOC_NAME=FAT:FQL_AUDITING_CLIENT_TEMPLATE.FAT&amp;display_string=Audit&amp;VAR:KEY=YHWDILSZUL&amp;VAR:QUERY=Q1NGX0VCSVRfT1BFUihBTk4sMTIvMzEvMTk4MCwxMi8zMS8yMDA5LEFZKQ==&amp;WINDOW=FIRST_POPUP&amp;HEIGH","T=450&amp;WIDTH=450&amp;START_MAXIMIZED=FALSE&amp;VAR:CALENDAR=US&amp;VAR:SYMBOL=AVD&amp;VAR:INDEX=26"}</definedName>
    <definedName name="_269__FDSAUDITLINK__" hidden="1">{"fdsup://directions/FAT Viewer?action=UPDATE&amp;creator=factset&amp;DYN_ARGS=TRUE&amp;DOC_NAME=FAT:FQL_AUDITING_CLIENT_TEMPLATE.FAT&amp;display_string=Audit&amp;VAR:KEY=CNWFMPUVUB&amp;VAR:QUERY=Q1NGX0VCSVRfT1BFUihBTk4sMTIvMzEvODAsMCk=&amp;WINDOW=FIRST_POPUP&amp;HEIGHT=450&amp;WIDTH=450&amp;STAR","T_MAXIMIZED=FALSE&amp;VAR:CALENDAR=US&amp;VAR:SYMBOL=CYT&amp;VAR:INDEX=2"}</definedName>
    <definedName name="_2690__FDSAUDITLINK__" hidden="1">{"fdsup://directions/FAT Viewer?action=UPDATE&amp;creator=factset&amp;DYN_ARGS=TRUE&amp;DOC_NAME=FAT:FQL_AUDITING_CLIENT_TEMPLATE.FAT&amp;display_string=Audit&amp;VAR:KEY=YHWDILSZUL&amp;VAR:QUERY=Q1NGX0VCSVRfT1BFUihBTk4sMTIvMzEvMTk4MCwxMi8zMS8yMDA5LEFZKQ==&amp;WINDOW=FIRST_POPUP&amp;HEIGH","T=450&amp;WIDTH=450&amp;START_MAXIMIZED=FALSE&amp;VAR:CALENDAR=US&amp;VAR:SYMBOL=AVD&amp;VAR:INDEX=25"}</definedName>
    <definedName name="_2691__FDSAUDITLINK__" hidden="1">{"fdsup://directions/FAT Viewer?action=UPDATE&amp;creator=factset&amp;DYN_ARGS=TRUE&amp;DOC_NAME=FAT:FQL_AUDITING_CLIENT_TEMPLATE.FAT&amp;display_string=Audit&amp;VAR:KEY=YHWDILSZUL&amp;VAR:QUERY=Q1NGX0VCSVRfT1BFUihBTk4sMTIvMzEvMTk4MCwxMi8zMS8yMDA5LEFZKQ==&amp;WINDOW=FIRST_POPUP&amp;HEIGH","T=450&amp;WIDTH=450&amp;START_MAXIMIZED=FALSE&amp;VAR:CALENDAR=US&amp;VAR:SYMBOL=AVD&amp;VAR:INDEX=24"}</definedName>
    <definedName name="_2692__FDSAUDITLINK__" hidden="1">{"fdsup://directions/FAT Viewer?action=UPDATE&amp;creator=factset&amp;DYN_ARGS=TRUE&amp;DOC_NAME=FAT:FQL_AUDITING_CLIENT_TEMPLATE.FAT&amp;display_string=Audit&amp;VAR:KEY=YHWDILSZUL&amp;VAR:QUERY=Q1NGX0VCSVRfT1BFUihBTk4sMTIvMzEvMTk4MCwxMi8zMS8yMDA5LEFZKQ==&amp;WINDOW=FIRST_POPUP&amp;HEIGH","T=450&amp;WIDTH=450&amp;START_MAXIMIZED=FALSE&amp;VAR:CALENDAR=US&amp;VAR:SYMBOL=AVD&amp;VAR:INDEX=23"}</definedName>
    <definedName name="_2693__FDSAUDITLINK__" hidden="1">{"fdsup://directions/FAT Viewer?action=UPDATE&amp;creator=factset&amp;DYN_ARGS=TRUE&amp;DOC_NAME=FAT:FQL_AUDITING_CLIENT_TEMPLATE.FAT&amp;display_string=Audit&amp;VAR:KEY=YHWDILSZUL&amp;VAR:QUERY=Q1NGX0VCSVRfT1BFUihBTk4sMTIvMzEvMTk4MCwxMi8zMS8yMDA5LEFZKQ==&amp;WINDOW=FIRST_POPUP&amp;HEIGH","T=450&amp;WIDTH=450&amp;START_MAXIMIZED=FALSE&amp;VAR:CALENDAR=US&amp;VAR:SYMBOL=AVD&amp;VAR:INDEX=22"}</definedName>
    <definedName name="_2694__FDSAUDITLINK__" hidden="1">{"fdsup://directions/FAT Viewer?action=UPDATE&amp;creator=factset&amp;DYN_ARGS=TRUE&amp;DOC_NAME=FAT:FQL_AUDITING_CLIENT_TEMPLATE.FAT&amp;display_string=Audit&amp;VAR:KEY=YHWDILSZUL&amp;VAR:QUERY=Q1NGX0VCSVRfT1BFUihBTk4sMTIvMzEvMTk4MCwxMi8zMS8yMDA5LEFZKQ==&amp;WINDOW=FIRST_POPUP&amp;HEIGH","T=450&amp;WIDTH=450&amp;START_MAXIMIZED=FALSE&amp;VAR:CALENDAR=US&amp;VAR:SYMBOL=AVD&amp;VAR:INDEX=21"}</definedName>
    <definedName name="_2695__FDSAUDITLINK__" hidden="1">{"fdsup://directions/FAT Viewer?action=UPDATE&amp;creator=factset&amp;DYN_ARGS=TRUE&amp;DOC_NAME=FAT:FQL_AUDITING_CLIENT_TEMPLATE.FAT&amp;display_string=Audit&amp;VAR:KEY=YHWDILSZUL&amp;VAR:QUERY=Q1NGX0VCSVRfT1BFUihBTk4sMTIvMzEvMTk4MCwxMi8zMS8yMDA5LEFZKQ==&amp;WINDOW=FIRST_POPUP&amp;HEIGH","T=450&amp;WIDTH=450&amp;START_MAXIMIZED=FALSE&amp;VAR:CALENDAR=US&amp;VAR:SYMBOL=AVD&amp;VAR:INDEX=20"}</definedName>
    <definedName name="_2696__FDSAUDITLINK__" hidden="1">{"fdsup://directions/FAT Viewer?action=UPDATE&amp;creator=factset&amp;DYN_ARGS=TRUE&amp;DOC_NAME=FAT:FQL_AUDITING_CLIENT_TEMPLATE.FAT&amp;display_string=Audit&amp;VAR:KEY=YHWDILSZUL&amp;VAR:QUERY=Q1NGX0VCSVRfT1BFUihBTk4sMTIvMzEvMTk4MCwxMi8zMS8yMDA5LEFZKQ==&amp;WINDOW=FIRST_POPUP&amp;HEIGH","T=450&amp;WIDTH=450&amp;START_MAXIMIZED=FALSE&amp;VAR:CALENDAR=US&amp;VAR:SYMBOL=AVD&amp;VAR:INDEX=19"}</definedName>
    <definedName name="_2697__FDSAUDITLINK__" hidden="1">{"fdsup://directions/FAT Viewer?action=UPDATE&amp;creator=factset&amp;DYN_ARGS=TRUE&amp;DOC_NAME=FAT:FQL_AUDITING_CLIENT_TEMPLATE.FAT&amp;display_string=Audit&amp;VAR:KEY=YHWDILSZUL&amp;VAR:QUERY=Q1NGX0VCSVRfT1BFUihBTk4sMTIvMzEvMTk4MCwxMi8zMS8yMDA5LEFZKQ==&amp;WINDOW=FIRST_POPUP&amp;HEIGH","T=450&amp;WIDTH=450&amp;START_MAXIMIZED=FALSE&amp;VAR:CALENDAR=US&amp;VAR:SYMBOL=AVD&amp;VAR:INDEX=18"}</definedName>
    <definedName name="_2698__FDSAUDITLINK__" hidden="1">{"fdsup://directions/FAT Viewer?action=UPDATE&amp;creator=factset&amp;DYN_ARGS=TRUE&amp;DOC_NAME=FAT:FQL_AUDITING_CLIENT_TEMPLATE.FAT&amp;display_string=Audit&amp;VAR:KEY=YHWDILSZUL&amp;VAR:QUERY=Q1NGX0VCSVRfT1BFUihBTk4sMTIvMzEvMTk4MCwxMi8zMS8yMDA5LEFZKQ==&amp;WINDOW=FIRST_POPUP&amp;HEIGH","T=450&amp;WIDTH=450&amp;START_MAXIMIZED=FALSE&amp;VAR:CALENDAR=US&amp;VAR:SYMBOL=AVD&amp;VAR:INDEX=17"}</definedName>
    <definedName name="_2699__FDSAUDITLINK__" hidden="1">{"fdsup://directions/FAT Viewer?action=UPDATE&amp;creator=factset&amp;DYN_ARGS=TRUE&amp;DOC_NAME=FAT:FQL_AUDITING_CLIENT_TEMPLATE.FAT&amp;display_string=Audit&amp;VAR:KEY=YHWDILSZUL&amp;VAR:QUERY=Q1NGX0VCSVRfT1BFUihBTk4sMTIvMzEvMTk4MCwxMi8zMS8yMDA5LEFZKQ==&amp;WINDOW=FIRST_POPUP&amp;HEIGH","T=450&amp;WIDTH=450&amp;START_MAXIMIZED=FALSE&amp;VAR:CALENDAR=US&amp;VAR:SYMBOL=AVD&amp;VAR:INDEX=16"}</definedName>
    <definedName name="_27__FDSAUDITLINK__" hidden="1">{"fdsup://directions/FAT Viewer?action=UPDATE&amp;creator=factset&amp;DYN_ARGS=TRUE&amp;DOC_NAME=FAT:FQL_AUDITING_CLIENT_TEMPLATE.FAT&amp;display_string=Audit&amp;VAR:KEY=OPCTWNULSL&amp;VAR:QUERY=Q1NGX0dST1NTX0lOQyhRVFJfUiwtM0FZLDAsRlEp&amp;WINDOW=FIRST_POPUP&amp;HEIGHT=450&amp;WIDTH=450&amp;STAR","T_MAXIMIZED=FALSE&amp;VAR:CALENDAR=US&amp;VAR:SYMBOL=PPG&amp;VAR:INDEX=12"}</definedName>
    <definedName name="_270__FDSAUDITLINK__" hidden="1">{"fdsup://directions/FAT Viewer?action=UPDATE&amp;creator=factset&amp;DYN_ARGS=TRUE&amp;DOC_NAME=FAT:FQL_AUDITING_CLIENT_TEMPLATE.FAT&amp;display_string=Audit&amp;VAR:KEY=CNWFMPUVUB&amp;VAR:QUERY=Q1NGX0VCSVRfT1BFUihBTk4sMTIvMzEvODAsMCk=&amp;WINDOW=FIRST_POPUP&amp;HEIGHT=450&amp;WIDTH=450&amp;STAR","T_MAXIMIZED=FALSE&amp;VAR:CALENDAR=US&amp;VAR:SYMBOL=CYT&amp;VAR:INDEX=1"}</definedName>
    <definedName name="_2700__FDSAUDITLINK__" hidden="1">{"fdsup://directions/FAT Viewer?action=UPDATE&amp;creator=factset&amp;DYN_ARGS=TRUE&amp;DOC_NAME=FAT:FQL_AUDITING_CLIENT_TEMPLATE.FAT&amp;display_string=Audit&amp;VAR:KEY=YHWDILSZUL&amp;VAR:QUERY=Q1NGX0VCSVRfT1BFUihBTk4sMTIvMzEvMTk4MCwxMi8zMS8yMDA5LEFZKQ==&amp;WINDOW=FIRST_POPUP&amp;HEIGH","T=450&amp;WIDTH=450&amp;START_MAXIMIZED=FALSE&amp;VAR:CALENDAR=US&amp;VAR:SYMBOL=AVD&amp;VAR:INDEX=15"}</definedName>
    <definedName name="_2701__FDSAUDITLINK__" hidden="1">{"fdsup://directions/FAT Viewer?action=UPDATE&amp;creator=factset&amp;DYN_ARGS=TRUE&amp;DOC_NAME=FAT:FQL_AUDITING_CLIENT_TEMPLATE.FAT&amp;display_string=Audit&amp;VAR:KEY=YHWDILSZUL&amp;VAR:QUERY=Q1NGX0VCSVRfT1BFUihBTk4sMTIvMzEvMTk4MCwxMi8zMS8yMDA5LEFZKQ==&amp;WINDOW=FIRST_POPUP&amp;HEIGH","T=450&amp;WIDTH=450&amp;START_MAXIMIZED=FALSE&amp;VAR:CALENDAR=US&amp;VAR:SYMBOL=AVD&amp;VAR:INDEX=14"}</definedName>
    <definedName name="_2702__FDSAUDITLINK__" hidden="1">{"fdsup://directions/FAT Viewer?action=UPDATE&amp;creator=factset&amp;DYN_ARGS=TRUE&amp;DOC_NAME=FAT:FQL_AUDITING_CLIENT_TEMPLATE.FAT&amp;display_string=Audit&amp;VAR:KEY=YHWDILSZUL&amp;VAR:QUERY=Q1NGX0VCSVRfT1BFUihBTk4sMTIvMzEvMTk4MCwxMi8zMS8yMDA5LEFZKQ==&amp;WINDOW=FIRST_POPUP&amp;HEIGH","T=450&amp;WIDTH=450&amp;START_MAXIMIZED=FALSE&amp;VAR:CALENDAR=US&amp;VAR:SYMBOL=AVD&amp;VAR:INDEX=13"}</definedName>
    <definedName name="_2703__FDSAUDITLINK__" hidden="1">{"fdsup://directions/FAT Viewer?action=UPDATE&amp;creator=factset&amp;DYN_ARGS=TRUE&amp;DOC_NAME=FAT:FQL_AUDITING_CLIENT_TEMPLATE.FAT&amp;display_string=Audit&amp;VAR:KEY=YHWDILSZUL&amp;VAR:QUERY=Q1NGX0VCSVRfT1BFUihBTk4sMTIvMzEvMTk4MCwxMi8zMS8yMDA5LEFZKQ==&amp;WINDOW=FIRST_POPUP&amp;HEIGH","T=450&amp;WIDTH=450&amp;START_MAXIMIZED=FALSE&amp;VAR:CALENDAR=US&amp;VAR:SYMBOL=AVD&amp;VAR:INDEX=12"}</definedName>
    <definedName name="_2704__FDSAUDITLINK__" hidden="1">{"fdsup://directions/FAT Viewer?action=UPDATE&amp;creator=factset&amp;DYN_ARGS=TRUE&amp;DOC_NAME=FAT:FQL_AUDITING_CLIENT_TEMPLATE.FAT&amp;display_string=Audit&amp;VAR:KEY=YHWDILSZUL&amp;VAR:QUERY=Q1NGX0VCSVRfT1BFUihBTk4sMTIvMzEvMTk4MCwxMi8zMS8yMDA5LEFZKQ==&amp;WINDOW=FIRST_POPUP&amp;HEIGH","T=450&amp;WIDTH=450&amp;START_MAXIMIZED=FALSE&amp;VAR:CALENDAR=US&amp;VAR:SYMBOL=AVD&amp;VAR:INDEX=11"}</definedName>
    <definedName name="_2705__FDSAUDITLINK__" hidden="1">{"fdsup://directions/FAT Viewer?action=UPDATE&amp;creator=factset&amp;DYN_ARGS=TRUE&amp;DOC_NAME=FAT:FQL_AUDITING_CLIENT_TEMPLATE.FAT&amp;display_string=Audit&amp;VAR:KEY=YHWDILSZUL&amp;VAR:QUERY=Q1NGX0VCSVRfT1BFUihBTk4sMTIvMzEvMTk4MCwxMi8zMS8yMDA5LEFZKQ==&amp;WINDOW=FIRST_POPUP&amp;HEIGH","T=450&amp;WIDTH=450&amp;START_MAXIMIZED=FALSE&amp;VAR:CALENDAR=US&amp;VAR:SYMBOL=AVD&amp;VAR:INDEX=10"}</definedName>
    <definedName name="_2706__FDSAUDITLINK__" hidden="1">{"fdsup://directions/FAT Viewer?action=UPDATE&amp;creator=factset&amp;DYN_ARGS=TRUE&amp;DOC_NAME=FAT:FQL_AUDITING_CLIENT_TEMPLATE.FAT&amp;display_string=Audit&amp;VAR:KEY=YHWDILSZUL&amp;VAR:QUERY=Q1NGX0VCSVRfT1BFUihBTk4sMTIvMzEvMTk4MCwxMi8zMS8yMDA5LEFZKQ==&amp;WINDOW=FIRST_POPUP&amp;HEIGH","T=450&amp;WIDTH=450&amp;START_MAXIMIZED=FALSE&amp;VAR:CALENDAR=US&amp;VAR:SYMBOL=AVD&amp;VAR:INDEX=9"}</definedName>
    <definedName name="_2707__FDSAUDITLINK__" hidden="1">{"fdsup://directions/FAT Viewer?action=UPDATE&amp;creator=factset&amp;DYN_ARGS=TRUE&amp;DOC_NAME=FAT:FQL_AUDITING_CLIENT_TEMPLATE.FAT&amp;display_string=Audit&amp;VAR:KEY=YHWDILSZUL&amp;VAR:QUERY=Q1NGX0VCSVRfT1BFUihBTk4sMTIvMzEvMTk4MCwxMi8zMS8yMDA5LEFZKQ==&amp;WINDOW=FIRST_POPUP&amp;HEIGH","T=450&amp;WIDTH=450&amp;START_MAXIMIZED=FALSE&amp;VAR:CALENDAR=US&amp;VAR:SYMBOL=AVD&amp;VAR:INDEX=8"}</definedName>
    <definedName name="_2708__FDSAUDITLINK__" hidden="1">{"fdsup://directions/FAT Viewer?action=UPDATE&amp;creator=factset&amp;DYN_ARGS=TRUE&amp;DOC_NAME=FAT:FQL_AUDITING_CLIENT_TEMPLATE.FAT&amp;display_string=Audit&amp;VAR:KEY=YHWDILSZUL&amp;VAR:QUERY=Q1NGX0VCSVRfT1BFUihBTk4sMTIvMzEvMTk4MCwxMi8zMS8yMDA5LEFZKQ==&amp;WINDOW=FIRST_POPUP&amp;HEIGH","T=450&amp;WIDTH=450&amp;START_MAXIMIZED=FALSE&amp;VAR:CALENDAR=US&amp;VAR:SYMBOL=AVD&amp;VAR:INDEX=7"}</definedName>
    <definedName name="_2709__FDSAUDITLINK__" hidden="1">{"fdsup://directions/FAT Viewer?action=UPDATE&amp;creator=factset&amp;DYN_ARGS=TRUE&amp;DOC_NAME=FAT:FQL_AUDITING_CLIENT_TEMPLATE.FAT&amp;display_string=Audit&amp;VAR:KEY=YHWDILSZUL&amp;VAR:QUERY=Q1NGX0VCSVRfT1BFUihBTk4sMTIvMzEvMTk4MCwxMi8zMS8yMDA5LEFZKQ==&amp;WINDOW=FIRST_POPUP&amp;HEIGH","T=450&amp;WIDTH=450&amp;START_MAXIMIZED=FALSE&amp;VAR:CALENDAR=US&amp;VAR:SYMBOL=AVD&amp;VAR:INDEX=6"}</definedName>
    <definedName name="_271__FDSAUDITLINK__" hidden="1">{"fdsup://directions/FAT Viewer?action=UPDATE&amp;creator=factset&amp;DYN_ARGS=TRUE&amp;DOC_NAME=FAT:FQL_AUDITING_CLIENT_TEMPLATE.FAT&amp;display_string=Audit&amp;VAR:KEY=CNWFMPUVUB&amp;VAR:QUERY=Q1NGX0VCSVRfT1BFUihBTk4sMTIvMzEvODAsMCk=&amp;WINDOW=FIRST_POPUP&amp;HEIGHT=450&amp;WIDTH=450&amp;STAR","T_MAXIMIZED=FALSE&amp;VAR:CALENDAR=US&amp;VAR:SYMBOL=CYT&amp;VAR:INDEX=0"}</definedName>
    <definedName name="_2710__FDSAUDITLINK__" hidden="1">{"fdsup://directions/FAT Viewer?action=UPDATE&amp;creator=factset&amp;DYN_ARGS=TRUE&amp;DOC_NAME=FAT:FQL_AUDITING_CLIENT_TEMPLATE.FAT&amp;display_string=Audit&amp;VAR:KEY=YHWDILSZUL&amp;VAR:QUERY=Q1NGX0VCSVRfT1BFUihBTk4sMTIvMzEvMTk4MCwxMi8zMS8yMDA5LEFZKQ==&amp;WINDOW=FIRST_POPUP&amp;HEIGH","T=450&amp;WIDTH=450&amp;START_MAXIMIZED=FALSE&amp;VAR:CALENDAR=US&amp;VAR:SYMBOL=AVD&amp;VAR:INDEX=5"}</definedName>
    <definedName name="_2711__FDSAUDITLINK__" hidden="1">{"fdsup://directions/FAT Viewer?action=UPDATE&amp;creator=factset&amp;DYN_ARGS=TRUE&amp;DOC_NAME=FAT:FQL_AUDITING_CLIENT_TEMPLATE.FAT&amp;display_string=Audit&amp;VAR:KEY=YHWDILSZUL&amp;VAR:QUERY=Q1NGX0VCSVRfT1BFUihBTk4sMTIvMzEvMTk4MCwxMi8zMS8yMDA5LEFZKQ==&amp;WINDOW=FIRST_POPUP&amp;HEIGH","T=450&amp;WIDTH=450&amp;START_MAXIMIZED=FALSE&amp;VAR:CALENDAR=US&amp;VAR:SYMBOL=AVD&amp;VAR:INDEX=4"}</definedName>
    <definedName name="_2712__FDSAUDITLINK__" hidden="1">{"fdsup://directions/FAT Viewer?action=UPDATE&amp;creator=factset&amp;DYN_ARGS=TRUE&amp;DOC_NAME=FAT:FQL_AUDITING_CLIENT_TEMPLATE.FAT&amp;display_string=Audit&amp;VAR:KEY=YHWDILSZUL&amp;VAR:QUERY=Q1NGX0VCSVRfT1BFUihBTk4sMTIvMzEvMTk4MCwxMi8zMS8yMDA5LEFZKQ==&amp;WINDOW=FIRST_POPUP&amp;HEIGH","T=450&amp;WIDTH=450&amp;START_MAXIMIZED=FALSE&amp;VAR:CALENDAR=US&amp;VAR:SYMBOL=AVD&amp;VAR:INDEX=3"}</definedName>
    <definedName name="_2713__FDSAUDITLINK__" hidden="1">{"fdsup://directions/FAT Viewer?action=UPDATE&amp;creator=factset&amp;DYN_ARGS=TRUE&amp;DOC_NAME=FAT:FQL_AUDITING_CLIENT_TEMPLATE.FAT&amp;display_string=Audit&amp;VAR:KEY=YHWDILSZUL&amp;VAR:QUERY=Q1NGX0VCSVRfT1BFUihBTk4sMTIvMzEvMTk4MCwxMi8zMS8yMDA5LEFZKQ==&amp;WINDOW=FIRST_POPUP&amp;HEIGH","T=450&amp;WIDTH=450&amp;START_MAXIMIZED=FALSE&amp;VAR:CALENDAR=US&amp;VAR:SYMBOL=AVD&amp;VAR:INDEX=2"}</definedName>
    <definedName name="_2714__FDSAUDITLINK__" hidden="1">{"fdsup://directions/FAT Viewer?action=UPDATE&amp;creator=factset&amp;DYN_ARGS=TRUE&amp;DOC_NAME=FAT:FQL_AUDITING_CLIENT_TEMPLATE.FAT&amp;display_string=Audit&amp;VAR:KEY=YHWDILSZUL&amp;VAR:QUERY=Q1NGX0VCSVRfT1BFUihBTk4sMTIvMzEvMTk4MCwxMi8zMS8yMDA5LEFZKQ==&amp;WINDOW=FIRST_POPUP&amp;HEIGH","T=450&amp;WIDTH=450&amp;START_MAXIMIZED=FALSE&amp;VAR:CALENDAR=US&amp;VAR:SYMBOL=AVD&amp;VAR:INDEX=1"}</definedName>
    <definedName name="_2715__FDSAUDITLINK__" hidden="1">{"fdsup://directions/FAT Viewer?action=UPDATE&amp;creator=factset&amp;DYN_ARGS=TRUE&amp;DOC_NAME=FAT:FQL_AUDITING_CLIENT_TEMPLATE.FAT&amp;display_string=Audit&amp;VAR:KEY=YHWDILSZUL&amp;VAR:QUERY=Q1NGX0VCSVRfT1BFUihBTk4sMTIvMzEvMTk4MCwxMi8zMS8yMDA5LEFZKQ==&amp;WINDOW=FIRST_POPUP&amp;HEIGH","T=450&amp;WIDTH=450&amp;START_MAXIMIZED=FALSE&amp;VAR:CALENDAR=US&amp;VAR:SYMBOL=AVD&amp;VAR:INDEX=0"}</definedName>
    <definedName name="_2716__FDSAUDITLINK__" hidden="1">{"fdsup://directions/FAT Viewer?action=UPDATE&amp;creator=factset&amp;DYN_ARGS=TRUE&amp;DOC_NAME=FAT:FQL_AUDITING_CLIENT_TEMPLATE.FAT&amp;display_string=Audit&amp;VAR:KEY=ZQJUVCDKDW&amp;VAR:QUERY=Q1NGX0VCSVRfT1BFUihMVE1fUiwwKQ==&amp;WINDOW=FIRST_POPUP&amp;HEIGHT=450&amp;WIDTH=450&amp;START_MAXIMI","ZED=FALSE&amp;VAR:CALENDAR=US&amp;VAR:SYMBOL=AGU&amp;VAR:INDEX=0"}</definedName>
    <definedName name="_2717__FDSAUDITLINK__" hidden="1">{"fdsup://directions/FAT Viewer?action=UPDATE&amp;creator=factset&amp;DYN_ARGS=TRUE&amp;DOC_NAME=FAT:FQL_AUDITING_CLIENT_TEMPLATE.FAT&amp;display_string=Audit&amp;VAR:KEY=EDQXCLWRIV&amp;VAR:QUERY=Q1NGX0VCSVRfT1BFUihBTk4sMTIvMzEvMTk4MCwxMi8zMS8yMDA5LEFZKQ==&amp;WINDOW=FIRST_POPUP&amp;HEIGH","T=450&amp;WIDTH=450&amp;START_MAXIMIZED=FALSE&amp;VAR:CALENDAR=US&amp;VAR:SYMBOL=AGU&amp;VAR:INDEX=29"}</definedName>
    <definedName name="_2718__FDSAUDITLINK__" hidden="1">{"fdsup://directions/FAT Viewer?action=UPDATE&amp;creator=factset&amp;DYN_ARGS=TRUE&amp;DOC_NAME=FAT:FQL_AUDITING_CLIENT_TEMPLATE.FAT&amp;display_string=Audit&amp;VAR:KEY=EDQXCLWRIV&amp;VAR:QUERY=Q1NGX0VCSVRfT1BFUihBTk4sMTIvMzEvMTk4MCwxMi8zMS8yMDA5LEFZKQ==&amp;WINDOW=FIRST_POPUP&amp;HEIGH","T=450&amp;WIDTH=450&amp;START_MAXIMIZED=FALSE&amp;VAR:CALENDAR=US&amp;VAR:SYMBOL=AGU&amp;VAR:INDEX=28"}</definedName>
    <definedName name="_2719__FDSAUDITLINK__" hidden="1">{"fdsup://directions/FAT Viewer?action=UPDATE&amp;creator=factset&amp;DYN_ARGS=TRUE&amp;DOC_NAME=FAT:FQL_AUDITING_CLIENT_TEMPLATE.FAT&amp;display_string=Audit&amp;VAR:KEY=EDQXCLWRIV&amp;VAR:QUERY=Q1NGX0VCSVRfT1BFUihBTk4sMTIvMzEvMTk4MCwxMi8zMS8yMDA5LEFZKQ==&amp;WINDOW=FIRST_POPUP&amp;HEIGH","T=450&amp;WIDTH=450&amp;START_MAXIMIZED=FALSE&amp;VAR:CALENDAR=US&amp;VAR:SYMBOL=AGU&amp;VAR:INDEX=27"}</definedName>
    <definedName name="_272__FDSAUDITLINK__" hidden="1">{"fdsup://directions/FAT Viewer?action=UPDATE&amp;creator=factset&amp;DYN_ARGS=TRUE&amp;DOC_NAME=FAT:FQL_AUDITING_CLIENT_TEMPLATE.FAT&amp;display_string=Audit&amp;VAR:KEY=RWVQFQTCBO&amp;VAR:QUERY=Q1NGX0VCSVRfT1BFUihMVE1fUiwwKQ==&amp;WINDOW=FIRST_POPUP&amp;HEIGHT=450&amp;WIDTH=450&amp;START_MAXIMI","ZED=FALSE&amp;VAR:CALENDAR=US&amp;VAR:SYMBOL=GGC&amp;VAR:INDEX=0"}</definedName>
    <definedName name="_2720__FDSAUDITLINK__" hidden="1">{"fdsup://directions/FAT Viewer?action=UPDATE&amp;creator=factset&amp;DYN_ARGS=TRUE&amp;DOC_NAME=FAT:FQL_AUDITING_CLIENT_TEMPLATE.FAT&amp;display_string=Audit&amp;VAR:KEY=EDQXCLWRIV&amp;VAR:QUERY=Q1NGX0VCSVRfT1BFUihBTk4sMTIvMzEvMTk4MCwxMi8zMS8yMDA5LEFZKQ==&amp;WINDOW=FIRST_POPUP&amp;HEIGH","T=450&amp;WIDTH=450&amp;START_MAXIMIZED=FALSE&amp;VAR:CALENDAR=US&amp;VAR:SYMBOL=AGU&amp;VAR:INDEX=26"}</definedName>
    <definedName name="_2721__FDSAUDITLINK__" hidden="1">{"fdsup://directions/FAT Viewer?action=UPDATE&amp;creator=factset&amp;DYN_ARGS=TRUE&amp;DOC_NAME=FAT:FQL_AUDITING_CLIENT_TEMPLATE.FAT&amp;display_string=Audit&amp;VAR:KEY=EDQXCLWRIV&amp;VAR:QUERY=Q1NGX0VCSVRfT1BFUihBTk4sMTIvMzEvMTk4MCwxMi8zMS8yMDA5LEFZKQ==&amp;WINDOW=FIRST_POPUP&amp;HEIGH","T=450&amp;WIDTH=450&amp;START_MAXIMIZED=FALSE&amp;VAR:CALENDAR=US&amp;VAR:SYMBOL=AGU&amp;VAR:INDEX=25"}</definedName>
    <definedName name="_2722__FDSAUDITLINK__" hidden="1">{"fdsup://directions/FAT Viewer?action=UPDATE&amp;creator=factset&amp;DYN_ARGS=TRUE&amp;DOC_NAME=FAT:FQL_AUDITING_CLIENT_TEMPLATE.FAT&amp;display_string=Audit&amp;VAR:KEY=EDQXCLWRIV&amp;VAR:QUERY=Q1NGX0VCSVRfT1BFUihBTk4sMTIvMzEvMTk4MCwxMi8zMS8yMDA5LEFZKQ==&amp;WINDOW=FIRST_POPUP&amp;HEIGH","T=450&amp;WIDTH=450&amp;START_MAXIMIZED=FALSE&amp;VAR:CALENDAR=US&amp;VAR:SYMBOL=AGU&amp;VAR:INDEX=24"}</definedName>
    <definedName name="_2723__FDSAUDITLINK__" hidden="1">{"fdsup://directions/FAT Viewer?action=UPDATE&amp;creator=factset&amp;DYN_ARGS=TRUE&amp;DOC_NAME=FAT:FQL_AUDITING_CLIENT_TEMPLATE.FAT&amp;display_string=Audit&amp;VAR:KEY=EDQXCLWRIV&amp;VAR:QUERY=Q1NGX0VCSVRfT1BFUihBTk4sMTIvMzEvMTk4MCwxMi8zMS8yMDA5LEFZKQ==&amp;WINDOW=FIRST_POPUP&amp;HEIGH","T=450&amp;WIDTH=450&amp;START_MAXIMIZED=FALSE&amp;VAR:CALENDAR=US&amp;VAR:SYMBOL=AGU&amp;VAR:INDEX=23"}</definedName>
    <definedName name="_2724__FDSAUDITLINK__" hidden="1">{"fdsup://directions/FAT Viewer?action=UPDATE&amp;creator=factset&amp;DYN_ARGS=TRUE&amp;DOC_NAME=FAT:FQL_AUDITING_CLIENT_TEMPLATE.FAT&amp;display_string=Audit&amp;VAR:KEY=EDQXCLWRIV&amp;VAR:QUERY=Q1NGX0VCSVRfT1BFUihBTk4sMTIvMzEvMTk4MCwxMi8zMS8yMDA5LEFZKQ==&amp;WINDOW=FIRST_POPUP&amp;HEIGH","T=450&amp;WIDTH=450&amp;START_MAXIMIZED=FALSE&amp;VAR:CALENDAR=US&amp;VAR:SYMBOL=AGU&amp;VAR:INDEX=22"}</definedName>
    <definedName name="_2725__FDSAUDITLINK__" hidden="1">{"fdsup://directions/FAT Viewer?action=UPDATE&amp;creator=factset&amp;DYN_ARGS=TRUE&amp;DOC_NAME=FAT:FQL_AUDITING_CLIENT_TEMPLATE.FAT&amp;display_string=Audit&amp;VAR:KEY=EDQXCLWRIV&amp;VAR:QUERY=Q1NGX0VCSVRfT1BFUihBTk4sMTIvMzEvMTk4MCwxMi8zMS8yMDA5LEFZKQ==&amp;WINDOW=FIRST_POPUP&amp;HEIGH","T=450&amp;WIDTH=450&amp;START_MAXIMIZED=FALSE&amp;VAR:CALENDAR=US&amp;VAR:SYMBOL=AGU&amp;VAR:INDEX=21"}</definedName>
    <definedName name="_2726__FDSAUDITLINK__" hidden="1">{"fdsup://directions/FAT Viewer?action=UPDATE&amp;creator=factset&amp;DYN_ARGS=TRUE&amp;DOC_NAME=FAT:FQL_AUDITING_CLIENT_TEMPLATE.FAT&amp;display_string=Audit&amp;VAR:KEY=EDQXCLWRIV&amp;VAR:QUERY=Q1NGX0VCSVRfT1BFUihBTk4sMTIvMzEvMTk4MCwxMi8zMS8yMDA5LEFZKQ==&amp;WINDOW=FIRST_POPUP&amp;HEIGH","T=450&amp;WIDTH=450&amp;START_MAXIMIZED=FALSE&amp;VAR:CALENDAR=US&amp;VAR:SYMBOL=AGU&amp;VAR:INDEX=20"}</definedName>
    <definedName name="_2727__FDSAUDITLINK__" hidden="1">{"fdsup://directions/FAT Viewer?action=UPDATE&amp;creator=factset&amp;DYN_ARGS=TRUE&amp;DOC_NAME=FAT:FQL_AUDITING_CLIENT_TEMPLATE.FAT&amp;display_string=Audit&amp;VAR:KEY=EDQXCLWRIV&amp;VAR:QUERY=Q1NGX0VCSVRfT1BFUihBTk4sMTIvMzEvMTk4MCwxMi8zMS8yMDA5LEFZKQ==&amp;WINDOW=FIRST_POPUP&amp;HEIGH","T=450&amp;WIDTH=450&amp;START_MAXIMIZED=FALSE&amp;VAR:CALENDAR=US&amp;VAR:SYMBOL=AGU&amp;VAR:INDEX=19"}</definedName>
    <definedName name="_2728__FDSAUDITLINK__" hidden="1">{"fdsup://directions/FAT Viewer?action=UPDATE&amp;creator=factset&amp;DYN_ARGS=TRUE&amp;DOC_NAME=FAT:FQL_AUDITING_CLIENT_TEMPLATE.FAT&amp;display_string=Audit&amp;VAR:KEY=EDQXCLWRIV&amp;VAR:QUERY=Q1NGX0VCSVRfT1BFUihBTk4sMTIvMzEvMTk4MCwxMi8zMS8yMDA5LEFZKQ==&amp;WINDOW=FIRST_POPUP&amp;HEIGH","T=450&amp;WIDTH=450&amp;START_MAXIMIZED=FALSE&amp;VAR:CALENDAR=US&amp;VAR:SYMBOL=AGU&amp;VAR:INDEX=18"}</definedName>
    <definedName name="_2729__FDSAUDITLINK__" hidden="1">{"fdsup://directions/FAT Viewer?action=UPDATE&amp;creator=factset&amp;DYN_ARGS=TRUE&amp;DOC_NAME=FAT:FQL_AUDITING_CLIENT_TEMPLATE.FAT&amp;display_string=Audit&amp;VAR:KEY=EDQXCLWRIV&amp;VAR:QUERY=Q1NGX0VCSVRfT1BFUihBTk4sMTIvMzEvMTk4MCwxMi8zMS8yMDA5LEFZKQ==&amp;WINDOW=FIRST_POPUP&amp;HEIGH","T=450&amp;WIDTH=450&amp;START_MAXIMIZED=FALSE&amp;VAR:CALENDAR=US&amp;VAR:SYMBOL=AGU&amp;VAR:INDEX=17"}</definedName>
    <definedName name="_273__FDSAUDITLINK__" hidden="1">{"fdsup://directions/FAT Viewer?action=UPDATE&amp;creator=factset&amp;DYN_ARGS=TRUE&amp;DOC_NAME=FAT:FQL_AUDITING_CLIENT_TEMPLATE.FAT&amp;display_string=Audit&amp;VAR:KEY=ADGHCLGJUV&amp;VAR:QUERY=Q1NGX0VCSVRfT1BFUihBTk4sMTIvMzEvODAsMCk=&amp;WINDOW=FIRST_POPUP&amp;HEIGHT=450&amp;WIDTH=450&amp;STAR","T_MAXIMIZED=FALSE&amp;VAR:CALENDAR=US&amp;VAR:SYMBOL=GGC&amp;VAR:INDEX=29"}</definedName>
    <definedName name="_2730__FDSAUDITLINK__" hidden="1">{"fdsup://directions/FAT Viewer?action=UPDATE&amp;creator=factset&amp;DYN_ARGS=TRUE&amp;DOC_NAME=FAT:FQL_AUDITING_CLIENT_TEMPLATE.FAT&amp;display_string=Audit&amp;VAR:KEY=EDQXCLWRIV&amp;VAR:QUERY=Q1NGX0VCSVRfT1BFUihBTk4sMTIvMzEvMTk4MCwxMi8zMS8yMDA5LEFZKQ==&amp;WINDOW=FIRST_POPUP&amp;HEIGH","T=450&amp;WIDTH=450&amp;START_MAXIMIZED=FALSE&amp;VAR:CALENDAR=US&amp;VAR:SYMBOL=AGU&amp;VAR:INDEX=16"}</definedName>
    <definedName name="_2731__FDSAUDITLINK__" hidden="1">{"fdsup://directions/FAT Viewer?action=UPDATE&amp;creator=factset&amp;DYN_ARGS=TRUE&amp;DOC_NAME=FAT:FQL_AUDITING_CLIENT_TEMPLATE.FAT&amp;display_string=Audit&amp;VAR:KEY=EDQXCLWRIV&amp;VAR:QUERY=Q1NGX0VCSVRfT1BFUihBTk4sMTIvMzEvMTk4MCwxMi8zMS8yMDA5LEFZKQ==&amp;WINDOW=FIRST_POPUP&amp;HEIGH","T=450&amp;WIDTH=450&amp;START_MAXIMIZED=FALSE&amp;VAR:CALENDAR=US&amp;VAR:SYMBOL=AGU&amp;VAR:INDEX=15"}</definedName>
    <definedName name="_2732__FDSAUDITLINK__" hidden="1">{"fdsup://directions/FAT Viewer?action=UPDATE&amp;creator=factset&amp;DYN_ARGS=TRUE&amp;DOC_NAME=FAT:FQL_AUDITING_CLIENT_TEMPLATE.FAT&amp;display_string=Audit&amp;VAR:KEY=EDQXCLWRIV&amp;VAR:QUERY=Q1NGX0VCSVRfT1BFUihBTk4sMTIvMzEvMTk4MCwxMi8zMS8yMDA5LEFZKQ==&amp;WINDOW=FIRST_POPUP&amp;HEIGH","T=450&amp;WIDTH=450&amp;START_MAXIMIZED=FALSE&amp;VAR:CALENDAR=US&amp;VAR:SYMBOL=AGU&amp;VAR:INDEX=14"}</definedName>
    <definedName name="_2733__FDSAUDITLINK__" hidden="1">{"fdsup://directions/FAT Viewer?action=UPDATE&amp;creator=factset&amp;DYN_ARGS=TRUE&amp;DOC_NAME=FAT:FQL_AUDITING_CLIENT_TEMPLATE.FAT&amp;display_string=Audit&amp;VAR:KEY=EDQXCLWRIV&amp;VAR:QUERY=Q1NGX0VCSVRfT1BFUihBTk4sMTIvMzEvMTk4MCwxMi8zMS8yMDA5LEFZKQ==&amp;WINDOW=FIRST_POPUP&amp;HEIGH","T=450&amp;WIDTH=450&amp;START_MAXIMIZED=FALSE&amp;VAR:CALENDAR=US&amp;VAR:SYMBOL=AGU&amp;VAR:INDEX=13"}</definedName>
    <definedName name="_2734__FDSAUDITLINK__" hidden="1">{"fdsup://directions/FAT Viewer?action=UPDATE&amp;creator=factset&amp;DYN_ARGS=TRUE&amp;DOC_NAME=FAT:FQL_AUDITING_CLIENT_TEMPLATE.FAT&amp;display_string=Audit&amp;VAR:KEY=EDQXCLWRIV&amp;VAR:QUERY=Q1NGX0VCSVRfT1BFUihBTk4sMTIvMzEvMTk4MCwxMi8zMS8yMDA5LEFZKQ==&amp;WINDOW=FIRST_POPUP&amp;HEIGH","T=450&amp;WIDTH=450&amp;START_MAXIMIZED=FALSE&amp;VAR:CALENDAR=US&amp;VAR:SYMBOL=AGU&amp;VAR:INDEX=12"}</definedName>
    <definedName name="_2735__FDSAUDITLINK__" hidden="1">{"fdsup://directions/FAT Viewer?action=UPDATE&amp;creator=factset&amp;DYN_ARGS=TRUE&amp;DOC_NAME=FAT:FQL_AUDITING_CLIENT_TEMPLATE.FAT&amp;display_string=Audit&amp;VAR:KEY=EDQXCLWRIV&amp;VAR:QUERY=Q1NGX0VCSVRfT1BFUihBTk4sMTIvMzEvMTk4MCwxMi8zMS8yMDA5LEFZKQ==&amp;WINDOW=FIRST_POPUP&amp;HEIGH","T=450&amp;WIDTH=450&amp;START_MAXIMIZED=FALSE&amp;VAR:CALENDAR=US&amp;VAR:SYMBOL=AGU&amp;VAR:INDEX=11"}</definedName>
    <definedName name="_2736__FDSAUDITLINK__" hidden="1">{"fdsup://directions/FAT Viewer?action=UPDATE&amp;creator=factset&amp;DYN_ARGS=TRUE&amp;DOC_NAME=FAT:FQL_AUDITING_CLIENT_TEMPLATE.FAT&amp;display_string=Audit&amp;VAR:KEY=EDQXCLWRIV&amp;VAR:QUERY=Q1NGX0VCSVRfT1BFUihBTk4sMTIvMzEvMTk4MCwxMi8zMS8yMDA5LEFZKQ==&amp;WINDOW=FIRST_POPUP&amp;HEIGH","T=450&amp;WIDTH=450&amp;START_MAXIMIZED=FALSE&amp;VAR:CALENDAR=US&amp;VAR:SYMBOL=AGU&amp;VAR:INDEX=10"}</definedName>
    <definedName name="_2737__FDSAUDITLINK__" hidden="1">{"fdsup://directions/FAT Viewer?action=UPDATE&amp;creator=factset&amp;DYN_ARGS=TRUE&amp;DOC_NAME=FAT:FQL_AUDITING_CLIENT_TEMPLATE.FAT&amp;display_string=Audit&amp;VAR:KEY=EDQXCLWRIV&amp;VAR:QUERY=Q1NGX0VCSVRfT1BFUihBTk4sMTIvMzEvMTk4MCwxMi8zMS8yMDA5LEFZKQ==&amp;WINDOW=FIRST_POPUP&amp;HEIGH","T=450&amp;WIDTH=450&amp;START_MAXIMIZED=FALSE&amp;VAR:CALENDAR=US&amp;VAR:SYMBOL=AGU&amp;VAR:INDEX=9"}</definedName>
    <definedName name="_2738__FDSAUDITLINK__" hidden="1">{"fdsup://directions/FAT Viewer?action=UPDATE&amp;creator=factset&amp;DYN_ARGS=TRUE&amp;DOC_NAME=FAT:FQL_AUDITING_CLIENT_TEMPLATE.FAT&amp;display_string=Audit&amp;VAR:KEY=EDQXCLWRIV&amp;VAR:QUERY=Q1NGX0VCSVRfT1BFUihBTk4sMTIvMzEvMTk4MCwxMi8zMS8yMDA5LEFZKQ==&amp;WINDOW=FIRST_POPUP&amp;HEIGH","T=450&amp;WIDTH=450&amp;START_MAXIMIZED=FALSE&amp;VAR:CALENDAR=US&amp;VAR:SYMBOL=AGU&amp;VAR:INDEX=8"}</definedName>
    <definedName name="_2739__FDSAUDITLINK__" hidden="1">{"fdsup://directions/FAT Viewer?action=UPDATE&amp;creator=factset&amp;DYN_ARGS=TRUE&amp;DOC_NAME=FAT:FQL_AUDITING_CLIENT_TEMPLATE.FAT&amp;display_string=Audit&amp;VAR:KEY=EDQXCLWRIV&amp;VAR:QUERY=Q1NGX0VCSVRfT1BFUihBTk4sMTIvMzEvMTk4MCwxMi8zMS8yMDA5LEFZKQ==&amp;WINDOW=FIRST_POPUP&amp;HEIGH","T=450&amp;WIDTH=450&amp;START_MAXIMIZED=FALSE&amp;VAR:CALENDAR=US&amp;VAR:SYMBOL=AGU&amp;VAR:INDEX=7"}</definedName>
    <definedName name="_274__FDSAUDITLINK__" hidden="1">{"fdsup://directions/FAT Viewer?action=UPDATE&amp;creator=factset&amp;DYN_ARGS=TRUE&amp;DOC_NAME=FAT:FQL_AUDITING_CLIENT_TEMPLATE.FAT&amp;display_string=Audit&amp;VAR:KEY=ADGHCLGJUV&amp;VAR:QUERY=Q1NGX0VCSVRfT1BFUihBTk4sMTIvMzEvODAsMCk=&amp;WINDOW=FIRST_POPUP&amp;HEIGHT=450&amp;WIDTH=450&amp;STAR","T_MAXIMIZED=FALSE&amp;VAR:CALENDAR=US&amp;VAR:SYMBOL=GGC&amp;VAR:INDEX=28"}</definedName>
    <definedName name="_2740__FDSAUDITLINK__" hidden="1">{"fdsup://directions/FAT Viewer?action=UPDATE&amp;creator=factset&amp;DYN_ARGS=TRUE&amp;DOC_NAME=FAT:FQL_AUDITING_CLIENT_TEMPLATE.FAT&amp;display_string=Audit&amp;VAR:KEY=EDQXCLWRIV&amp;VAR:QUERY=Q1NGX0VCSVRfT1BFUihBTk4sMTIvMzEvMTk4MCwxMi8zMS8yMDA5LEFZKQ==&amp;WINDOW=FIRST_POPUP&amp;HEIGH","T=450&amp;WIDTH=450&amp;START_MAXIMIZED=FALSE&amp;VAR:CALENDAR=US&amp;VAR:SYMBOL=AGU&amp;VAR:INDEX=6"}</definedName>
    <definedName name="_2741__FDSAUDITLINK__" hidden="1">{"fdsup://directions/FAT Viewer?action=UPDATE&amp;creator=factset&amp;DYN_ARGS=TRUE&amp;DOC_NAME=FAT:FQL_AUDITING_CLIENT_TEMPLATE.FAT&amp;display_string=Audit&amp;VAR:KEY=EDQXCLWRIV&amp;VAR:QUERY=Q1NGX0VCSVRfT1BFUihBTk4sMTIvMzEvMTk4MCwxMi8zMS8yMDA5LEFZKQ==&amp;WINDOW=FIRST_POPUP&amp;HEIGH","T=450&amp;WIDTH=450&amp;START_MAXIMIZED=FALSE&amp;VAR:CALENDAR=US&amp;VAR:SYMBOL=AGU&amp;VAR:INDEX=5"}</definedName>
    <definedName name="_2742__FDSAUDITLINK__" hidden="1">{"fdsup://directions/FAT Viewer?action=UPDATE&amp;creator=factset&amp;DYN_ARGS=TRUE&amp;DOC_NAME=FAT:FQL_AUDITING_CLIENT_TEMPLATE.FAT&amp;display_string=Audit&amp;VAR:KEY=EDQXCLWRIV&amp;VAR:QUERY=Q1NGX0VCSVRfT1BFUihBTk4sMTIvMzEvMTk4MCwxMi8zMS8yMDA5LEFZKQ==&amp;WINDOW=FIRST_POPUP&amp;HEIGH","T=450&amp;WIDTH=450&amp;START_MAXIMIZED=FALSE&amp;VAR:CALENDAR=US&amp;VAR:SYMBOL=AGU&amp;VAR:INDEX=4"}</definedName>
    <definedName name="_2743__FDSAUDITLINK__" hidden="1">{"fdsup://directions/FAT Viewer?action=UPDATE&amp;creator=factset&amp;DYN_ARGS=TRUE&amp;DOC_NAME=FAT:FQL_AUDITING_CLIENT_TEMPLATE.FAT&amp;display_string=Audit&amp;VAR:KEY=EDQXCLWRIV&amp;VAR:QUERY=Q1NGX0VCSVRfT1BFUihBTk4sMTIvMzEvMTk4MCwxMi8zMS8yMDA5LEFZKQ==&amp;WINDOW=FIRST_POPUP&amp;HEIGH","T=450&amp;WIDTH=450&amp;START_MAXIMIZED=FALSE&amp;VAR:CALENDAR=US&amp;VAR:SYMBOL=AGU&amp;VAR:INDEX=3"}</definedName>
    <definedName name="_2744__FDSAUDITLINK__" hidden="1">{"fdsup://directions/FAT Viewer?action=UPDATE&amp;creator=factset&amp;DYN_ARGS=TRUE&amp;DOC_NAME=FAT:FQL_AUDITING_CLIENT_TEMPLATE.FAT&amp;display_string=Audit&amp;VAR:KEY=EDQXCLWRIV&amp;VAR:QUERY=Q1NGX0VCSVRfT1BFUihBTk4sMTIvMzEvMTk4MCwxMi8zMS8yMDA5LEFZKQ==&amp;WINDOW=FIRST_POPUP&amp;HEIGH","T=450&amp;WIDTH=450&amp;START_MAXIMIZED=FALSE&amp;VAR:CALENDAR=US&amp;VAR:SYMBOL=AGU&amp;VAR:INDEX=2"}</definedName>
    <definedName name="_2745__FDSAUDITLINK__" hidden="1">{"fdsup://directions/FAT Viewer?action=UPDATE&amp;creator=factset&amp;DYN_ARGS=TRUE&amp;DOC_NAME=FAT:FQL_AUDITING_CLIENT_TEMPLATE.FAT&amp;display_string=Audit&amp;VAR:KEY=EDQXCLWRIV&amp;VAR:QUERY=Q1NGX0VCSVRfT1BFUihBTk4sMTIvMzEvMTk4MCwxMi8zMS8yMDA5LEFZKQ==&amp;WINDOW=FIRST_POPUP&amp;HEIGH","T=450&amp;WIDTH=450&amp;START_MAXIMIZED=FALSE&amp;VAR:CALENDAR=US&amp;VAR:SYMBOL=AGU&amp;VAR:INDEX=1"}</definedName>
    <definedName name="_2746__FDSAUDITLINK__" hidden="1">{"fdsup://directions/FAT Viewer?action=UPDATE&amp;creator=factset&amp;DYN_ARGS=TRUE&amp;DOC_NAME=FAT:FQL_AUDITING_CLIENT_TEMPLATE.FAT&amp;display_string=Audit&amp;VAR:KEY=EDQXCLWRIV&amp;VAR:QUERY=Q1NGX0VCSVRfT1BFUihBTk4sMTIvMzEvMTk4MCwxMi8zMS8yMDA5LEFZKQ==&amp;WINDOW=FIRST_POPUP&amp;HEIGH","T=450&amp;WIDTH=450&amp;START_MAXIMIZED=FALSE&amp;VAR:CALENDAR=US&amp;VAR:SYMBOL=AGU&amp;VAR:INDEX=0"}</definedName>
    <definedName name="_2747__FDSAUDITLINK__" hidden="1">{"fdsup://directions/FAT Viewer?action=UPDATE&amp;creator=factset&amp;DYN_ARGS=TRUE&amp;DOC_NAME=FAT:FQL_AUDITING_CLIENT_TEMPLATE.FAT&amp;display_string=Audit&amp;VAR:KEY=ZOPQHKJUTE&amp;VAR:QUERY=Q1NGX0VCSVRfT1BFUihMVE1fUiwwKQ==&amp;WINDOW=FIRST_POPUP&amp;HEIGHT=450&amp;WIDTH=450&amp;START_MAXIMI","ZED=FALSE&amp;VAR:CALENDAR=US&amp;VAR:SYMBOL=WLK&amp;VAR:INDEX=0"}</definedName>
    <definedName name="_2748__FDSAUDITLINK__" hidden="1">{"fdsup://directions/FAT Viewer?action=UPDATE&amp;creator=factset&amp;DYN_ARGS=TRUE&amp;DOC_NAME=FAT:FQL_AUDITING_CLIENT_TEMPLATE.FAT&amp;display_string=Audit&amp;VAR:KEY=GRAVYVQVMN&amp;VAR:QUERY=Q1NGX0VCSVRfT1BFUihBTk4sMTIvMzEvMTk4MCwxMi8zMS8yMDA5LEFZKQ==&amp;WINDOW=FIRST_POPUP&amp;HEIGH","T=450&amp;WIDTH=450&amp;START_MAXIMIZED=FALSE&amp;VAR:CALENDAR=US&amp;VAR:SYMBOL=WLK&amp;VAR:INDEX=29"}</definedName>
    <definedName name="_2749__FDSAUDITLINK__" hidden="1">{"fdsup://directions/FAT Viewer?action=UPDATE&amp;creator=factset&amp;DYN_ARGS=TRUE&amp;DOC_NAME=FAT:FQL_AUDITING_CLIENT_TEMPLATE.FAT&amp;display_string=Audit&amp;VAR:KEY=GRAVYVQVMN&amp;VAR:QUERY=Q1NGX0VCSVRfT1BFUihBTk4sMTIvMzEvMTk4MCwxMi8zMS8yMDA5LEFZKQ==&amp;WINDOW=FIRST_POPUP&amp;HEIGH","T=450&amp;WIDTH=450&amp;START_MAXIMIZED=FALSE&amp;VAR:CALENDAR=US&amp;VAR:SYMBOL=WLK&amp;VAR:INDEX=28"}</definedName>
    <definedName name="_275__FDSAUDITLINK__" hidden="1">{"fdsup://directions/FAT Viewer?action=UPDATE&amp;creator=factset&amp;DYN_ARGS=TRUE&amp;DOC_NAME=FAT:FQL_AUDITING_CLIENT_TEMPLATE.FAT&amp;display_string=Audit&amp;VAR:KEY=ADGHCLGJUV&amp;VAR:QUERY=Q1NGX0VCSVRfT1BFUihBTk4sMTIvMzEvODAsMCk=&amp;WINDOW=FIRST_POPUP&amp;HEIGHT=450&amp;WIDTH=450&amp;STAR","T_MAXIMIZED=FALSE&amp;VAR:CALENDAR=US&amp;VAR:SYMBOL=GGC&amp;VAR:INDEX=27"}</definedName>
    <definedName name="_2750__FDSAUDITLINK__" hidden="1">{"fdsup://directions/FAT Viewer?action=UPDATE&amp;creator=factset&amp;DYN_ARGS=TRUE&amp;DOC_NAME=FAT:FQL_AUDITING_CLIENT_TEMPLATE.FAT&amp;display_string=Audit&amp;VAR:KEY=GRAVYVQVMN&amp;VAR:QUERY=Q1NGX0VCSVRfT1BFUihBTk4sMTIvMzEvMTk4MCwxMi8zMS8yMDA5LEFZKQ==&amp;WINDOW=FIRST_POPUP&amp;HEIGH","T=450&amp;WIDTH=450&amp;START_MAXIMIZED=FALSE&amp;VAR:CALENDAR=US&amp;VAR:SYMBOL=WLK&amp;VAR:INDEX=27"}</definedName>
    <definedName name="_2751__FDSAUDITLINK__" hidden="1">{"fdsup://directions/FAT Viewer?action=UPDATE&amp;creator=factset&amp;DYN_ARGS=TRUE&amp;DOC_NAME=FAT:FQL_AUDITING_CLIENT_TEMPLATE.FAT&amp;display_string=Audit&amp;VAR:KEY=GRAVYVQVMN&amp;VAR:QUERY=Q1NGX0VCSVRfT1BFUihBTk4sMTIvMzEvMTk4MCwxMi8zMS8yMDA5LEFZKQ==&amp;WINDOW=FIRST_POPUP&amp;HEIGH","T=450&amp;WIDTH=450&amp;START_MAXIMIZED=FALSE&amp;VAR:CALENDAR=US&amp;VAR:SYMBOL=WLK&amp;VAR:INDEX=26"}</definedName>
    <definedName name="_2752__FDSAUDITLINK__" hidden="1">{"fdsup://directions/FAT Viewer?action=UPDATE&amp;creator=factset&amp;DYN_ARGS=TRUE&amp;DOC_NAME=FAT:FQL_AUDITING_CLIENT_TEMPLATE.FAT&amp;display_string=Audit&amp;VAR:KEY=GRAVYVQVMN&amp;VAR:QUERY=Q1NGX0VCSVRfT1BFUihBTk4sMTIvMzEvMTk4MCwxMi8zMS8yMDA5LEFZKQ==&amp;WINDOW=FIRST_POPUP&amp;HEIGH","T=450&amp;WIDTH=450&amp;START_MAXIMIZED=FALSE&amp;VAR:CALENDAR=US&amp;VAR:SYMBOL=WLK&amp;VAR:INDEX=25"}</definedName>
    <definedName name="_2753__FDSAUDITLINK__" hidden="1">{"fdsup://directions/FAT Viewer?action=UPDATE&amp;creator=factset&amp;DYN_ARGS=TRUE&amp;DOC_NAME=FAT:FQL_AUDITING_CLIENT_TEMPLATE.FAT&amp;display_string=Audit&amp;VAR:KEY=GRAVYVQVMN&amp;VAR:QUERY=Q1NGX0VCSVRfT1BFUihBTk4sMTIvMzEvMTk4MCwxMi8zMS8yMDA5LEFZKQ==&amp;WINDOW=FIRST_POPUP&amp;HEIGH","T=450&amp;WIDTH=450&amp;START_MAXIMIZED=FALSE&amp;VAR:CALENDAR=US&amp;VAR:SYMBOL=WLK&amp;VAR:INDEX=24"}</definedName>
    <definedName name="_2754__FDSAUDITLINK__" hidden="1">{"fdsup://directions/FAT Viewer?action=UPDATE&amp;creator=factset&amp;DYN_ARGS=TRUE&amp;DOC_NAME=FAT:FQL_AUDITING_CLIENT_TEMPLATE.FAT&amp;display_string=Audit&amp;VAR:KEY=GRAVYVQVMN&amp;VAR:QUERY=Q1NGX0VCSVRfT1BFUihBTk4sMTIvMzEvMTk4MCwxMi8zMS8yMDA5LEFZKQ==&amp;WINDOW=FIRST_POPUP&amp;HEIGH","T=450&amp;WIDTH=450&amp;START_MAXIMIZED=FALSE&amp;VAR:CALENDAR=US&amp;VAR:SYMBOL=WLK&amp;VAR:INDEX=23"}</definedName>
    <definedName name="_2755__FDSAUDITLINK__" hidden="1">{"fdsup://directions/FAT Viewer?action=UPDATE&amp;creator=factset&amp;DYN_ARGS=TRUE&amp;DOC_NAME=FAT:FQL_AUDITING_CLIENT_TEMPLATE.FAT&amp;display_string=Audit&amp;VAR:KEY=GRAVYVQVMN&amp;VAR:QUERY=Q1NGX0VCSVRfT1BFUihBTk4sMTIvMzEvMTk4MCwxMi8zMS8yMDA5LEFZKQ==&amp;WINDOW=FIRST_POPUP&amp;HEIGH","T=450&amp;WIDTH=450&amp;START_MAXIMIZED=FALSE&amp;VAR:CALENDAR=US&amp;VAR:SYMBOL=WLK&amp;VAR:INDEX=22"}</definedName>
    <definedName name="_2756__FDSAUDITLINK__" hidden="1">{"fdsup://directions/FAT Viewer?action=UPDATE&amp;creator=factset&amp;DYN_ARGS=TRUE&amp;DOC_NAME=FAT:FQL_AUDITING_CLIENT_TEMPLATE.FAT&amp;display_string=Audit&amp;VAR:KEY=GRAVYVQVMN&amp;VAR:QUERY=Q1NGX0VCSVRfT1BFUihBTk4sMTIvMzEvMTk4MCwxMi8zMS8yMDA5LEFZKQ==&amp;WINDOW=FIRST_POPUP&amp;HEIGH","T=450&amp;WIDTH=450&amp;START_MAXIMIZED=FALSE&amp;VAR:CALENDAR=US&amp;VAR:SYMBOL=WLK&amp;VAR:INDEX=21"}</definedName>
    <definedName name="_2757__FDSAUDITLINK__" hidden="1">{"fdsup://directions/FAT Viewer?action=UPDATE&amp;creator=factset&amp;DYN_ARGS=TRUE&amp;DOC_NAME=FAT:FQL_AUDITING_CLIENT_TEMPLATE.FAT&amp;display_string=Audit&amp;VAR:KEY=GRAVYVQVMN&amp;VAR:QUERY=Q1NGX0VCSVRfT1BFUihBTk4sMTIvMzEvMTk4MCwxMi8zMS8yMDA5LEFZKQ==&amp;WINDOW=FIRST_POPUP&amp;HEIGH","T=450&amp;WIDTH=450&amp;START_MAXIMIZED=FALSE&amp;VAR:CALENDAR=US&amp;VAR:SYMBOL=WLK&amp;VAR:INDEX=20"}</definedName>
    <definedName name="_2758__FDSAUDITLINK__" hidden="1">{"fdsup://directions/FAT Viewer?action=UPDATE&amp;creator=factset&amp;DYN_ARGS=TRUE&amp;DOC_NAME=FAT:FQL_AUDITING_CLIENT_TEMPLATE.FAT&amp;display_string=Audit&amp;VAR:KEY=GRAVYVQVMN&amp;VAR:QUERY=Q1NGX0VCSVRfT1BFUihBTk4sMTIvMzEvMTk4MCwxMi8zMS8yMDA5LEFZKQ==&amp;WINDOW=FIRST_POPUP&amp;HEIGH","T=450&amp;WIDTH=450&amp;START_MAXIMIZED=FALSE&amp;VAR:CALENDAR=US&amp;VAR:SYMBOL=WLK&amp;VAR:INDEX=19"}</definedName>
    <definedName name="_2759__FDSAUDITLINK__" hidden="1">{"fdsup://directions/FAT Viewer?action=UPDATE&amp;creator=factset&amp;DYN_ARGS=TRUE&amp;DOC_NAME=FAT:FQL_AUDITING_CLIENT_TEMPLATE.FAT&amp;display_string=Audit&amp;VAR:KEY=GRAVYVQVMN&amp;VAR:QUERY=Q1NGX0VCSVRfT1BFUihBTk4sMTIvMzEvMTk4MCwxMi8zMS8yMDA5LEFZKQ==&amp;WINDOW=FIRST_POPUP&amp;HEIGH","T=450&amp;WIDTH=450&amp;START_MAXIMIZED=FALSE&amp;VAR:CALENDAR=US&amp;VAR:SYMBOL=WLK&amp;VAR:INDEX=18"}</definedName>
    <definedName name="_276__FDSAUDITLINK__" hidden="1">{"fdsup://directions/FAT Viewer?action=UPDATE&amp;creator=factset&amp;DYN_ARGS=TRUE&amp;DOC_NAME=FAT:FQL_AUDITING_CLIENT_TEMPLATE.FAT&amp;display_string=Audit&amp;VAR:KEY=ADGHCLGJUV&amp;VAR:QUERY=Q1NGX0VCSVRfT1BFUihBTk4sMTIvMzEvODAsMCk=&amp;WINDOW=FIRST_POPUP&amp;HEIGHT=450&amp;WIDTH=450&amp;STAR","T_MAXIMIZED=FALSE&amp;VAR:CALENDAR=US&amp;VAR:SYMBOL=GGC&amp;VAR:INDEX=26"}</definedName>
    <definedName name="_2760__FDSAUDITLINK__" hidden="1">{"fdsup://directions/FAT Viewer?action=UPDATE&amp;creator=factset&amp;DYN_ARGS=TRUE&amp;DOC_NAME=FAT:FQL_AUDITING_CLIENT_TEMPLATE.FAT&amp;display_string=Audit&amp;VAR:KEY=GRAVYVQVMN&amp;VAR:QUERY=Q1NGX0VCSVRfT1BFUihBTk4sMTIvMzEvMTk4MCwxMi8zMS8yMDA5LEFZKQ==&amp;WINDOW=FIRST_POPUP&amp;HEIGH","T=450&amp;WIDTH=450&amp;START_MAXIMIZED=FALSE&amp;VAR:CALENDAR=US&amp;VAR:SYMBOL=WLK&amp;VAR:INDEX=17"}</definedName>
    <definedName name="_2761__FDSAUDITLINK__" hidden="1">{"fdsup://directions/FAT Viewer?action=UPDATE&amp;creator=factset&amp;DYN_ARGS=TRUE&amp;DOC_NAME=FAT:FQL_AUDITING_CLIENT_TEMPLATE.FAT&amp;display_string=Audit&amp;VAR:KEY=GRAVYVQVMN&amp;VAR:QUERY=Q1NGX0VCSVRfT1BFUihBTk4sMTIvMzEvMTk4MCwxMi8zMS8yMDA5LEFZKQ==&amp;WINDOW=FIRST_POPUP&amp;HEIGH","T=450&amp;WIDTH=450&amp;START_MAXIMIZED=FALSE&amp;VAR:CALENDAR=US&amp;VAR:SYMBOL=WLK&amp;VAR:INDEX=16"}</definedName>
    <definedName name="_2762__FDSAUDITLINK__" hidden="1">{"fdsup://directions/FAT Viewer?action=UPDATE&amp;creator=factset&amp;DYN_ARGS=TRUE&amp;DOC_NAME=FAT:FQL_AUDITING_CLIENT_TEMPLATE.FAT&amp;display_string=Audit&amp;VAR:KEY=GRAVYVQVMN&amp;VAR:QUERY=Q1NGX0VCSVRfT1BFUihBTk4sMTIvMzEvMTk4MCwxMi8zMS8yMDA5LEFZKQ==&amp;WINDOW=FIRST_POPUP&amp;HEIGH","T=450&amp;WIDTH=450&amp;START_MAXIMIZED=FALSE&amp;VAR:CALENDAR=US&amp;VAR:SYMBOL=WLK&amp;VAR:INDEX=15"}</definedName>
    <definedName name="_2763__FDSAUDITLINK__" hidden="1">{"fdsup://directions/FAT Viewer?action=UPDATE&amp;creator=factset&amp;DYN_ARGS=TRUE&amp;DOC_NAME=FAT:FQL_AUDITING_CLIENT_TEMPLATE.FAT&amp;display_string=Audit&amp;VAR:KEY=GRAVYVQVMN&amp;VAR:QUERY=Q1NGX0VCSVRfT1BFUihBTk4sMTIvMzEvMTk4MCwxMi8zMS8yMDA5LEFZKQ==&amp;WINDOW=FIRST_POPUP&amp;HEIGH","T=450&amp;WIDTH=450&amp;START_MAXIMIZED=FALSE&amp;VAR:CALENDAR=US&amp;VAR:SYMBOL=WLK&amp;VAR:INDEX=14"}</definedName>
    <definedName name="_2764__FDSAUDITLINK__" hidden="1">{"fdsup://directions/FAT Viewer?action=UPDATE&amp;creator=factset&amp;DYN_ARGS=TRUE&amp;DOC_NAME=FAT:FQL_AUDITING_CLIENT_TEMPLATE.FAT&amp;display_string=Audit&amp;VAR:KEY=GRAVYVQVMN&amp;VAR:QUERY=Q1NGX0VCSVRfT1BFUihBTk4sMTIvMzEvMTk4MCwxMi8zMS8yMDA5LEFZKQ==&amp;WINDOW=FIRST_POPUP&amp;HEIGH","T=450&amp;WIDTH=450&amp;START_MAXIMIZED=FALSE&amp;VAR:CALENDAR=US&amp;VAR:SYMBOL=WLK&amp;VAR:INDEX=13"}</definedName>
    <definedName name="_2765__FDSAUDITLINK__" hidden="1">{"fdsup://directions/FAT Viewer?action=UPDATE&amp;creator=factset&amp;DYN_ARGS=TRUE&amp;DOC_NAME=FAT:FQL_AUDITING_CLIENT_TEMPLATE.FAT&amp;display_string=Audit&amp;VAR:KEY=GRAVYVQVMN&amp;VAR:QUERY=Q1NGX0VCSVRfT1BFUihBTk4sMTIvMzEvMTk4MCwxMi8zMS8yMDA5LEFZKQ==&amp;WINDOW=FIRST_POPUP&amp;HEIGH","T=450&amp;WIDTH=450&amp;START_MAXIMIZED=FALSE&amp;VAR:CALENDAR=US&amp;VAR:SYMBOL=WLK&amp;VAR:INDEX=12"}</definedName>
    <definedName name="_2766__FDSAUDITLINK__" hidden="1">{"fdsup://directions/FAT Viewer?action=UPDATE&amp;creator=factset&amp;DYN_ARGS=TRUE&amp;DOC_NAME=FAT:FQL_AUDITING_CLIENT_TEMPLATE.FAT&amp;display_string=Audit&amp;VAR:KEY=GRAVYVQVMN&amp;VAR:QUERY=Q1NGX0VCSVRfT1BFUihBTk4sMTIvMzEvMTk4MCwxMi8zMS8yMDA5LEFZKQ==&amp;WINDOW=FIRST_POPUP&amp;HEIGH","T=450&amp;WIDTH=450&amp;START_MAXIMIZED=FALSE&amp;VAR:CALENDAR=US&amp;VAR:SYMBOL=WLK&amp;VAR:INDEX=11"}</definedName>
    <definedName name="_2767__FDSAUDITLINK__" hidden="1">{"fdsup://directions/FAT Viewer?action=UPDATE&amp;creator=factset&amp;DYN_ARGS=TRUE&amp;DOC_NAME=FAT:FQL_AUDITING_CLIENT_TEMPLATE.FAT&amp;display_string=Audit&amp;VAR:KEY=GRAVYVQVMN&amp;VAR:QUERY=Q1NGX0VCSVRfT1BFUihBTk4sMTIvMzEvMTk4MCwxMi8zMS8yMDA5LEFZKQ==&amp;WINDOW=FIRST_POPUP&amp;HEIGH","T=450&amp;WIDTH=450&amp;START_MAXIMIZED=FALSE&amp;VAR:CALENDAR=US&amp;VAR:SYMBOL=WLK&amp;VAR:INDEX=10"}</definedName>
    <definedName name="_2768__FDSAUDITLINK__" hidden="1">{"fdsup://directions/FAT Viewer?action=UPDATE&amp;creator=factset&amp;DYN_ARGS=TRUE&amp;DOC_NAME=FAT:FQL_AUDITING_CLIENT_TEMPLATE.FAT&amp;display_string=Audit&amp;VAR:KEY=GRAVYVQVMN&amp;VAR:QUERY=Q1NGX0VCSVRfT1BFUihBTk4sMTIvMzEvMTk4MCwxMi8zMS8yMDA5LEFZKQ==&amp;WINDOW=FIRST_POPUP&amp;HEIGH","T=450&amp;WIDTH=450&amp;START_MAXIMIZED=FALSE&amp;VAR:CALENDAR=US&amp;VAR:SYMBOL=WLK&amp;VAR:INDEX=9"}</definedName>
    <definedName name="_2769__FDSAUDITLINK__" hidden="1">{"fdsup://directions/FAT Viewer?action=UPDATE&amp;creator=factset&amp;DYN_ARGS=TRUE&amp;DOC_NAME=FAT:FQL_AUDITING_CLIENT_TEMPLATE.FAT&amp;display_string=Audit&amp;VAR:KEY=GRAVYVQVMN&amp;VAR:QUERY=Q1NGX0VCSVRfT1BFUihBTk4sMTIvMzEvMTk4MCwxMi8zMS8yMDA5LEFZKQ==&amp;WINDOW=FIRST_POPUP&amp;HEIGH","T=450&amp;WIDTH=450&amp;START_MAXIMIZED=FALSE&amp;VAR:CALENDAR=US&amp;VAR:SYMBOL=WLK&amp;VAR:INDEX=8"}</definedName>
    <definedName name="_277__FDSAUDITLINK__" hidden="1">{"fdsup://directions/FAT Viewer?action=UPDATE&amp;creator=factset&amp;DYN_ARGS=TRUE&amp;DOC_NAME=FAT:FQL_AUDITING_CLIENT_TEMPLATE.FAT&amp;display_string=Audit&amp;VAR:KEY=ADGHCLGJUV&amp;VAR:QUERY=Q1NGX0VCSVRfT1BFUihBTk4sMTIvMzEvODAsMCk=&amp;WINDOW=FIRST_POPUP&amp;HEIGHT=450&amp;WIDTH=450&amp;STAR","T_MAXIMIZED=FALSE&amp;VAR:CALENDAR=US&amp;VAR:SYMBOL=GGC&amp;VAR:INDEX=25"}</definedName>
    <definedName name="_2770__FDSAUDITLINK__" hidden="1">{"fdsup://directions/FAT Viewer?action=UPDATE&amp;creator=factset&amp;DYN_ARGS=TRUE&amp;DOC_NAME=FAT:FQL_AUDITING_CLIENT_TEMPLATE.FAT&amp;display_string=Audit&amp;VAR:KEY=GRAVYVQVMN&amp;VAR:QUERY=Q1NGX0VCSVRfT1BFUihBTk4sMTIvMzEvMTk4MCwxMi8zMS8yMDA5LEFZKQ==&amp;WINDOW=FIRST_POPUP&amp;HEIGH","T=450&amp;WIDTH=450&amp;START_MAXIMIZED=FALSE&amp;VAR:CALENDAR=US&amp;VAR:SYMBOL=WLK&amp;VAR:INDEX=7"}</definedName>
    <definedName name="_2771__FDSAUDITLINK__" hidden="1">{"fdsup://directions/FAT Viewer?action=UPDATE&amp;creator=factset&amp;DYN_ARGS=TRUE&amp;DOC_NAME=FAT:FQL_AUDITING_CLIENT_TEMPLATE.FAT&amp;display_string=Audit&amp;VAR:KEY=GRAVYVQVMN&amp;VAR:QUERY=Q1NGX0VCSVRfT1BFUihBTk4sMTIvMzEvMTk4MCwxMi8zMS8yMDA5LEFZKQ==&amp;WINDOW=FIRST_POPUP&amp;HEIGH","T=450&amp;WIDTH=450&amp;START_MAXIMIZED=FALSE&amp;VAR:CALENDAR=US&amp;VAR:SYMBOL=WLK&amp;VAR:INDEX=6"}</definedName>
    <definedName name="_2772__FDSAUDITLINK__" hidden="1">{"fdsup://directions/FAT Viewer?action=UPDATE&amp;creator=factset&amp;DYN_ARGS=TRUE&amp;DOC_NAME=FAT:FQL_AUDITING_CLIENT_TEMPLATE.FAT&amp;display_string=Audit&amp;VAR:KEY=GRAVYVQVMN&amp;VAR:QUERY=Q1NGX0VCSVRfT1BFUihBTk4sMTIvMzEvMTk4MCwxMi8zMS8yMDA5LEFZKQ==&amp;WINDOW=FIRST_POPUP&amp;HEIGH","T=450&amp;WIDTH=450&amp;START_MAXIMIZED=FALSE&amp;VAR:CALENDAR=US&amp;VAR:SYMBOL=WLK&amp;VAR:INDEX=5"}</definedName>
    <definedName name="_2773__FDSAUDITLINK__" hidden="1">{"fdsup://directions/FAT Viewer?action=UPDATE&amp;creator=factset&amp;DYN_ARGS=TRUE&amp;DOC_NAME=FAT:FQL_AUDITING_CLIENT_TEMPLATE.FAT&amp;display_string=Audit&amp;VAR:KEY=GRAVYVQVMN&amp;VAR:QUERY=Q1NGX0VCSVRfT1BFUihBTk4sMTIvMzEvMTk4MCwxMi8zMS8yMDA5LEFZKQ==&amp;WINDOW=FIRST_POPUP&amp;HEIGH","T=450&amp;WIDTH=450&amp;START_MAXIMIZED=FALSE&amp;VAR:CALENDAR=US&amp;VAR:SYMBOL=WLK&amp;VAR:INDEX=4"}</definedName>
    <definedName name="_2774__FDSAUDITLINK__" hidden="1">{"fdsup://directions/FAT Viewer?action=UPDATE&amp;creator=factset&amp;DYN_ARGS=TRUE&amp;DOC_NAME=FAT:FQL_AUDITING_CLIENT_TEMPLATE.FAT&amp;display_string=Audit&amp;VAR:KEY=GRAVYVQVMN&amp;VAR:QUERY=Q1NGX0VCSVRfT1BFUihBTk4sMTIvMzEvMTk4MCwxMi8zMS8yMDA5LEFZKQ==&amp;WINDOW=FIRST_POPUP&amp;HEIGH","T=450&amp;WIDTH=450&amp;START_MAXIMIZED=FALSE&amp;VAR:CALENDAR=US&amp;VAR:SYMBOL=WLK&amp;VAR:INDEX=3"}</definedName>
    <definedName name="_2775__FDSAUDITLINK__" hidden="1">{"fdsup://directions/FAT Viewer?action=UPDATE&amp;creator=factset&amp;DYN_ARGS=TRUE&amp;DOC_NAME=FAT:FQL_AUDITING_CLIENT_TEMPLATE.FAT&amp;display_string=Audit&amp;VAR:KEY=GRAVYVQVMN&amp;VAR:QUERY=Q1NGX0VCSVRfT1BFUihBTk4sMTIvMzEvMTk4MCwxMi8zMS8yMDA5LEFZKQ==&amp;WINDOW=FIRST_POPUP&amp;HEIGH","T=450&amp;WIDTH=450&amp;START_MAXIMIZED=FALSE&amp;VAR:CALENDAR=US&amp;VAR:SYMBOL=WLK&amp;VAR:INDEX=2"}</definedName>
    <definedName name="_2776__FDSAUDITLINK__" hidden="1">{"fdsup://directions/FAT Viewer?action=UPDATE&amp;creator=factset&amp;DYN_ARGS=TRUE&amp;DOC_NAME=FAT:FQL_AUDITING_CLIENT_TEMPLATE.FAT&amp;display_string=Audit&amp;VAR:KEY=GRAVYVQVMN&amp;VAR:QUERY=Q1NGX0VCSVRfT1BFUihBTk4sMTIvMzEvMTk4MCwxMi8zMS8yMDA5LEFZKQ==&amp;WINDOW=FIRST_POPUP&amp;HEIGH","T=450&amp;WIDTH=450&amp;START_MAXIMIZED=FALSE&amp;VAR:CALENDAR=US&amp;VAR:SYMBOL=WLK&amp;VAR:INDEX=1"}</definedName>
    <definedName name="_2777__FDSAUDITLINK__" hidden="1">{"fdsup://directions/FAT Viewer?action=UPDATE&amp;creator=factset&amp;DYN_ARGS=TRUE&amp;DOC_NAME=FAT:FQL_AUDITING_CLIENT_TEMPLATE.FAT&amp;display_string=Audit&amp;VAR:KEY=GRAVYVQVMN&amp;VAR:QUERY=Q1NGX0VCSVRfT1BFUihBTk4sMTIvMzEvMTk4MCwxMi8zMS8yMDA5LEFZKQ==&amp;WINDOW=FIRST_POPUP&amp;HEIGH","T=450&amp;WIDTH=450&amp;START_MAXIMIZED=FALSE&amp;VAR:CALENDAR=US&amp;VAR:SYMBOL=WLK&amp;VAR:INDEX=0"}</definedName>
    <definedName name="_2778__FDSAUDITLINK__" hidden="1">{"fdsup://directions/FAT Viewer?action=UPDATE&amp;creator=factset&amp;DYN_ARGS=TRUE&amp;DOC_NAME=FAT:FQL_AUDITING_CLIENT_TEMPLATE.FAT&amp;display_string=Audit&amp;VAR:KEY=ZQBGHCFIZM&amp;VAR:QUERY=Q1NGX0VCSVRfT1BFUihMVE1fUiwwKQ==&amp;WINDOW=FIRST_POPUP&amp;HEIGHT=450&amp;WIDTH=450&amp;START_MAXIMI","ZED=FALSE&amp;VAR:CALENDAR=US&amp;VAR:SYMBOL=SOA&amp;VAR:INDEX=0"}</definedName>
    <definedName name="_2779__FDSAUDITLINK__" hidden="1">{"fdsup://directions/FAT Viewer?action=UPDATE&amp;creator=factset&amp;DYN_ARGS=TRUE&amp;DOC_NAME=FAT:FQL_AUDITING_CLIENT_TEMPLATE.FAT&amp;display_string=Audit&amp;VAR:KEY=KPWDCLSNMR&amp;VAR:QUERY=Q1NGX0VCSVRfT1BFUihBTk4sMTIvMzEvMTk4MCwxMi8zMS8yMDA5LEFZKQ==&amp;WINDOW=FIRST_POPUP&amp;HEIGH","T=450&amp;WIDTH=450&amp;START_MAXIMIZED=FALSE&amp;VAR:CALENDAR=US&amp;VAR:SYMBOL=SOA&amp;VAR:INDEX=29"}</definedName>
    <definedName name="_278__FDSAUDITLINK__" hidden="1">{"fdsup://directions/FAT Viewer?action=UPDATE&amp;creator=factset&amp;DYN_ARGS=TRUE&amp;DOC_NAME=FAT:FQL_AUDITING_CLIENT_TEMPLATE.FAT&amp;display_string=Audit&amp;VAR:KEY=ADGHCLGJUV&amp;VAR:QUERY=Q1NGX0VCSVRfT1BFUihBTk4sMTIvMzEvODAsMCk=&amp;WINDOW=FIRST_POPUP&amp;HEIGHT=450&amp;WIDTH=450&amp;STAR","T_MAXIMIZED=FALSE&amp;VAR:CALENDAR=US&amp;VAR:SYMBOL=GGC&amp;VAR:INDEX=24"}</definedName>
    <definedName name="_2780__FDSAUDITLINK__" hidden="1">{"fdsup://directions/FAT Viewer?action=UPDATE&amp;creator=factset&amp;DYN_ARGS=TRUE&amp;DOC_NAME=FAT:FQL_AUDITING_CLIENT_TEMPLATE.FAT&amp;display_string=Audit&amp;VAR:KEY=KPWDCLSNMR&amp;VAR:QUERY=Q1NGX0VCSVRfT1BFUihBTk4sMTIvMzEvMTk4MCwxMi8zMS8yMDA5LEFZKQ==&amp;WINDOW=FIRST_POPUP&amp;HEIGH","T=450&amp;WIDTH=450&amp;START_MAXIMIZED=FALSE&amp;VAR:CALENDAR=US&amp;VAR:SYMBOL=SOA&amp;VAR:INDEX=28"}</definedName>
    <definedName name="_2781__FDSAUDITLINK__" hidden="1">{"fdsup://directions/FAT Viewer?action=UPDATE&amp;creator=factset&amp;DYN_ARGS=TRUE&amp;DOC_NAME=FAT:FQL_AUDITING_CLIENT_TEMPLATE.FAT&amp;display_string=Audit&amp;VAR:KEY=KPWDCLSNMR&amp;VAR:QUERY=Q1NGX0VCSVRfT1BFUihBTk4sMTIvMzEvMTk4MCwxMi8zMS8yMDA5LEFZKQ==&amp;WINDOW=FIRST_POPUP&amp;HEIGH","T=450&amp;WIDTH=450&amp;START_MAXIMIZED=FALSE&amp;VAR:CALENDAR=US&amp;VAR:SYMBOL=SOA&amp;VAR:INDEX=27"}</definedName>
    <definedName name="_2782__FDSAUDITLINK__" hidden="1">{"fdsup://directions/FAT Viewer?action=UPDATE&amp;creator=factset&amp;DYN_ARGS=TRUE&amp;DOC_NAME=FAT:FQL_AUDITING_CLIENT_TEMPLATE.FAT&amp;display_string=Audit&amp;VAR:KEY=KPWDCLSNMR&amp;VAR:QUERY=Q1NGX0VCSVRfT1BFUihBTk4sMTIvMzEvMTk4MCwxMi8zMS8yMDA5LEFZKQ==&amp;WINDOW=FIRST_POPUP&amp;HEIGH","T=450&amp;WIDTH=450&amp;START_MAXIMIZED=FALSE&amp;VAR:CALENDAR=US&amp;VAR:SYMBOL=SOA&amp;VAR:INDEX=26"}</definedName>
    <definedName name="_2783__FDSAUDITLINK__" hidden="1">{"fdsup://directions/FAT Viewer?action=UPDATE&amp;creator=factset&amp;DYN_ARGS=TRUE&amp;DOC_NAME=FAT:FQL_AUDITING_CLIENT_TEMPLATE.FAT&amp;display_string=Audit&amp;VAR:KEY=KPWDCLSNMR&amp;VAR:QUERY=Q1NGX0VCSVRfT1BFUihBTk4sMTIvMzEvMTk4MCwxMi8zMS8yMDA5LEFZKQ==&amp;WINDOW=FIRST_POPUP&amp;HEIGH","T=450&amp;WIDTH=450&amp;START_MAXIMIZED=FALSE&amp;VAR:CALENDAR=US&amp;VAR:SYMBOL=SOA&amp;VAR:INDEX=25"}</definedName>
    <definedName name="_2784__FDSAUDITLINK__" hidden="1">{"fdsup://directions/FAT Viewer?action=UPDATE&amp;creator=factset&amp;DYN_ARGS=TRUE&amp;DOC_NAME=FAT:FQL_AUDITING_CLIENT_TEMPLATE.FAT&amp;display_string=Audit&amp;VAR:KEY=KPWDCLSNMR&amp;VAR:QUERY=Q1NGX0VCSVRfT1BFUihBTk4sMTIvMzEvMTk4MCwxMi8zMS8yMDA5LEFZKQ==&amp;WINDOW=FIRST_POPUP&amp;HEIGH","T=450&amp;WIDTH=450&amp;START_MAXIMIZED=FALSE&amp;VAR:CALENDAR=US&amp;VAR:SYMBOL=SOA&amp;VAR:INDEX=24"}</definedName>
    <definedName name="_2785__FDSAUDITLINK__" hidden="1">{"fdsup://directions/FAT Viewer?action=UPDATE&amp;creator=factset&amp;DYN_ARGS=TRUE&amp;DOC_NAME=FAT:FQL_AUDITING_CLIENT_TEMPLATE.FAT&amp;display_string=Audit&amp;VAR:KEY=KPWDCLSNMR&amp;VAR:QUERY=Q1NGX0VCSVRfT1BFUihBTk4sMTIvMzEvMTk4MCwxMi8zMS8yMDA5LEFZKQ==&amp;WINDOW=FIRST_POPUP&amp;HEIGH","T=450&amp;WIDTH=450&amp;START_MAXIMIZED=FALSE&amp;VAR:CALENDAR=US&amp;VAR:SYMBOL=SOA&amp;VAR:INDEX=23"}</definedName>
    <definedName name="_2786__FDSAUDITLINK__" hidden="1">{"fdsup://directions/FAT Viewer?action=UPDATE&amp;creator=factset&amp;DYN_ARGS=TRUE&amp;DOC_NAME=FAT:FQL_AUDITING_CLIENT_TEMPLATE.FAT&amp;display_string=Audit&amp;VAR:KEY=KPWDCLSNMR&amp;VAR:QUERY=Q1NGX0VCSVRfT1BFUihBTk4sMTIvMzEvMTk4MCwxMi8zMS8yMDA5LEFZKQ==&amp;WINDOW=FIRST_POPUP&amp;HEIGH","T=450&amp;WIDTH=450&amp;START_MAXIMIZED=FALSE&amp;VAR:CALENDAR=US&amp;VAR:SYMBOL=SOA&amp;VAR:INDEX=22"}</definedName>
    <definedName name="_2787__FDSAUDITLINK__" hidden="1">{"fdsup://directions/FAT Viewer?action=UPDATE&amp;creator=factset&amp;DYN_ARGS=TRUE&amp;DOC_NAME=FAT:FQL_AUDITING_CLIENT_TEMPLATE.FAT&amp;display_string=Audit&amp;VAR:KEY=KPWDCLSNMR&amp;VAR:QUERY=Q1NGX0VCSVRfT1BFUihBTk4sMTIvMzEvMTk4MCwxMi8zMS8yMDA5LEFZKQ==&amp;WINDOW=FIRST_POPUP&amp;HEIGH","T=450&amp;WIDTH=450&amp;START_MAXIMIZED=FALSE&amp;VAR:CALENDAR=US&amp;VAR:SYMBOL=SOA&amp;VAR:INDEX=21"}</definedName>
    <definedName name="_2788__FDSAUDITLINK__" hidden="1">{"fdsup://directions/FAT Viewer?action=UPDATE&amp;creator=factset&amp;DYN_ARGS=TRUE&amp;DOC_NAME=FAT:FQL_AUDITING_CLIENT_TEMPLATE.FAT&amp;display_string=Audit&amp;VAR:KEY=KPWDCLSNMR&amp;VAR:QUERY=Q1NGX0VCSVRfT1BFUihBTk4sMTIvMzEvMTk4MCwxMi8zMS8yMDA5LEFZKQ==&amp;WINDOW=FIRST_POPUP&amp;HEIGH","T=450&amp;WIDTH=450&amp;START_MAXIMIZED=FALSE&amp;VAR:CALENDAR=US&amp;VAR:SYMBOL=SOA&amp;VAR:INDEX=20"}</definedName>
    <definedName name="_2789__FDSAUDITLINK__" hidden="1">{"fdsup://directions/FAT Viewer?action=UPDATE&amp;creator=factset&amp;DYN_ARGS=TRUE&amp;DOC_NAME=FAT:FQL_AUDITING_CLIENT_TEMPLATE.FAT&amp;display_string=Audit&amp;VAR:KEY=KPWDCLSNMR&amp;VAR:QUERY=Q1NGX0VCSVRfT1BFUihBTk4sMTIvMzEvMTk4MCwxMi8zMS8yMDA5LEFZKQ==&amp;WINDOW=FIRST_POPUP&amp;HEIGH","T=450&amp;WIDTH=450&amp;START_MAXIMIZED=FALSE&amp;VAR:CALENDAR=US&amp;VAR:SYMBOL=SOA&amp;VAR:INDEX=19"}</definedName>
    <definedName name="_279__FDSAUDITLINK__" hidden="1">{"fdsup://directions/FAT Viewer?action=UPDATE&amp;creator=factset&amp;DYN_ARGS=TRUE&amp;DOC_NAME=FAT:FQL_AUDITING_CLIENT_TEMPLATE.FAT&amp;display_string=Audit&amp;VAR:KEY=ADGHCLGJUV&amp;VAR:QUERY=Q1NGX0VCSVRfT1BFUihBTk4sMTIvMzEvODAsMCk=&amp;WINDOW=FIRST_POPUP&amp;HEIGHT=450&amp;WIDTH=450&amp;STAR","T_MAXIMIZED=FALSE&amp;VAR:CALENDAR=US&amp;VAR:SYMBOL=GGC&amp;VAR:INDEX=23"}</definedName>
    <definedName name="_2790__FDSAUDITLINK__" hidden="1">{"fdsup://directions/FAT Viewer?action=UPDATE&amp;creator=factset&amp;DYN_ARGS=TRUE&amp;DOC_NAME=FAT:FQL_AUDITING_CLIENT_TEMPLATE.FAT&amp;display_string=Audit&amp;VAR:KEY=KPWDCLSNMR&amp;VAR:QUERY=Q1NGX0VCSVRfT1BFUihBTk4sMTIvMzEvMTk4MCwxMi8zMS8yMDA5LEFZKQ==&amp;WINDOW=FIRST_POPUP&amp;HEIGH","T=450&amp;WIDTH=450&amp;START_MAXIMIZED=FALSE&amp;VAR:CALENDAR=US&amp;VAR:SYMBOL=SOA&amp;VAR:INDEX=18"}</definedName>
    <definedName name="_2791__FDSAUDITLINK__" hidden="1">{"fdsup://directions/FAT Viewer?action=UPDATE&amp;creator=factset&amp;DYN_ARGS=TRUE&amp;DOC_NAME=FAT:FQL_AUDITING_CLIENT_TEMPLATE.FAT&amp;display_string=Audit&amp;VAR:KEY=KPWDCLSNMR&amp;VAR:QUERY=Q1NGX0VCSVRfT1BFUihBTk4sMTIvMzEvMTk4MCwxMi8zMS8yMDA5LEFZKQ==&amp;WINDOW=FIRST_POPUP&amp;HEIGH","T=450&amp;WIDTH=450&amp;START_MAXIMIZED=FALSE&amp;VAR:CALENDAR=US&amp;VAR:SYMBOL=SOA&amp;VAR:INDEX=17"}</definedName>
    <definedName name="_2792__FDSAUDITLINK__" hidden="1">{"fdsup://directions/FAT Viewer?action=UPDATE&amp;creator=factset&amp;DYN_ARGS=TRUE&amp;DOC_NAME=FAT:FQL_AUDITING_CLIENT_TEMPLATE.FAT&amp;display_string=Audit&amp;VAR:KEY=KPWDCLSNMR&amp;VAR:QUERY=Q1NGX0VCSVRfT1BFUihBTk4sMTIvMzEvMTk4MCwxMi8zMS8yMDA5LEFZKQ==&amp;WINDOW=FIRST_POPUP&amp;HEIGH","T=450&amp;WIDTH=450&amp;START_MAXIMIZED=FALSE&amp;VAR:CALENDAR=US&amp;VAR:SYMBOL=SOA&amp;VAR:INDEX=16"}</definedName>
    <definedName name="_2793__FDSAUDITLINK__" hidden="1">{"fdsup://directions/FAT Viewer?action=UPDATE&amp;creator=factset&amp;DYN_ARGS=TRUE&amp;DOC_NAME=FAT:FQL_AUDITING_CLIENT_TEMPLATE.FAT&amp;display_string=Audit&amp;VAR:KEY=KPWDCLSNMR&amp;VAR:QUERY=Q1NGX0VCSVRfT1BFUihBTk4sMTIvMzEvMTk4MCwxMi8zMS8yMDA5LEFZKQ==&amp;WINDOW=FIRST_POPUP&amp;HEIGH","T=450&amp;WIDTH=450&amp;START_MAXIMIZED=FALSE&amp;VAR:CALENDAR=US&amp;VAR:SYMBOL=SOA&amp;VAR:INDEX=15"}</definedName>
    <definedName name="_2794__FDSAUDITLINK__" hidden="1">{"fdsup://directions/FAT Viewer?action=UPDATE&amp;creator=factset&amp;DYN_ARGS=TRUE&amp;DOC_NAME=FAT:FQL_AUDITING_CLIENT_TEMPLATE.FAT&amp;display_string=Audit&amp;VAR:KEY=KPWDCLSNMR&amp;VAR:QUERY=Q1NGX0VCSVRfT1BFUihBTk4sMTIvMzEvMTk4MCwxMi8zMS8yMDA5LEFZKQ==&amp;WINDOW=FIRST_POPUP&amp;HEIGH","T=450&amp;WIDTH=450&amp;START_MAXIMIZED=FALSE&amp;VAR:CALENDAR=US&amp;VAR:SYMBOL=SOA&amp;VAR:INDEX=14"}</definedName>
    <definedName name="_2795__FDSAUDITLINK__" hidden="1">{"fdsup://directions/FAT Viewer?action=UPDATE&amp;creator=factset&amp;DYN_ARGS=TRUE&amp;DOC_NAME=FAT:FQL_AUDITING_CLIENT_TEMPLATE.FAT&amp;display_string=Audit&amp;VAR:KEY=KPWDCLSNMR&amp;VAR:QUERY=Q1NGX0VCSVRfT1BFUihBTk4sMTIvMzEvMTk4MCwxMi8zMS8yMDA5LEFZKQ==&amp;WINDOW=FIRST_POPUP&amp;HEIGH","T=450&amp;WIDTH=450&amp;START_MAXIMIZED=FALSE&amp;VAR:CALENDAR=US&amp;VAR:SYMBOL=SOA&amp;VAR:INDEX=13"}</definedName>
    <definedName name="_2796__FDSAUDITLINK__" hidden="1">{"fdsup://directions/FAT Viewer?action=UPDATE&amp;creator=factset&amp;DYN_ARGS=TRUE&amp;DOC_NAME=FAT:FQL_AUDITING_CLIENT_TEMPLATE.FAT&amp;display_string=Audit&amp;VAR:KEY=KPWDCLSNMR&amp;VAR:QUERY=Q1NGX0VCSVRfT1BFUihBTk4sMTIvMzEvMTk4MCwxMi8zMS8yMDA5LEFZKQ==&amp;WINDOW=FIRST_POPUP&amp;HEIGH","T=450&amp;WIDTH=450&amp;START_MAXIMIZED=FALSE&amp;VAR:CALENDAR=US&amp;VAR:SYMBOL=SOA&amp;VAR:INDEX=12"}</definedName>
    <definedName name="_2797__FDSAUDITLINK__" hidden="1">{"fdsup://directions/FAT Viewer?action=UPDATE&amp;creator=factset&amp;DYN_ARGS=TRUE&amp;DOC_NAME=FAT:FQL_AUDITING_CLIENT_TEMPLATE.FAT&amp;display_string=Audit&amp;VAR:KEY=KPWDCLSNMR&amp;VAR:QUERY=Q1NGX0VCSVRfT1BFUihBTk4sMTIvMzEvMTk4MCwxMi8zMS8yMDA5LEFZKQ==&amp;WINDOW=FIRST_POPUP&amp;HEIGH","T=450&amp;WIDTH=450&amp;START_MAXIMIZED=FALSE&amp;VAR:CALENDAR=US&amp;VAR:SYMBOL=SOA&amp;VAR:INDEX=11"}</definedName>
    <definedName name="_2798__FDSAUDITLINK__" hidden="1">{"fdsup://directions/FAT Viewer?action=UPDATE&amp;creator=factset&amp;DYN_ARGS=TRUE&amp;DOC_NAME=FAT:FQL_AUDITING_CLIENT_TEMPLATE.FAT&amp;display_string=Audit&amp;VAR:KEY=KPWDCLSNMR&amp;VAR:QUERY=Q1NGX0VCSVRfT1BFUihBTk4sMTIvMzEvMTk4MCwxMi8zMS8yMDA5LEFZKQ==&amp;WINDOW=FIRST_POPUP&amp;HEIGH","T=450&amp;WIDTH=450&amp;START_MAXIMIZED=FALSE&amp;VAR:CALENDAR=US&amp;VAR:SYMBOL=SOA&amp;VAR:INDEX=10"}</definedName>
    <definedName name="_2799__FDSAUDITLINK__" hidden="1">{"fdsup://directions/FAT Viewer?action=UPDATE&amp;creator=factset&amp;DYN_ARGS=TRUE&amp;DOC_NAME=FAT:FQL_AUDITING_CLIENT_TEMPLATE.FAT&amp;display_string=Audit&amp;VAR:KEY=KPWDCLSNMR&amp;VAR:QUERY=Q1NGX0VCSVRfT1BFUihBTk4sMTIvMzEvMTk4MCwxMi8zMS8yMDA5LEFZKQ==&amp;WINDOW=FIRST_POPUP&amp;HEIGH","T=450&amp;WIDTH=450&amp;START_MAXIMIZED=FALSE&amp;VAR:CALENDAR=US&amp;VAR:SYMBOL=SOA&amp;VAR:INDEX=9"}</definedName>
    <definedName name="_28__FDSAUDITLINK__" hidden="1">{"fdsup://directions/FAT Viewer?action=UPDATE&amp;creator=factset&amp;DYN_ARGS=TRUE&amp;DOC_NAME=FAT:FQL_AUDITING_CLIENT_TEMPLATE.FAT&amp;display_string=Audit&amp;VAR:KEY=ABOJIVKTSP&amp;VAR:QUERY=Q1NGX0VCSVREQV9PUEVSKEFOTiwtMSk=&amp;WINDOW=FIRST_POPUP&amp;HEIGHT=450&amp;WIDTH=450&amp;START_MAXIMI","ZED=FALSE&amp;VAR:CALENDAR=US&amp;VAR:SYMBOL=CYT&amp;VAR:INDEX=0"}</definedName>
    <definedName name="_280__FDSAUDITLINK__" hidden="1">{"fdsup://directions/FAT Viewer?action=UPDATE&amp;creator=factset&amp;DYN_ARGS=TRUE&amp;DOC_NAME=FAT:FQL_AUDITING_CLIENT_TEMPLATE.FAT&amp;display_string=Audit&amp;VAR:KEY=ADGHCLGJUV&amp;VAR:QUERY=Q1NGX0VCSVRfT1BFUihBTk4sMTIvMzEvODAsMCk=&amp;WINDOW=FIRST_POPUP&amp;HEIGHT=450&amp;WIDTH=450&amp;STAR","T_MAXIMIZED=FALSE&amp;VAR:CALENDAR=US&amp;VAR:SYMBOL=GGC&amp;VAR:INDEX=22"}</definedName>
    <definedName name="_2800__FDSAUDITLINK__" hidden="1">{"fdsup://directions/FAT Viewer?action=UPDATE&amp;creator=factset&amp;DYN_ARGS=TRUE&amp;DOC_NAME=FAT:FQL_AUDITING_CLIENT_TEMPLATE.FAT&amp;display_string=Audit&amp;VAR:KEY=KPWDCLSNMR&amp;VAR:QUERY=Q1NGX0VCSVRfT1BFUihBTk4sMTIvMzEvMTk4MCwxMi8zMS8yMDA5LEFZKQ==&amp;WINDOW=FIRST_POPUP&amp;HEIGH","T=450&amp;WIDTH=450&amp;START_MAXIMIZED=FALSE&amp;VAR:CALENDAR=US&amp;VAR:SYMBOL=SOA&amp;VAR:INDEX=8"}</definedName>
    <definedName name="_2801__FDSAUDITLINK__" hidden="1">{"fdsup://directions/FAT Viewer?action=UPDATE&amp;creator=factset&amp;DYN_ARGS=TRUE&amp;DOC_NAME=FAT:FQL_AUDITING_CLIENT_TEMPLATE.FAT&amp;display_string=Audit&amp;VAR:KEY=KPWDCLSNMR&amp;VAR:QUERY=Q1NGX0VCSVRfT1BFUihBTk4sMTIvMzEvMTk4MCwxMi8zMS8yMDA5LEFZKQ==&amp;WINDOW=FIRST_POPUP&amp;HEIGH","T=450&amp;WIDTH=450&amp;START_MAXIMIZED=FALSE&amp;VAR:CALENDAR=US&amp;VAR:SYMBOL=SOA&amp;VAR:INDEX=7"}</definedName>
    <definedName name="_2802__FDSAUDITLINK__" hidden="1">{"fdsup://directions/FAT Viewer?action=UPDATE&amp;creator=factset&amp;DYN_ARGS=TRUE&amp;DOC_NAME=FAT:FQL_AUDITING_CLIENT_TEMPLATE.FAT&amp;display_string=Audit&amp;VAR:KEY=KPWDCLSNMR&amp;VAR:QUERY=Q1NGX0VCSVRfT1BFUihBTk4sMTIvMzEvMTk4MCwxMi8zMS8yMDA5LEFZKQ==&amp;WINDOW=FIRST_POPUP&amp;HEIGH","T=450&amp;WIDTH=450&amp;START_MAXIMIZED=FALSE&amp;VAR:CALENDAR=US&amp;VAR:SYMBOL=SOA&amp;VAR:INDEX=6"}</definedName>
    <definedName name="_2803__FDSAUDITLINK__" hidden="1">{"fdsup://directions/FAT Viewer?action=UPDATE&amp;creator=factset&amp;DYN_ARGS=TRUE&amp;DOC_NAME=FAT:FQL_AUDITING_CLIENT_TEMPLATE.FAT&amp;display_string=Audit&amp;VAR:KEY=KPWDCLSNMR&amp;VAR:QUERY=Q1NGX0VCSVRfT1BFUihBTk4sMTIvMzEvMTk4MCwxMi8zMS8yMDA5LEFZKQ==&amp;WINDOW=FIRST_POPUP&amp;HEIGH","T=450&amp;WIDTH=450&amp;START_MAXIMIZED=FALSE&amp;VAR:CALENDAR=US&amp;VAR:SYMBOL=SOA&amp;VAR:INDEX=5"}</definedName>
    <definedName name="_2804__FDSAUDITLINK__" hidden="1">{"fdsup://directions/FAT Viewer?action=UPDATE&amp;creator=factset&amp;DYN_ARGS=TRUE&amp;DOC_NAME=FAT:FQL_AUDITING_CLIENT_TEMPLATE.FAT&amp;display_string=Audit&amp;VAR:KEY=KPWDCLSNMR&amp;VAR:QUERY=Q1NGX0VCSVRfT1BFUihBTk4sMTIvMzEvMTk4MCwxMi8zMS8yMDA5LEFZKQ==&amp;WINDOW=FIRST_POPUP&amp;HEIGH","T=450&amp;WIDTH=450&amp;START_MAXIMIZED=FALSE&amp;VAR:CALENDAR=US&amp;VAR:SYMBOL=SOA&amp;VAR:INDEX=4"}</definedName>
    <definedName name="_2805__FDSAUDITLINK__" hidden="1">{"fdsup://directions/FAT Viewer?action=UPDATE&amp;creator=factset&amp;DYN_ARGS=TRUE&amp;DOC_NAME=FAT:FQL_AUDITING_CLIENT_TEMPLATE.FAT&amp;display_string=Audit&amp;VAR:KEY=KPWDCLSNMR&amp;VAR:QUERY=Q1NGX0VCSVRfT1BFUihBTk4sMTIvMzEvMTk4MCwxMi8zMS8yMDA5LEFZKQ==&amp;WINDOW=FIRST_POPUP&amp;HEIGH","T=450&amp;WIDTH=450&amp;START_MAXIMIZED=FALSE&amp;VAR:CALENDAR=US&amp;VAR:SYMBOL=SOA&amp;VAR:INDEX=3"}</definedName>
    <definedName name="_2806__FDSAUDITLINK__" hidden="1">{"fdsup://directions/FAT Viewer?action=UPDATE&amp;creator=factset&amp;DYN_ARGS=TRUE&amp;DOC_NAME=FAT:FQL_AUDITING_CLIENT_TEMPLATE.FAT&amp;display_string=Audit&amp;VAR:KEY=KPWDCLSNMR&amp;VAR:QUERY=Q1NGX0VCSVRfT1BFUihBTk4sMTIvMzEvMTk4MCwxMi8zMS8yMDA5LEFZKQ==&amp;WINDOW=FIRST_POPUP&amp;HEIGH","T=450&amp;WIDTH=450&amp;START_MAXIMIZED=FALSE&amp;VAR:CALENDAR=US&amp;VAR:SYMBOL=SOA&amp;VAR:INDEX=2"}</definedName>
    <definedName name="_2807__FDSAUDITLINK__" hidden="1">{"fdsup://directions/FAT Viewer?action=UPDATE&amp;creator=factset&amp;DYN_ARGS=TRUE&amp;DOC_NAME=FAT:FQL_AUDITING_CLIENT_TEMPLATE.FAT&amp;display_string=Audit&amp;VAR:KEY=KPWDCLSNMR&amp;VAR:QUERY=Q1NGX0VCSVRfT1BFUihBTk4sMTIvMzEvMTk4MCwxMi8zMS8yMDA5LEFZKQ==&amp;WINDOW=FIRST_POPUP&amp;HEIGH","T=450&amp;WIDTH=450&amp;START_MAXIMIZED=FALSE&amp;VAR:CALENDAR=US&amp;VAR:SYMBOL=SOA&amp;VAR:INDEX=1"}</definedName>
    <definedName name="_2808__FDSAUDITLINK__" hidden="1">{"fdsup://directions/FAT Viewer?action=UPDATE&amp;creator=factset&amp;DYN_ARGS=TRUE&amp;DOC_NAME=FAT:FQL_AUDITING_CLIENT_TEMPLATE.FAT&amp;display_string=Audit&amp;VAR:KEY=KPWDCLSNMR&amp;VAR:QUERY=Q1NGX0VCSVRfT1BFUihBTk4sMTIvMzEvMTk4MCwxMi8zMS8yMDA5LEFZKQ==&amp;WINDOW=FIRST_POPUP&amp;HEIGH","T=450&amp;WIDTH=450&amp;START_MAXIMIZED=FALSE&amp;VAR:CALENDAR=US&amp;VAR:SYMBOL=SOA&amp;VAR:INDEX=0"}</definedName>
    <definedName name="_2809__FDSAUDITLINK__" hidden="1">{"fdsup://directions/FAT Viewer?action=UPDATE&amp;creator=factset&amp;DYN_ARGS=TRUE&amp;DOC_NAME=FAT:FQL_AUDITING_CLIENT_TEMPLATE.FAT&amp;display_string=Audit&amp;VAR:KEY=BMFCNWJIFW&amp;VAR:QUERY=Q1NGX0VCSVRfT1BFUihMVE1fUiwwKQ==&amp;WINDOW=FIRST_POPUP&amp;HEIGHT=450&amp;WIDTH=450&amp;START_MAXIMI","ZED=FALSE&amp;VAR:CALENDAR=US&amp;VAR:SYMBOL=OLN&amp;VAR:INDEX=0"}</definedName>
    <definedName name="_281__FDSAUDITLINK__" hidden="1">{"fdsup://directions/FAT Viewer?action=UPDATE&amp;creator=factset&amp;DYN_ARGS=TRUE&amp;DOC_NAME=FAT:FQL_AUDITING_CLIENT_TEMPLATE.FAT&amp;display_string=Audit&amp;VAR:KEY=ADGHCLGJUV&amp;VAR:QUERY=Q1NGX0VCSVRfT1BFUihBTk4sMTIvMzEvODAsMCk=&amp;WINDOW=FIRST_POPUP&amp;HEIGHT=450&amp;WIDTH=450&amp;STAR","T_MAXIMIZED=FALSE&amp;VAR:CALENDAR=US&amp;VAR:SYMBOL=GGC&amp;VAR:INDEX=21"}</definedName>
    <definedName name="_2810__FDSAUDITLINK__" hidden="1">{"fdsup://directions/FAT Viewer?action=UPDATE&amp;creator=factset&amp;DYN_ARGS=TRUE&amp;DOC_NAME=FAT:FQL_AUDITING_CLIENT_TEMPLATE.FAT&amp;display_string=Audit&amp;VAR:KEY=SDYFIFCNAV&amp;VAR:QUERY=Q1NGX0VCSVRfT1BFUihBTk4sMTIvMzEvMTk4MCwxMi8zMS8yMDA5LEFZKQ==&amp;WINDOW=FIRST_POPUP&amp;HEIGH","T=450&amp;WIDTH=450&amp;START_MAXIMIZED=FALSE&amp;VAR:CALENDAR=US&amp;VAR:SYMBOL=OLN&amp;VAR:INDEX=29"}</definedName>
    <definedName name="_2811__FDSAUDITLINK__" hidden="1">{"fdsup://directions/FAT Viewer?action=UPDATE&amp;creator=factset&amp;DYN_ARGS=TRUE&amp;DOC_NAME=FAT:FQL_AUDITING_CLIENT_TEMPLATE.FAT&amp;display_string=Audit&amp;VAR:KEY=SDYFIFCNAV&amp;VAR:QUERY=Q1NGX0VCSVRfT1BFUihBTk4sMTIvMzEvMTk4MCwxMi8zMS8yMDA5LEFZKQ==&amp;WINDOW=FIRST_POPUP&amp;HEIGH","T=450&amp;WIDTH=450&amp;START_MAXIMIZED=FALSE&amp;VAR:CALENDAR=US&amp;VAR:SYMBOL=OLN&amp;VAR:INDEX=28"}</definedName>
    <definedName name="_2812__FDSAUDITLINK__" hidden="1">{"fdsup://directions/FAT Viewer?action=UPDATE&amp;creator=factset&amp;DYN_ARGS=TRUE&amp;DOC_NAME=FAT:FQL_AUDITING_CLIENT_TEMPLATE.FAT&amp;display_string=Audit&amp;VAR:KEY=SDYFIFCNAV&amp;VAR:QUERY=Q1NGX0VCSVRfT1BFUihBTk4sMTIvMzEvMTk4MCwxMi8zMS8yMDA5LEFZKQ==&amp;WINDOW=FIRST_POPUP&amp;HEIGH","T=450&amp;WIDTH=450&amp;START_MAXIMIZED=FALSE&amp;VAR:CALENDAR=US&amp;VAR:SYMBOL=OLN&amp;VAR:INDEX=27"}</definedName>
    <definedName name="_2813__FDSAUDITLINK__" hidden="1">{"fdsup://directions/FAT Viewer?action=UPDATE&amp;creator=factset&amp;DYN_ARGS=TRUE&amp;DOC_NAME=FAT:FQL_AUDITING_CLIENT_TEMPLATE.FAT&amp;display_string=Audit&amp;VAR:KEY=SDYFIFCNAV&amp;VAR:QUERY=Q1NGX0VCSVRfT1BFUihBTk4sMTIvMzEvMTk4MCwxMi8zMS8yMDA5LEFZKQ==&amp;WINDOW=FIRST_POPUP&amp;HEIGH","T=450&amp;WIDTH=450&amp;START_MAXIMIZED=FALSE&amp;VAR:CALENDAR=US&amp;VAR:SYMBOL=OLN&amp;VAR:INDEX=26"}</definedName>
    <definedName name="_2814__FDSAUDITLINK__" hidden="1">{"fdsup://directions/FAT Viewer?action=UPDATE&amp;creator=factset&amp;DYN_ARGS=TRUE&amp;DOC_NAME=FAT:FQL_AUDITING_CLIENT_TEMPLATE.FAT&amp;display_string=Audit&amp;VAR:KEY=SDYFIFCNAV&amp;VAR:QUERY=Q1NGX0VCSVRfT1BFUihBTk4sMTIvMzEvMTk4MCwxMi8zMS8yMDA5LEFZKQ==&amp;WINDOW=FIRST_POPUP&amp;HEIGH","T=450&amp;WIDTH=450&amp;START_MAXIMIZED=FALSE&amp;VAR:CALENDAR=US&amp;VAR:SYMBOL=OLN&amp;VAR:INDEX=25"}</definedName>
    <definedName name="_2815__FDSAUDITLINK__" hidden="1">{"fdsup://directions/FAT Viewer?action=UPDATE&amp;creator=factset&amp;DYN_ARGS=TRUE&amp;DOC_NAME=FAT:FQL_AUDITING_CLIENT_TEMPLATE.FAT&amp;display_string=Audit&amp;VAR:KEY=SDYFIFCNAV&amp;VAR:QUERY=Q1NGX0VCSVRfT1BFUihBTk4sMTIvMzEvMTk4MCwxMi8zMS8yMDA5LEFZKQ==&amp;WINDOW=FIRST_POPUP&amp;HEIGH","T=450&amp;WIDTH=450&amp;START_MAXIMIZED=FALSE&amp;VAR:CALENDAR=US&amp;VAR:SYMBOL=OLN&amp;VAR:INDEX=24"}</definedName>
    <definedName name="_2816__FDSAUDITLINK__" hidden="1">{"fdsup://directions/FAT Viewer?action=UPDATE&amp;creator=factset&amp;DYN_ARGS=TRUE&amp;DOC_NAME=FAT:FQL_AUDITING_CLIENT_TEMPLATE.FAT&amp;display_string=Audit&amp;VAR:KEY=SDYFIFCNAV&amp;VAR:QUERY=Q1NGX0VCSVRfT1BFUihBTk4sMTIvMzEvMTk4MCwxMi8zMS8yMDA5LEFZKQ==&amp;WINDOW=FIRST_POPUP&amp;HEIGH","T=450&amp;WIDTH=450&amp;START_MAXIMIZED=FALSE&amp;VAR:CALENDAR=US&amp;VAR:SYMBOL=OLN&amp;VAR:INDEX=23"}</definedName>
    <definedName name="_2817__FDSAUDITLINK__" hidden="1">{"fdsup://directions/FAT Viewer?action=UPDATE&amp;creator=factset&amp;DYN_ARGS=TRUE&amp;DOC_NAME=FAT:FQL_AUDITING_CLIENT_TEMPLATE.FAT&amp;display_string=Audit&amp;VAR:KEY=SDYFIFCNAV&amp;VAR:QUERY=Q1NGX0VCSVRfT1BFUihBTk4sMTIvMzEvMTk4MCwxMi8zMS8yMDA5LEFZKQ==&amp;WINDOW=FIRST_POPUP&amp;HEIGH","T=450&amp;WIDTH=450&amp;START_MAXIMIZED=FALSE&amp;VAR:CALENDAR=US&amp;VAR:SYMBOL=OLN&amp;VAR:INDEX=22"}</definedName>
    <definedName name="_2818__FDSAUDITLINK__" hidden="1">{"fdsup://directions/FAT Viewer?action=UPDATE&amp;creator=factset&amp;DYN_ARGS=TRUE&amp;DOC_NAME=FAT:FQL_AUDITING_CLIENT_TEMPLATE.FAT&amp;display_string=Audit&amp;VAR:KEY=SDYFIFCNAV&amp;VAR:QUERY=Q1NGX0VCSVRfT1BFUihBTk4sMTIvMzEvMTk4MCwxMi8zMS8yMDA5LEFZKQ==&amp;WINDOW=FIRST_POPUP&amp;HEIGH","T=450&amp;WIDTH=450&amp;START_MAXIMIZED=FALSE&amp;VAR:CALENDAR=US&amp;VAR:SYMBOL=OLN&amp;VAR:INDEX=21"}</definedName>
    <definedName name="_2819__FDSAUDITLINK__" hidden="1">{"fdsup://directions/FAT Viewer?action=UPDATE&amp;creator=factset&amp;DYN_ARGS=TRUE&amp;DOC_NAME=FAT:FQL_AUDITING_CLIENT_TEMPLATE.FAT&amp;display_string=Audit&amp;VAR:KEY=SDYFIFCNAV&amp;VAR:QUERY=Q1NGX0VCSVRfT1BFUihBTk4sMTIvMzEvMTk4MCwxMi8zMS8yMDA5LEFZKQ==&amp;WINDOW=FIRST_POPUP&amp;HEIGH","T=450&amp;WIDTH=450&amp;START_MAXIMIZED=FALSE&amp;VAR:CALENDAR=US&amp;VAR:SYMBOL=OLN&amp;VAR:INDEX=20"}</definedName>
    <definedName name="_282__FDSAUDITLINK__" hidden="1">{"fdsup://directions/FAT Viewer?action=UPDATE&amp;creator=factset&amp;DYN_ARGS=TRUE&amp;DOC_NAME=FAT:FQL_AUDITING_CLIENT_TEMPLATE.FAT&amp;display_string=Audit&amp;VAR:KEY=ADGHCLGJUV&amp;VAR:QUERY=Q1NGX0VCSVRfT1BFUihBTk4sMTIvMzEvODAsMCk=&amp;WINDOW=FIRST_POPUP&amp;HEIGHT=450&amp;WIDTH=450&amp;STAR","T_MAXIMIZED=FALSE&amp;VAR:CALENDAR=US&amp;VAR:SYMBOL=GGC&amp;VAR:INDEX=20"}</definedName>
    <definedName name="_2820__FDSAUDITLINK__" hidden="1">{"fdsup://directions/FAT Viewer?action=UPDATE&amp;creator=factset&amp;DYN_ARGS=TRUE&amp;DOC_NAME=FAT:FQL_AUDITING_CLIENT_TEMPLATE.FAT&amp;display_string=Audit&amp;VAR:KEY=SDYFIFCNAV&amp;VAR:QUERY=Q1NGX0VCSVRfT1BFUihBTk4sMTIvMzEvMTk4MCwxMi8zMS8yMDA5LEFZKQ==&amp;WINDOW=FIRST_POPUP&amp;HEIGH","T=450&amp;WIDTH=450&amp;START_MAXIMIZED=FALSE&amp;VAR:CALENDAR=US&amp;VAR:SYMBOL=OLN&amp;VAR:INDEX=19"}</definedName>
    <definedName name="_2821__FDSAUDITLINK__" hidden="1">{"fdsup://directions/FAT Viewer?action=UPDATE&amp;creator=factset&amp;DYN_ARGS=TRUE&amp;DOC_NAME=FAT:FQL_AUDITING_CLIENT_TEMPLATE.FAT&amp;display_string=Audit&amp;VAR:KEY=SDYFIFCNAV&amp;VAR:QUERY=Q1NGX0VCSVRfT1BFUihBTk4sMTIvMzEvMTk4MCwxMi8zMS8yMDA5LEFZKQ==&amp;WINDOW=FIRST_POPUP&amp;HEIGH","T=450&amp;WIDTH=450&amp;START_MAXIMIZED=FALSE&amp;VAR:CALENDAR=US&amp;VAR:SYMBOL=OLN&amp;VAR:INDEX=18"}</definedName>
    <definedName name="_2822__FDSAUDITLINK__" hidden="1">{"fdsup://directions/FAT Viewer?action=UPDATE&amp;creator=factset&amp;DYN_ARGS=TRUE&amp;DOC_NAME=FAT:FQL_AUDITING_CLIENT_TEMPLATE.FAT&amp;display_string=Audit&amp;VAR:KEY=SDYFIFCNAV&amp;VAR:QUERY=Q1NGX0VCSVRfT1BFUihBTk4sMTIvMzEvMTk4MCwxMi8zMS8yMDA5LEFZKQ==&amp;WINDOW=FIRST_POPUP&amp;HEIGH","T=450&amp;WIDTH=450&amp;START_MAXIMIZED=FALSE&amp;VAR:CALENDAR=US&amp;VAR:SYMBOL=OLN&amp;VAR:INDEX=17"}</definedName>
    <definedName name="_2823__FDSAUDITLINK__" hidden="1">{"fdsup://directions/FAT Viewer?action=UPDATE&amp;creator=factset&amp;DYN_ARGS=TRUE&amp;DOC_NAME=FAT:FQL_AUDITING_CLIENT_TEMPLATE.FAT&amp;display_string=Audit&amp;VAR:KEY=SDYFIFCNAV&amp;VAR:QUERY=Q1NGX0VCSVRfT1BFUihBTk4sMTIvMzEvMTk4MCwxMi8zMS8yMDA5LEFZKQ==&amp;WINDOW=FIRST_POPUP&amp;HEIGH","T=450&amp;WIDTH=450&amp;START_MAXIMIZED=FALSE&amp;VAR:CALENDAR=US&amp;VAR:SYMBOL=OLN&amp;VAR:INDEX=16"}</definedName>
    <definedName name="_2824__FDSAUDITLINK__" hidden="1">{"fdsup://directions/FAT Viewer?action=UPDATE&amp;creator=factset&amp;DYN_ARGS=TRUE&amp;DOC_NAME=FAT:FQL_AUDITING_CLIENT_TEMPLATE.FAT&amp;display_string=Audit&amp;VAR:KEY=SDYFIFCNAV&amp;VAR:QUERY=Q1NGX0VCSVRfT1BFUihBTk4sMTIvMzEvMTk4MCwxMi8zMS8yMDA5LEFZKQ==&amp;WINDOW=FIRST_POPUP&amp;HEIGH","T=450&amp;WIDTH=450&amp;START_MAXIMIZED=FALSE&amp;VAR:CALENDAR=US&amp;VAR:SYMBOL=OLN&amp;VAR:INDEX=15"}</definedName>
    <definedName name="_2825__FDSAUDITLINK__" hidden="1">{"fdsup://directions/FAT Viewer?action=UPDATE&amp;creator=factset&amp;DYN_ARGS=TRUE&amp;DOC_NAME=FAT:FQL_AUDITING_CLIENT_TEMPLATE.FAT&amp;display_string=Audit&amp;VAR:KEY=SDYFIFCNAV&amp;VAR:QUERY=Q1NGX0VCSVRfT1BFUihBTk4sMTIvMzEvMTk4MCwxMi8zMS8yMDA5LEFZKQ==&amp;WINDOW=FIRST_POPUP&amp;HEIGH","T=450&amp;WIDTH=450&amp;START_MAXIMIZED=FALSE&amp;VAR:CALENDAR=US&amp;VAR:SYMBOL=OLN&amp;VAR:INDEX=14"}</definedName>
    <definedName name="_2826__FDSAUDITLINK__" hidden="1">{"fdsup://directions/FAT Viewer?action=UPDATE&amp;creator=factset&amp;DYN_ARGS=TRUE&amp;DOC_NAME=FAT:FQL_AUDITING_CLIENT_TEMPLATE.FAT&amp;display_string=Audit&amp;VAR:KEY=SDYFIFCNAV&amp;VAR:QUERY=Q1NGX0VCSVRfT1BFUihBTk4sMTIvMzEvMTk4MCwxMi8zMS8yMDA5LEFZKQ==&amp;WINDOW=FIRST_POPUP&amp;HEIGH","T=450&amp;WIDTH=450&amp;START_MAXIMIZED=FALSE&amp;VAR:CALENDAR=US&amp;VAR:SYMBOL=OLN&amp;VAR:INDEX=13"}</definedName>
    <definedName name="_2827__FDSAUDITLINK__" hidden="1">{"fdsup://directions/FAT Viewer?action=UPDATE&amp;creator=factset&amp;DYN_ARGS=TRUE&amp;DOC_NAME=FAT:FQL_AUDITING_CLIENT_TEMPLATE.FAT&amp;display_string=Audit&amp;VAR:KEY=SDYFIFCNAV&amp;VAR:QUERY=Q1NGX0VCSVRfT1BFUihBTk4sMTIvMzEvMTk4MCwxMi8zMS8yMDA5LEFZKQ==&amp;WINDOW=FIRST_POPUP&amp;HEIGH","T=450&amp;WIDTH=450&amp;START_MAXIMIZED=FALSE&amp;VAR:CALENDAR=US&amp;VAR:SYMBOL=OLN&amp;VAR:INDEX=12"}</definedName>
    <definedName name="_2828__FDSAUDITLINK__" hidden="1">{"fdsup://directions/FAT Viewer?action=UPDATE&amp;creator=factset&amp;DYN_ARGS=TRUE&amp;DOC_NAME=FAT:FQL_AUDITING_CLIENT_TEMPLATE.FAT&amp;display_string=Audit&amp;VAR:KEY=SDYFIFCNAV&amp;VAR:QUERY=Q1NGX0VCSVRfT1BFUihBTk4sMTIvMzEvMTk4MCwxMi8zMS8yMDA5LEFZKQ==&amp;WINDOW=FIRST_POPUP&amp;HEIGH","T=450&amp;WIDTH=450&amp;START_MAXIMIZED=FALSE&amp;VAR:CALENDAR=US&amp;VAR:SYMBOL=OLN&amp;VAR:INDEX=11"}</definedName>
    <definedName name="_2829__FDSAUDITLINK__" hidden="1">{"fdsup://directions/FAT Viewer?action=UPDATE&amp;creator=factset&amp;DYN_ARGS=TRUE&amp;DOC_NAME=FAT:FQL_AUDITING_CLIENT_TEMPLATE.FAT&amp;display_string=Audit&amp;VAR:KEY=SDYFIFCNAV&amp;VAR:QUERY=Q1NGX0VCSVRfT1BFUihBTk4sMTIvMzEvMTk4MCwxMi8zMS8yMDA5LEFZKQ==&amp;WINDOW=FIRST_POPUP&amp;HEIGH","T=450&amp;WIDTH=450&amp;START_MAXIMIZED=FALSE&amp;VAR:CALENDAR=US&amp;VAR:SYMBOL=OLN&amp;VAR:INDEX=10"}</definedName>
    <definedName name="_283__FDSAUDITLINK__" hidden="1">{"fdsup://directions/FAT Viewer?action=UPDATE&amp;creator=factset&amp;DYN_ARGS=TRUE&amp;DOC_NAME=FAT:FQL_AUDITING_CLIENT_TEMPLATE.FAT&amp;display_string=Audit&amp;VAR:KEY=ADGHCLGJUV&amp;VAR:QUERY=Q1NGX0VCSVRfT1BFUihBTk4sMTIvMzEvODAsMCk=&amp;WINDOW=FIRST_POPUP&amp;HEIGHT=450&amp;WIDTH=450&amp;STAR","T_MAXIMIZED=FALSE&amp;VAR:CALENDAR=US&amp;VAR:SYMBOL=GGC&amp;VAR:INDEX=19"}</definedName>
    <definedName name="_2830__FDSAUDITLINK__" hidden="1">{"fdsup://directions/FAT Viewer?action=UPDATE&amp;creator=factset&amp;DYN_ARGS=TRUE&amp;DOC_NAME=FAT:FQL_AUDITING_CLIENT_TEMPLATE.FAT&amp;display_string=Audit&amp;VAR:KEY=SDYFIFCNAV&amp;VAR:QUERY=Q1NGX0VCSVRfT1BFUihBTk4sMTIvMzEvMTk4MCwxMi8zMS8yMDA5LEFZKQ==&amp;WINDOW=FIRST_POPUP&amp;HEIGH","T=450&amp;WIDTH=450&amp;START_MAXIMIZED=FALSE&amp;VAR:CALENDAR=US&amp;VAR:SYMBOL=OLN&amp;VAR:INDEX=9"}</definedName>
    <definedName name="_2831__FDSAUDITLINK__" hidden="1">{"fdsup://directions/FAT Viewer?action=UPDATE&amp;creator=factset&amp;DYN_ARGS=TRUE&amp;DOC_NAME=FAT:FQL_AUDITING_CLIENT_TEMPLATE.FAT&amp;display_string=Audit&amp;VAR:KEY=SDYFIFCNAV&amp;VAR:QUERY=Q1NGX0VCSVRfT1BFUihBTk4sMTIvMzEvMTk4MCwxMi8zMS8yMDA5LEFZKQ==&amp;WINDOW=FIRST_POPUP&amp;HEIGH","T=450&amp;WIDTH=450&amp;START_MAXIMIZED=FALSE&amp;VAR:CALENDAR=US&amp;VAR:SYMBOL=OLN&amp;VAR:INDEX=8"}</definedName>
    <definedName name="_2832__FDSAUDITLINK__" hidden="1">{"fdsup://directions/FAT Viewer?action=UPDATE&amp;creator=factset&amp;DYN_ARGS=TRUE&amp;DOC_NAME=FAT:FQL_AUDITING_CLIENT_TEMPLATE.FAT&amp;display_string=Audit&amp;VAR:KEY=SDYFIFCNAV&amp;VAR:QUERY=Q1NGX0VCSVRfT1BFUihBTk4sMTIvMzEvMTk4MCwxMi8zMS8yMDA5LEFZKQ==&amp;WINDOW=FIRST_POPUP&amp;HEIGH","T=450&amp;WIDTH=450&amp;START_MAXIMIZED=FALSE&amp;VAR:CALENDAR=US&amp;VAR:SYMBOL=OLN&amp;VAR:INDEX=7"}</definedName>
    <definedName name="_2833__FDSAUDITLINK__" hidden="1">{"fdsup://directions/FAT Viewer?action=UPDATE&amp;creator=factset&amp;DYN_ARGS=TRUE&amp;DOC_NAME=FAT:FQL_AUDITING_CLIENT_TEMPLATE.FAT&amp;display_string=Audit&amp;VAR:KEY=SDYFIFCNAV&amp;VAR:QUERY=Q1NGX0VCSVRfT1BFUihBTk4sMTIvMzEvMTk4MCwxMi8zMS8yMDA5LEFZKQ==&amp;WINDOW=FIRST_POPUP&amp;HEIGH","T=450&amp;WIDTH=450&amp;START_MAXIMIZED=FALSE&amp;VAR:CALENDAR=US&amp;VAR:SYMBOL=OLN&amp;VAR:INDEX=6"}</definedName>
    <definedName name="_2834__FDSAUDITLINK__" hidden="1">{"fdsup://directions/FAT Viewer?action=UPDATE&amp;creator=factset&amp;DYN_ARGS=TRUE&amp;DOC_NAME=FAT:FQL_AUDITING_CLIENT_TEMPLATE.FAT&amp;display_string=Audit&amp;VAR:KEY=SDYFIFCNAV&amp;VAR:QUERY=Q1NGX0VCSVRfT1BFUihBTk4sMTIvMzEvMTk4MCwxMi8zMS8yMDA5LEFZKQ==&amp;WINDOW=FIRST_POPUP&amp;HEIGH","T=450&amp;WIDTH=450&amp;START_MAXIMIZED=FALSE&amp;VAR:CALENDAR=US&amp;VAR:SYMBOL=OLN&amp;VAR:INDEX=5"}</definedName>
    <definedName name="_2835__FDSAUDITLINK__" hidden="1">{"fdsup://directions/FAT Viewer?action=UPDATE&amp;creator=factset&amp;DYN_ARGS=TRUE&amp;DOC_NAME=FAT:FQL_AUDITING_CLIENT_TEMPLATE.FAT&amp;display_string=Audit&amp;VAR:KEY=SDYFIFCNAV&amp;VAR:QUERY=Q1NGX0VCSVRfT1BFUihBTk4sMTIvMzEvMTk4MCwxMi8zMS8yMDA5LEFZKQ==&amp;WINDOW=FIRST_POPUP&amp;HEIGH","T=450&amp;WIDTH=450&amp;START_MAXIMIZED=FALSE&amp;VAR:CALENDAR=US&amp;VAR:SYMBOL=OLN&amp;VAR:INDEX=4"}</definedName>
    <definedName name="_2836__FDSAUDITLINK__" hidden="1">{"fdsup://directions/FAT Viewer?action=UPDATE&amp;creator=factset&amp;DYN_ARGS=TRUE&amp;DOC_NAME=FAT:FQL_AUDITING_CLIENT_TEMPLATE.FAT&amp;display_string=Audit&amp;VAR:KEY=SDYFIFCNAV&amp;VAR:QUERY=Q1NGX0VCSVRfT1BFUihBTk4sMTIvMzEvMTk4MCwxMi8zMS8yMDA5LEFZKQ==&amp;WINDOW=FIRST_POPUP&amp;HEIGH","T=450&amp;WIDTH=450&amp;START_MAXIMIZED=FALSE&amp;VAR:CALENDAR=US&amp;VAR:SYMBOL=OLN&amp;VAR:INDEX=3"}</definedName>
    <definedName name="_2837__FDSAUDITLINK__" hidden="1">{"fdsup://directions/FAT Viewer?action=UPDATE&amp;creator=factset&amp;DYN_ARGS=TRUE&amp;DOC_NAME=FAT:FQL_AUDITING_CLIENT_TEMPLATE.FAT&amp;display_string=Audit&amp;VAR:KEY=SDYFIFCNAV&amp;VAR:QUERY=Q1NGX0VCSVRfT1BFUihBTk4sMTIvMzEvMTk4MCwxMi8zMS8yMDA5LEFZKQ==&amp;WINDOW=FIRST_POPUP&amp;HEIGH","T=450&amp;WIDTH=450&amp;START_MAXIMIZED=FALSE&amp;VAR:CALENDAR=US&amp;VAR:SYMBOL=OLN&amp;VAR:INDEX=2"}</definedName>
    <definedName name="_2838__FDSAUDITLINK__" hidden="1">{"fdsup://directions/FAT Viewer?action=UPDATE&amp;creator=factset&amp;DYN_ARGS=TRUE&amp;DOC_NAME=FAT:FQL_AUDITING_CLIENT_TEMPLATE.FAT&amp;display_string=Audit&amp;VAR:KEY=SDYFIFCNAV&amp;VAR:QUERY=Q1NGX0VCSVRfT1BFUihBTk4sMTIvMzEvMTk4MCwxMi8zMS8yMDA5LEFZKQ==&amp;WINDOW=FIRST_POPUP&amp;HEIGH","T=450&amp;WIDTH=450&amp;START_MAXIMIZED=FALSE&amp;VAR:CALENDAR=US&amp;VAR:SYMBOL=OLN&amp;VAR:INDEX=1"}</definedName>
    <definedName name="_2839__FDSAUDITLINK__" hidden="1">{"fdsup://directions/FAT Viewer?action=UPDATE&amp;creator=factset&amp;DYN_ARGS=TRUE&amp;DOC_NAME=FAT:FQL_AUDITING_CLIENT_TEMPLATE.FAT&amp;display_string=Audit&amp;VAR:KEY=SDYFIFCNAV&amp;VAR:QUERY=Q1NGX0VCSVRfT1BFUihBTk4sMTIvMzEvMTk4MCwxMi8zMS8yMDA5LEFZKQ==&amp;WINDOW=FIRST_POPUP&amp;HEIGH","T=450&amp;WIDTH=450&amp;START_MAXIMIZED=FALSE&amp;VAR:CALENDAR=US&amp;VAR:SYMBOL=OLN&amp;VAR:INDEX=0"}</definedName>
    <definedName name="_284__FDSAUDITLINK__" hidden="1">{"fdsup://directions/FAT Viewer?action=UPDATE&amp;creator=factset&amp;DYN_ARGS=TRUE&amp;DOC_NAME=FAT:FQL_AUDITING_CLIENT_TEMPLATE.FAT&amp;display_string=Audit&amp;VAR:KEY=ADGHCLGJUV&amp;VAR:QUERY=Q1NGX0VCSVRfT1BFUihBTk4sMTIvMzEvODAsMCk=&amp;WINDOW=FIRST_POPUP&amp;HEIGHT=450&amp;WIDTH=450&amp;STAR","T_MAXIMIZED=FALSE&amp;VAR:CALENDAR=US&amp;VAR:SYMBOL=GGC&amp;VAR:INDEX=18"}</definedName>
    <definedName name="_2840__FDSAUDITLINK__" hidden="1">{"fdsup://directions/FAT Viewer?action=UPDATE&amp;creator=factset&amp;DYN_ARGS=TRUE&amp;DOC_NAME=FAT:FQL_AUDITING_CLIENT_TEMPLATE.FAT&amp;display_string=Audit&amp;VAR:KEY=PKXGTOFMJM&amp;VAR:QUERY=Q1NGX0VCSVRfT1BFUihMVE1fUiwwKQ==&amp;WINDOW=FIRST_POPUP&amp;HEIGHT=450&amp;WIDTH=450&amp;START_MAXIMI","ZED=FALSE&amp;VAR:CALENDAR=US&amp;VAR:SYMBOL=NEU&amp;VAR:INDEX=0"}</definedName>
    <definedName name="_2841__FDSAUDITLINK__" hidden="1">{"fdsup://directions/FAT Viewer?action=UPDATE&amp;creator=factset&amp;DYN_ARGS=TRUE&amp;DOC_NAME=FAT:FQL_AUDITING_CLIENT_TEMPLATE.FAT&amp;display_string=Audit&amp;VAR:KEY=SNGBSDUDCF&amp;VAR:QUERY=Q1NGX0VCSVRfT1BFUihBTk4sMTIvMzEvMTk4MCwxMi8zMS8yMDA5LEFZKQ==&amp;WINDOW=FIRST_POPUP&amp;HEIGH","T=450&amp;WIDTH=450&amp;START_MAXIMIZED=FALSE&amp;VAR:CALENDAR=US&amp;VAR:SYMBOL=NEU&amp;VAR:INDEX=29"}</definedName>
    <definedName name="_2842__FDSAUDITLINK__" hidden="1">{"fdsup://directions/FAT Viewer?action=UPDATE&amp;creator=factset&amp;DYN_ARGS=TRUE&amp;DOC_NAME=FAT:FQL_AUDITING_CLIENT_TEMPLATE.FAT&amp;display_string=Audit&amp;VAR:KEY=SNGBSDUDCF&amp;VAR:QUERY=Q1NGX0VCSVRfT1BFUihBTk4sMTIvMzEvMTk4MCwxMi8zMS8yMDA5LEFZKQ==&amp;WINDOW=FIRST_POPUP&amp;HEIGH","T=450&amp;WIDTH=450&amp;START_MAXIMIZED=FALSE&amp;VAR:CALENDAR=US&amp;VAR:SYMBOL=NEU&amp;VAR:INDEX=28"}</definedName>
    <definedName name="_2843__FDSAUDITLINK__" hidden="1">{"fdsup://directions/FAT Viewer?action=UPDATE&amp;creator=factset&amp;DYN_ARGS=TRUE&amp;DOC_NAME=FAT:FQL_AUDITING_CLIENT_TEMPLATE.FAT&amp;display_string=Audit&amp;VAR:KEY=SNGBSDUDCF&amp;VAR:QUERY=Q1NGX0VCSVRfT1BFUihBTk4sMTIvMzEvMTk4MCwxMi8zMS8yMDA5LEFZKQ==&amp;WINDOW=FIRST_POPUP&amp;HEIGH","T=450&amp;WIDTH=450&amp;START_MAXIMIZED=FALSE&amp;VAR:CALENDAR=US&amp;VAR:SYMBOL=NEU&amp;VAR:INDEX=27"}</definedName>
    <definedName name="_2844__FDSAUDITLINK__" hidden="1">{"fdsup://directions/FAT Viewer?action=UPDATE&amp;creator=factset&amp;DYN_ARGS=TRUE&amp;DOC_NAME=FAT:FQL_AUDITING_CLIENT_TEMPLATE.FAT&amp;display_string=Audit&amp;VAR:KEY=SNGBSDUDCF&amp;VAR:QUERY=Q1NGX0VCSVRfT1BFUihBTk4sMTIvMzEvMTk4MCwxMi8zMS8yMDA5LEFZKQ==&amp;WINDOW=FIRST_POPUP&amp;HEIGH","T=450&amp;WIDTH=450&amp;START_MAXIMIZED=FALSE&amp;VAR:CALENDAR=US&amp;VAR:SYMBOL=NEU&amp;VAR:INDEX=26"}</definedName>
    <definedName name="_2845__FDSAUDITLINK__" hidden="1">{"fdsup://directions/FAT Viewer?action=UPDATE&amp;creator=factset&amp;DYN_ARGS=TRUE&amp;DOC_NAME=FAT:FQL_AUDITING_CLIENT_TEMPLATE.FAT&amp;display_string=Audit&amp;VAR:KEY=SNGBSDUDCF&amp;VAR:QUERY=Q1NGX0VCSVRfT1BFUihBTk4sMTIvMzEvMTk4MCwxMi8zMS8yMDA5LEFZKQ==&amp;WINDOW=FIRST_POPUP&amp;HEIGH","T=450&amp;WIDTH=450&amp;START_MAXIMIZED=FALSE&amp;VAR:CALENDAR=US&amp;VAR:SYMBOL=NEU&amp;VAR:INDEX=25"}</definedName>
    <definedName name="_2846__FDSAUDITLINK__" hidden="1">{"fdsup://directions/FAT Viewer?action=UPDATE&amp;creator=factset&amp;DYN_ARGS=TRUE&amp;DOC_NAME=FAT:FQL_AUDITING_CLIENT_TEMPLATE.FAT&amp;display_string=Audit&amp;VAR:KEY=SNGBSDUDCF&amp;VAR:QUERY=Q1NGX0VCSVRfT1BFUihBTk4sMTIvMzEvMTk4MCwxMi8zMS8yMDA5LEFZKQ==&amp;WINDOW=FIRST_POPUP&amp;HEIGH","T=450&amp;WIDTH=450&amp;START_MAXIMIZED=FALSE&amp;VAR:CALENDAR=US&amp;VAR:SYMBOL=NEU&amp;VAR:INDEX=24"}</definedName>
    <definedName name="_2847__FDSAUDITLINK__" hidden="1">{"fdsup://directions/FAT Viewer?action=UPDATE&amp;creator=factset&amp;DYN_ARGS=TRUE&amp;DOC_NAME=FAT:FQL_AUDITING_CLIENT_TEMPLATE.FAT&amp;display_string=Audit&amp;VAR:KEY=SNGBSDUDCF&amp;VAR:QUERY=Q1NGX0VCSVRfT1BFUihBTk4sMTIvMzEvMTk4MCwxMi8zMS8yMDA5LEFZKQ==&amp;WINDOW=FIRST_POPUP&amp;HEIGH","T=450&amp;WIDTH=450&amp;START_MAXIMIZED=FALSE&amp;VAR:CALENDAR=US&amp;VAR:SYMBOL=NEU&amp;VAR:INDEX=23"}</definedName>
    <definedName name="_2848__FDSAUDITLINK__" hidden="1">{"fdsup://directions/FAT Viewer?action=UPDATE&amp;creator=factset&amp;DYN_ARGS=TRUE&amp;DOC_NAME=FAT:FQL_AUDITING_CLIENT_TEMPLATE.FAT&amp;display_string=Audit&amp;VAR:KEY=SNGBSDUDCF&amp;VAR:QUERY=Q1NGX0VCSVRfT1BFUihBTk4sMTIvMzEvMTk4MCwxMi8zMS8yMDA5LEFZKQ==&amp;WINDOW=FIRST_POPUP&amp;HEIGH","T=450&amp;WIDTH=450&amp;START_MAXIMIZED=FALSE&amp;VAR:CALENDAR=US&amp;VAR:SYMBOL=NEU&amp;VAR:INDEX=22"}</definedName>
    <definedName name="_2849__FDSAUDITLINK__" hidden="1">{"fdsup://directions/FAT Viewer?action=UPDATE&amp;creator=factset&amp;DYN_ARGS=TRUE&amp;DOC_NAME=FAT:FQL_AUDITING_CLIENT_TEMPLATE.FAT&amp;display_string=Audit&amp;VAR:KEY=SNGBSDUDCF&amp;VAR:QUERY=Q1NGX0VCSVRfT1BFUihBTk4sMTIvMzEvMTk4MCwxMi8zMS8yMDA5LEFZKQ==&amp;WINDOW=FIRST_POPUP&amp;HEIGH","T=450&amp;WIDTH=450&amp;START_MAXIMIZED=FALSE&amp;VAR:CALENDAR=US&amp;VAR:SYMBOL=NEU&amp;VAR:INDEX=21"}</definedName>
    <definedName name="_285__FDSAUDITLINK__" hidden="1">{"fdsup://directions/FAT Viewer?action=UPDATE&amp;creator=factset&amp;DYN_ARGS=TRUE&amp;DOC_NAME=FAT:FQL_AUDITING_CLIENT_TEMPLATE.FAT&amp;display_string=Audit&amp;VAR:KEY=ADGHCLGJUV&amp;VAR:QUERY=Q1NGX0VCSVRfT1BFUihBTk4sMTIvMzEvODAsMCk=&amp;WINDOW=FIRST_POPUP&amp;HEIGHT=450&amp;WIDTH=450&amp;STAR","T_MAXIMIZED=FALSE&amp;VAR:CALENDAR=US&amp;VAR:SYMBOL=GGC&amp;VAR:INDEX=17"}</definedName>
    <definedName name="_2850__FDSAUDITLINK__" hidden="1">{"fdsup://directions/FAT Viewer?action=UPDATE&amp;creator=factset&amp;DYN_ARGS=TRUE&amp;DOC_NAME=FAT:FQL_AUDITING_CLIENT_TEMPLATE.FAT&amp;display_string=Audit&amp;VAR:KEY=SNGBSDUDCF&amp;VAR:QUERY=Q1NGX0VCSVRfT1BFUihBTk4sMTIvMzEvMTk4MCwxMi8zMS8yMDA5LEFZKQ==&amp;WINDOW=FIRST_POPUP&amp;HEIGH","T=450&amp;WIDTH=450&amp;START_MAXIMIZED=FALSE&amp;VAR:CALENDAR=US&amp;VAR:SYMBOL=NEU&amp;VAR:INDEX=20"}</definedName>
    <definedName name="_2851__FDSAUDITLINK__" hidden="1">{"fdsup://directions/FAT Viewer?action=UPDATE&amp;creator=factset&amp;DYN_ARGS=TRUE&amp;DOC_NAME=FAT:FQL_AUDITING_CLIENT_TEMPLATE.FAT&amp;display_string=Audit&amp;VAR:KEY=SNGBSDUDCF&amp;VAR:QUERY=Q1NGX0VCSVRfT1BFUihBTk4sMTIvMzEvMTk4MCwxMi8zMS8yMDA5LEFZKQ==&amp;WINDOW=FIRST_POPUP&amp;HEIGH","T=450&amp;WIDTH=450&amp;START_MAXIMIZED=FALSE&amp;VAR:CALENDAR=US&amp;VAR:SYMBOL=NEU&amp;VAR:INDEX=19"}</definedName>
    <definedName name="_2852__FDSAUDITLINK__" hidden="1">{"fdsup://directions/FAT Viewer?action=UPDATE&amp;creator=factset&amp;DYN_ARGS=TRUE&amp;DOC_NAME=FAT:FQL_AUDITING_CLIENT_TEMPLATE.FAT&amp;display_string=Audit&amp;VAR:KEY=SNGBSDUDCF&amp;VAR:QUERY=Q1NGX0VCSVRfT1BFUihBTk4sMTIvMzEvMTk4MCwxMi8zMS8yMDA5LEFZKQ==&amp;WINDOW=FIRST_POPUP&amp;HEIGH","T=450&amp;WIDTH=450&amp;START_MAXIMIZED=FALSE&amp;VAR:CALENDAR=US&amp;VAR:SYMBOL=NEU&amp;VAR:INDEX=18"}</definedName>
    <definedName name="_2853__FDSAUDITLINK__" hidden="1">{"fdsup://directions/FAT Viewer?action=UPDATE&amp;creator=factset&amp;DYN_ARGS=TRUE&amp;DOC_NAME=FAT:FQL_AUDITING_CLIENT_TEMPLATE.FAT&amp;display_string=Audit&amp;VAR:KEY=SNGBSDUDCF&amp;VAR:QUERY=Q1NGX0VCSVRfT1BFUihBTk4sMTIvMzEvMTk4MCwxMi8zMS8yMDA5LEFZKQ==&amp;WINDOW=FIRST_POPUP&amp;HEIGH","T=450&amp;WIDTH=450&amp;START_MAXIMIZED=FALSE&amp;VAR:CALENDAR=US&amp;VAR:SYMBOL=NEU&amp;VAR:INDEX=17"}</definedName>
    <definedName name="_2854__FDSAUDITLINK__" hidden="1">{"fdsup://directions/FAT Viewer?action=UPDATE&amp;creator=factset&amp;DYN_ARGS=TRUE&amp;DOC_NAME=FAT:FQL_AUDITING_CLIENT_TEMPLATE.FAT&amp;display_string=Audit&amp;VAR:KEY=SNGBSDUDCF&amp;VAR:QUERY=Q1NGX0VCSVRfT1BFUihBTk4sMTIvMzEvMTk4MCwxMi8zMS8yMDA5LEFZKQ==&amp;WINDOW=FIRST_POPUP&amp;HEIGH","T=450&amp;WIDTH=450&amp;START_MAXIMIZED=FALSE&amp;VAR:CALENDAR=US&amp;VAR:SYMBOL=NEU&amp;VAR:INDEX=16"}</definedName>
    <definedName name="_2855__FDSAUDITLINK__" hidden="1">{"fdsup://directions/FAT Viewer?action=UPDATE&amp;creator=factset&amp;DYN_ARGS=TRUE&amp;DOC_NAME=FAT:FQL_AUDITING_CLIENT_TEMPLATE.FAT&amp;display_string=Audit&amp;VAR:KEY=SNGBSDUDCF&amp;VAR:QUERY=Q1NGX0VCSVRfT1BFUihBTk4sMTIvMzEvMTk4MCwxMi8zMS8yMDA5LEFZKQ==&amp;WINDOW=FIRST_POPUP&amp;HEIGH","T=450&amp;WIDTH=450&amp;START_MAXIMIZED=FALSE&amp;VAR:CALENDAR=US&amp;VAR:SYMBOL=NEU&amp;VAR:INDEX=15"}</definedName>
    <definedName name="_2856__FDSAUDITLINK__" hidden="1">{"fdsup://directions/FAT Viewer?action=UPDATE&amp;creator=factset&amp;DYN_ARGS=TRUE&amp;DOC_NAME=FAT:FQL_AUDITING_CLIENT_TEMPLATE.FAT&amp;display_string=Audit&amp;VAR:KEY=SNGBSDUDCF&amp;VAR:QUERY=Q1NGX0VCSVRfT1BFUihBTk4sMTIvMzEvMTk4MCwxMi8zMS8yMDA5LEFZKQ==&amp;WINDOW=FIRST_POPUP&amp;HEIGH","T=450&amp;WIDTH=450&amp;START_MAXIMIZED=FALSE&amp;VAR:CALENDAR=US&amp;VAR:SYMBOL=NEU&amp;VAR:INDEX=14"}</definedName>
    <definedName name="_2857__FDSAUDITLINK__" hidden="1">{"fdsup://directions/FAT Viewer?action=UPDATE&amp;creator=factset&amp;DYN_ARGS=TRUE&amp;DOC_NAME=FAT:FQL_AUDITING_CLIENT_TEMPLATE.FAT&amp;display_string=Audit&amp;VAR:KEY=SNGBSDUDCF&amp;VAR:QUERY=Q1NGX0VCSVRfT1BFUihBTk4sMTIvMzEvMTk4MCwxMi8zMS8yMDA5LEFZKQ==&amp;WINDOW=FIRST_POPUP&amp;HEIGH","T=450&amp;WIDTH=450&amp;START_MAXIMIZED=FALSE&amp;VAR:CALENDAR=US&amp;VAR:SYMBOL=NEU&amp;VAR:INDEX=13"}</definedName>
    <definedName name="_2858__FDSAUDITLINK__" hidden="1">{"fdsup://directions/FAT Viewer?action=UPDATE&amp;creator=factset&amp;DYN_ARGS=TRUE&amp;DOC_NAME=FAT:FQL_AUDITING_CLIENT_TEMPLATE.FAT&amp;display_string=Audit&amp;VAR:KEY=SNGBSDUDCF&amp;VAR:QUERY=Q1NGX0VCSVRfT1BFUihBTk4sMTIvMzEvMTk4MCwxMi8zMS8yMDA5LEFZKQ==&amp;WINDOW=FIRST_POPUP&amp;HEIGH","T=450&amp;WIDTH=450&amp;START_MAXIMIZED=FALSE&amp;VAR:CALENDAR=US&amp;VAR:SYMBOL=NEU&amp;VAR:INDEX=12"}</definedName>
    <definedName name="_2859__FDSAUDITLINK__" hidden="1">{"fdsup://directions/FAT Viewer?action=UPDATE&amp;creator=factset&amp;DYN_ARGS=TRUE&amp;DOC_NAME=FAT:FQL_AUDITING_CLIENT_TEMPLATE.FAT&amp;display_string=Audit&amp;VAR:KEY=SNGBSDUDCF&amp;VAR:QUERY=Q1NGX0VCSVRfT1BFUihBTk4sMTIvMzEvMTk4MCwxMi8zMS8yMDA5LEFZKQ==&amp;WINDOW=FIRST_POPUP&amp;HEIGH","T=450&amp;WIDTH=450&amp;START_MAXIMIZED=FALSE&amp;VAR:CALENDAR=US&amp;VAR:SYMBOL=NEU&amp;VAR:INDEX=11"}</definedName>
    <definedName name="_286__FDSAUDITLINK__" hidden="1">{"fdsup://directions/FAT Viewer?action=UPDATE&amp;creator=factset&amp;DYN_ARGS=TRUE&amp;DOC_NAME=FAT:FQL_AUDITING_CLIENT_TEMPLATE.FAT&amp;display_string=Audit&amp;VAR:KEY=ADGHCLGJUV&amp;VAR:QUERY=Q1NGX0VCSVRfT1BFUihBTk4sMTIvMzEvODAsMCk=&amp;WINDOW=FIRST_POPUP&amp;HEIGHT=450&amp;WIDTH=450&amp;STAR","T_MAXIMIZED=FALSE&amp;VAR:CALENDAR=US&amp;VAR:SYMBOL=GGC&amp;VAR:INDEX=16"}</definedName>
    <definedName name="_2860__FDSAUDITLINK__" hidden="1">{"fdsup://directions/FAT Viewer?action=UPDATE&amp;creator=factset&amp;DYN_ARGS=TRUE&amp;DOC_NAME=FAT:FQL_AUDITING_CLIENT_TEMPLATE.FAT&amp;display_string=Audit&amp;VAR:KEY=SNGBSDUDCF&amp;VAR:QUERY=Q1NGX0VCSVRfT1BFUihBTk4sMTIvMzEvMTk4MCwxMi8zMS8yMDA5LEFZKQ==&amp;WINDOW=FIRST_POPUP&amp;HEIGH","T=450&amp;WIDTH=450&amp;START_MAXIMIZED=FALSE&amp;VAR:CALENDAR=US&amp;VAR:SYMBOL=NEU&amp;VAR:INDEX=10"}</definedName>
    <definedName name="_2861__FDSAUDITLINK__" hidden="1">{"fdsup://directions/FAT Viewer?action=UPDATE&amp;creator=factset&amp;DYN_ARGS=TRUE&amp;DOC_NAME=FAT:FQL_AUDITING_CLIENT_TEMPLATE.FAT&amp;display_string=Audit&amp;VAR:KEY=SNGBSDUDCF&amp;VAR:QUERY=Q1NGX0VCSVRfT1BFUihBTk4sMTIvMzEvMTk4MCwxMi8zMS8yMDA5LEFZKQ==&amp;WINDOW=FIRST_POPUP&amp;HEIGH","T=450&amp;WIDTH=450&amp;START_MAXIMIZED=FALSE&amp;VAR:CALENDAR=US&amp;VAR:SYMBOL=NEU&amp;VAR:INDEX=9"}</definedName>
    <definedName name="_2862__FDSAUDITLINK__" hidden="1">{"fdsup://directions/FAT Viewer?action=UPDATE&amp;creator=factset&amp;DYN_ARGS=TRUE&amp;DOC_NAME=FAT:FQL_AUDITING_CLIENT_TEMPLATE.FAT&amp;display_string=Audit&amp;VAR:KEY=SNGBSDUDCF&amp;VAR:QUERY=Q1NGX0VCSVRfT1BFUihBTk4sMTIvMzEvMTk4MCwxMi8zMS8yMDA5LEFZKQ==&amp;WINDOW=FIRST_POPUP&amp;HEIGH","T=450&amp;WIDTH=450&amp;START_MAXIMIZED=FALSE&amp;VAR:CALENDAR=US&amp;VAR:SYMBOL=NEU&amp;VAR:INDEX=8"}</definedName>
    <definedName name="_2863__FDSAUDITLINK__" hidden="1">{"fdsup://directions/FAT Viewer?action=UPDATE&amp;creator=factset&amp;DYN_ARGS=TRUE&amp;DOC_NAME=FAT:FQL_AUDITING_CLIENT_TEMPLATE.FAT&amp;display_string=Audit&amp;VAR:KEY=SNGBSDUDCF&amp;VAR:QUERY=Q1NGX0VCSVRfT1BFUihBTk4sMTIvMzEvMTk4MCwxMi8zMS8yMDA5LEFZKQ==&amp;WINDOW=FIRST_POPUP&amp;HEIGH","T=450&amp;WIDTH=450&amp;START_MAXIMIZED=FALSE&amp;VAR:CALENDAR=US&amp;VAR:SYMBOL=NEU&amp;VAR:INDEX=7"}</definedName>
    <definedName name="_2864__FDSAUDITLINK__" hidden="1">{"fdsup://directions/FAT Viewer?action=UPDATE&amp;creator=factset&amp;DYN_ARGS=TRUE&amp;DOC_NAME=FAT:FQL_AUDITING_CLIENT_TEMPLATE.FAT&amp;display_string=Audit&amp;VAR:KEY=SNGBSDUDCF&amp;VAR:QUERY=Q1NGX0VCSVRfT1BFUihBTk4sMTIvMzEvMTk4MCwxMi8zMS8yMDA5LEFZKQ==&amp;WINDOW=FIRST_POPUP&amp;HEIGH","T=450&amp;WIDTH=450&amp;START_MAXIMIZED=FALSE&amp;VAR:CALENDAR=US&amp;VAR:SYMBOL=NEU&amp;VAR:INDEX=6"}</definedName>
    <definedName name="_2865__FDSAUDITLINK__" hidden="1">{"fdsup://directions/FAT Viewer?action=UPDATE&amp;creator=factset&amp;DYN_ARGS=TRUE&amp;DOC_NAME=FAT:FQL_AUDITING_CLIENT_TEMPLATE.FAT&amp;display_string=Audit&amp;VAR:KEY=SNGBSDUDCF&amp;VAR:QUERY=Q1NGX0VCSVRfT1BFUihBTk4sMTIvMzEvMTk4MCwxMi8zMS8yMDA5LEFZKQ==&amp;WINDOW=FIRST_POPUP&amp;HEIGH","T=450&amp;WIDTH=450&amp;START_MAXIMIZED=FALSE&amp;VAR:CALENDAR=US&amp;VAR:SYMBOL=NEU&amp;VAR:INDEX=5"}</definedName>
    <definedName name="_2866__FDSAUDITLINK__" hidden="1">{"fdsup://directions/FAT Viewer?action=UPDATE&amp;creator=factset&amp;DYN_ARGS=TRUE&amp;DOC_NAME=FAT:FQL_AUDITING_CLIENT_TEMPLATE.FAT&amp;display_string=Audit&amp;VAR:KEY=SNGBSDUDCF&amp;VAR:QUERY=Q1NGX0VCSVRfT1BFUihBTk4sMTIvMzEvMTk4MCwxMi8zMS8yMDA5LEFZKQ==&amp;WINDOW=FIRST_POPUP&amp;HEIGH","T=450&amp;WIDTH=450&amp;START_MAXIMIZED=FALSE&amp;VAR:CALENDAR=US&amp;VAR:SYMBOL=NEU&amp;VAR:INDEX=4"}</definedName>
    <definedName name="_2867__FDSAUDITLINK__" hidden="1">{"fdsup://directions/FAT Viewer?action=UPDATE&amp;creator=factset&amp;DYN_ARGS=TRUE&amp;DOC_NAME=FAT:FQL_AUDITING_CLIENT_TEMPLATE.FAT&amp;display_string=Audit&amp;VAR:KEY=SNGBSDUDCF&amp;VAR:QUERY=Q1NGX0VCSVRfT1BFUihBTk4sMTIvMzEvMTk4MCwxMi8zMS8yMDA5LEFZKQ==&amp;WINDOW=FIRST_POPUP&amp;HEIGH","T=450&amp;WIDTH=450&amp;START_MAXIMIZED=FALSE&amp;VAR:CALENDAR=US&amp;VAR:SYMBOL=NEU&amp;VAR:INDEX=3"}</definedName>
    <definedName name="_2868__FDSAUDITLINK__" hidden="1">{"fdsup://directions/FAT Viewer?action=UPDATE&amp;creator=factset&amp;DYN_ARGS=TRUE&amp;DOC_NAME=FAT:FQL_AUDITING_CLIENT_TEMPLATE.FAT&amp;display_string=Audit&amp;VAR:KEY=SNGBSDUDCF&amp;VAR:QUERY=Q1NGX0VCSVRfT1BFUihBTk4sMTIvMzEvMTk4MCwxMi8zMS8yMDA5LEFZKQ==&amp;WINDOW=FIRST_POPUP&amp;HEIGH","T=450&amp;WIDTH=450&amp;START_MAXIMIZED=FALSE&amp;VAR:CALENDAR=US&amp;VAR:SYMBOL=NEU&amp;VAR:INDEX=2"}</definedName>
    <definedName name="_2869__FDSAUDITLINK__" hidden="1">{"fdsup://directions/FAT Viewer?action=UPDATE&amp;creator=factset&amp;DYN_ARGS=TRUE&amp;DOC_NAME=FAT:FQL_AUDITING_CLIENT_TEMPLATE.FAT&amp;display_string=Audit&amp;VAR:KEY=SNGBSDUDCF&amp;VAR:QUERY=Q1NGX0VCSVRfT1BFUihBTk4sMTIvMzEvMTk4MCwxMi8zMS8yMDA5LEFZKQ==&amp;WINDOW=FIRST_POPUP&amp;HEIGH","T=450&amp;WIDTH=450&amp;START_MAXIMIZED=FALSE&amp;VAR:CALENDAR=US&amp;VAR:SYMBOL=NEU&amp;VAR:INDEX=1"}</definedName>
    <definedName name="_287__FDSAUDITLINK__" hidden="1">{"fdsup://directions/FAT Viewer?action=UPDATE&amp;creator=factset&amp;DYN_ARGS=TRUE&amp;DOC_NAME=FAT:FQL_AUDITING_CLIENT_TEMPLATE.FAT&amp;display_string=Audit&amp;VAR:KEY=ADGHCLGJUV&amp;VAR:QUERY=Q1NGX0VCSVRfT1BFUihBTk4sMTIvMzEvODAsMCk=&amp;WINDOW=FIRST_POPUP&amp;HEIGHT=450&amp;WIDTH=450&amp;STAR","T_MAXIMIZED=FALSE&amp;VAR:CALENDAR=US&amp;VAR:SYMBOL=GGC&amp;VAR:INDEX=15"}</definedName>
    <definedName name="_2870__FDSAUDITLINK__" hidden="1">{"fdsup://directions/FAT Viewer?action=UPDATE&amp;creator=factset&amp;DYN_ARGS=TRUE&amp;DOC_NAME=FAT:FQL_AUDITING_CLIENT_TEMPLATE.FAT&amp;display_string=Audit&amp;VAR:KEY=SNGBSDUDCF&amp;VAR:QUERY=Q1NGX0VCSVRfT1BFUihBTk4sMTIvMzEvMTk4MCwxMi8zMS8yMDA5LEFZKQ==&amp;WINDOW=FIRST_POPUP&amp;HEIGH","T=450&amp;WIDTH=450&amp;START_MAXIMIZED=FALSE&amp;VAR:CALENDAR=US&amp;VAR:SYMBOL=NEU&amp;VAR:INDEX=0"}</definedName>
    <definedName name="_2871__FDSAUDITLINK__" hidden="1">{"fdsup://directions/FAT Viewer?action=UPDATE&amp;creator=factset&amp;DYN_ARGS=TRUE&amp;DOC_NAME=FAT:FQL_AUDITING_CLIENT_TEMPLATE.FAT&amp;display_string=Audit&amp;VAR:KEY=REHCFKDOHG&amp;VAR:QUERY=Q1NGX0VCSVRfT1BFUihMVE1fUiwwKQ==&amp;WINDOW=FIRST_POPUP&amp;HEIGHT=450&amp;WIDTH=450&amp;START_MAXIMI","ZED=FALSE&amp;VAR:CALENDAR=US&amp;VAR:SYMBOL=MTX&amp;VAR:INDEX=0"}</definedName>
    <definedName name="_2872__FDSAUDITLINK__" hidden="1">{"fdsup://directions/FAT Viewer?action=UPDATE&amp;creator=factset&amp;DYN_ARGS=TRUE&amp;DOC_NAME=FAT:FQL_AUDITING_CLIENT_TEMPLATE.FAT&amp;display_string=Audit&amp;VAR:KEY=OHGTKPEPCZ&amp;VAR:QUERY=Q1NGX0VCSVRfT1BFUihBTk4sMTIvMzEvMTk4MCwxMi8zMS8yMDA5LEFZKQ==&amp;WINDOW=FIRST_POPUP&amp;HEIGH","T=450&amp;WIDTH=450&amp;START_MAXIMIZED=FALSE&amp;VAR:CALENDAR=US&amp;VAR:SYMBOL=MTX&amp;VAR:INDEX=29"}</definedName>
    <definedName name="_2873__FDSAUDITLINK__" hidden="1">{"fdsup://directions/FAT Viewer?action=UPDATE&amp;creator=factset&amp;DYN_ARGS=TRUE&amp;DOC_NAME=FAT:FQL_AUDITING_CLIENT_TEMPLATE.FAT&amp;display_string=Audit&amp;VAR:KEY=OHGTKPEPCZ&amp;VAR:QUERY=Q1NGX0VCSVRfT1BFUihBTk4sMTIvMzEvMTk4MCwxMi8zMS8yMDA5LEFZKQ==&amp;WINDOW=FIRST_POPUP&amp;HEIGH","T=450&amp;WIDTH=450&amp;START_MAXIMIZED=FALSE&amp;VAR:CALENDAR=US&amp;VAR:SYMBOL=MTX&amp;VAR:INDEX=28"}</definedName>
    <definedName name="_2874__FDSAUDITLINK__" hidden="1">{"fdsup://directions/FAT Viewer?action=UPDATE&amp;creator=factset&amp;DYN_ARGS=TRUE&amp;DOC_NAME=FAT:FQL_AUDITING_CLIENT_TEMPLATE.FAT&amp;display_string=Audit&amp;VAR:KEY=OHGTKPEPCZ&amp;VAR:QUERY=Q1NGX0VCSVRfT1BFUihBTk4sMTIvMzEvMTk4MCwxMi8zMS8yMDA5LEFZKQ==&amp;WINDOW=FIRST_POPUP&amp;HEIGH","T=450&amp;WIDTH=450&amp;START_MAXIMIZED=FALSE&amp;VAR:CALENDAR=US&amp;VAR:SYMBOL=MTX&amp;VAR:INDEX=27"}</definedName>
    <definedName name="_2875__FDSAUDITLINK__" hidden="1">{"fdsup://directions/FAT Viewer?action=UPDATE&amp;creator=factset&amp;DYN_ARGS=TRUE&amp;DOC_NAME=FAT:FQL_AUDITING_CLIENT_TEMPLATE.FAT&amp;display_string=Audit&amp;VAR:KEY=OHGTKPEPCZ&amp;VAR:QUERY=Q1NGX0VCSVRfT1BFUihBTk4sMTIvMzEvMTk4MCwxMi8zMS8yMDA5LEFZKQ==&amp;WINDOW=FIRST_POPUP&amp;HEIGH","T=450&amp;WIDTH=450&amp;START_MAXIMIZED=FALSE&amp;VAR:CALENDAR=US&amp;VAR:SYMBOL=MTX&amp;VAR:INDEX=26"}</definedName>
    <definedName name="_2876__FDSAUDITLINK__" hidden="1">{"fdsup://directions/FAT Viewer?action=UPDATE&amp;creator=factset&amp;DYN_ARGS=TRUE&amp;DOC_NAME=FAT:FQL_AUDITING_CLIENT_TEMPLATE.FAT&amp;display_string=Audit&amp;VAR:KEY=OHGTKPEPCZ&amp;VAR:QUERY=Q1NGX0VCSVRfT1BFUihBTk4sMTIvMzEvMTk4MCwxMi8zMS8yMDA5LEFZKQ==&amp;WINDOW=FIRST_POPUP&amp;HEIGH","T=450&amp;WIDTH=450&amp;START_MAXIMIZED=FALSE&amp;VAR:CALENDAR=US&amp;VAR:SYMBOL=MTX&amp;VAR:INDEX=25"}</definedName>
    <definedName name="_2877__FDSAUDITLINK__" hidden="1">{"fdsup://directions/FAT Viewer?action=UPDATE&amp;creator=factset&amp;DYN_ARGS=TRUE&amp;DOC_NAME=FAT:FQL_AUDITING_CLIENT_TEMPLATE.FAT&amp;display_string=Audit&amp;VAR:KEY=OHGTKPEPCZ&amp;VAR:QUERY=Q1NGX0VCSVRfT1BFUihBTk4sMTIvMzEvMTk4MCwxMi8zMS8yMDA5LEFZKQ==&amp;WINDOW=FIRST_POPUP&amp;HEIGH","T=450&amp;WIDTH=450&amp;START_MAXIMIZED=FALSE&amp;VAR:CALENDAR=US&amp;VAR:SYMBOL=MTX&amp;VAR:INDEX=24"}</definedName>
    <definedName name="_2878__FDSAUDITLINK__" hidden="1">{"fdsup://directions/FAT Viewer?action=UPDATE&amp;creator=factset&amp;DYN_ARGS=TRUE&amp;DOC_NAME=FAT:FQL_AUDITING_CLIENT_TEMPLATE.FAT&amp;display_string=Audit&amp;VAR:KEY=OHGTKPEPCZ&amp;VAR:QUERY=Q1NGX0VCSVRfT1BFUihBTk4sMTIvMzEvMTk4MCwxMi8zMS8yMDA5LEFZKQ==&amp;WINDOW=FIRST_POPUP&amp;HEIGH","T=450&amp;WIDTH=450&amp;START_MAXIMIZED=FALSE&amp;VAR:CALENDAR=US&amp;VAR:SYMBOL=MTX&amp;VAR:INDEX=23"}</definedName>
    <definedName name="_2879__FDSAUDITLINK__" hidden="1">{"fdsup://directions/FAT Viewer?action=UPDATE&amp;creator=factset&amp;DYN_ARGS=TRUE&amp;DOC_NAME=FAT:FQL_AUDITING_CLIENT_TEMPLATE.FAT&amp;display_string=Audit&amp;VAR:KEY=OHGTKPEPCZ&amp;VAR:QUERY=Q1NGX0VCSVRfT1BFUihBTk4sMTIvMzEvMTk4MCwxMi8zMS8yMDA5LEFZKQ==&amp;WINDOW=FIRST_POPUP&amp;HEIGH","T=450&amp;WIDTH=450&amp;START_MAXIMIZED=FALSE&amp;VAR:CALENDAR=US&amp;VAR:SYMBOL=MTX&amp;VAR:INDEX=22"}</definedName>
    <definedName name="_288__FDSAUDITLINK__" hidden="1">{"fdsup://directions/FAT Viewer?action=UPDATE&amp;creator=factset&amp;DYN_ARGS=TRUE&amp;DOC_NAME=FAT:FQL_AUDITING_CLIENT_TEMPLATE.FAT&amp;display_string=Audit&amp;VAR:KEY=ADGHCLGJUV&amp;VAR:QUERY=Q1NGX0VCSVRfT1BFUihBTk4sMTIvMzEvODAsMCk=&amp;WINDOW=FIRST_POPUP&amp;HEIGHT=450&amp;WIDTH=450&amp;STAR","T_MAXIMIZED=FALSE&amp;VAR:CALENDAR=US&amp;VAR:SYMBOL=GGC&amp;VAR:INDEX=14"}</definedName>
    <definedName name="_2880__FDSAUDITLINK__" hidden="1">{"fdsup://directions/FAT Viewer?action=UPDATE&amp;creator=factset&amp;DYN_ARGS=TRUE&amp;DOC_NAME=FAT:FQL_AUDITING_CLIENT_TEMPLATE.FAT&amp;display_string=Audit&amp;VAR:KEY=OHGTKPEPCZ&amp;VAR:QUERY=Q1NGX0VCSVRfT1BFUihBTk4sMTIvMzEvMTk4MCwxMi8zMS8yMDA5LEFZKQ==&amp;WINDOW=FIRST_POPUP&amp;HEIGH","T=450&amp;WIDTH=450&amp;START_MAXIMIZED=FALSE&amp;VAR:CALENDAR=US&amp;VAR:SYMBOL=MTX&amp;VAR:INDEX=21"}</definedName>
    <definedName name="_2881__FDSAUDITLINK__" hidden="1">{"fdsup://directions/FAT Viewer?action=UPDATE&amp;creator=factset&amp;DYN_ARGS=TRUE&amp;DOC_NAME=FAT:FQL_AUDITING_CLIENT_TEMPLATE.FAT&amp;display_string=Audit&amp;VAR:KEY=OHGTKPEPCZ&amp;VAR:QUERY=Q1NGX0VCSVRfT1BFUihBTk4sMTIvMzEvMTk4MCwxMi8zMS8yMDA5LEFZKQ==&amp;WINDOW=FIRST_POPUP&amp;HEIGH","T=450&amp;WIDTH=450&amp;START_MAXIMIZED=FALSE&amp;VAR:CALENDAR=US&amp;VAR:SYMBOL=MTX&amp;VAR:INDEX=20"}</definedName>
    <definedName name="_2882__FDSAUDITLINK__" hidden="1">{"fdsup://directions/FAT Viewer?action=UPDATE&amp;creator=factset&amp;DYN_ARGS=TRUE&amp;DOC_NAME=FAT:FQL_AUDITING_CLIENT_TEMPLATE.FAT&amp;display_string=Audit&amp;VAR:KEY=OHGTKPEPCZ&amp;VAR:QUERY=Q1NGX0VCSVRfT1BFUihBTk4sMTIvMzEvMTk4MCwxMi8zMS8yMDA5LEFZKQ==&amp;WINDOW=FIRST_POPUP&amp;HEIGH","T=450&amp;WIDTH=450&amp;START_MAXIMIZED=FALSE&amp;VAR:CALENDAR=US&amp;VAR:SYMBOL=MTX&amp;VAR:INDEX=19"}</definedName>
    <definedName name="_2883__FDSAUDITLINK__" hidden="1">{"fdsup://directions/FAT Viewer?action=UPDATE&amp;creator=factset&amp;DYN_ARGS=TRUE&amp;DOC_NAME=FAT:FQL_AUDITING_CLIENT_TEMPLATE.FAT&amp;display_string=Audit&amp;VAR:KEY=OHGTKPEPCZ&amp;VAR:QUERY=Q1NGX0VCSVRfT1BFUihBTk4sMTIvMzEvMTk4MCwxMi8zMS8yMDA5LEFZKQ==&amp;WINDOW=FIRST_POPUP&amp;HEIGH","T=450&amp;WIDTH=450&amp;START_MAXIMIZED=FALSE&amp;VAR:CALENDAR=US&amp;VAR:SYMBOL=MTX&amp;VAR:INDEX=18"}</definedName>
    <definedName name="_2884__FDSAUDITLINK__" hidden="1">{"fdsup://directions/FAT Viewer?action=UPDATE&amp;creator=factset&amp;DYN_ARGS=TRUE&amp;DOC_NAME=FAT:FQL_AUDITING_CLIENT_TEMPLATE.FAT&amp;display_string=Audit&amp;VAR:KEY=OHGTKPEPCZ&amp;VAR:QUERY=Q1NGX0VCSVRfT1BFUihBTk4sMTIvMzEvMTk4MCwxMi8zMS8yMDA5LEFZKQ==&amp;WINDOW=FIRST_POPUP&amp;HEIGH","T=450&amp;WIDTH=450&amp;START_MAXIMIZED=FALSE&amp;VAR:CALENDAR=US&amp;VAR:SYMBOL=MTX&amp;VAR:INDEX=17"}</definedName>
    <definedName name="_2885__FDSAUDITLINK__" hidden="1">{"fdsup://directions/FAT Viewer?action=UPDATE&amp;creator=factset&amp;DYN_ARGS=TRUE&amp;DOC_NAME=FAT:FQL_AUDITING_CLIENT_TEMPLATE.FAT&amp;display_string=Audit&amp;VAR:KEY=OHGTKPEPCZ&amp;VAR:QUERY=Q1NGX0VCSVRfT1BFUihBTk4sMTIvMzEvMTk4MCwxMi8zMS8yMDA5LEFZKQ==&amp;WINDOW=FIRST_POPUP&amp;HEIGH","T=450&amp;WIDTH=450&amp;START_MAXIMIZED=FALSE&amp;VAR:CALENDAR=US&amp;VAR:SYMBOL=MTX&amp;VAR:INDEX=16"}</definedName>
    <definedName name="_2886__FDSAUDITLINK__" hidden="1">{"fdsup://directions/FAT Viewer?action=UPDATE&amp;creator=factset&amp;DYN_ARGS=TRUE&amp;DOC_NAME=FAT:FQL_AUDITING_CLIENT_TEMPLATE.FAT&amp;display_string=Audit&amp;VAR:KEY=OHGTKPEPCZ&amp;VAR:QUERY=Q1NGX0VCSVRfT1BFUihBTk4sMTIvMzEvMTk4MCwxMi8zMS8yMDA5LEFZKQ==&amp;WINDOW=FIRST_POPUP&amp;HEIGH","T=450&amp;WIDTH=450&amp;START_MAXIMIZED=FALSE&amp;VAR:CALENDAR=US&amp;VAR:SYMBOL=MTX&amp;VAR:INDEX=15"}</definedName>
    <definedName name="_2887__FDSAUDITLINK__" hidden="1">{"fdsup://directions/FAT Viewer?action=UPDATE&amp;creator=factset&amp;DYN_ARGS=TRUE&amp;DOC_NAME=FAT:FQL_AUDITING_CLIENT_TEMPLATE.FAT&amp;display_string=Audit&amp;VAR:KEY=OHGTKPEPCZ&amp;VAR:QUERY=Q1NGX0VCSVRfT1BFUihBTk4sMTIvMzEvMTk4MCwxMi8zMS8yMDA5LEFZKQ==&amp;WINDOW=FIRST_POPUP&amp;HEIGH","T=450&amp;WIDTH=450&amp;START_MAXIMIZED=FALSE&amp;VAR:CALENDAR=US&amp;VAR:SYMBOL=MTX&amp;VAR:INDEX=14"}</definedName>
    <definedName name="_2888__FDSAUDITLINK__" hidden="1">{"fdsup://directions/FAT Viewer?action=UPDATE&amp;creator=factset&amp;DYN_ARGS=TRUE&amp;DOC_NAME=FAT:FQL_AUDITING_CLIENT_TEMPLATE.FAT&amp;display_string=Audit&amp;VAR:KEY=OHGTKPEPCZ&amp;VAR:QUERY=Q1NGX0VCSVRfT1BFUihBTk4sMTIvMzEvMTk4MCwxMi8zMS8yMDA5LEFZKQ==&amp;WINDOW=FIRST_POPUP&amp;HEIGH","T=450&amp;WIDTH=450&amp;START_MAXIMIZED=FALSE&amp;VAR:CALENDAR=US&amp;VAR:SYMBOL=MTX&amp;VAR:INDEX=13"}</definedName>
    <definedName name="_2889__FDSAUDITLINK__" hidden="1">{"fdsup://directions/FAT Viewer?action=UPDATE&amp;creator=factset&amp;DYN_ARGS=TRUE&amp;DOC_NAME=FAT:FQL_AUDITING_CLIENT_TEMPLATE.FAT&amp;display_string=Audit&amp;VAR:KEY=OHGTKPEPCZ&amp;VAR:QUERY=Q1NGX0VCSVRfT1BFUihBTk4sMTIvMzEvMTk4MCwxMi8zMS8yMDA5LEFZKQ==&amp;WINDOW=FIRST_POPUP&amp;HEIGH","T=450&amp;WIDTH=450&amp;START_MAXIMIZED=FALSE&amp;VAR:CALENDAR=US&amp;VAR:SYMBOL=MTX&amp;VAR:INDEX=12"}</definedName>
    <definedName name="_289__FDSAUDITLINK__" hidden="1">{"fdsup://directions/FAT Viewer?action=UPDATE&amp;creator=factset&amp;DYN_ARGS=TRUE&amp;DOC_NAME=FAT:FQL_AUDITING_CLIENT_TEMPLATE.FAT&amp;display_string=Audit&amp;VAR:KEY=ADGHCLGJUV&amp;VAR:QUERY=Q1NGX0VCSVRfT1BFUihBTk4sMTIvMzEvODAsMCk=&amp;WINDOW=FIRST_POPUP&amp;HEIGHT=450&amp;WIDTH=450&amp;STAR","T_MAXIMIZED=FALSE&amp;VAR:CALENDAR=US&amp;VAR:SYMBOL=GGC&amp;VAR:INDEX=13"}</definedName>
    <definedName name="_2890__FDSAUDITLINK__" hidden="1">{"fdsup://directions/FAT Viewer?action=UPDATE&amp;creator=factset&amp;DYN_ARGS=TRUE&amp;DOC_NAME=FAT:FQL_AUDITING_CLIENT_TEMPLATE.FAT&amp;display_string=Audit&amp;VAR:KEY=OHGTKPEPCZ&amp;VAR:QUERY=Q1NGX0VCSVRfT1BFUihBTk4sMTIvMzEvMTk4MCwxMi8zMS8yMDA5LEFZKQ==&amp;WINDOW=FIRST_POPUP&amp;HEIGH","T=450&amp;WIDTH=450&amp;START_MAXIMIZED=FALSE&amp;VAR:CALENDAR=US&amp;VAR:SYMBOL=MTX&amp;VAR:INDEX=11"}</definedName>
    <definedName name="_2891__FDSAUDITLINK__" hidden="1">{"fdsup://directions/FAT Viewer?action=UPDATE&amp;creator=factset&amp;DYN_ARGS=TRUE&amp;DOC_NAME=FAT:FQL_AUDITING_CLIENT_TEMPLATE.FAT&amp;display_string=Audit&amp;VAR:KEY=OHGTKPEPCZ&amp;VAR:QUERY=Q1NGX0VCSVRfT1BFUihBTk4sMTIvMzEvMTk4MCwxMi8zMS8yMDA5LEFZKQ==&amp;WINDOW=FIRST_POPUP&amp;HEIGH","T=450&amp;WIDTH=450&amp;START_MAXIMIZED=FALSE&amp;VAR:CALENDAR=US&amp;VAR:SYMBOL=MTX&amp;VAR:INDEX=10"}</definedName>
    <definedName name="_2892__FDSAUDITLINK__" hidden="1">{"fdsup://directions/FAT Viewer?action=UPDATE&amp;creator=factset&amp;DYN_ARGS=TRUE&amp;DOC_NAME=FAT:FQL_AUDITING_CLIENT_TEMPLATE.FAT&amp;display_string=Audit&amp;VAR:KEY=OHGTKPEPCZ&amp;VAR:QUERY=Q1NGX0VCSVRfT1BFUihBTk4sMTIvMzEvMTk4MCwxMi8zMS8yMDA5LEFZKQ==&amp;WINDOW=FIRST_POPUP&amp;HEIGH","T=450&amp;WIDTH=450&amp;START_MAXIMIZED=FALSE&amp;VAR:CALENDAR=US&amp;VAR:SYMBOL=MTX&amp;VAR:INDEX=9"}</definedName>
    <definedName name="_2893__FDSAUDITLINK__" hidden="1">{"fdsup://directions/FAT Viewer?action=UPDATE&amp;creator=factset&amp;DYN_ARGS=TRUE&amp;DOC_NAME=FAT:FQL_AUDITING_CLIENT_TEMPLATE.FAT&amp;display_string=Audit&amp;VAR:KEY=OHGTKPEPCZ&amp;VAR:QUERY=Q1NGX0VCSVRfT1BFUihBTk4sMTIvMzEvMTk4MCwxMi8zMS8yMDA5LEFZKQ==&amp;WINDOW=FIRST_POPUP&amp;HEIGH","T=450&amp;WIDTH=450&amp;START_MAXIMIZED=FALSE&amp;VAR:CALENDAR=US&amp;VAR:SYMBOL=MTX&amp;VAR:INDEX=8"}</definedName>
    <definedName name="_2894__FDSAUDITLINK__" hidden="1">{"fdsup://directions/FAT Viewer?action=UPDATE&amp;creator=factset&amp;DYN_ARGS=TRUE&amp;DOC_NAME=FAT:FQL_AUDITING_CLIENT_TEMPLATE.FAT&amp;display_string=Audit&amp;VAR:KEY=OHGTKPEPCZ&amp;VAR:QUERY=Q1NGX0VCSVRfT1BFUihBTk4sMTIvMzEvMTk4MCwxMi8zMS8yMDA5LEFZKQ==&amp;WINDOW=FIRST_POPUP&amp;HEIGH","T=450&amp;WIDTH=450&amp;START_MAXIMIZED=FALSE&amp;VAR:CALENDAR=US&amp;VAR:SYMBOL=MTX&amp;VAR:INDEX=7"}</definedName>
    <definedName name="_2895__FDSAUDITLINK__" hidden="1">{"fdsup://directions/FAT Viewer?action=UPDATE&amp;creator=factset&amp;DYN_ARGS=TRUE&amp;DOC_NAME=FAT:FQL_AUDITING_CLIENT_TEMPLATE.FAT&amp;display_string=Audit&amp;VAR:KEY=OHGTKPEPCZ&amp;VAR:QUERY=Q1NGX0VCSVRfT1BFUihBTk4sMTIvMzEvMTk4MCwxMi8zMS8yMDA5LEFZKQ==&amp;WINDOW=FIRST_POPUP&amp;HEIGH","T=450&amp;WIDTH=450&amp;START_MAXIMIZED=FALSE&amp;VAR:CALENDAR=US&amp;VAR:SYMBOL=MTX&amp;VAR:INDEX=6"}</definedName>
    <definedName name="_2896__FDSAUDITLINK__" hidden="1">{"fdsup://directions/FAT Viewer?action=UPDATE&amp;creator=factset&amp;DYN_ARGS=TRUE&amp;DOC_NAME=FAT:FQL_AUDITING_CLIENT_TEMPLATE.FAT&amp;display_string=Audit&amp;VAR:KEY=OHGTKPEPCZ&amp;VAR:QUERY=Q1NGX0VCSVRfT1BFUihBTk4sMTIvMzEvMTk4MCwxMi8zMS8yMDA5LEFZKQ==&amp;WINDOW=FIRST_POPUP&amp;HEIGH","T=450&amp;WIDTH=450&amp;START_MAXIMIZED=FALSE&amp;VAR:CALENDAR=US&amp;VAR:SYMBOL=MTX&amp;VAR:INDEX=5"}</definedName>
    <definedName name="_2897__FDSAUDITLINK__" hidden="1">{"fdsup://directions/FAT Viewer?action=UPDATE&amp;creator=factset&amp;DYN_ARGS=TRUE&amp;DOC_NAME=FAT:FQL_AUDITING_CLIENT_TEMPLATE.FAT&amp;display_string=Audit&amp;VAR:KEY=OHGTKPEPCZ&amp;VAR:QUERY=Q1NGX0VCSVRfT1BFUihBTk4sMTIvMzEvMTk4MCwxMi8zMS8yMDA5LEFZKQ==&amp;WINDOW=FIRST_POPUP&amp;HEIGH","T=450&amp;WIDTH=450&amp;START_MAXIMIZED=FALSE&amp;VAR:CALENDAR=US&amp;VAR:SYMBOL=MTX&amp;VAR:INDEX=4"}</definedName>
    <definedName name="_2898__FDSAUDITLINK__" hidden="1">{"fdsup://directions/FAT Viewer?action=UPDATE&amp;creator=factset&amp;DYN_ARGS=TRUE&amp;DOC_NAME=FAT:FQL_AUDITING_CLIENT_TEMPLATE.FAT&amp;display_string=Audit&amp;VAR:KEY=OHGTKPEPCZ&amp;VAR:QUERY=Q1NGX0VCSVRfT1BFUihBTk4sMTIvMzEvMTk4MCwxMi8zMS8yMDA5LEFZKQ==&amp;WINDOW=FIRST_POPUP&amp;HEIGH","T=450&amp;WIDTH=450&amp;START_MAXIMIZED=FALSE&amp;VAR:CALENDAR=US&amp;VAR:SYMBOL=MTX&amp;VAR:INDEX=3"}</definedName>
    <definedName name="_2899__FDSAUDITLINK__" hidden="1">{"fdsup://directions/FAT Viewer?action=UPDATE&amp;creator=factset&amp;DYN_ARGS=TRUE&amp;DOC_NAME=FAT:FQL_AUDITING_CLIENT_TEMPLATE.FAT&amp;display_string=Audit&amp;VAR:KEY=OHGTKPEPCZ&amp;VAR:QUERY=Q1NGX0VCSVRfT1BFUihBTk4sMTIvMzEvMTk4MCwxMi8zMS8yMDA5LEFZKQ==&amp;WINDOW=FIRST_POPUP&amp;HEIGH","T=450&amp;WIDTH=450&amp;START_MAXIMIZED=FALSE&amp;VAR:CALENDAR=US&amp;VAR:SYMBOL=MTX&amp;VAR:INDEX=2"}</definedName>
    <definedName name="_29__FDSAUDITLINK__" hidden="1">{"fdsup://directions/FAT Viewer?action=UPDATE&amp;creator=factset&amp;DYN_ARGS=TRUE&amp;DOC_NAME=FAT:FQL_AUDITING_CLIENT_TEMPLATE.FAT&amp;display_string=Audit&amp;VAR:KEY=ENSRGJQTEJ&amp;VAR:QUERY=Q1NGX0VCSVREQV9PUEVSKExUTV9SLDAp&amp;WINDOW=FIRST_POPUP&amp;HEIGHT=450&amp;WIDTH=450&amp;START_MAXIMI","ZED=FALSE&amp;VAR:CALENDAR=US&amp;VAR:SYMBOL=ALB&amp;VAR:INDEX=0"}</definedName>
    <definedName name="_290__FDSAUDITLINK__" hidden="1">{"fdsup://directions/FAT Viewer?action=UPDATE&amp;creator=factset&amp;DYN_ARGS=TRUE&amp;DOC_NAME=FAT:FQL_AUDITING_CLIENT_TEMPLATE.FAT&amp;display_string=Audit&amp;VAR:KEY=ADGHCLGJUV&amp;VAR:QUERY=Q1NGX0VCSVRfT1BFUihBTk4sMTIvMzEvODAsMCk=&amp;WINDOW=FIRST_POPUP&amp;HEIGHT=450&amp;WIDTH=450&amp;STAR","T_MAXIMIZED=FALSE&amp;VAR:CALENDAR=US&amp;VAR:SYMBOL=GGC&amp;VAR:INDEX=12"}</definedName>
    <definedName name="_2900__FDSAUDITLINK__" hidden="1">{"fdsup://directions/FAT Viewer?action=UPDATE&amp;creator=factset&amp;DYN_ARGS=TRUE&amp;DOC_NAME=FAT:FQL_AUDITING_CLIENT_TEMPLATE.FAT&amp;display_string=Audit&amp;VAR:KEY=OHGTKPEPCZ&amp;VAR:QUERY=Q1NGX0VCSVRfT1BFUihBTk4sMTIvMzEvMTk4MCwxMi8zMS8yMDA5LEFZKQ==&amp;WINDOW=FIRST_POPUP&amp;HEIGH","T=450&amp;WIDTH=450&amp;START_MAXIMIZED=FALSE&amp;VAR:CALENDAR=US&amp;VAR:SYMBOL=MTX&amp;VAR:INDEX=1"}</definedName>
    <definedName name="_2901__FDSAUDITLINK__" hidden="1">{"fdsup://directions/FAT Viewer?action=UPDATE&amp;creator=factset&amp;DYN_ARGS=TRUE&amp;DOC_NAME=FAT:FQL_AUDITING_CLIENT_TEMPLATE.FAT&amp;display_string=Audit&amp;VAR:KEY=OHGTKPEPCZ&amp;VAR:QUERY=Q1NGX0VCSVRfT1BFUihBTk4sMTIvMzEvMTk4MCwxMi8zMS8yMDA5LEFZKQ==&amp;WINDOW=FIRST_POPUP&amp;HEIGH","T=450&amp;WIDTH=450&amp;START_MAXIMIZED=FALSE&amp;VAR:CALENDAR=US&amp;VAR:SYMBOL=MTX&amp;VAR:INDEX=0"}</definedName>
    <definedName name="_2902__FDSAUDITLINK__" hidden="1">{"fdsup://directions/FAT Viewer?action=UPDATE&amp;creator=factset&amp;DYN_ARGS=TRUE&amp;DOC_NAME=FAT:FQL_AUDITING_CLIENT_TEMPLATE.FAT&amp;display_string=Audit&amp;VAR:KEY=VCDEVQNWTW&amp;VAR:QUERY=Q1NGX0VCSVRfT1BFUihMVE1fUiwwKQ==&amp;WINDOW=FIRST_POPUP&amp;HEIGHT=450&amp;WIDTH=450&amp;START_MAXIMI","ZED=FALSE&amp;VAR:CALENDAR=US&amp;VAR:SYMBOL=LZ&amp;VAR:INDEX=0"}</definedName>
    <definedName name="_2903__FDSAUDITLINK__" hidden="1">{"fdsup://directions/FAT Viewer?action=UPDATE&amp;creator=factset&amp;DYN_ARGS=TRUE&amp;DOC_NAME=FAT:FQL_AUDITING_CLIENT_TEMPLATE.FAT&amp;display_string=Audit&amp;VAR:KEY=MNKTYRQHWJ&amp;VAR:QUERY=Q1NGX0VCSVRfT1BFUihBTk4sMTIvMzEvMTk4MCwxMi8zMS8yMDA5LEFZKQ==&amp;WINDOW=FIRST_POPUP&amp;HEIGH","T=450&amp;WIDTH=450&amp;START_MAXIMIZED=FALSE&amp;VAR:CALENDAR=US&amp;VAR:SYMBOL=LZ&amp;VAR:INDEX=29"}</definedName>
    <definedName name="_2904__FDSAUDITLINK__" hidden="1">{"fdsup://directions/FAT Viewer?action=UPDATE&amp;creator=factset&amp;DYN_ARGS=TRUE&amp;DOC_NAME=FAT:FQL_AUDITING_CLIENT_TEMPLATE.FAT&amp;display_string=Audit&amp;VAR:KEY=MNKTYRQHWJ&amp;VAR:QUERY=Q1NGX0VCSVRfT1BFUihBTk4sMTIvMzEvMTk4MCwxMi8zMS8yMDA5LEFZKQ==&amp;WINDOW=FIRST_POPUP&amp;HEIGH","T=450&amp;WIDTH=450&amp;START_MAXIMIZED=FALSE&amp;VAR:CALENDAR=US&amp;VAR:SYMBOL=LZ&amp;VAR:INDEX=28"}</definedName>
    <definedName name="_2905__FDSAUDITLINK__" hidden="1">{"fdsup://directions/FAT Viewer?action=UPDATE&amp;creator=factset&amp;DYN_ARGS=TRUE&amp;DOC_NAME=FAT:FQL_AUDITING_CLIENT_TEMPLATE.FAT&amp;display_string=Audit&amp;VAR:KEY=MNKTYRQHWJ&amp;VAR:QUERY=Q1NGX0VCSVRfT1BFUihBTk4sMTIvMzEvMTk4MCwxMi8zMS8yMDA5LEFZKQ==&amp;WINDOW=FIRST_POPUP&amp;HEIGH","T=450&amp;WIDTH=450&amp;START_MAXIMIZED=FALSE&amp;VAR:CALENDAR=US&amp;VAR:SYMBOL=LZ&amp;VAR:INDEX=27"}</definedName>
    <definedName name="_2906__FDSAUDITLINK__" hidden="1">{"fdsup://directions/FAT Viewer?action=UPDATE&amp;creator=factset&amp;DYN_ARGS=TRUE&amp;DOC_NAME=FAT:FQL_AUDITING_CLIENT_TEMPLATE.FAT&amp;display_string=Audit&amp;VAR:KEY=MNKTYRQHWJ&amp;VAR:QUERY=Q1NGX0VCSVRfT1BFUihBTk4sMTIvMzEvMTk4MCwxMi8zMS8yMDA5LEFZKQ==&amp;WINDOW=FIRST_POPUP&amp;HEIGH","T=450&amp;WIDTH=450&amp;START_MAXIMIZED=FALSE&amp;VAR:CALENDAR=US&amp;VAR:SYMBOL=LZ&amp;VAR:INDEX=26"}</definedName>
    <definedName name="_2907__FDSAUDITLINK__" hidden="1">{"fdsup://directions/FAT Viewer?action=UPDATE&amp;creator=factset&amp;DYN_ARGS=TRUE&amp;DOC_NAME=FAT:FQL_AUDITING_CLIENT_TEMPLATE.FAT&amp;display_string=Audit&amp;VAR:KEY=MNKTYRQHWJ&amp;VAR:QUERY=Q1NGX0VCSVRfT1BFUihBTk4sMTIvMzEvMTk4MCwxMi8zMS8yMDA5LEFZKQ==&amp;WINDOW=FIRST_POPUP&amp;HEIGH","T=450&amp;WIDTH=450&amp;START_MAXIMIZED=FALSE&amp;VAR:CALENDAR=US&amp;VAR:SYMBOL=LZ&amp;VAR:INDEX=25"}</definedName>
    <definedName name="_2908__FDSAUDITLINK__" hidden="1">{"fdsup://directions/FAT Viewer?action=UPDATE&amp;creator=factset&amp;DYN_ARGS=TRUE&amp;DOC_NAME=FAT:FQL_AUDITING_CLIENT_TEMPLATE.FAT&amp;display_string=Audit&amp;VAR:KEY=MNKTYRQHWJ&amp;VAR:QUERY=Q1NGX0VCSVRfT1BFUihBTk4sMTIvMzEvMTk4MCwxMi8zMS8yMDA5LEFZKQ==&amp;WINDOW=FIRST_POPUP&amp;HEIGH","T=450&amp;WIDTH=450&amp;START_MAXIMIZED=FALSE&amp;VAR:CALENDAR=US&amp;VAR:SYMBOL=LZ&amp;VAR:INDEX=24"}</definedName>
    <definedName name="_2909__FDSAUDITLINK__" hidden="1">{"fdsup://directions/FAT Viewer?action=UPDATE&amp;creator=factset&amp;DYN_ARGS=TRUE&amp;DOC_NAME=FAT:FQL_AUDITING_CLIENT_TEMPLATE.FAT&amp;display_string=Audit&amp;VAR:KEY=MNKTYRQHWJ&amp;VAR:QUERY=Q1NGX0VCSVRfT1BFUihBTk4sMTIvMzEvMTk4MCwxMi8zMS8yMDA5LEFZKQ==&amp;WINDOW=FIRST_POPUP&amp;HEIGH","T=450&amp;WIDTH=450&amp;START_MAXIMIZED=FALSE&amp;VAR:CALENDAR=US&amp;VAR:SYMBOL=LZ&amp;VAR:INDEX=23"}</definedName>
    <definedName name="_291__FDSAUDITLINK__" hidden="1">{"fdsup://directions/FAT Viewer?action=UPDATE&amp;creator=factset&amp;DYN_ARGS=TRUE&amp;DOC_NAME=FAT:FQL_AUDITING_CLIENT_TEMPLATE.FAT&amp;display_string=Audit&amp;VAR:KEY=ADGHCLGJUV&amp;VAR:QUERY=Q1NGX0VCSVRfT1BFUihBTk4sMTIvMzEvODAsMCk=&amp;WINDOW=FIRST_POPUP&amp;HEIGHT=450&amp;WIDTH=450&amp;STAR","T_MAXIMIZED=FALSE&amp;VAR:CALENDAR=US&amp;VAR:SYMBOL=GGC&amp;VAR:INDEX=11"}</definedName>
    <definedName name="_2910__FDSAUDITLINK__" hidden="1">{"fdsup://directions/FAT Viewer?action=UPDATE&amp;creator=factset&amp;DYN_ARGS=TRUE&amp;DOC_NAME=FAT:FQL_AUDITING_CLIENT_TEMPLATE.FAT&amp;display_string=Audit&amp;VAR:KEY=MNKTYRQHWJ&amp;VAR:QUERY=Q1NGX0VCSVRfT1BFUihBTk4sMTIvMzEvMTk4MCwxMi8zMS8yMDA5LEFZKQ==&amp;WINDOW=FIRST_POPUP&amp;HEIGH","T=450&amp;WIDTH=450&amp;START_MAXIMIZED=FALSE&amp;VAR:CALENDAR=US&amp;VAR:SYMBOL=LZ&amp;VAR:INDEX=22"}</definedName>
    <definedName name="_2911__FDSAUDITLINK__" hidden="1">{"fdsup://directions/FAT Viewer?action=UPDATE&amp;creator=factset&amp;DYN_ARGS=TRUE&amp;DOC_NAME=FAT:FQL_AUDITING_CLIENT_TEMPLATE.FAT&amp;display_string=Audit&amp;VAR:KEY=MNKTYRQHWJ&amp;VAR:QUERY=Q1NGX0VCSVRfT1BFUihBTk4sMTIvMzEvMTk4MCwxMi8zMS8yMDA5LEFZKQ==&amp;WINDOW=FIRST_POPUP&amp;HEIGH","T=450&amp;WIDTH=450&amp;START_MAXIMIZED=FALSE&amp;VAR:CALENDAR=US&amp;VAR:SYMBOL=LZ&amp;VAR:INDEX=21"}</definedName>
    <definedName name="_2912__FDSAUDITLINK__" hidden="1">{"fdsup://directions/FAT Viewer?action=UPDATE&amp;creator=factset&amp;DYN_ARGS=TRUE&amp;DOC_NAME=FAT:FQL_AUDITING_CLIENT_TEMPLATE.FAT&amp;display_string=Audit&amp;VAR:KEY=MNKTYRQHWJ&amp;VAR:QUERY=Q1NGX0VCSVRfT1BFUihBTk4sMTIvMzEvMTk4MCwxMi8zMS8yMDA5LEFZKQ==&amp;WINDOW=FIRST_POPUP&amp;HEIGH","T=450&amp;WIDTH=450&amp;START_MAXIMIZED=FALSE&amp;VAR:CALENDAR=US&amp;VAR:SYMBOL=LZ&amp;VAR:INDEX=20"}</definedName>
    <definedName name="_2913__FDSAUDITLINK__" hidden="1">{"fdsup://directions/FAT Viewer?action=UPDATE&amp;creator=factset&amp;DYN_ARGS=TRUE&amp;DOC_NAME=FAT:FQL_AUDITING_CLIENT_TEMPLATE.FAT&amp;display_string=Audit&amp;VAR:KEY=MNKTYRQHWJ&amp;VAR:QUERY=Q1NGX0VCSVRfT1BFUihBTk4sMTIvMzEvMTk4MCwxMi8zMS8yMDA5LEFZKQ==&amp;WINDOW=FIRST_POPUP&amp;HEIGH","T=450&amp;WIDTH=450&amp;START_MAXIMIZED=FALSE&amp;VAR:CALENDAR=US&amp;VAR:SYMBOL=LZ&amp;VAR:INDEX=19"}</definedName>
    <definedName name="_2914__FDSAUDITLINK__" hidden="1">{"fdsup://directions/FAT Viewer?action=UPDATE&amp;creator=factset&amp;DYN_ARGS=TRUE&amp;DOC_NAME=FAT:FQL_AUDITING_CLIENT_TEMPLATE.FAT&amp;display_string=Audit&amp;VAR:KEY=MNKTYRQHWJ&amp;VAR:QUERY=Q1NGX0VCSVRfT1BFUihBTk4sMTIvMzEvMTk4MCwxMi8zMS8yMDA5LEFZKQ==&amp;WINDOW=FIRST_POPUP&amp;HEIGH","T=450&amp;WIDTH=450&amp;START_MAXIMIZED=FALSE&amp;VAR:CALENDAR=US&amp;VAR:SYMBOL=LZ&amp;VAR:INDEX=18"}</definedName>
    <definedName name="_2915__FDSAUDITLINK__" hidden="1">{"fdsup://directions/FAT Viewer?action=UPDATE&amp;creator=factset&amp;DYN_ARGS=TRUE&amp;DOC_NAME=FAT:FQL_AUDITING_CLIENT_TEMPLATE.FAT&amp;display_string=Audit&amp;VAR:KEY=MNKTYRQHWJ&amp;VAR:QUERY=Q1NGX0VCSVRfT1BFUihBTk4sMTIvMzEvMTk4MCwxMi8zMS8yMDA5LEFZKQ==&amp;WINDOW=FIRST_POPUP&amp;HEIGH","T=450&amp;WIDTH=450&amp;START_MAXIMIZED=FALSE&amp;VAR:CALENDAR=US&amp;VAR:SYMBOL=LZ&amp;VAR:INDEX=17"}</definedName>
    <definedName name="_2916__FDSAUDITLINK__" hidden="1">{"fdsup://directions/FAT Viewer?action=UPDATE&amp;creator=factset&amp;DYN_ARGS=TRUE&amp;DOC_NAME=FAT:FQL_AUDITING_CLIENT_TEMPLATE.FAT&amp;display_string=Audit&amp;VAR:KEY=MNKTYRQHWJ&amp;VAR:QUERY=Q1NGX0VCSVRfT1BFUihBTk4sMTIvMzEvMTk4MCwxMi8zMS8yMDA5LEFZKQ==&amp;WINDOW=FIRST_POPUP&amp;HEIGH","T=450&amp;WIDTH=450&amp;START_MAXIMIZED=FALSE&amp;VAR:CALENDAR=US&amp;VAR:SYMBOL=LZ&amp;VAR:INDEX=16"}</definedName>
    <definedName name="_2917__FDSAUDITLINK__" hidden="1">{"fdsup://directions/FAT Viewer?action=UPDATE&amp;creator=factset&amp;DYN_ARGS=TRUE&amp;DOC_NAME=FAT:FQL_AUDITING_CLIENT_TEMPLATE.FAT&amp;display_string=Audit&amp;VAR:KEY=MNKTYRQHWJ&amp;VAR:QUERY=Q1NGX0VCSVRfT1BFUihBTk4sMTIvMzEvMTk4MCwxMi8zMS8yMDA5LEFZKQ==&amp;WINDOW=FIRST_POPUP&amp;HEIGH","T=450&amp;WIDTH=450&amp;START_MAXIMIZED=FALSE&amp;VAR:CALENDAR=US&amp;VAR:SYMBOL=LZ&amp;VAR:INDEX=15"}</definedName>
    <definedName name="_2918__FDSAUDITLINK__" hidden="1">{"fdsup://directions/FAT Viewer?action=UPDATE&amp;creator=factset&amp;DYN_ARGS=TRUE&amp;DOC_NAME=FAT:FQL_AUDITING_CLIENT_TEMPLATE.FAT&amp;display_string=Audit&amp;VAR:KEY=MNKTYRQHWJ&amp;VAR:QUERY=Q1NGX0VCSVRfT1BFUihBTk4sMTIvMzEvMTk4MCwxMi8zMS8yMDA5LEFZKQ==&amp;WINDOW=FIRST_POPUP&amp;HEIGH","T=450&amp;WIDTH=450&amp;START_MAXIMIZED=FALSE&amp;VAR:CALENDAR=US&amp;VAR:SYMBOL=LZ&amp;VAR:INDEX=14"}</definedName>
    <definedName name="_2919__FDSAUDITLINK__" hidden="1">{"fdsup://directions/FAT Viewer?action=UPDATE&amp;creator=factset&amp;DYN_ARGS=TRUE&amp;DOC_NAME=FAT:FQL_AUDITING_CLIENT_TEMPLATE.FAT&amp;display_string=Audit&amp;VAR:KEY=MNKTYRQHWJ&amp;VAR:QUERY=Q1NGX0VCSVRfT1BFUihBTk4sMTIvMzEvMTk4MCwxMi8zMS8yMDA5LEFZKQ==&amp;WINDOW=FIRST_POPUP&amp;HEIGH","T=450&amp;WIDTH=450&amp;START_MAXIMIZED=FALSE&amp;VAR:CALENDAR=US&amp;VAR:SYMBOL=LZ&amp;VAR:INDEX=13"}</definedName>
    <definedName name="_292__FDSAUDITLINK__" hidden="1">{"fdsup://directions/FAT Viewer?action=UPDATE&amp;creator=factset&amp;DYN_ARGS=TRUE&amp;DOC_NAME=FAT:FQL_AUDITING_CLIENT_TEMPLATE.FAT&amp;display_string=Audit&amp;VAR:KEY=ADGHCLGJUV&amp;VAR:QUERY=Q1NGX0VCSVRfT1BFUihBTk4sMTIvMzEvODAsMCk=&amp;WINDOW=FIRST_POPUP&amp;HEIGHT=450&amp;WIDTH=450&amp;STAR","T_MAXIMIZED=FALSE&amp;VAR:CALENDAR=US&amp;VAR:SYMBOL=GGC&amp;VAR:INDEX=10"}</definedName>
    <definedName name="_2920__FDSAUDITLINK__" hidden="1">{"fdsup://directions/FAT Viewer?action=UPDATE&amp;creator=factset&amp;DYN_ARGS=TRUE&amp;DOC_NAME=FAT:FQL_AUDITING_CLIENT_TEMPLATE.FAT&amp;display_string=Audit&amp;VAR:KEY=MNKTYRQHWJ&amp;VAR:QUERY=Q1NGX0VCSVRfT1BFUihBTk4sMTIvMzEvMTk4MCwxMi8zMS8yMDA5LEFZKQ==&amp;WINDOW=FIRST_POPUP&amp;HEIGH","T=450&amp;WIDTH=450&amp;START_MAXIMIZED=FALSE&amp;VAR:CALENDAR=US&amp;VAR:SYMBOL=LZ&amp;VAR:INDEX=12"}</definedName>
    <definedName name="_2921__FDSAUDITLINK__" hidden="1">{"fdsup://directions/FAT Viewer?action=UPDATE&amp;creator=factset&amp;DYN_ARGS=TRUE&amp;DOC_NAME=FAT:FQL_AUDITING_CLIENT_TEMPLATE.FAT&amp;display_string=Audit&amp;VAR:KEY=MNKTYRQHWJ&amp;VAR:QUERY=Q1NGX0VCSVRfT1BFUihBTk4sMTIvMzEvMTk4MCwxMi8zMS8yMDA5LEFZKQ==&amp;WINDOW=FIRST_POPUP&amp;HEIGH","T=450&amp;WIDTH=450&amp;START_MAXIMIZED=FALSE&amp;VAR:CALENDAR=US&amp;VAR:SYMBOL=LZ&amp;VAR:INDEX=11"}</definedName>
    <definedName name="_2922__FDSAUDITLINK__" hidden="1">{"fdsup://directions/FAT Viewer?action=UPDATE&amp;creator=factset&amp;DYN_ARGS=TRUE&amp;DOC_NAME=FAT:FQL_AUDITING_CLIENT_TEMPLATE.FAT&amp;display_string=Audit&amp;VAR:KEY=MNKTYRQHWJ&amp;VAR:QUERY=Q1NGX0VCSVRfT1BFUihBTk4sMTIvMzEvMTk4MCwxMi8zMS8yMDA5LEFZKQ==&amp;WINDOW=FIRST_POPUP&amp;HEIGH","T=450&amp;WIDTH=450&amp;START_MAXIMIZED=FALSE&amp;VAR:CALENDAR=US&amp;VAR:SYMBOL=LZ&amp;VAR:INDEX=10"}</definedName>
    <definedName name="_2923__FDSAUDITLINK__" hidden="1">{"fdsup://directions/FAT Viewer?action=UPDATE&amp;creator=factset&amp;DYN_ARGS=TRUE&amp;DOC_NAME=FAT:FQL_AUDITING_CLIENT_TEMPLATE.FAT&amp;display_string=Audit&amp;VAR:KEY=MNKTYRQHWJ&amp;VAR:QUERY=Q1NGX0VCSVRfT1BFUihBTk4sMTIvMzEvMTk4MCwxMi8zMS8yMDA5LEFZKQ==&amp;WINDOW=FIRST_POPUP&amp;HEIGH","T=450&amp;WIDTH=450&amp;START_MAXIMIZED=FALSE&amp;VAR:CALENDAR=US&amp;VAR:SYMBOL=LZ&amp;VAR:INDEX=9"}</definedName>
    <definedName name="_2924__FDSAUDITLINK__" hidden="1">{"fdsup://directions/FAT Viewer?action=UPDATE&amp;creator=factset&amp;DYN_ARGS=TRUE&amp;DOC_NAME=FAT:FQL_AUDITING_CLIENT_TEMPLATE.FAT&amp;display_string=Audit&amp;VAR:KEY=MNKTYRQHWJ&amp;VAR:QUERY=Q1NGX0VCSVRfT1BFUihBTk4sMTIvMzEvMTk4MCwxMi8zMS8yMDA5LEFZKQ==&amp;WINDOW=FIRST_POPUP&amp;HEIGH","T=450&amp;WIDTH=450&amp;START_MAXIMIZED=FALSE&amp;VAR:CALENDAR=US&amp;VAR:SYMBOL=LZ&amp;VAR:INDEX=8"}</definedName>
    <definedName name="_2925__FDSAUDITLINK__" hidden="1">{"fdsup://directions/FAT Viewer?action=UPDATE&amp;creator=factset&amp;DYN_ARGS=TRUE&amp;DOC_NAME=FAT:FQL_AUDITING_CLIENT_TEMPLATE.FAT&amp;display_string=Audit&amp;VAR:KEY=MNKTYRQHWJ&amp;VAR:QUERY=Q1NGX0VCSVRfT1BFUihBTk4sMTIvMzEvMTk4MCwxMi8zMS8yMDA5LEFZKQ==&amp;WINDOW=FIRST_POPUP&amp;HEIGH","T=450&amp;WIDTH=450&amp;START_MAXIMIZED=FALSE&amp;VAR:CALENDAR=US&amp;VAR:SYMBOL=LZ&amp;VAR:INDEX=7"}</definedName>
    <definedName name="_2926__FDSAUDITLINK__" hidden="1">{"fdsup://directions/FAT Viewer?action=UPDATE&amp;creator=factset&amp;DYN_ARGS=TRUE&amp;DOC_NAME=FAT:FQL_AUDITING_CLIENT_TEMPLATE.FAT&amp;display_string=Audit&amp;VAR:KEY=MNKTYRQHWJ&amp;VAR:QUERY=Q1NGX0VCSVRfT1BFUihBTk4sMTIvMzEvMTk4MCwxMi8zMS8yMDA5LEFZKQ==&amp;WINDOW=FIRST_POPUP&amp;HEIGH","T=450&amp;WIDTH=450&amp;START_MAXIMIZED=FALSE&amp;VAR:CALENDAR=US&amp;VAR:SYMBOL=LZ&amp;VAR:INDEX=6"}</definedName>
    <definedName name="_2927__FDSAUDITLINK__" hidden="1">{"fdsup://directions/FAT Viewer?action=UPDATE&amp;creator=factset&amp;DYN_ARGS=TRUE&amp;DOC_NAME=FAT:FQL_AUDITING_CLIENT_TEMPLATE.FAT&amp;display_string=Audit&amp;VAR:KEY=MNKTYRQHWJ&amp;VAR:QUERY=Q1NGX0VCSVRfT1BFUihBTk4sMTIvMzEvMTk4MCwxMi8zMS8yMDA5LEFZKQ==&amp;WINDOW=FIRST_POPUP&amp;HEIGH","T=450&amp;WIDTH=450&amp;START_MAXIMIZED=FALSE&amp;VAR:CALENDAR=US&amp;VAR:SYMBOL=LZ&amp;VAR:INDEX=5"}</definedName>
    <definedName name="_2928__FDSAUDITLINK__" hidden="1">{"fdsup://directions/FAT Viewer?action=UPDATE&amp;creator=factset&amp;DYN_ARGS=TRUE&amp;DOC_NAME=FAT:FQL_AUDITING_CLIENT_TEMPLATE.FAT&amp;display_string=Audit&amp;VAR:KEY=MNKTYRQHWJ&amp;VAR:QUERY=Q1NGX0VCSVRfT1BFUihBTk4sMTIvMzEvMTk4MCwxMi8zMS8yMDA5LEFZKQ==&amp;WINDOW=FIRST_POPUP&amp;HEIGH","T=450&amp;WIDTH=450&amp;START_MAXIMIZED=FALSE&amp;VAR:CALENDAR=US&amp;VAR:SYMBOL=LZ&amp;VAR:INDEX=4"}</definedName>
    <definedName name="_2929__FDSAUDITLINK__" hidden="1">{"fdsup://directions/FAT Viewer?action=UPDATE&amp;creator=factset&amp;DYN_ARGS=TRUE&amp;DOC_NAME=FAT:FQL_AUDITING_CLIENT_TEMPLATE.FAT&amp;display_string=Audit&amp;VAR:KEY=MNKTYRQHWJ&amp;VAR:QUERY=Q1NGX0VCSVRfT1BFUihBTk4sMTIvMzEvMTk4MCwxMi8zMS8yMDA5LEFZKQ==&amp;WINDOW=FIRST_POPUP&amp;HEIGH","T=450&amp;WIDTH=450&amp;START_MAXIMIZED=FALSE&amp;VAR:CALENDAR=US&amp;VAR:SYMBOL=LZ&amp;VAR:INDEX=3"}</definedName>
    <definedName name="_293__FDSAUDITLINK__" hidden="1">{"fdsup://directions/FAT Viewer?action=UPDATE&amp;creator=factset&amp;DYN_ARGS=TRUE&amp;DOC_NAME=FAT:FQL_AUDITING_CLIENT_TEMPLATE.FAT&amp;display_string=Audit&amp;VAR:KEY=ADGHCLGJUV&amp;VAR:QUERY=Q1NGX0VCSVRfT1BFUihBTk4sMTIvMzEvODAsMCk=&amp;WINDOW=FIRST_POPUP&amp;HEIGHT=450&amp;WIDTH=450&amp;STAR","T_MAXIMIZED=FALSE&amp;VAR:CALENDAR=US&amp;VAR:SYMBOL=GGC&amp;VAR:INDEX=9"}</definedName>
    <definedName name="_2930__FDSAUDITLINK__" hidden="1">{"fdsup://directions/FAT Viewer?action=UPDATE&amp;creator=factset&amp;DYN_ARGS=TRUE&amp;DOC_NAME=FAT:FQL_AUDITING_CLIENT_TEMPLATE.FAT&amp;display_string=Audit&amp;VAR:KEY=MNKTYRQHWJ&amp;VAR:QUERY=Q1NGX0VCSVRfT1BFUihBTk4sMTIvMzEvMTk4MCwxMi8zMS8yMDA5LEFZKQ==&amp;WINDOW=FIRST_POPUP&amp;HEIGH","T=450&amp;WIDTH=450&amp;START_MAXIMIZED=FALSE&amp;VAR:CALENDAR=US&amp;VAR:SYMBOL=LZ&amp;VAR:INDEX=2"}</definedName>
    <definedName name="_2931__FDSAUDITLINK__" hidden="1">{"fdsup://directions/FAT Viewer?action=UPDATE&amp;creator=factset&amp;DYN_ARGS=TRUE&amp;DOC_NAME=FAT:FQL_AUDITING_CLIENT_TEMPLATE.FAT&amp;display_string=Audit&amp;VAR:KEY=MNKTYRQHWJ&amp;VAR:QUERY=Q1NGX0VCSVRfT1BFUihBTk4sMTIvMzEvMTk4MCwxMi8zMS8yMDA5LEFZKQ==&amp;WINDOW=FIRST_POPUP&amp;HEIGH","T=450&amp;WIDTH=450&amp;START_MAXIMIZED=FALSE&amp;VAR:CALENDAR=US&amp;VAR:SYMBOL=LZ&amp;VAR:INDEX=1"}</definedName>
    <definedName name="_2932__FDSAUDITLINK__" hidden="1">{"fdsup://directions/FAT Viewer?action=UPDATE&amp;creator=factset&amp;DYN_ARGS=TRUE&amp;DOC_NAME=FAT:FQL_AUDITING_CLIENT_TEMPLATE.FAT&amp;display_string=Audit&amp;VAR:KEY=MNKTYRQHWJ&amp;VAR:QUERY=Q1NGX0VCSVRfT1BFUihBTk4sMTIvMzEvMTk4MCwxMi8zMS8yMDA5LEFZKQ==&amp;WINDOW=FIRST_POPUP&amp;HEIGH","T=450&amp;WIDTH=450&amp;START_MAXIMIZED=FALSE&amp;VAR:CALENDAR=US&amp;VAR:SYMBOL=LZ&amp;VAR:INDEX=0"}</definedName>
    <definedName name="_2933__FDSAUDITLINK__" hidden="1">{"fdsup://directions/FAT Viewer?action=UPDATE&amp;creator=factset&amp;DYN_ARGS=TRUE&amp;DOC_NAME=FAT:FQL_AUDITING_CLIENT_TEMPLATE.FAT&amp;display_string=Audit&amp;VAR:KEY=NAFEVGNQFU&amp;VAR:QUERY=Q1NGX0VCSVRfT1BFUihMVE1fUiwwKQ==&amp;WINDOW=FIRST_POPUP&amp;HEIGHT=450&amp;WIDTH=450&amp;START_MAXIMI","ZED=FALSE&amp;VAR:CALENDAR=US&amp;VAR:SYMBOL=KRA&amp;VAR:INDEX=0"}</definedName>
    <definedName name="_2934__FDSAUDITLINK__" hidden="1">{"fdsup://directions/FAT Viewer?action=UPDATE&amp;creator=factset&amp;DYN_ARGS=TRUE&amp;DOC_NAME=FAT:FQL_AUDITING_CLIENT_TEMPLATE.FAT&amp;display_string=Audit&amp;VAR:KEY=IJGZYXGBGD&amp;VAR:QUERY=Q1NGX0VCSVRfT1BFUihBTk4sMTIvMzEvMTk4MCwxMi8zMS8yMDA5LEFZKQ==&amp;WINDOW=FIRST_POPUP&amp;HEIGH","T=450&amp;WIDTH=450&amp;START_MAXIMIZED=FALSE&amp;VAR:CALENDAR=US&amp;VAR:SYMBOL=KRA&amp;VAR:INDEX=29"}</definedName>
    <definedName name="_2935__FDSAUDITLINK__" hidden="1">{"fdsup://directions/FAT Viewer?action=UPDATE&amp;creator=factset&amp;DYN_ARGS=TRUE&amp;DOC_NAME=FAT:FQL_AUDITING_CLIENT_TEMPLATE.FAT&amp;display_string=Audit&amp;VAR:KEY=IJGZYXGBGD&amp;VAR:QUERY=Q1NGX0VCSVRfT1BFUihBTk4sMTIvMzEvMTk4MCwxMi8zMS8yMDA5LEFZKQ==&amp;WINDOW=FIRST_POPUP&amp;HEIGH","T=450&amp;WIDTH=450&amp;START_MAXIMIZED=FALSE&amp;VAR:CALENDAR=US&amp;VAR:SYMBOL=KRA&amp;VAR:INDEX=28"}</definedName>
    <definedName name="_2936__FDSAUDITLINK__" hidden="1">{"fdsup://directions/FAT Viewer?action=UPDATE&amp;creator=factset&amp;DYN_ARGS=TRUE&amp;DOC_NAME=FAT:FQL_AUDITING_CLIENT_TEMPLATE.FAT&amp;display_string=Audit&amp;VAR:KEY=IJGZYXGBGD&amp;VAR:QUERY=Q1NGX0VCSVRfT1BFUihBTk4sMTIvMzEvMTk4MCwxMi8zMS8yMDA5LEFZKQ==&amp;WINDOW=FIRST_POPUP&amp;HEIGH","T=450&amp;WIDTH=450&amp;START_MAXIMIZED=FALSE&amp;VAR:CALENDAR=US&amp;VAR:SYMBOL=KRA&amp;VAR:INDEX=27"}</definedName>
    <definedName name="_2937__FDSAUDITLINK__" hidden="1">{"fdsup://directions/FAT Viewer?action=UPDATE&amp;creator=factset&amp;DYN_ARGS=TRUE&amp;DOC_NAME=FAT:FQL_AUDITING_CLIENT_TEMPLATE.FAT&amp;display_string=Audit&amp;VAR:KEY=IJGZYXGBGD&amp;VAR:QUERY=Q1NGX0VCSVRfT1BFUihBTk4sMTIvMzEvMTk4MCwxMi8zMS8yMDA5LEFZKQ==&amp;WINDOW=FIRST_POPUP&amp;HEIGH","T=450&amp;WIDTH=450&amp;START_MAXIMIZED=FALSE&amp;VAR:CALENDAR=US&amp;VAR:SYMBOL=KRA&amp;VAR:INDEX=26"}</definedName>
    <definedName name="_2938__FDSAUDITLINK__" hidden="1">{"fdsup://directions/FAT Viewer?action=UPDATE&amp;creator=factset&amp;DYN_ARGS=TRUE&amp;DOC_NAME=FAT:FQL_AUDITING_CLIENT_TEMPLATE.FAT&amp;display_string=Audit&amp;VAR:KEY=IJGZYXGBGD&amp;VAR:QUERY=Q1NGX0VCSVRfT1BFUihBTk4sMTIvMzEvMTk4MCwxMi8zMS8yMDA5LEFZKQ==&amp;WINDOW=FIRST_POPUP&amp;HEIGH","T=450&amp;WIDTH=450&amp;START_MAXIMIZED=FALSE&amp;VAR:CALENDAR=US&amp;VAR:SYMBOL=KRA&amp;VAR:INDEX=25"}</definedName>
    <definedName name="_2939__FDSAUDITLINK__" hidden="1">{"fdsup://directions/FAT Viewer?action=UPDATE&amp;creator=factset&amp;DYN_ARGS=TRUE&amp;DOC_NAME=FAT:FQL_AUDITING_CLIENT_TEMPLATE.FAT&amp;display_string=Audit&amp;VAR:KEY=IJGZYXGBGD&amp;VAR:QUERY=Q1NGX0VCSVRfT1BFUihBTk4sMTIvMzEvMTk4MCwxMi8zMS8yMDA5LEFZKQ==&amp;WINDOW=FIRST_POPUP&amp;HEIGH","T=450&amp;WIDTH=450&amp;START_MAXIMIZED=FALSE&amp;VAR:CALENDAR=US&amp;VAR:SYMBOL=KRA&amp;VAR:INDEX=24"}</definedName>
    <definedName name="_294__FDSAUDITLINK__" hidden="1">{"fdsup://directions/FAT Viewer?action=UPDATE&amp;creator=factset&amp;DYN_ARGS=TRUE&amp;DOC_NAME=FAT:FQL_AUDITING_CLIENT_TEMPLATE.FAT&amp;display_string=Audit&amp;VAR:KEY=ADGHCLGJUV&amp;VAR:QUERY=Q1NGX0VCSVRfT1BFUihBTk4sMTIvMzEvODAsMCk=&amp;WINDOW=FIRST_POPUP&amp;HEIGHT=450&amp;WIDTH=450&amp;STAR","T_MAXIMIZED=FALSE&amp;VAR:CALENDAR=US&amp;VAR:SYMBOL=GGC&amp;VAR:INDEX=8"}</definedName>
    <definedName name="_2940__FDSAUDITLINK__" hidden="1">{"fdsup://directions/FAT Viewer?action=UPDATE&amp;creator=factset&amp;DYN_ARGS=TRUE&amp;DOC_NAME=FAT:FQL_AUDITING_CLIENT_TEMPLATE.FAT&amp;display_string=Audit&amp;VAR:KEY=IJGZYXGBGD&amp;VAR:QUERY=Q1NGX0VCSVRfT1BFUihBTk4sMTIvMzEvMTk4MCwxMi8zMS8yMDA5LEFZKQ==&amp;WINDOW=FIRST_POPUP&amp;HEIGH","T=450&amp;WIDTH=450&amp;START_MAXIMIZED=FALSE&amp;VAR:CALENDAR=US&amp;VAR:SYMBOL=KRA&amp;VAR:INDEX=23"}</definedName>
    <definedName name="_2941__FDSAUDITLINK__" hidden="1">{"fdsup://directions/FAT Viewer?action=UPDATE&amp;creator=factset&amp;DYN_ARGS=TRUE&amp;DOC_NAME=FAT:FQL_AUDITING_CLIENT_TEMPLATE.FAT&amp;display_string=Audit&amp;VAR:KEY=IJGZYXGBGD&amp;VAR:QUERY=Q1NGX0VCSVRfT1BFUihBTk4sMTIvMzEvMTk4MCwxMi8zMS8yMDA5LEFZKQ==&amp;WINDOW=FIRST_POPUP&amp;HEIGH","T=450&amp;WIDTH=450&amp;START_MAXIMIZED=FALSE&amp;VAR:CALENDAR=US&amp;VAR:SYMBOL=KRA&amp;VAR:INDEX=22"}</definedName>
    <definedName name="_2942__FDSAUDITLINK__" hidden="1">{"fdsup://directions/FAT Viewer?action=UPDATE&amp;creator=factset&amp;DYN_ARGS=TRUE&amp;DOC_NAME=FAT:FQL_AUDITING_CLIENT_TEMPLATE.FAT&amp;display_string=Audit&amp;VAR:KEY=IJGZYXGBGD&amp;VAR:QUERY=Q1NGX0VCSVRfT1BFUihBTk4sMTIvMzEvMTk4MCwxMi8zMS8yMDA5LEFZKQ==&amp;WINDOW=FIRST_POPUP&amp;HEIGH","T=450&amp;WIDTH=450&amp;START_MAXIMIZED=FALSE&amp;VAR:CALENDAR=US&amp;VAR:SYMBOL=KRA&amp;VAR:INDEX=21"}</definedName>
    <definedName name="_2943__FDSAUDITLINK__" hidden="1">{"fdsup://directions/FAT Viewer?action=UPDATE&amp;creator=factset&amp;DYN_ARGS=TRUE&amp;DOC_NAME=FAT:FQL_AUDITING_CLIENT_TEMPLATE.FAT&amp;display_string=Audit&amp;VAR:KEY=IJGZYXGBGD&amp;VAR:QUERY=Q1NGX0VCSVRfT1BFUihBTk4sMTIvMzEvMTk4MCwxMi8zMS8yMDA5LEFZKQ==&amp;WINDOW=FIRST_POPUP&amp;HEIGH","T=450&amp;WIDTH=450&amp;START_MAXIMIZED=FALSE&amp;VAR:CALENDAR=US&amp;VAR:SYMBOL=KRA&amp;VAR:INDEX=20"}</definedName>
    <definedName name="_2944__FDSAUDITLINK__" hidden="1">{"fdsup://directions/FAT Viewer?action=UPDATE&amp;creator=factset&amp;DYN_ARGS=TRUE&amp;DOC_NAME=FAT:FQL_AUDITING_CLIENT_TEMPLATE.FAT&amp;display_string=Audit&amp;VAR:KEY=IJGZYXGBGD&amp;VAR:QUERY=Q1NGX0VCSVRfT1BFUihBTk4sMTIvMzEvMTk4MCwxMi8zMS8yMDA5LEFZKQ==&amp;WINDOW=FIRST_POPUP&amp;HEIGH","T=450&amp;WIDTH=450&amp;START_MAXIMIZED=FALSE&amp;VAR:CALENDAR=US&amp;VAR:SYMBOL=KRA&amp;VAR:INDEX=19"}</definedName>
    <definedName name="_2945__FDSAUDITLINK__" hidden="1">{"fdsup://directions/FAT Viewer?action=UPDATE&amp;creator=factset&amp;DYN_ARGS=TRUE&amp;DOC_NAME=FAT:FQL_AUDITING_CLIENT_TEMPLATE.FAT&amp;display_string=Audit&amp;VAR:KEY=IJGZYXGBGD&amp;VAR:QUERY=Q1NGX0VCSVRfT1BFUihBTk4sMTIvMzEvMTk4MCwxMi8zMS8yMDA5LEFZKQ==&amp;WINDOW=FIRST_POPUP&amp;HEIGH","T=450&amp;WIDTH=450&amp;START_MAXIMIZED=FALSE&amp;VAR:CALENDAR=US&amp;VAR:SYMBOL=KRA&amp;VAR:INDEX=18"}</definedName>
    <definedName name="_2946__FDSAUDITLINK__" hidden="1">{"fdsup://directions/FAT Viewer?action=UPDATE&amp;creator=factset&amp;DYN_ARGS=TRUE&amp;DOC_NAME=FAT:FQL_AUDITING_CLIENT_TEMPLATE.FAT&amp;display_string=Audit&amp;VAR:KEY=IJGZYXGBGD&amp;VAR:QUERY=Q1NGX0VCSVRfT1BFUihBTk4sMTIvMzEvMTk4MCwxMi8zMS8yMDA5LEFZKQ==&amp;WINDOW=FIRST_POPUP&amp;HEIGH","T=450&amp;WIDTH=450&amp;START_MAXIMIZED=FALSE&amp;VAR:CALENDAR=US&amp;VAR:SYMBOL=KRA&amp;VAR:INDEX=17"}</definedName>
    <definedName name="_2947__FDSAUDITLINK__" hidden="1">{"fdsup://directions/FAT Viewer?action=UPDATE&amp;creator=factset&amp;DYN_ARGS=TRUE&amp;DOC_NAME=FAT:FQL_AUDITING_CLIENT_TEMPLATE.FAT&amp;display_string=Audit&amp;VAR:KEY=IJGZYXGBGD&amp;VAR:QUERY=Q1NGX0VCSVRfT1BFUihBTk4sMTIvMzEvMTk4MCwxMi8zMS8yMDA5LEFZKQ==&amp;WINDOW=FIRST_POPUP&amp;HEIGH","T=450&amp;WIDTH=450&amp;START_MAXIMIZED=FALSE&amp;VAR:CALENDAR=US&amp;VAR:SYMBOL=KRA&amp;VAR:INDEX=16"}</definedName>
    <definedName name="_2948__FDSAUDITLINK__" hidden="1">{"fdsup://directions/FAT Viewer?action=UPDATE&amp;creator=factset&amp;DYN_ARGS=TRUE&amp;DOC_NAME=FAT:FQL_AUDITING_CLIENT_TEMPLATE.FAT&amp;display_string=Audit&amp;VAR:KEY=IJGZYXGBGD&amp;VAR:QUERY=Q1NGX0VCSVRfT1BFUihBTk4sMTIvMzEvMTk4MCwxMi8zMS8yMDA5LEFZKQ==&amp;WINDOW=FIRST_POPUP&amp;HEIGH","T=450&amp;WIDTH=450&amp;START_MAXIMIZED=FALSE&amp;VAR:CALENDAR=US&amp;VAR:SYMBOL=KRA&amp;VAR:INDEX=15"}</definedName>
    <definedName name="_2949__FDSAUDITLINK__" hidden="1">{"fdsup://directions/FAT Viewer?action=UPDATE&amp;creator=factset&amp;DYN_ARGS=TRUE&amp;DOC_NAME=FAT:FQL_AUDITING_CLIENT_TEMPLATE.FAT&amp;display_string=Audit&amp;VAR:KEY=IJGZYXGBGD&amp;VAR:QUERY=Q1NGX0VCSVRfT1BFUihBTk4sMTIvMzEvMTk4MCwxMi8zMS8yMDA5LEFZKQ==&amp;WINDOW=FIRST_POPUP&amp;HEIGH","T=450&amp;WIDTH=450&amp;START_MAXIMIZED=FALSE&amp;VAR:CALENDAR=US&amp;VAR:SYMBOL=KRA&amp;VAR:INDEX=14"}</definedName>
    <definedName name="_295__FDSAUDITLINK__" hidden="1">{"fdsup://directions/FAT Viewer?action=UPDATE&amp;creator=factset&amp;DYN_ARGS=TRUE&amp;DOC_NAME=FAT:FQL_AUDITING_CLIENT_TEMPLATE.FAT&amp;display_string=Audit&amp;VAR:KEY=ADGHCLGJUV&amp;VAR:QUERY=Q1NGX0VCSVRfT1BFUihBTk4sMTIvMzEvODAsMCk=&amp;WINDOW=FIRST_POPUP&amp;HEIGHT=450&amp;WIDTH=450&amp;STAR","T_MAXIMIZED=FALSE&amp;VAR:CALENDAR=US&amp;VAR:SYMBOL=GGC&amp;VAR:INDEX=7"}</definedName>
    <definedName name="_2950__FDSAUDITLINK__" hidden="1">{"fdsup://directions/FAT Viewer?action=UPDATE&amp;creator=factset&amp;DYN_ARGS=TRUE&amp;DOC_NAME=FAT:FQL_AUDITING_CLIENT_TEMPLATE.FAT&amp;display_string=Audit&amp;VAR:KEY=IJGZYXGBGD&amp;VAR:QUERY=Q1NGX0VCSVRfT1BFUihBTk4sMTIvMzEvMTk4MCwxMi8zMS8yMDA5LEFZKQ==&amp;WINDOW=FIRST_POPUP&amp;HEIGH","T=450&amp;WIDTH=450&amp;START_MAXIMIZED=FALSE&amp;VAR:CALENDAR=US&amp;VAR:SYMBOL=KRA&amp;VAR:INDEX=13"}</definedName>
    <definedName name="_2951__FDSAUDITLINK__" hidden="1">{"fdsup://directions/FAT Viewer?action=UPDATE&amp;creator=factset&amp;DYN_ARGS=TRUE&amp;DOC_NAME=FAT:FQL_AUDITING_CLIENT_TEMPLATE.FAT&amp;display_string=Audit&amp;VAR:KEY=IJGZYXGBGD&amp;VAR:QUERY=Q1NGX0VCSVRfT1BFUihBTk4sMTIvMzEvMTk4MCwxMi8zMS8yMDA5LEFZKQ==&amp;WINDOW=FIRST_POPUP&amp;HEIGH","T=450&amp;WIDTH=450&amp;START_MAXIMIZED=FALSE&amp;VAR:CALENDAR=US&amp;VAR:SYMBOL=KRA&amp;VAR:INDEX=12"}</definedName>
    <definedName name="_2952__FDSAUDITLINK__" hidden="1">{"fdsup://directions/FAT Viewer?action=UPDATE&amp;creator=factset&amp;DYN_ARGS=TRUE&amp;DOC_NAME=FAT:FQL_AUDITING_CLIENT_TEMPLATE.FAT&amp;display_string=Audit&amp;VAR:KEY=IJGZYXGBGD&amp;VAR:QUERY=Q1NGX0VCSVRfT1BFUihBTk4sMTIvMzEvMTk4MCwxMi8zMS8yMDA5LEFZKQ==&amp;WINDOW=FIRST_POPUP&amp;HEIGH","T=450&amp;WIDTH=450&amp;START_MAXIMIZED=FALSE&amp;VAR:CALENDAR=US&amp;VAR:SYMBOL=KRA&amp;VAR:INDEX=11"}</definedName>
    <definedName name="_2953__FDSAUDITLINK__" hidden="1">{"fdsup://directions/FAT Viewer?action=UPDATE&amp;creator=factset&amp;DYN_ARGS=TRUE&amp;DOC_NAME=FAT:FQL_AUDITING_CLIENT_TEMPLATE.FAT&amp;display_string=Audit&amp;VAR:KEY=IJGZYXGBGD&amp;VAR:QUERY=Q1NGX0VCSVRfT1BFUihBTk4sMTIvMzEvMTk4MCwxMi8zMS8yMDA5LEFZKQ==&amp;WINDOW=FIRST_POPUP&amp;HEIGH","T=450&amp;WIDTH=450&amp;START_MAXIMIZED=FALSE&amp;VAR:CALENDAR=US&amp;VAR:SYMBOL=KRA&amp;VAR:INDEX=10"}</definedName>
    <definedName name="_2954__FDSAUDITLINK__" hidden="1">{"fdsup://directions/FAT Viewer?action=UPDATE&amp;creator=factset&amp;DYN_ARGS=TRUE&amp;DOC_NAME=FAT:FQL_AUDITING_CLIENT_TEMPLATE.FAT&amp;display_string=Audit&amp;VAR:KEY=IJGZYXGBGD&amp;VAR:QUERY=Q1NGX0VCSVRfT1BFUihBTk4sMTIvMzEvMTk4MCwxMi8zMS8yMDA5LEFZKQ==&amp;WINDOW=FIRST_POPUP&amp;HEIGH","T=450&amp;WIDTH=450&amp;START_MAXIMIZED=FALSE&amp;VAR:CALENDAR=US&amp;VAR:SYMBOL=KRA&amp;VAR:INDEX=9"}</definedName>
    <definedName name="_2955__FDSAUDITLINK__" hidden="1">{"fdsup://directions/FAT Viewer?action=UPDATE&amp;creator=factset&amp;DYN_ARGS=TRUE&amp;DOC_NAME=FAT:FQL_AUDITING_CLIENT_TEMPLATE.FAT&amp;display_string=Audit&amp;VAR:KEY=IJGZYXGBGD&amp;VAR:QUERY=Q1NGX0VCSVRfT1BFUihBTk4sMTIvMzEvMTk4MCwxMi8zMS8yMDA5LEFZKQ==&amp;WINDOW=FIRST_POPUP&amp;HEIGH","T=450&amp;WIDTH=450&amp;START_MAXIMIZED=FALSE&amp;VAR:CALENDAR=US&amp;VAR:SYMBOL=KRA&amp;VAR:INDEX=8"}</definedName>
    <definedName name="_2956__FDSAUDITLINK__" hidden="1">{"fdsup://directions/FAT Viewer?action=UPDATE&amp;creator=factset&amp;DYN_ARGS=TRUE&amp;DOC_NAME=FAT:FQL_AUDITING_CLIENT_TEMPLATE.FAT&amp;display_string=Audit&amp;VAR:KEY=IJGZYXGBGD&amp;VAR:QUERY=Q1NGX0VCSVRfT1BFUihBTk4sMTIvMzEvMTk4MCwxMi8zMS8yMDA5LEFZKQ==&amp;WINDOW=FIRST_POPUP&amp;HEIGH","T=450&amp;WIDTH=450&amp;START_MAXIMIZED=FALSE&amp;VAR:CALENDAR=US&amp;VAR:SYMBOL=KRA&amp;VAR:INDEX=7"}</definedName>
    <definedName name="_2957__FDSAUDITLINK__" hidden="1">{"fdsup://directions/FAT Viewer?action=UPDATE&amp;creator=factset&amp;DYN_ARGS=TRUE&amp;DOC_NAME=FAT:FQL_AUDITING_CLIENT_TEMPLATE.FAT&amp;display_string=Audit&amp;VAR:KEY=IJGZYXGBGD&amp;VAR:QUERY=Q1NGX0VCSVRfT1BFUihBTk4sMTIvMzEvMTk4MCwxMi8zMS8yMDA5LEFZKQ==&amp;WINDOW=FIRST_POPUP&amp;HEIGH","T=450&amp;WIDTH=450&amp;START_MAXIMIZED=FALSE&amp;VAR:CALENDAR=US&amp;VAR:SYMBOL=KRA&amp;VAR:INDEX=6"}</definedName>
    <definedName name="_2958__FDSAUDITLINK__" hidden="1">{"fdsup://directions/FAT Viewer?action=UPDATE&amp;creator=factset&amp;DYN_ARGS=TRUE&amp;DOC_NAME=FAT:FQL_AUDITING_CLIENT_TEMPLATE.FAT&amp;display_string=Audit&amp;VAR:KEY=IJGZYXGBGD&amp;VAR:QUERY=Q1NGX0VCSVRfT1BFUihBTk4sMTIvMzEvMTk4MCwxMi8zMS8yMDA5LEFZKQ==&amp;WINDOW=FIRST_POPUP&amp;HEIGH","T=450&amp;WIDTH=450&amp;START_MAXIMIZED=FALSE&amp;VAR:CALENDAR=US&amp;VAR:SYMBOL=KRA&amp;VAR:INDEX=5"}</definedName>
    <definedName name="_2959__FDSAUDITLINK__" hidden="1">{"fdsup://directions/FAT Viewer?action=UPDATE&amp;creator=factset&amp;DYN_ARGS=TRUE&amp;DOC_NAME=FAT:FQL_AUDITING_CLIENT_TEMPLATE.FAT&amp;display_string=Audit&amp;VAR:KEY=IJGZYXGBGD&amp;VAR:QUERY=Q1NGX0VCSVRfT1BFUihBTk4sMTIvMzEvMTk4MCwxMi8zMS8yMDA5LEFZKQ==&amp;WINDOW=FIRST_POPUP&amp;HEIGH","T=450&amp;WIDTH=450&amp;START_MAXIMIZED=FALSE&amp;VAR:CALENDAR=US&amp;VAR:SYMBOL=KRA&amp;VAR:INDEX=4"}</definedName>
    <definedName name="_296__FDSAUDITLINK__" hidden="1">{"fdsup://directions/FAT Viewer?action=UPDATE&amp;creator=factset&amp;DYN_ARGS=TRUE&amp;DOC_NAME=FAT:FQL_AUDITING_CLIENT_TEMPLATE.FAT&amp;display_string=Audit&amp;VAR:KEY=ADGHCLGJUV&amp;VAR:QUERY=Q1NGX0VCSVRfT1BFUihBTk4sMTIvMzEvODAsMCk=&amp;WINDOW=FIRST_POPUP&amp;HEIGHT=450&amp;WIDTH=450&amp;STAR","T_MAXIMIZED=FALSE&amp;VAR:CALENDAR=US&amp;VAR:SYMBOL=GGC&amp;VAR:INDEX=6"}</definedName>
    <definedName name="_2960__FDSAUDITLINK__" hidden="1">{"fdsup://directions/FAT Viewer?action=UPDATE&amp;creator=factset&amp;DYN_ARGS=TRUE&amp;DOC_NAME=FAT:FQL_AUDITING_CLIENT_TEMPLATE.FAT&amp;display_string=Audit&amp;VAR:KEY=IJGZYXGBGD&amp;VAR:QUERY=Q1NGX0VCSVRfT1BFUihBTk4sMTIvMzEvMTk4MCwxMi8zMS8yMDA5LEFZKQ==&amp;WINDOW=FIRST_POPUP&amp;HEIGH","T=450&amp;WIDTH=450&amp;START_MAXIMIZED=FALSE&amp;VAR:CALENDAR=US&amp;VAR:SYMBOL=KRA&amp;VAR:INDEX=3"}</definedName>
    <definedName name="_2961__FDSAUDITLINK__" hidden="1">{"fdsup://directions/FAT Viewer?action=UPDATE&amp;creator=factset&amp;DYN_ARGS=TRUE&amp;DOC_NAME=FAT:FQL_AUDITING_CLIENT_TEMPLATE.FAT&amp;display_string=Audit&amp;VAR:KEY=IJGZYXGBGD&amp;VAR:QUERY=Q1NGX0VCSVRfT1BFUihBTk4sMTIvMzEvMTk4MCwxMi8zMS8yMDA5LEFZKQ==&amp;WINDOW=FIRST_POPUP&amp;HEIGH","T=450&amp;WIDTH=450&amp;START_MAXIMIZED=FALSE&amp;VAR:CALENDAR=US&amp;VAR:SYMBOL=KRA&amp;VAR:INDEX=2"}</definedName>
    <definedName name="_2962__FDSAUDITLINK__" hidden="1">{"fdsup://directions/FAT Viewer?action=UPDATE&amp;creator=factset&amp;DYN_ARGS=TRUE&amp;DOC_NAME=FAT:FQL_AUDITING_CLIENT_TEMPLATE.FAT&amp;display_string=Audit&amp;VAR:KEY=IJGZYXGBGD&amp;VAR:QUERY=Q1NGX0VCSVRfT1BFUihBTk4sMTIvMzEvMTk4MCwxMi8zMS8yMDA5LEFZKQ==&amp;WINDOW=FIRST_POPUP&amp;HEIGH","T=450&amp;WIDTH=450&amp;START_MAXIMIZED=FALSE&amp;VAR:CALENDAR=US&amp;VAR:SYMBOL=KRA&amp;VAR:INDEX=1"}</definedName>
    <definedName name="_2963__FDSAUDITLINK__" hidden="1">{"fdsup://directions/FAT Viewer?action=UPDATE&amp;creator=factset&amp;DYN_ARGS=TRUE&amp;DOC_NAME=FAT:FQL_AUDITING_CLIENT_TEMPLATE.FAT&amp;display_string=Audit&amp;VAR:KEY=IJGZYXGBGD&amp;VAR:QUERY=Q1NGX0VCSVRfT1BFUihBTk4sMTIvMzEvMTk4MCwxMi8zMS8yMDA5LEFZKQ==&amp;WINDOW=FIRST_POPUP&amp;HEIGH","T=450&amp;WIDTH=450&amp;START_MAXIMIZED=FALSE&amp;VAR:CALENDAR=US&amp;VAR:SYMBOL=KRA&amp;VAR:INDEX=0"}</definedName>
    <definedName name="_2964__FDSAUDITLINK__" hidden="1">{"fdsup://directions/FAT Viewer?action=UPDATE&amp;creator=factset&amp;DYN_ARGS=TRUE&amp;DOC_NAME=FAT:FQL_AUDITING_CLIENT_TEMPLATE.FAT&amp;display_string=Audit&amp;VAR:KEY=NGHCXYJWNE&amp;VAR:QUERY=Q1NGX0VCSVRfT1BFUihMVE1fUiwwKQ==&amp;WINDOW=FIRST_POPUP&amp;HEIGHT=450&amp;WIDTH=450&amp;START_MAXIMI","ZED=FALSE&amp;VAR:CALENDAR=US&amp;VAR:SYMBOL=HUN&amp;VAR:INDEX=0"}</definedName>
    <definedName name="_2965__FDSAUDITLINK__" hidden="1">{"fdsup://directions/FAT Viewer?action=UPDATE&amp;creator=factset&amp;DYN_ARGS=TRUE&amp;DOC_NAME=FAT:FQL_AUDITING_CLIENT_TEMPLATE.FAT&amp;display_string=Audit&amp;VAR:KEY=UHOZYRKTUL&amp;VAR:QUERY=Q1NGX0VCSVRfT1BFUihBTk4sMTIvMzEvMTk4MCwxMi8zMS8yMDA5LEFZKQ==&amp;WINDOW=FIRST_POPUP&amp;HEIGH","T=450&amp;WIDTH=450&amp;START_MAXIMIZED=FALSE&amp;VAR:CALENDAR=US&amp;VAR:SYMBOL=HUN&amp;VAR:INDEX=29"}</definedName>
    <definedName name="_2966__FDSAUDITLINK__" hidden="1">{"fdsup://directions/FAT Viewer?action=UPDATE&amp;creator=factset&amp;DYN_ARGS=TRUE&amp;DOC_NAME=FAT:FQL_AUDITING_CLIENT_TEMPLATE.FAT&amp;display_string=Audit&amp;VAR:KEY=UHOZYRKTUL&amp;VAR:QUERY=Q1NGX0VCSVRfT1BFUihBTk4sMTIvMzEvMTk4MCwxMi8zMS8yMDA5LEFZKQ==&amp;WINDOW=FIRST_POPUP&amp;HEIGH","T=450&amp;WIDTH=450&amp;START_MAXIMIZED=FALSE&amp;VAR:CALENDAR=US&amp;VAR:SYMBOL=HUN&amp;VAR:INDEX=28"}</definedName>
    <definedName name="_2967__FDSAUDITLINK__" hidden="1">{"fdsup://directions/FAT Viewer?action=UPDATE&amp;creator=factset&amp;DYN_ARGS=TRUE&amp;DOC_NAME=FAT:FQL_AUDITING_CLIENT_TEMPLATE.FAT&amp;display_string=Audit&amp;VAR:KEY=UHOZYRKTUL&amp;VAR:QUERY=Q1NGX0VCSVRfT1BFUihBTk4sMTIvMzEvMTk4MCwxMi8zMS8yMDA5LEFZKQ==&amp;WINDOW=FIRST_POPUP&amp;HEIGH","T=450&amp;WIDTH=450&amp;START_MAXIMIZED=FALSE&amp;VAR:CALENDAR=US&amp;VAR:SYMBOL=HUN&amp;VAR:INDEX=27"}</definedName>
    <definedName name="_2968__FDSAUDITLINK__" hidden="1">{"fdsup://directions/FAT Viewer?action=UPDATE&amp;creator=factset&amp;DYN_ARGS=TRUE&amp;DOC_NAME=FAT:FQL_AUDITING_CLIENT_TEMPLATE.FAT&amp;display_string=Audit&amp;VAR:KEY=UHOZYRKTUL&amp;VAR:QUERY=Q1NGX0VCSVRfT1BFUihBTk4sMTIvMzEvMTk4MCwxMi8zMS8yMDA5LEFZKQ==&amp;WINDOW=FIRST_POPUP&amp;HEIGH","T=450&amp;WIDTH=450&amp;START_MAXIMIZED=FALSE&amp;VAR:CALENDAR=US&amp;VAR:SYMBOL=HUN&amp;VAR:INDEX=26"}</definedName>
    <definedName name="_2969__FDSAUDITLINK__" hidden="1">{"fdsup://directions/FAT Viewer?action=UPDATE&amp;creator=factset&amp;DYN_ARGS=TRUE&amp;DOC_NAME=FAT:FQL_AUDITING_CLIENT_TEMPLATE.FAT&amp;display_string=Audit&amp;VAR:KEY=UHOZYRKTUL&amp;VAR:QUERY=Q1NGX0VCSVRfT1BFUihBTk4sMTIvMzEvMTk4MCwxMi8zMS8yMDA5LEFZKQ==&amp;WINDOW=FIRST_POPUP&amp;HEIGH","T=450&amp;WIDTH=450&amp;START_MAXIMIZED=FALSE&amp;VAR:CALENDAR=US&amp;VAR:SYMBOL=HUN&amp;VAR:INDEX=25"}</definedName>
    <definedName name="_297__FDSAUDITLINK__" hidden="1">{"fdsup://directions/FAT Viewer?action=UPDATE&amp;creator=factset&amp;DYN_ARGS=TRUE&amp;DOC_NAME=FAT:FQL_AUDITING_CLIENT_TEMPLATE.FAT&amp;display_string=Audit&amp;VAR:KEY=ADGHCLGJUV&amp;VAR:QUERY=Q1NGX0VCSVRfT1BFUihBTk4sMTIvMzEvODAsMCk=&amp;WINDOW=FIRST_POPUP&amp;HEIGHT=450&amp;WIDTH=450&amp;STAR","T_MAXIMIZED=FALSE&amp;VAR:CALENDAR=US&amp;VAR:SYMBOL=GGC&amp;VAR:INDEX=5"}</definedName>
    <definedName name="_2970__FDSAUDITLINK__" hidden="1">{"fdsup://directions/FAT Viewer?action=UPDATE&amp;creator=factset&amp;DYN_ARGS=TRUE&amp;DOC_NAME=FAT:FQL_AUDITING_CLIENT_TEMPLATE.FAT&amp;display_string=Audit&amp;VAR:KEY=UHOZYRKTUL&amp;VAR:QUERY=Q1NGX0VCSVRfT1BFUihBTk4sMTIvMzEvMTk4MCwxMi8zMS8yMDA5LEFZKQ==&amp;WINDOW=FIRST_POPUP&amp;HEIGH","T=450&amp;WIDTH=450&amp;START_MAXIMIZED=FALSE&amp;VAR:CALENDAR=US&amp;VAR:SYMBOL=HUN&amp;VAR:INDEX=24"}</definedName>
    <definedName name="_2971__FDSAUDITLINK__" hidden="1">{"fdsup://directions/FAT Viewer?action=UPDATE&amp;creator=factset&amp;DYN_ARGS=TRUE&amp;DOC_NAME=FAT:FQL_AUDITING_CLIENT_TEMPLATE.FAT&amp;display_string=Audit&amp;VAR:KEY=UHOZYRKTUL&amp;VAR:QUERY=Q1NGX0VCSVRfT1BFUihBTk4sMTIvMzEvMTk4MCwxMi8zMS8yMDA5LEFZKQ==&amp;WINDOW=FIRST_POPUP&amp;HEIGH","T=450&amp;WIDTH=450&amp;START_MAXIMIZED=FALSE&amp;VAR:CALENDAR=US&amp;VAR:SYMBOL=HUN&amp;VAR:INDEX=23"}</definedName>
    <definedName name="_2972__FDSAUDITLINK__" hidden="1">{"fdsup://directions/FAT Viewer?action=UPDATE&amp;creator=factset&amp;DYN_ARGS=TRUE&amp;DOC_NAME=FAT:FQL_AUDITING_CLIENT_TEMPLATE.FAT&amp;display_string=Audit&amp;VAR:KEY=UHOZYRKTUL&amp;VAR:QUERY=Q1NGX0VCSVRfT1BFUihBTk4sMTIvMzEvMTk4MCwxMi8zMS8yMDA5LEFZKQ==&amp;WINDOW=FIRST_POPUP&amp;HEIGH","T=450&amp;WIDTH=450&amp;START_MAXIMIZED=FALSE&amp;VAR:CALENDAR=US&amp;VAR:SYMBOL=HUN&amp;VAR:INDEX=22"}</definedName>
    <definedName name="_2973__FDSAUDITLINK__" hidden="1">{"fdsup://directions/FAT Viewer?action=UPDATE&amp;creator=factset&amp;DYN_ARGS=TRUE&amp;DOC_NAME=FAT:FQL_AUDITING_CLIENT_TEMPLATE.FAT&amp;display_string=Audit&amp;VAR:KEY=UHOZYRKTUL&amp;VAR:QUERY=Q1NGX0VCSVRfT1BFUihBTk4sMTIvMzEvMTk4MCwxMi8zMS8yMDA5LEFZKQ==&amp;WINDOW=FIRST_POPUP&amp;HEIGH","T=450&amp;WIDTH=450&amp;START_MAXIMIZED=FALSE&amp;VAR:CALENDAR=US&amp;VAR:SYMBOL=HUN&amp;VAR:INDEX=21"}</definedName>
    <definedName name="_2974__FDSAUDITLINK__" hidden="1">{"fdsup://directions/FAT Viewer?action=UPDATE&amp;creator=factset&amp;DYN_ARGS=TRUE&amp;DOC_NAME=FAT:FQL_AUDITING_CLIENT_TEMPLATE.FAT&amp;display_string=Audit&amp;VAR:KEY=UHOZYRKTUL&amp;VAR:QUERY=Q1NGX0VCSVRfT1BFUihBTk4sMTIvMzEvMTk4MCwxMi8zMS8yMDA5LEFZKQ==&amp;WINDOW=FIRST_POPUP&amp;HEIGH","T=450&amp;WIDTH=450&amp;START_MAXIMIZED=FALSE&amp;VAR:CALENDAR=US&amp;VAR:SYMBOL=HUN&amp;VAR:INDEX=20"}</definedName>
    <definedName name="_2975__FDSAUDITLINK__" hidden="1">{"fdsup://directions/FAT Viewer?action=UPDATE&amp;creator=factset&amp;DYN_ARGS=TRUE&amp;DOC_NAME=FAT:FQL_AUDITING_CLIENT_TEMPLATE.FAT&amp;display_string=Audit&amp;VAR:KEY=UHOZYRKTUL&amp;VAR:QUERY=Q1NGX0VCSVRfT1BFUihBTk4sMTIvMzEvMTk4MCwxMi8zMS8yMDA5LEFZKQ==&amp;WINDOW=FIRST_POPUP&amp;HEIGH","T=450&amp;WIDTH=450&amp;START_MAXIMIZED=FALSE&amp;VAR:CALENDAR=US&amp;VAR:SYMBOL=HUN&amp;VAR:INDEX=19"}</definedName>
    <definedName name="_2976__FDSAUDITLINK__" hidden="1">{"fdsup://directions/FAT Viewer?action=UPDATE&amp;creator=factset&amp;DYN_ARGS=TRUE&amp;DOC_NAME=FAT:FQL_AUDITING_CLIENT_TEMPLATE.FAT&amp;display_string=Audit&amp;VAR:KEY=UHOZYRKTUL&amp;VAR:QUERY=Q1NGX0VCSVRfT1BFUihBTk4sMTIvMzEvMTk4MCwxMi8zMS8yMDA5LEFZKQ==&amp;WINDOW=FIRST_POPUP&amp;HEIGH","T=450&amp;WIDTH=450&amp;START_MAXIMIZED=FALSE&amp;VAR:CALENDAR=US&amp;VAR:SYMBOL=HUN&amp;VAR:INDEX=18"}</definedName>
    <definedName name="_2977__FDSAUDITLINK__" hidden="1">{"fdsup://directions/FAT Viewer?action=UPDATE&amp;creator=factset&amp;DYN_ARGS=TRUE&amp;DOC_NAME=FAT:FQL_AUDITING_CLIENT_TEMPLATE.FAT&amp;display_string=Audit&amp;VAR:KEY=UHOZYRKTUL&amp;VAR:QUERY=Q1NGX0VCSVRfT1BFUihBTk4sMTIvMzEvMTk4MCwxMi8zMS8yMDA5LEFZKQ==&amp;WINDOW=FIRST_POPUP&amp;HEIGH","T=450&amp;WIDTH=450&amp;START_MAXIMIZED=FALSE&amp;VAR:CALENDAR=US&amp;VAR:SYMBOL=HUN&amp;VAR:INDEX=17"}</definedName>
    <definedName name="_2978__FDSAUDITLINK__" hidden="1">{"fdsup://directions/FAT Viewer?action=UPDATE&amp;creator=factset&amp;DYN_ARGS=TRUE&amp;DOC_NAME=FAT:FQL_AUDITING_CLIENT_TEMPLATE.FAT&amp;display_string=Audit&amp;VAR:KEY=UHOZYRKTUL&amp;VAR:QUERY=Q1NGX0VCSVRfT1BFUihBTk4sMTIvMzEvMTk4MCwxMi8zMS8yMDA5LEFZKQ==&amp;WINDOW=FIRST_POPUP&amp;HEIGH","T=450&amp;WIDTH=450&amp;START_MAXIMIZED=FALSE&amp;VAR:CALENDAR=US&amp;VAR:SYMBOL=HUN&amp;VAR:INDEX=16"}</definedName>
    <definedName name="_2979__FDSAUDITLINK__" hidden="1">{"fdsup://directions/FAT Viewer?action=UPDATE&amp;creator=factset&amp;DYN_ARGS=TRUE&amp;DOC_NAME=FAT:FQL_AUDITING_CLIENT_TEMPLATE.FAT&amp;display_string=Audit&amp;VAR:KEY=UHOZYRKTUL&amp;VAR:QUERY=Q1NGX0VCSVRfT1BFUihBTk4sMTIvMzEvMTk4MCwxMi8zMS8yMDA5LEFZKQ==&amp;WINDOW=FIRST_POPUP&amp;HEIGH","T=450&amp;WIDTH=450&amp;START_MAXIMIZED=FALSE&amp;VAR:CALENDAR=US&amp;VAR:SYMBOL=HUN&amp;VAR:INDEX=15"}</definedName>
    <definedName name="_298__FDSAUDITLINK__" hidden="1">{"fdsup://directions/FAT Viewer?action=UPDATE&amp;creator=factset&amp;DYN_ARGS=TRUE&amp;DOC_NAME=FAT:FQL_AUDITING_CLIENT_TEMPLATE.FAT&amp;display_string=Audit&amp;VAR:KEY=ADGHCLGJUV&amp;VAR:QUERY=Q1NGX0VCSVRfT1BFUihBTk4sMTIvMzEvODAsMCk=&amp;WINDOW=FIRST_POPUP&amp;HEIGHT=450&amp;WIDTH=450&amp;STAR","T_MAXIMIZED=FALSE&amp;VAR:CALENDAR=US&amp;VAR:SYMBOL=GGC&amp;VAR:INDEX=4"}</definedName>
    <definedName name="_2980__FDSAUDITLINK__" hidden="1">{"fdsup://directions/FAT Viewer?action=UPDATE&amp;creator=factset&amp;DYN_ARGS=TRUE&amp;DOC_NAME=FAT:FQL_AUDITING_CLIENT_TEMPLATE.FAT&amp;display_string=Audit&amp;VAR:KEY=UHOZYRKTUL&amp;VAR:QUERY=Q1NGX0VCSVRfT1BFUihBTk4sMTIvMzEvMTk4MCwxMi8zMS8yMDA5LEFZKQ==&amp;WINDOW=FIRST_POPUP&amp;HEIGH","T=450&amp;WIDTH=450&amp;START_MAXIMIZED=FALSE&amp;VAR:CALENDAR=US&amp;VAR:SYMBOL=HUN&amp;VAR:INDEX=14"}</definedName>
    <definedName name="_2981__FDSAUDITLINK__" hidden="1">{"fdsup://directions/FAT Viewer?action=UPDATE&amp;creator=factset&amp;DYN_ARGS=TRUE&amp;DOC_NAME=FAT:FQL_AUDITING_CLIENT_TEMPLATE.FAT&amp;display_string=Audit&amp;VAR:KEY=UHOZYRKTUL&amp;VAR:QUERY=Q1NGX0VCSVRfT1BFUihBTk4sMTIvMzEvMTk4MCwxMi8zMS8yMDA5LEFZKQ==&amp;WINDOW=FIRST_POPUP&amp;HEIGH","T=450&amp;WIDTH=450&amp;START_MAXIMIZED=FALSE&amp;VAR:CALENDAR=US&amp;VAR:SYMBOL=HUN&amp;VAR:INDEX=13"}</definedName>
    <definedName name="_2982__FDSAUDITLINK__" hidden="1">{"fdsup://directions/FAT Viewer?action=UPDATE&amp;creator=factset&amp;DYN_ARGS=TRUE&amp;DOC_NAME=FAT:FQL_AUDITING_CLIENT_TEMPLATE.FAT&amp;display_string=Audit&amp;VAR:KEY=UHOZYRKTUL&amp;VAR:QUERY=Q1NGX0VCSVRfT1BFUihBTk4sMTIvMzEvMTk4MCwxMi8zMS8yMDA5LEFZKQ==&amp;WINDOW=FIRST_POPUP&amp;HEIGH","T=450&amp;WIDTH=450&amp;START_MAXIMIZED=FALSE&amp;VAR:CALENDAR=US&amp;VAR:SYMBOL=HUN&amp;VAR:INDEX=12"}</definedName>
    <definedName name="_2983__FDSAUDITLINK__" hidden="1">{"fdsup://directions/FAT Viewer?action=UPDATE&amp;creator=factset&amp;DYN_ARGS=TRUE&amp;DOC_NAME=FAT:FQL_AUDITING_CLIENT_TEMPLATE.FAT&amp;display_string=Audit&amp;VAR:KEY=UHOZYRKTUL&amp;VAR:QUERY=Q1NGX0VCSVRfT1BFUihBTk4sMTIvMzEvMTk4MCwxMi8zMS8yMDA5LEFZKQ==&amp;WINDOW=FIRST_POPUP&amp;HEIGH","T=450&amp;WIDTH=450&amp;START_MAXIMIZED=FALSE&amp;VAR:CALENDAR=US&amp;VAR:SYMBOL=HUN&amp;VAR:INDEX=11"}</definedName>
    <definedName name="_2984__FDSAUDITLINK__" hidden="1">{"fdsup://directions/FAT Viewer?action=UPDATE&amp;creator=factset&amp;DYN_ARGS=TRUE&amp;DOC_NAME=FAT:FQL_AUDITING_CLIENT_TEMPLATE.FAT&amp;display_string=Audit&amp;VAR:KEY=UHOZYRKTUL&amp;VAR:QUERY=Q1NGX0VCSVRfT1BFUihBTk4sMTIvMzEvMTk4MCwxMi8zMS8yMDA5LEFZKQ==&amp;WINDOW=FIRST_POPUP&amp;HEIGH","T=450&amp;WIDTH=450&amp;START_MAXIMIZED=FALSE&amp;VAR:CALENDAR=US&amp;VAR:SYMBOL=HUN&amp;VAR:INDEX=10"}</definedName>
    <definedName name="_2985__FDSAUDITLINK__" hidden="1">{"fdsup://directions/FAT Viewer?action=UPDATE&amp;creator=factset&amp;DYN_ARGS=TRUE&amp;DOC_NAME=FAT:FQL_AUDITING_CLIENT_TEMPLATE.FAT&amp;display_string=Audit&amp;VAR:KEY=UHOZYRKTUL&amp;VAR:QUERY=Q1NGX0VCSVRfT1BFUihBTk4sMTIvMzEvMTk4MCwxMi8zMS8yMDA5LEFZKQ==&amp;WINDOW=FIRST_POPUP&amp;HEIGH","T=450&amp;WIDTH=450&amp;START_MAXIMIZED=FALSE&amp;VAR:CALENDAR=US&amp;VAR:SYMBOL=HUN&amp;VAR:INDEX=9"}</definedName>
    <definedName name="_2986__FDSAUDITLINK__" hidden="1">{"fdsup://directions/FAT Viewer?action=UPDATE&amp;creator=factset&amp;DYN_ARGS=TRUE&amp;DOC_NAME=FAT:FQL_AUDITING_CLIENT_TEMPLATE.FAT&amp;display_string=Audit&amp;VAR:KEY=UHOZYRKTUL&amp;VAR:QUERY=Q1NGX0VCSVRfT1BFUihBTk4sMTIvMzEvMTk4MCwxMi8zMS8yMDA5LEFZKQ==&amp;WINDOW=FIRST_POPUP&amp;HEIGH","T=450&amp;WIDTH=450&amp;START_MAXIMIZED=FALSE&amp;VAR:CALENDAR=US&amp;VAR:SYMBOL=HUN&amp;VAR:INDEX=8"}</definedName>
    <definedName name="_2987__FDSAUDITLINK__" hidden="1">{"fdsup://directions/FAT Viewer?action=UPDATE&amp;creator=factset&amp;DYN_ARGS=TRUE&amp;DOC_NAME=FAT:FQL_AUDITING_CLIENT_TEMPLATE.FAT&amp;display_string=Audit&amp;VAR:KEY=UHOZYRKTUL&amp;VAR:QUERY=Q1NGX0VCSVRfT1BFUihBTk4sMTIvMzEvMTk4MCwxMi8zMS8yMDA5LEFZKQ==&amp;WINDOW=FIRST_POPUP&amp;HEIGH","T=450&amp;WIDTH=450&amp;START_MAXIMIZED=FALSE&amp;VAR:CALENDAR=US&amp;VAR:SYMBOL=HUN&amp;VAR:INDEX=7"}</definedName>
    <definedName name="_2988__FDSAUDITLINK__" hidden="1">{"fdsup://directions/FAT Viewer?action=UPDATE&amp;creator=factset&amp;DYN_ARGS=TRUE&amp;DOC_NAME=FAT:FQL_AUDITING_CLIENT_TEMPLATE.FAT&amp;display_string=Audit&amp;VAR:KEY=UHOZYRKTUL&amp;VAR:QUERY=Q1NGX0VCSVRfT1BFUihBTk4sMTIvMzEvMTk4MCwxMi8zMS8yMDA5LEFZKQ==&amp;WINDOW=FIRST_POPUP&amp;HEIGH","T=450&amp;WIDTH=450&amp;START_MAXIMIZED=FALSE&amp;VAR:CALENDAR=US&amp;VAR:SYMBOL=HUN&amp;VAR:INDEX=6"}</definedName>
    <definedName name="_2989__FDSAUDITLINK__" hidden="1">{"fdsup://directions/FAT Viewer?action=UPDATE&amp;creator=factset&amp;DYN_ARGS=TRUE&amp;DOC_NAME=FAT:FQL_AUDITING_CLIENT_TEMPLATE.FAT&amp;display_string=Audit&amp;VAR:KEY=UHOZYRKTUL&amp;VAR:QUERY=Q1NGX0VCSVRfT1BFUihBTk4sMTIvMzEvMTk4MCwxMi8zMS8yMDA5LEFZKQ==&amp;WINDOW=FIRST_POPUP&amp;HEIGH","T=450&amp;WIDTH=450&amp;START_MAXIMIZED=FALSE&amp;VAR:CALENDAR=US&amp;VAR:SYMBOL=HUN&amp;VAR:INDEX=5"}</definedName>
    <definedName name="_299__FDSAUDITLINK__" hidden="1">{"fdsup://directions/FAT Viewer?action=UPDATE&amp;creator=factset&amp;DYN_ARGS=TRUE&amp;DOC_NAME=FAT:FQL_AUDITING_CLIENT_TEMPLATE.FAT&amp;display_string=Audit&amp;VAR:KEY=ADGHCLGJUV&amp;VAR:QUERY=Q1NGX0VCSVRfT1BFUihBTk4sMTIvMzEvODAsMCk=&amp;WINDOW=FIRST_POPUP&amp;HEIGHT=450&amp;WIDTH=450&amp;STAR","T_MAXIMIZED=FALSE&amp;VAR:CALENDAR=US&amp;VAR:SYMBOL=GGC&amp;VAR:INDEX=3"}</definedName>
    <definedName name="_2990__FDSAUDITLINK__" hidden="1">{"fdsup://directions/FAT Viewer?action=UPDATE&amp;creator=factset&amp;DYN_ARGS=TRUE&amp;DOC_NAME=FAT:FQL_AUDITING_CLIENT_TEMPLATE.FAT&amp;display_string=Audit&amp;VAR:KEY=UHOZYRKTUL&amp;VAR:QUERY=Q1NGX0VCSVRfT1BFUihBTk4sMTIvMzEvMTk4MCwxMi8zMS8yMDA5LEFZKQ==&amp;WINDOW=FIRST_POPUP&amp;HEIGH","T=450&amp;WIDTH=450&amp;START_MAXIMIZED=FALSE&amp;VAR:CALENDAR=US&amp;VAR:SYMBOL=HUN&amp;VAR:INDEX=4"}</definedName>
    <definedName name="_2991__FDSAUDITLINK__" hidden="1">{"fdsup://directions/FAT Viewer?action=UPDATE&amp;creator=factset&amp;DYN_ARGS=TRUE&amp;DOC_NAME=FAT:FQL_AUDITING_CLIENT_TEMPLATE.FAT&amp;display_string=Audit&amp;VAR:KEY=UHOZYRKTUL&amp;VAR:QUERY=Q1NGX0VCSVRfT1BFUihBTk4sMTIvMzEvMTk4MCwxMi8zMS8yMDA5LEFZKQ==&amp;WINDOW=FIRST_POPUP&amp;HEIGH","T=450&amp;WIDTH=450&amp;START_MAXIMIZED=FALSE&amp;VAR:CALENDAR=US&amp;VAR:SYMBOL=HUN&amp;VAR:INDEX=3"}</definedName>
    <definedName name="_2992__FDSAUDITLINK__" hidden="1">{"fdsup://directions/FAT Viewer?action=UPDATE&amp;creator=factset&amp;DYN_ARGS=TRUE&amp;DOC_NAME=FAT:FQL_AUDITING_CLIENT_TEMPLATE.FAT&amp;display_string=Audit&amp;VAR:KEY=UHOZYRKTUL&amp;VAR:QUERY=Q1NGX0VCSVRfT1BFUihBTk4sMTIvMzEvMTk4MCwxMi8zMS8yMDA5LEFZKQ==&amp;WINDOW=FIRST_POPUP&amp;HEIGH","T=450&amp;WIDTH=450&amp;START_MAXIMIZED=FALSE&amp;VAR:CALENDAR=US&amp;VAR:SYMBOL=HUN&amp;VAR:INDEX=2"}</definedName>
    <definedName name="_2993__FDSAUDITLINK__" hidden="1">{"fdsup://directions/FAT Viewer?action=UPDATE&amp;creator=factset&amp;DYN_ARGS=TRUE&amp;DOC_NAME=FAT:FQL_AUDITING_CLIENT_TEMPLATE.FAT&amp;display_string=Audit&amp;VAR:KEY=UHOZYRKTUL&amp;VAR:QUERY=Q1NGX0VCSVRfT1BFUihBTk4sMTIvMzEvMTk4MCwxMi8zMS8yMDA5LEFZKQ==&amp;WINDOW=FIRST_POPUP&amp;HEIGH","T=450&amp;WIDTH=450&amp;START_MAXIMIZED=FALSE&amp;VAR:CALENDAR=US&amp;VAR:SYMBOL=HUN&amp;VAR:INDEX=1"}</definedName>
    <definedName name="_2994__FDSAUDITLINK__" hidden="1">{"fdsup://directions/FAT Viewer?action=UPDATE&amp;creator=factset&amp;DYN_ARGS=TRUE&amp;DOC_NAME=FAT:FQL_AUDITING_CLIENT_TEMPLATE.FAT&amp;display_string=Audit&amp;VAR:KEY=UHOZYRKTUL&amp;VAR:QUERY=Q1NGX0VCSVRfT1BFUihBTk4sMTIvMzEvMTk4MCwxMi8zMS8yMDA5LEFZKQ==&amp;WINDOW=FIRST_POPUP&amp;HEIGH","T=450&amp;WIDTH=450&amp;START_MAXIMIZED=FALSE&amp;VAR:CALENDAR=US&amp;VAR:SYMBOL=HUN&amp;VAR:INDEX=0"}</definedName>
    <definedName name="_2995__FDSAUDITLINK__" hidden="1">{"fdsup://directions/FAT Viewer?action=UPDATE&amp;creator=factset&amp;DYN_ARGS=TRUE&amp;DOC_NAME=FAT:FQL_AUDITING_CLIENT_TEMPLATE.FAT&amp;display_string=Audit&amp;VAR:KEY=TGJKVWBKPI&amp;VAR:QUERY=Q1NGX0VCSVRfT1BFUihMVE1fUiwwKQ==&amp;WINDOW=FIRST_POPUP&amp;HEIGHT=450&amp;WIDTH=450&amp;START_MAXIMI","ZED=FALSE&amp;VAR:CALENDAR=US&amp;VAR:SYMBOL=KRO&amp;VAR:INDEX=0"}</definedName>
    <definedName name="_2996__FDSAUDITLINK__" hidden="1">{"fdsup://directions/FAT Viewer?action=UPDATE&amp;creator=factset&amp;DYN_ARGS=TRUE&amp;DOC_NAME=FAT:FQL_AUDITING_CLIENT_TEMPLATE.FAT&amp;display_string=Audit&amp;VAR:KEY=ERWLMFMLEL&amp;VAR:QUERY=Q1NGX0VCSVRfT1BFUihBTk4sMTIvMzEvMTk4MCwxMi8zMS8yMDA5LEFZKQ==&amp;WINDOW=FIRST_POPUP&amp;HEIGH","T=450&amp;WIDTH=450&amp;START_MAXIMIZED=FALSE&amp;VAR:CALENDAR=US&amp;VAR:SYMBOL=KRO&amp;VAR:INDEX=29"}</definedName>
    <definedName name="_2997__FDSAUDITLINK__" hidden="1">{"fdsup://directions/FAT Viewer?action=UPDATE&amp;creator=factset&amp;DYN_ARGS=TRUE&amp;DOC_NAME=FAT:FQL_AUDITING_CLIENT_TEMPLATE.FAT&amp;display_string=Audit&amp;VAR:KEY=ERWLMFMLEL&amp;VAR:QUERY=Q1NGX0VCSVRfT1BFUihBTk4sMTIvMzEvMTk4MCwxMi8zMS8yMDA5LEFZKQ==&amp;WINDOW=FIRST_POPUP&amp;HEIGH","T=450&amp;WIDTH=450&amp;START_MAXIMIZED=FALSE&amp;VAR:CALENDAR=US&amp;VAR:SYMBOL=KRO&amp;VAR:INDEX=28"}</definedName>
    <definedName name="_2998__FDSAUDITLINK__" hidden="1">{"fdsup://directions/FAT Viewer?action=UPDATE&amp;creator=factset&amp;DYN_ARGS=TRUE&amp;DOC_NAME=FAT:FQL_AUDITING_CLIENT_TEMPLATE.FAT&amp;display_string=Audit&amp;VAR:KEY=ERWLMFMLEL&amp;VAR:QUERY=Q1NGX0VCSVRfT1BFUihBTk4sMTIvMzEvMTk4MCwxMi8zMS8yMDA5LEFZKQ==&amp;WINDOW=FIRST_POPUP&amp;HEIGH","T=450&amp;WIDTH=450&amp;START_MAXIMIZED=FALSE&amp;VAR:CALENDAR=US&amp;VAR:SYMBOL=KRO&amp;VAR:INDEX=27"}</definedName>
    <definedName name="_2999__FDSAUDITLINK__" hidden="1">{"fdsup://directions/FAT Viewer?action=UPDATE&amp;creator=factset&amp;DYN_ARGS=TRUE&amp;DOC_NAME=FAT:FQL_AUDITING_CLIENT_TEMPLATE.FAT&amp;display_string=Audit&amp;VAR:KEY=ERWLMFMLEL&amp;VAR:QUERY=Q1NGX0VCSVRfT1BFUihBTk4sMTIvMzEvMTk4MCwxMi8zMS8yMDA5LEFZKQ==&amp;WINDOW=FIRST_POPUP&amp;HEIGH","T=450&amp;WIDTH=450&amp;START_MAXIMIZED=FALSE&amp;VAR:CALENDAR=US&amp;VAR:SYMBOL=KRO&amp;VAR:INDEX=26"}</definedName>
    <definedName name="_3__FDSAUDITLINK__" hidden="1">{"fdsup://directions/FAT Viewer?action=UPDATE&amp;creator=factset&amp;DYN_ARGS=TRUE&amp;DOC_NAME=FAT:FQL_AUDITING_CLIENT_TEMPLATE.FAT&amp;display_string=Audit&amp;VAR:KEY=YXSJYLYXUV&amp;VAR:QUERY=Q1NGX0dST1NTX0lOQyhRVFJfUiwtM0FZLDAsRlEp&amp;WINDOW=FIRST_POPUP&amp;HEIGHT=450&amp;WIDTH=450&amp;STAR","T_MAXIMIZED=FALSE&amp;VAR:CALENDAR=US&amp;VAR:SYMBOL=EMN&amp;VAR:INDEX=10"}</definedName>
    <definedName name="_30__FDSAUDITLINK__" hidden="1">{"fdsup://directions/FAT Viewer?action=UPDATE&amp;creator=factset&amp;DYN_ARGS=TRUE&amp;DOC_NAME=FAT:FQL_AUDITING_CLIENT_TEMPLATE.FAT&amp;display_string=Audit&amp;VAR:KEY=OPCTWNULSL&amp;VAR:QUERY=Q1NGX0dST1NTX0lOQyhRVFJfUiwtM0FZLDAsRlEp&amp;WINDOW=FIRST_POPUP&amp;HEIGHT=450&amp;WIDTH=450&amp;STAR","T_MAXIMIZED=FALSE&amp;VAR:CALENDAR=US&amp;VAR:SYMBOL=PPG&amp;VAR:INDEX=9"}</definedName>
    <definedName name="_300__FDSAUDITLINK__" hidden="1">{"fdsup://directions/FAT Viewer?action=UPDATE&amp;creator=factset&amp;DYN_ARGS=TRUE&amp;DOC_NAME=FAT:FQL_AUDITING_CLIENT_TEMPLATE.FAT&amp;display_string=Audit&amp;VAR:KEY=ADGHCLGJUV&amp;VAR:QUERY=Q1NGX0VCSVRfT1BFUihBTk4sMTIvMzEvODAsMCk=&amp;WINDOW=FIRST_POPUP&amp;HEIGHT=450&amp;WIDTH=450&amp;STAR","T_MAXIMIZED=FALSE&amp;VAR:CALENDAR=US&amp;VAR:SYMBOL=GGC&amp;VAR:INDEX=2"}</definedName>
    <definedName name="_3000__FDSAUDITLINK__" hidden="1">{"fdsup://directions/FAT Viewer?action=UPDATE&amp;creator=factset&amp;DYN_ARGS=TRUE&amp;DOC_NAME=FAT:FQL_AUDITING_CLIENT_TEMPLATE.FAT&amp;display_string=Audit&amp;VAR:KEY=ERWLMFMLEL&amp;VAR:QUERY=Q1NGX0VCSVRfT1BFUihBTk4sMTIvMzEvMTk4MCwxMi8zMS8yMDA5LEFZKQ==&amp;WINDOW=FIRST_POPUP&amp;HEIGH","T=450&amp;WIDTH=450&amp;START_MAXIMIZED=FALSE&amp;VAR:CALENDAR=US&amp;VAR:SYMBOL=KRO&amp;VAR:INDEX=25"}</definedName>
    <definedName name="_3001__FDSAUDITLINK__" hidden="1">{"fdsup://directions/FAT Viewer?action=UPDATE&amp;creator=factset&amp;DYN_ARGS=TRUE&amp;DOC_NAME=FAT:FQL_AUDITING_CLIENT_TEMPLATE.FAT&amp;display_string=Audit&amp;VAR:KEY=ERWLMFMLEL&amp;VAR:QUERY=Q1NGX0VCSVRfT1BFUihBTk4sMTIvMzEvMTk4MCwxMi8zMS8yMDA5LEFZKQ==&amp;WINDOW=FIRST_POPUP&amp;HEIGH","T=450&amp;WIDTH=450&amp;START_MAXIMIZED=FALSE&amp;VAR:CALENDAR=US&amp;VAR:SYMBOL=KRO&amp;VAR:INDEX=24"}</definedName>
    <definedName name="_3002__FDSAUDITLINK__" hidden="1">{"fdsup://directions/FAT Viewer?action=UPDATE&amp;creator=factset&amp;DYN_ARGS=TRUE&amp;DOC_NAME=FAT:FQL_AUDITING_CLIENT_TEMPLATE.FAT&amp;display_string=Audit&amp;VAR:KEY=ERWLMFMLEL&amp;VAR:QUERY=Q1NGX0VCSVRfT1BFUihBTk4sMTIvMzEvMTk4MCwxMi8zMS8yMDA5LEFZKQ==&amp;WINDOW=FIRST_POPUP&amp;HEIGH","T=450&amp;WIDTH=450&amp;START_MAXIMIZED=FALSE&amp;VAR:CALENDAR=US&amp;VAR:SYMBOL=KRO&amp;VAR:INDEX=23"}</definedName>
    <definedName name="_3003__FDSAUDITLINK__" hidden="1">{"fdsup://directions/FAT Viewer?action=UPDATE&amp;creator=factset&amp;DYN_ARGS=TRUE&amp;DOC_NAME=FAT:FQL_AUDITING_CLIENT_TEMPLATE.FAT&amp;display_string=Audit&amp;VAR:KEY=ERWLMFMLEL&amp;VAR:QUERY=Q1NGX0VCSVRfT1BFUihBTk4sMTIvMzEvMTk4MCwxMi8zMS8yMDA5LEFZKQ==&amp;WINDOW=FIRST_POPUP&amp;HEIGH","T=450&amp;WIDTH=450&amp;START_MAXIMIZED=FALSE&amp;VAR:CALENDAR=US&amp;VAR:SYMBOL=KRO&amp;VAR:INDEX=22"}</definedName>
    <definedName name="_3004__FDSAUDITLINK__" hidden="1">{"fdsup://directions/FAT Viewer?action=UPDATE&amp;creator=factset&amp;DYN_ARGS=TRUE&amp;DOC_NAME=FAT:FQL_AUDITING_CLIENT_TEMPLATE.FAT&amp;display_string=Audit&amp;VAR:KEY=ERWLMFMLEL&amp;VAR:QUERY=Q1NGX0VCSVRfT1BFUihBTk4sMTIvMzEvMTk4MCwxMi8zMS8yMDA5LEFZKQ==&amp;WINDOW=FIRST_POPUP&amp;HEIGH","T=450&amp;WIDTH=450&amp;START_MAXIMIZED=FALSE&amp;VAR:CALENDAR=US&amp;VAR:SYMBOL=KRO&amp;VAR:INDEX=21"}</definedName>
    <definedName name="_3005__FDSAUDITLINK__" hidden="1">{"fdsup://directions/FAT Viewer?action=UPDATE&amp;creator=factset&amp;DYN_ARGS=TRUE&amp;DOC_NAME=FAT:FQL_AUDITING_CLIENT_TEMPLATE.FAT&amp;display_string=Audit&amp;VAR:KEY=ERWLMFMLEL&amp;VAR:QUERY=Q1NGX0VCSVRfT1BFUihBTk4sMTIvMzEvMTk4MCwxMi8zMS8yMDA5LEFZKQ==&amp;WINDOW=FIRST_POPUP&amp;HEIGH","T=450&amp;WIDTH=450&amp;START_MAXIMIZED=FALSE&amp;VAR:CALENDAR=US&amp;VAR:SYMBOL=KRO&amp;VAR:INDEX=20"}</definedName>
    <definedName name="_3006__FDSAUDITLINK__" hidden="1">{"fdsup://directions/FAT Viewer?action=UPDATE&amp;creator=factset&amp;DYN_ARGS=TRUE&amp;DOC_NAME=FAT:FQL_AUDITING_CLIENT_TEMPLATE.FAT&amp;display_string=Audit&amp;VAR:KEY=ERWLMFMLEL&amp;VAR:QUERY=Q1NGX0VCSVRfT1BFUihBTk4sMTIvMzEvMTk4MCwxMi8zMS8yMDA5LEFZKQ==&amp;WINDOW=FIRST_POPUP&amp;HEIGH","T=450&amp;WIDTH=450&amp;START_MAXIMIZED=FALSE&amp;VAR:CALENDAR=US&amp;VAR:SYMBOL=KRO&amp;VAR:INDEX=19"}</definedName>
    <definedName name="_3007__FDSAUDITLINK__" hidden="1">{"fdsup://directions/FAT Viewer?action=UPDATE&amp;creator=factset&amp;DYN_ARGS=TRUE&amp;DOC_NAME=FAT:FQL_AUDITING_CLIENT_TEMPLATE.FAT&amp;display_string=Audit&amp;VAR:KEY=ERWLMFMLEL&amp;VAR:QUERY=Q1NGX0VCSVRfT1BFUihBTk4sMTIvMzEvMTk4MCwxMi8zMS8yMDA5LEFZKQ==&amp;WINDOW=FIRST_POPUP&amp;HEIGH","T=450&amp;WIDTH=450&amp;START_MAXIMIZED=FALSE&amp;VAR:CALENDAR=US&amp;VAR:SYMBOL=KRO&amp;VAR:INDEX=18"}</definedName>
    <definedName name="_3008__FDSAUDITLINK__" hidden="1">{"fdsup://directions/FAT Viewer?action=UPDATE&amp;creator=factset&amp;DYN_ARGS=TRUE&amp;DOC_NAME=FAT:FQL_AUDITING_CLIENT_TEMPLATE.FAT&amp;display_string=Audit&amp;VAR:KEY=ERWLMFMLEL&amp;VAR:QUERY=Q1NGX0VCSVRfT1BFUihBTk4sMTIvMzEvMTk4MCwxMi8zMS8yMDA5LEFZKQ==&amp;WINDOW=FIRST_POPUP&amp;HEIGH","T=450&amp;WIDTH=450&amp;START_MAXIMIZED=FALSE&amp;VAR:CALENDAR=US&amp;VAR:SYMBOL=KRO&amp;VAR:INDEX=17"}</definedName>
    <definedName name="_3009__FDSAUDITLINK__" hidden="1">{"fdsup://directions/FAT Viewer?action=UPDATE&amp;creator=factset&amp;DYN_ARGS=TRUE&amp;DOC_NAME=FAT:FQL_AUDITING_CLIENT_TEMPLATE.FAT&amp;display_string=Audit&amp;VAR:KEY=ERWLMFMLEL&amp;VAR:QUERY=Q1NGX0VCSVRfT1BFUihBTk4sMTIvMzEvMTk4MCwxMi8zMS8yMDA5LEFZKQ==&amp;WINDOW=FIRST_POPUP&amp;HEIGH","T=450&amp;WIDTH=450&amp;START_MAXIMIZED=FALSE&amp;VAR:CALENDAR=US&amp;VAR:SYMBOL=KRO&amp;VAR:INDEX=16"}</definedName>
    <definedName name="_301__FDSAUDITLINK__" hidden="1">{"fdsup://directions/FAT Viewer?action=UPDATE&amp;creator=factset&amp;DYN_ARGS=TRUE&amp;DOC_NAME=FAT:FQL_AUDITING_CLIENT_TEMPLATE.FAT&amp;display_string=Audit&amp;VAR:KEY=ADGHCLGJUV&amp;VAR:QUERY=Q1NGX0VCSVRfT1BFUihBTk4sMTIvMzEvODAsMCk=&amp;WINDOW=FIRST_POPUP&amp;HEIGHT=450&amp;WIDTH=450&amp;STAR","T_MAXIMIZED=FALSE&amp;VAR:CALENDAR=US&amp;VAR:SYMBOL=GGC&amp;VAR:INDEX=1"}</definedName>
    <definedName name="_3010__FDSAUDITLINK__" hidden="1">{"fdsup://directions/FAT Viewer?action=UPDATE&amp;creator=factset&amp;DYN_ARGS=TRUE&amp;DOC_NAME=FAT:FQL_AUDITING_CLIENT_TEMPLATE.FAT&amp;display_string=Audit&amp;VAR:KEY=ERWLMFMLEL&amp;VAR:QUERY=Q1NGX0VCSVRfT1BFUihBTk4sMTIvMzEvMTk4MCwxMi8zMS8yMDA5LEFZKQ==&amp;WINDOW=FIRST_POPUP&amp;HEIGH","T=450&amp;WIDTH=450&amp;START_MAXIMIZED=FALSE&amp;VAR:CALENDAR=US&amp;VAR:SYMBOL=KRO&amp;VAR:INDEX=15"}</definedName>
    <definedName name="_3011__FDSAUDITLINK__" hidden="1">{"fdsup://directions/FAT Viewer?action=UPDATE&amp;creator=factset&amp;DYN_ARGS=TRUE&amp;DOC_NAME=FAT:FQL_AUDITING_CLIENT_TEMPLATE.FAT&amp;display_string=Audit&amp;VAR:KEY=ERWLMFMLEL&amp;VAR:QUERY=Q1NGX0VCSVRfT1BFUihBTk4sMTIvMzEvMTk4MCwxMi8zMS8yMDA5LEFZKQ==&amp;WINDOW=FIRST_POPUP&amp;HEIGH","T=450&amp;WIDTH=450&amp;START_MAXIMIZED=FALSE&amp;VAR:CALENDAR=US&amp;VAR:SYMBOL=KRO&amp;VAR:INDEX=14"}</definedName>
    <definedName name="_3012__FDSAUDITLINK__" hidden="1">{"fdsup://directions/FAT Viewer?action=UPDATE&amp;creator=factset&amp;DYN_ARGS=TRUE&amp;DOC_NAME=FAT:FQL_AUDITING_CLIENT_TEMPLATE.FAT&amp;display_string=Audit&amp;VAR:KEY=ERWLMFMLEL&amp;VAR:QUERY=Q1NGX0VCSVRfT1BFUihBTk4sMTIvMzEvMTk4MCwxMi8zMS8yMDA5LEFZKQ==&amp;WINDOW=FIRST_POPUP&amp;HEIGH","T=450&amp;WIDTH=450&amp;START_MAXIMIZED=FALSE&amp;VAR:CALENDAR=US&amp;VAR:SYMBOL=KRO&amp;VAR:INDEX=13"}</definedName>
    <definedName name="_3013__FDSAUDITLINK__" hidden="1">{"fdsup://directions/FAT Viewer?action=UPDATE&amp;creator=factset&amp;DYN_ARGS=TRUE&amp;DOC_NAME=FAT:FQL_AUDITING_CLIENT_TEMPLATE.FAT&amp;display_string=Audit&amp;VAR:KEY=ERWLMFMLEL&amp;VAR:QUERY=Q1NGX0VCSVRfT1BFUihBTk4sMTIvMzEvMTk4MCwxMi8zMS8yMDA5LEFZKQ==&amp;WINDOW=FIRST_POPUP&amp;HEIGH","T=450&amp;WIDTH=450&amp;START_MAXIMIZED=FALSE&amp;VAR:CALENDAR=US&amp;VAR:SYMBOL=KRO&amp;VAR:INDEX=12"}</definedName>
    <definedName name="_3014__FDSAUDITLINK__" hidden="1">{"fdsup://directions/FAT Viewer?action=UPDATE&amp;creator=factset&amp;DYN_ARGS=TRUE&amp;DOC_NAME=FAT:FQL_AUDITING_CLIENT_TEMPLATE.FAT&amp;display_string=Audit&amp;VAR:KEY=ERWLMFMLEL&amp;VAR:QUERY=Q1NGX0VCSVRfT1BFUihBTk4sMTIvMzEvMTk4MCwxMi8zMS8yMDA5LEFZKQ==&amp;WINDOW=FIRST_POPUP&amp;HEIGH","T=450&amp;WIDTH=450&amp;START_MAXIMIZED=FALSE&amp;VAR:CALENDAR=US&amp;VAR:SYMBOL=KRO&amp;VAR:INDEX=11"}</definedName>
    <definedName name="_3015__FDSAUDITLINK__" hidden="1">{"fdsup://directions/FAT Viewer?action=UPDATE&amp;creator=factset&amp;DYN_ARGS=TRUE&amp;DOC_NAME=FAT:FQL_AUDITING_CLIENT_TEMPLATE.FAT&amp;display_string=Audit&amp;VAR:KEY=ERWLMFMLEL&amp;VAR:QUERY=Q1NGX0VCSVRfT1BFUihBTk4sMTIvMzEvMTk4MCwxMi8zMS8yMDA5LEFZKQ==&amp;WINDOW=FIRST_POPUP&amp;HEIGH","T=450&amp;WIDTH=450&amp;START_MAXIMIZED=FALSE&amp;VAR:CALENDAR=US&amp;VAR:SYMBOL=KRO&amp;VAR:INDEX=10"}</definedName>
    <definedName name="_3016__FDSAUDITLINK__" hidden="1">{"fdsup://directions/FAT Viewer?action=UPDATE&amp;creator=factset&amp;DYN_ARGS=TRUE&amp;DOC_NAME=FAT:FQL_AUDITING_CLIENT_TEMPLATE.FAT&amp;display_string=Audit&amp;VAR:KEY=ERWLMFMLEL&amp;VAR:QUERY=Q1NGX0VCSVRfT1BFUihBTk4sMTIvMzEvMTk4MCwxMi8zMS8yMDA5LEFZKQ==&amp;WINDOW=FIRST_POPUP&amp;HEIGH","T=450&amp;WIDTH=450&amp;START_MAXIMIZED=FALSE&amp;VAR:CALENDAR=US&amp;VAR:SYMBOL=KRO&amp;VAR:INDEX=9"}</definedName>
    <definedName name="_3017__FDSAUDITLINK__" hidden="1">{"fdsup://directions/FAT Viewer?action=UPDATE&amp;creator=factset&amp;DYN_ARGS=TRUE&amp;DOC_NAME=FAT:FQL_AUDITING_CLIENT_TEMPLATE.FAT&amp;display_string=Audit&amp;VAR:KEY=ERWLMFMLEL&amp;VAR:QUERY=Q1NGX0VCSVRfT1BFUihBTk4sMTIvMzEvMTk4MCwxMi8zMS8yMDA5LEFZKQ==&amp;WINDOW=FIRST_POPUP&amp;HEIGH","T=450&amp;WIDTH=450&amp;START_MAXIMIZED=FALSE&amp;VAR:CALENDAR=US&amp;VAR:SYMBOL=KRO&amp;VAR:INDEX=8"}</definedName>
    <definedName name="_3018__FDSAUDITLINK__" hidden="1">{"fdsup://directions/FAT Viewer?action=UPDATE&amp;creator=factset&amp;DYN_ARGS=TRUE&amp;DOC_NAME=FAT:FQL_AUDITING_CLIENT_TEMPLATE.FAT&amp;display_string=Audit&amp;VAR:KEY=ERWLMFMLEL&amp;VAR:QUERY=Q1NGX0VCSVRfT1BFUihBTk4sMTIvMzEvMTk4MCwxMi8zMS8yMDA5LEFZKQ==&amp;WINDOW=FIRST_POPUP&amp;HEIGH","T=450&amp;WIDTH=450&amp;START_MAXIMIZED=FALSE&amp;VAR:CALENDAR=US&amp;VAR:SYMBOL=KRO&amp;VAR:INDEX=7"}</definedName>
    <definedName name="_3019__FDSAUDITLINK__" hidden="1">{"fdsup://directions/FAT Viewer?action=UPDATE&amp;creator=factset&amp;DYN_ARGS=TRUE&amp;DOC_NAME=FAT:FQL_AUDITING_CLIENT_TEMPLATE.FAT&amp;display_string=Audit&amp;VAR:KEY=ERWLMFMLEL&amp;VAR:QUERY=Q1NGX0VCSVRfT1BFUihBTk4sMTIvMzEvMTk4MCwxMi8zMS8yMDA5LEFZKQ==&amp;WINDOW=FIRST_POPUP&amp;HEIGH","T=450&amp;WIDTH=450&amp;START_MAXIMIZED=FALSE&amp;VAR:CALENDAR=US&amp;VAR:SYMBOL=KRO&amp;VAR:INDEX=6"}</definedName>
    <definedName name="_302__FDSAUDITLINK__" hidden="1">{"fdsup://directions/FAT Viewer?action=UPDATE&amp;creator=factset&amp;DYN_ARGS=TRUE&amp;DOC_NAME=FAT:FQL_AUDITING_CLIENT_TEMPLATE.FAT&amp;display_string=Audit&amp;VAR:KEY=ADGHCLGJUV&amp;VAR:QUERY=Q1NGX0VCSVRfT1BFUihBTk4sMTIvMzEvODAsMCk=&amp;WINDOW=FIRST_POPUP&amp;HEIGHT=450&amp;WIDTH=450&amp;STAR","T_MAXIMIZED=FALSE&amp;VAR:CALENDAR=US&amp;VAR:SYMBOL=GGC&amp;VAR:INDEX=0"}</definedName>
    <definedName name="_3020__FDSAUDITLINK__" hidden="1">{"fdsup://directions/FAT Viewer?action=UPDATE&amp;creator=factset&amp;DYN_ARGS=TRUE&amp;DOC_NAME=FAT:FQL_AUDITING_CLIENT_TEMPLATE.FAT&amp;display_string=Audit&amp;VAR:KEY=ERWLMFMLEL&amp;VAR:QUERY=Q1NGX0VCSVRfT1BFUihBTk4sMTIvMzEvMTk4MCwxMi8zMS8yMDA5LEFZKQ==&amp;WINDOW=FIRST_POPUP&amp;HEIGH","T=450&amp;WIDTH=450&amp;START_MAXIMIZED=FALSE&amp;VAR:CALENDAR=US&amp;VAR:SYMBOL=KRO&amp;VAR:INDEX=5"}</definedName>
    <definedName name="_3021__FDSAUDITLINK__" hidden="1">{"fdsup://directions/FAT Viewer?action=UPDATE&amp;creator=factset&amp;DYN_ARGS=TRUE&amp;DOC_NAME=FAT:FQL_AUDITING_CLIENT_TEMPLATE.FAT&amp;display_string=Audit&amp;VAR:KEY=ERWLMFMLEL&amp;VAR:QUERY=Q1NGX0VCSVRfT1BFUihBTk4sMTIvMzEvMTk4MCwxMi8zMS8yMDA5LEFZKQ==&amp;WINDOW=FIRST_POPUP&amp;HEIGH","T=450&amp;WIDTH=450&amp;START_MAXIMIZED=FALSE&amp;VAR:CALENDAR=US&amp;VAR:SYMBOL=KRO&amp;VAR:INDEX=4"}</definedName>
    <definedName name="_3022__FDSAUDITLINK__" hidden="1">{"fdsup://directions/FAT Viewer?action=UPDATE&amp;creator=factset&amp;DYN_ARGS=TRUE&amp;DOC_NAME=FAT:FQL_AUDITING_CLIENT_TEMPLATE.FAT&amp;display_string=Audit&amp;VAR:KEY=ERWLMFMLEL&amp;VAR:QUERY=Q1NGX0VCSVRfT1BFUihBTk4sMTIvMzEvMTk4MCwxMi8zMS8yMDA5LEFZKQ==&amp;WINDOW=FIRST_POPUP&amp;HEIGH","T=450&amp;WIDTH=450&amp;START_MAXIMIZED=FALSE&amp;VAR:CALENDAR=US&amp;VAR:SYMBOL=KRO&amp;VAR:INDEX=3"}</definedName>
    <definedName name="_3023__FDSAUDITLINK__" hidden="1">{"fdsup://directions/FAT Viewer?action=UPDATE&amp;creator=factset&amp;DYN_ARGS=TRUE&amp;DOC_NAME=FAT:FQL_AUDITING_CLIENT_TEMPLATE.FAT&amp;display_string=Audit&amp;VAR:KEY=ERWLMFMLEL&amp;VAR:QUERY=Q1NGX0VCSVRfT1BFUihBTk4sMTIvMzEvMTk4MCwxMi8zMS8yMDA5LEFZKQ==&amp;WINDOW=FIRST_POPUP&amp;HEIGH","T=450&amp;WIDTH=450&amp;START_MAXIMIZED=FALSE&amp;VAR:CALENDAR=US&amp;VAR:SYMBOL=KRO&amp;VAR:INDEX=2"}</definedName>
    <definedName name="_3024__FDSAUDITLINK__" hidden="1">{"fdsup://directions/FAT Viewer?action=UPDATE&amp;creator=factset&amp;DYN_ARGS=TRUE&amp;DOC_NAME=FAT:FQL_AUDITING_CLIENT_TEMPLATE.FAT&amp;display_string=Audit&amp;VAR:KEY=ERWLMFMLEL&amp;VAR:QUERY=Q1NGX0VCSVRfT1BFUihBTk4sMTIvMzEvMTk4MCwxMi8zMS8yMDA5LEFZKQ==&amp;WINDOW=FIRST_POPUP&amp;HEIGH","T=450&amp;WIDTH=450&amp;START_MAXIMIZED=FALSE&amp;VAR:CALENDAR=US&amp;VAR:SYMBOL=KRO&amp;VAR:INDEX=1"}</definedName>
    <definedName name="_3025__FDSAUDITLINK__" hidden="1">{"fdsup://directions/FAT Viewer?action=UPDATE&amp;creator=factset&amp;DYN_ARGS=TRUE&amp;DOC_NAME=FAT:FQL_AUDITING_CLIENT_TEMPLATE.FAT&amp;display_string=Audit&amp;VAR:KEY=ERWLMFMLEL&amp;VAR:QUERY=Q1NGX0VCSVRfT1BFUihBTk4sMTIvMzEvMTk4MCwxMi8zMS8yMDA5LEFZKQ==&amp;WINDOW=FIRST_POPUP&amp;HEIGH","T=450&amp;WIDTH=450&amp;START_MAXIMIZED=FALSE&amp;VAR:CALENDAR=US&amp;VAR:SYMBOL=KRO&amp;VAR:INDEX=0"}</definedName>
    <definedName name="_3026__FDSAUDITLINK__" hidden="1">{"fdsup://directions/FAT Viewer?action=UPDATE&amp;creator=factset&amp;DYN_ARGS=TRUE&amp;DOC_NAME=FAT:FQL_AUDITING_CLIENT_TEMPLATE.FAT&amp;display_string=Audit&amp;VAR:KEY=DOZQPMFMVM&amp;VAR:QUERY=Q1NGX0VCSVRfT1BFUihMVE1fUiwwKQ==&amp;WINDOW=FIRST_POPUP&amp;HEIGHT=450&amp;WIDTH=450&amp;START_MAXIMI","ZED=FALSE&amp;VAR:CALENDAR=US&amp;VAR:SYMBOL=GRA&amp;VAR:INDEX=0"}</definedName>
    <definedName name="_3027__FDSAUDITLINK__" hidden="1">{"fdsup://directions/FAT Viewer?action=UPDATE&amp;creator=factset&amp;DYN_ARGS=TRUE&amp;DOC_NAME=FAT:FQL_AUDITING_CLIENT_TEMPLATE.FAT&amp;display_string=Audit&amp;VAR:KEY=SJANYJERAH&amp;VAR:QUERY=Q1NGX0VCSVRfT1BFUihBTk4sMTIvMzEvMTk4MCwxMi8zMS8yMDA5LEFZKQ==&amp;WINDOW=FIRST_POPUP&amp;HEIGH","T=450&amp;WIDTH=450&amp;START_MAXIMIZED=FALSE&amp;VAR:CALENDAR=US&amp;VAR:SYMBOL=GRA&amp;VAR:INDEX=29"}</definedName>
    <definedName name="_3028__FDSAUDITLINK__" hidden="1">{"fdsup://directions/FAT Viewer?action=UPDATE&amp;creator=factset&amp;DYN_ARGS=TRUE&amp;DOC_NAME=FAT:FQL_AUDITING_CLIENT_TEMPLATE.FAT&amp;display_string=Audit&amp;VAR:KEY=SJANYJERAH&amp;VAR:QUERY=Q1NGX0VCSVRfT1BFUihBTk4sMTIvMzEvMTk4MCwxMi8zMS8yMDA5LEFZKQ==&amp;WINDOW=FIRST_POPUP&amp;HEIGH","T=450&amp;WIDTH=450&amp;START_MAXIMIZED=FALSE&amp;VAR:CALENDAR=US&amp;VAR:SYMBOL=GRA&amp;VAR:INDEX=28"}</definedName>
    <definedName name="_3029__FDSAUDITLINK__" hidden="1">{"fdsup://directions/FAT Viewer?action=UPDATE&amp;creator=factset&amp;DYN_ARGS=TRUE&amp;DOC_NAME=FAT:FQL_AUDITING_CLIENT_TEMPLATE.FAT&amp;display_string=Audit&amp;VAR:KEY=SJANYJERAH&amp;VAR:QUERY=Q1NGX0VCSVRfT1BFUihBTk4sMTIvMzEvMTk4MCwxMi8zMS8yMDA5LEFZKQ==&amp;WINDOW=FIRST_POPUP&amp;HEIGH","T=450&amp;WIDTH=450&amp;START_MAXIMIZED=FALSE&amp;VAR:CALENDAR=US&amp;VAR:SYMBOL=GRA&amp;VAR:INDEX=27"}</definedName>
    <definedName name="_303__FDSAUDITLINK__" hidden="1">{"fdsup://directions/FAT Viewer?action=UPDATE&amp;creator=factset&amp;DYN_ARGS=TRUE&amp;DOC_NAME=FAT:FQL_AUDITING_CLIENT_TEMPLATE.FAT&amp;display_string=Audit&amp;VAR:KEY=YXGDCTITYX&amp;VAR:QUERY=Q1NGX0VCSVRfT1BFUihMVE1fUiwwKQ==&amp;WINDOW=FIRST_POPUP&amp;HEIGHT=450&amp;WIDTH=450&amp;START_MAXIMI","ZED=FALSE&amp;VAR:CALENDAR=US&amp;VAR:SYMBOL=WLK&amp;VAR:INDEX=0"}</definedName>
    <definedName name="_3030__FDSAUDITLINK__" hidden="1">{"fdsup://directions/FAT Viewer?action=UPDATE&amp;creator=factset&amp;DYN_ARGS=TRUE&amp;DOC_NAME=FAT:FQL_AUDITING_CLIENT_TEMPLATE.FAT&amp;display_string=Audit&amp;VAR:KEY=SJANYJERAH&amp;VAR:QUERY=Q1NGX0VCSVRfT1BFUihBTk4sMTIvMzEvMTk4MCwxMi8zMS8yMDA5LEFZKQ==&amp;WINDOW=FIRST_POPUP&amp;HEIGH","T=450&amp;WIDTH=450&amp;START_MAXIMIZED=FALSE&amp;VAR:CALENDAR=US&amp;VAR:SYMBOL=GRA&amp;VAR:INDEX=26"}</definedName>
    <definedName name="_3031__FDSAUDITLINK__" hidden="1">{"fdsup://directions/FAT Viewer?action=UPDATE&amp;creator=factset&amp;DYN_ARGS=TRUE&amp;DOC_NAME=FAT:FQL_AUDITING_CLIENT_TEMPLATE.FAT&amp;display_string=Audit&amp;VAR:KEY=SJANYJERAH&amp;VAR:QUERY=Q1NGX0VCSVRfT1BFUihBTk4sMTIvMzEvMTk4MCwxMi8zMS8yMDA5LEFZKQ==&amp;WINDOW=FIRST_POPUP&amp;HEIGH","T=450&amp;WIDTH=450&amp;START_MAXIMIZED=FALSE&amp;VAR:CALENDAR=US&amp;VAR:SYMBOL=GRA&amp;VAR:INDEX=25"}</definedName>
    <definedName name="_3032__FDSAUDITLINK__" hidden="1">{"fdsup://directions/FAT Viewer?action=UPDATE&amp;creator=factset&amp;DYN_ARGS=TRUE&amp;DOC_NAME=FAT:FQL_AUDITING_CLIENT_TEMPLATE.FAT&amp;display_string=Audit&amp;VAR:KEY=SJANYJERAH&amp;VAR:QUERY=Q1NGX0VCSVRfT1BFUihBTk4sMTIvMzEvMTk4MCwxMi8zMS8yMDA5LEFZKQ==&amp;WINDOW=FIRST_POPUP&amp;HEIGH","T=450&amp;WIDTH=450&amp;START_MAXIMIZED=FALSE&amp;VAR:CALENDAR=US&amp;VAR:SYMBOL=GRA&amp;VAR:INDEX=24"}</definedName>
    <definedName name="_3033__FDSAUDITLINK__" hidden="1">{"fdsup://directions/FAT Viewer?action=UPDATE&amp;creator=factset&amp;DYN_ARGS=TRUE&amp;DOC_NAME=FAT:FQL_AUDITING_CLIENT_TEMPLATE.FAT&amp;display_string=Audit&amp;VAR:KEY=SJANYJERAH&amp;VAR:QUERY=Q1NGX0VCSVRfT1BFUihBTk4sMTIvMzEvMTk4MCwxMi8zMS8yMDA5LEFZKQ==&amp;WINDOW=FIRST_POPUP&amp;HEIGH","T=450&amp;WIDTH=450&amp;START_MAXIMIZED=FALSE&amp;VAR:CALENDAR=US&amp;VAR:SYMBOL=GRA&amp;VAR:INDEX=23"}</definedName>
    <definedName name="_3034__FDSAUDITLINK__" hidden="1">{"fdsup://directions/FAT Viewer?action=UPDATE&amp;creator=factset&amp;DYN_ARGS=TRUE&amp;DOC_NAME=FAT:FQL_AUDITING_CLIENT_TEMPLATE.FAT&amp;display_string=Audit&amp;VAR:KEY=SJANYJERAH&amp;VAR:QUERY=Q1NGX0VCSVRfT1BFUihBTk4sMTIvMzEvMTk4MCwxMi8zMS8yMDA5LEFZKQ==&amp;WINDOW=FIRST_POPUP&amp;HEIGH","T=450&amp;WIDTH=450&amp;START_MAXIMIZED=FALSE&amp;VAR:CALENDAR=US&amp;VAR:SYMBOL=GRA&amp;VAR:INDEX=22"}</definedName>
    <definedName name="_3035__FDSAUDITLINK__" hidden="1">{"fdsup://directions/FAT Viewer?action=UPDATE&amp;creator=factset&amp;DYN_ARGS=TRUE&amp;DOC_NAME=FAT:FQL_AUDITING_CLIENT_TEMPLATE.FAT&amp;display_string=Audit&amp;VAR:KEY=SJANYJERAH&amp;VAR:QUERY=Q1NGX0VCSVRfT1BFUihBTk4sMTIvMzEvMTk4MCwxMi8zMS8yMDA5LEFZKQ==&amp;WINDOW=FIRST_POPUP&amp;HEIGH","T=450&amp;WIDTH=450&amp;START_MAXIMIZED=FALSE&amp;VAR:CALENDAR=US&amp;VAR:SYMBOL=GRA&amp;VAR:INDEX=21"}</definedName>
    <definedName name="_3036__FDSAUDITLINK__" hidden="1">{"fdsup://directions/FAT Viewer?action=UPDATE&amp;creator=factset&amp;DYN_ARGS=TRUE&amp;DOC_NAME=FAT:FQL_AUDITING_CLIENT_TEMPLATE.FAT&amp;display_string=Audit&amp;VAR:KEY=SJANYJERAH&amp;VAR:QUERY=Q1NGX0VCSVRfT1BFUihBTk4sMTIvMzEvMTk4MCwxMi8zMS8yMDA5LEFZKQ==&amp;WINDOW=FIRST_POPUP&amp;HEIGH","T=450&amp;WIDTH=450&amp;START_MAXIMIZED=FALSE&amp;VAR:CALENDAR=US&amp;VAR:SYMBOL=GRA&amp;VAR:INDEX=20"}</definedName>
    <definedName name="_3037__FDSAUDITLINK__" hidden="1">{"fdsup://directions/FAT Viewer?action=UPDATE&amp;creator=factset&amp;DYN_ARGS=TRUE&amp;DOC_NAME=FAT:FQL_AUDITING_CLIENT_TEMPLATE.FAT&amp;display_string=Audit&amp;VAR:KEY=SJANYJERAH&amp;VAR:QUERY=Q1NGX0VCSVRfT1BFUihBTk4sMTIvMzEvMTk4MCwxMi8zMS8yMDA5LEFZKQ==&amp;WINDOW=FIRST_POPUP&amp;HEIGH","T=450&amp;WIDTH=450&amp;START_MAXIMIZED=FALSE&amp;VAR:CALENDAR=US&amp;VAR:SYMBOL=GRA&amp;VAR:INDEX=19"}</definedName>
    <definedName name="_3038__FDSAUDITLINK__" hidden="1">{"fdsup://directions/FAT Viewer?action=UPDATE&amp;creator=factset&amp;DYN_ARGS=TRUE&amp;DOC_NAME=FAT:FQL_AUDITING_CLIENT_TEMPLATE.FAT&amp;display_string=Audit&amp;VAR:KEY=SJANYJERAH&amp;VAR:QUERY=Q1NGX0VCSVRfT1BFUihBTk4sMTIvMzEvMTk4MCwxMi8zMS8yMDA5LEFZKQ==&amp;WINDOW=FIRST_POPUP&amp;HEIGH","T=450&amp;WIDTH=450&amp;START_MAXIMIZED=FALSE&amp;VAR:CALENDAR=US&amp;VAR:SYMBOL=GRA&amp;VAR:INDEX=18"}</definedName>
    <definedName name="_3039__FDSAUDITLINK__" hidden="1">{"fdsup://directions/FAT Viewer?action=UPDATE&amp;creator=factset&amp;DYN_ARGS=TRUE&amp;DOC_NAME=FAT:FQL_AUDITING_CLIENT_TEMPLATE.FAT&amp;display_string=Audit&amp;VAR:KEY=SJANYJERAH&amp;VAR:QUERY=Q1NGX0VCSVRfT1BFUihBTk4sMTIvMzEvMTk4MCwxMi8zMS8yMDA5LEFZKQ==&amp;WINDOW=FIRST_POPUP&amp;HEIGH","T=450&amp;WIDTH=450&amp;START_MAXIMIZED=FALSE&amp;VAR:CALENDAR=US&amp;VAR:SYMBOL=GRA&amp;VAR:INDEX=17"}</definedName>
    <definedName name="_304__FDSAUDITLINK__" hidden="1">{"fdsup://directions/FAT Viewer?action=UPDATE&amp;creator=factset&amp;DYN_ARGS=TRUE&amp;DOC_NAME=FAT:FQL_AUDITING_CLIENT_TEMPLATE.FAT&amp;display_string=Audit&amp;VAR:KEY=ANWLIXORWF&amp;VAR:QUERY=Q1NGX0VCSVRfT1BFUihBTk4sMTIvMzEvODAsMCk=&amp;WINDOW=FIRST_POPUP&amp;HEIGHT=450&amp;WIDTH=450&amp;STAR","T_MAXIMIZED=FALSE&amp;VAR:CALENDAR=US&amp;VAR:SYMBOL=WLK&amp;VAR:INDEX=29"}</definedName>
    <definedName name="_3040__FDSAUDITLINK__" hidden="1">{"fdsup://directions/FAT Viewer?action=UPDATE&amp;creator=factset&amp;DYN_ARGS=TRUE&amp;DOC_NAME=FAT:FQL_AUDITING_CLIENT_TEMPLATE.FAT&amp;display_string=Audit&amp;VAR:KEY=SJANYJERAH&amp;VAR:QUERY=Q1NGX0VCSVRfT1BFUihBTk4sMTIvMzEvMTk4MCwxMi8zMS8yMDA5LEFZKQ==&amp;WINDOW=FIRST_POPUP&amp;HEIGH","T=450&amp;WIDTH=450&amp;START_MAXIMIZED=FALSE&amp;VAR:CALENDAR=US&amp;VAR:SYMBOL=GRA&amp;VAR:INDEX=16"}</definedName>
    <definedName name="_3041__FDSAUDITLINK__" hidden="1">{"fdsup://directions/FAT Viewer?action=UPDATE&amp;creator=factset&amp;DYN_ARGS=TRUE&amp;DOC_NAME=FAT:FQL_AUDITING_CLIENT_TEMPLATE.FAT&amp;display_string=Audit&amp;VAR:KEY=SJANYJERAH&amp;VAR:QUERY=Q1NGX0VCSVRfT1BFUihBTk4sMTIvMzEvMTk4MCwxMi8zMS8yMDA5LEFZKQ==&amp;WINDOW=FIRST_POPUP&amp;HEIGH","T=450&amp;WIDTH=450&amp;START_MAXIMIZED=FALSE&amp;VAR:CALENDAR=US&amp;VAR:SYMBOL=GRA&amp;VAR:INDEX=15"}</definedName>
    <definedName name="_3042__FDSAUDITLINK__" hidden="1">{"fdsup://directions/FAT Viewer?action=UPDATE&amp;creator=factset&amp;DYN_ARGS=TRUE&amp;DOC_NAME=FAT:FQL_AUDITING_CLIENT_TEMPLATE.FAT&amp;display_string=Audit&amp;VAR:KEY=SJANYJERAH&amp;VAR:QUERY=Q1NGX0VCSVRfT1BFUihBTk4sMTIvMzEvMTk4MCwxMi8zMS8yMDA5LEFZKQ==&amp;WINDOW=FIRST_POPUP&amp;HEIGH","T=450&amp;WIDTH=450&amp;START_MAXIMIZED=FALSE&amp;VAR:CALENDAR=US&amp;VAR:SYMBOL=GRA&amp;VAR:INDEX=14"}</definedName>
    <definedName name="_3043__FDSAUDITLINK__" hidden="1">{"fdsup://directions/FAT Viewer?action=UPDATE&amp;creator=factset&amp;DYN_ARGS=TRUE&amp;DOC_NAME=FAT:FQL_AUDITING_CLIENT_TEMPLATE.FAT&amp;display_string=Audit&amp;VAR:KEY=SJANYJERAH&amp;VAR:QUERY=Q1NGX0VCSVRfT1BFUihBTk4sMTIvMzEvMTk4MCwxMi8zMS8yMDA5LEFZKQ==&amp;WINDOW=FIRST_POPUP&amp;HEIGH","T=450&amp;WIDTH=450&amp;START_MAXIMIZED=FALSE&amp;VAR:CALENDAR=US&amp;VAR:SYMBOL=GRA&amp;VAR:INDEX=13"}</definedName>
    <definedName name="_3044__FDSAUDITLINK__" hidden="1">{"fdsup://directions/FAT Viewer?action=UPDATE&amp;creator=factset&amp;DYN_ARGS=TRUE&amp;DOC_NAME=FAT:FQL_AUDITING_CLIENT_TEMPLATE.FAT&amp;display_string=Audit&amp;VAR:KEY=SJANYJERAH&amp;VAR:QUERY=Q1NGX0VCSVRfT1BFUihBTk4sMTIvMzEvMTk4MCwxMi8zMS8yMDA5LEFZKQ==&amp;WINDOW=FIRST_POPUP&amp;HEIGH","T=450&amp;WIDTH=450&amp;START_MAXIMIZED=FALSE&amp;VAR:CALENDAR=US&amp;VAR:SYMBOL=GRA&amp;VAR:INDEX=12"}</definedName>
    <definedName name="_3045__FDSAUDITLINK__" hidden="1">{"fdsup://directions/FAT Viewer?action=UPDATE&amp;creator=factset&amp;DYN_ARGS=TRUE&amp;DOC_NAME=FAT:FQL_AUDITING_CLIENT_TEMPLATE.FAT&amp;display_string=Audit&amp;VAR:KEY=SJANYJERAH&amp;VAR:QUERY=Q1NGX0VCSVRfT1BFUihBTk4sMTIvMzEvMTk4MCwxMi8zMS8yMDA5LEFZKQ==&amp;WINDOW=FIRST_POPUP&amp;HEIGH","T=450&amp;WIDTH=450&amp;START_MAXIMIZED=FALSE&amp;VAR:CALENDAR=US&amp;VAR:SYMBOL=GRA&amp;VAR:INDEX=11"}</definedName>
    <definedName name="_3046__FDSAUDITLINK__" hidden="1">{"fdsup://directions/FAT Viewer?action=UPDATE&amp;creator=factset&amp;DYN_ARGS=TRUE&amp;DOC_NAME=FAT:FQL_AUDITING_CLIENT_TEMPLATE.FAT&amp;display_string=Audit&amp;VAR:KEY=SJANYJERAH&amp;VAR:QUERY=Q1NGX0VCSVRfT1BFUihBTk4sMTIvMzEvMTk4MCwxMi8zMS8yMDA5LEFZKQ==&amp;WINDOW=FIRST_POPUP&amp;HEIGH","T=450&amp;WIDTH=450&amp;START_MAXIMIZED=FALSE&amp;VAR:CALENDAR=US&amp;VAR:SYMBOL=GRA&amp;VAR:INDEX=10"}</definedName>
    <definedName name="_3047__FDSAUDITLINK__" hidden="1">{"fdsup://directions/FAT Viewer?action=UPDATE&amp;creator=factset&amp;DYN_ARGS=TRUE&amp;DOC_NAME=FAT:FQL_AUDITING_CLIENT_TEMPLATE.FAT&amp;display_string=Audit&amp;VAR:KEY=SJANYJERAH&amp;VAR:QUERY=Q1NGX0VCSVRfT1BFUihBTk4sMTIvMzEvMTk4MCwxMi8zMS8yMDA5LEFZKQ==&amp;WINDOW=FIRST_POPUP&amp;HEIGH","T=450&amp;WIDTH=450&amp;START_MAXIMIZED=FALSE&amp;VAR:CALENDAR=US&amp;VAR:SYMBOL=GRA&amp;VAR:INDEX=9"}</definedName>
    <definedName name="_3048__FDSAUDITLINK__" hidden="1">{"fdsup://directions/FAT Viewer?action=UPDATE&amp;creator=factset&amp;DYN_ARGS=TRUE&amp;DOC_NAME=FAT:FQL_AUDITING_CLIENT_TEMPLATE.FAT&amp;display_string=Audit&amp;VAR:KEY=SJANYJERAH&amp;VAR:QUERY=Q1NGX0VCSVRfT1BFUihBTk4sMTIvMzEvMTk4MCwxMi8zMS8yMDA5LEFZKQ==&amp;WINDOW=FIRST_POPUP&amp;HEIGH","T=450&amp;WIDTH=450&amp;START_MAXIMIZED=FALSE&amp;VAR:CALENDAR=US&amp;VAR:SYMBOL=GRA&amp;VAR:INDEX=8"}</definedName>
    <definedName name="_3049__FDSAUDITLINK__" hidden="1">{"fdsup://directions/FAT Viewer?action=UPDATE&amp;creator=factset&amp;DYN_ARGS=TRUE&amp;DOC_NAME=FAT:FQL_AUDITING_CLIENT_TEMPLATE.FAT&amp;display_string=Audit&amp;VAR:KEY=SJANYJERAH&amp;VAR:QUERY=Q1NGX0VCSVRfT1BFUihBTk4sMTIvMzEvMTk4MCwxMi8zMS8yMDA5LEFZKQ==&amp;WINDOW=FIRST_POPUP&amp;HEIGH","T=450&amp;WIDTH=450&amp;START_MAXIMIZED=FALSE&amp;VAR:CALENDAR=US&amp;VAR:SYMBOL=GRA&amp;VAR:INDEX=7"}</definedName>
    <definedName name="_305__FDSAUDITLINK__" hidden="1">{"fdsup://directions/FAT Viewer?action=UPDATE&amp;creator=factset&amp;DYN_ARGS=TRUE&amp;DOC_NAME=FAT:FQL_AUDITING_CLIENT_TEMPLATE.FAT&amp;display_string=Audit&amp;VAR:KEY=ANWLIXORWF&amp;VAR:QUERY=Q1NGX0VCSVRfT1BFUihBTk4sMTIvMzEvODAsMCk=&amp;WINDOW=FIRST_POPUP&amp;HEIGHT=450&amp;WIDTH=450&amp;STAR","T_MAXIMIZED=FALSE&amp;VAR:CALENDAR=US&amp;VAR:SYMBOL=WLK&amp;VAR:INDEX=28"}</definedName>
    <definedName name="_3050__FDSAUDITLINK__" hidden="1">{"fdsup://directions/FAT Viewer?action=UPDATE&amp;creator=factset&amp;DYN_ARGS=TRUE&amp;DOC_NAME=FAT:FQL_AUDITING_CLIENT_TEMPLATE.FAT&amp;display_string=Audit&amp;VAR:KEY=SJANYJERAH&amp;VAR:QUERY=Q1NGX0VCSVRfT1BFUihBTk4sMTIvMzEvMTk4MCwxMi8zMS8yMDA5LEFZKQ==&amp;WINDOW=FIRST_POPUP&amp;HEIGH","T=450&amp;WIDTH=450&amp;START_MAXIMIZED=FALSE&amp;VAR:CALENDAR=US&amp;VAR:SYMBOL=GRA&amp;VAR:INDEX=6"}</definedName>
    <definedName name="_3051__FDSAUDITLINK__" hidden="1">{"fdsup://directions/FAT Viewer?action=UPDATE&amp;creator=factset&amp;DYN_ARGS=TRUE&amp;DOC_NAME=FAT:FQL_AUDITING_CLIENT_TEMPLATE.FAT&amp;display_string=Audit&amp;VAR:KEY=SJANYJERAH&amp;VAR:QUERY=Q1NGX0VCSVRfT1BFUihBTk4sMTIvMzEvMTk4MCwxMi8zMS8yMDA5LEFZKQ==&amp;WINDOW=FIRST_POPUP&amp;HEIGH","T=450&amp;WIDTH=450&amp;START_MAXIMIZED=FALSE&amp;VAR:CALENDAR=US&amp;VAR:SYMBOL=GRA&amp;VAR:INDEX=5"}</definedName>
    <definedName name="_3052__FDSAUDITLINK__" hidden="1">{"fdsup://directions/FAT Viewer?action=UPDATE&amp;creator=factset&amp;DYN_ARGS=TRUE&amp;DOC_NAME=FAT:FQL_AUDITING_CLIENT_TEMPLATE.FAT&amp;display_string=Audit&amp;VAR:KEY=SJANYJERAH&amp;VAR:QUERY=Q1NGX0VCSVRfT1BFUihBTk4sMTIvMzEvMTk4MCwxMi8zMS8yMDA5LEFZKQ==&amp;WINDOW=FIRST_POPUP&amp;HEIGH","T=450&amp;WIDTH=450&amp;START_MAXIMIZED=FALSE&amp;VAR:CALENDAR=US&amp;VAR:SYMBOL=GRA&amp;VAR:INDEX=4"}</definedName>
    <definedName name="_3053__FDSAUDITLINK__" hidden="1">{"fdsup://directions/FAT Viewer?action=UPDATE&amp;creator=factset&amp;DYN_ARGS=TRUE&amp;DOC_NAME=FAT:FQL_AUDITING_CLIENT_TEMPLATE.FAT&amp;display_string=Audit&amp;VAR:KEY=SJANYJERAH&amp;VAR:QUERY=Q1NGX0VCSVRfT1BFUihBTk4sMTIvMzEvMTk4MCwxMi8zMS8yMDA5LEFZKQ==&amp;WINDOW=FIRST_POPUP&amp;HEIGH","T=450&amp;WIDTH=450&amp;START_MAXIMIZED=FALSE&amp;VAR:CALENDAR=US&amp;VAR:SYMBOL=GRA&amp;VAR:INDEX=3"}</definedName>
    <definedName name="_3054__FDSAUDITLINK__" hidden="1">{"fdsup://directions/FAT Viewer?action=UPDATE&amp;creator=factset&amp;DYN_ARGS=TRUE&amp;DOC_NAME=FAT:FQL_AUDITING_CLIENT_TEMPLATE.FAT&amp;display_string=Audit&amp;VAR:KEY=SJANYJERAH&amp;VAR:QUERY=Q1NGX0VCSVRfT1BFUihBTk4sMTIvMzEvMTk4MCwxMi8zMS8yMDA5LEFZKQ==&amp;WINDOW=FIRST_POPUP&amp;HEIGH","T=450&amp;WIDTH=450&amp;START_MAXIMIZED=FALSE&amp;VAR:CALENDAR=US&amp;VAR:SYMBOL=GRA&amp;VAR:INDEX=2"}</definedName>
    <definedName name="_3055__FDSAUDITLINK__" hidden="1">{"fdsup://directions/FAT Viewer?action=UPDATE&amp;creator=factset&amp;DYN_ARGS=TRUE&amp;DOC_NAME=FAT:FQL_AUDITING_CLIENT_TEMPLATE.FAT&amp;display_string=Audit&amp;VAR:KEY=SJANYJERAH&amp;VAR:QUERY=Q1NGX0VCSVRfT1BFUihBTk4sMTIvMzEvMTk4MCwxMi8zMS8yMDA5LEFZKQ==&amp;WINDOW=FIRST_POPUP&amp;HEIGH","T=450&amp;WIDTH=450&amp;START_MAXIMIZED=FALSE&amp;VAR:CALENDAR=US&amp;VAR:SYMBOL=GRA&amp;VAR:INDEX=1"}</definedName>
    <definedName name="_3056__FDSAUDITLINK__" hidden="1">{"fdsup://directions/FAT Viewer?action=UPDATE&amp;creator=factset&amp;DYN_ARGS=TRUE&amp;DOC_NAME=FAT:FQL_AUDITING_CLIENT_TEMPLATE.FAT&amp;display_string=Audit&amp;VAR:KEY=SJANYJERAH&amp;VAR:QUERY=Q1NGX0VCSVRfT1BFUihBTk4sMTIvMzEvMTk4MCwxMi8zMS8yMDA5LEFZKQ==&amp;WINDOW=FIRST_POPUP&amp;HEIGH","T=450&amp;WIDTH=450&amp;START_MAXIMIZED=FALSE&amp;VAR:CALENDAR=US&amp;VAR:SYMBOL=GRA&amp;VAR:INDEX=0"}</definedName>
    <definedName name="_3057__FDSAUDITLINK__" hidden="1">{"fdsup://directions/FAT Viewer?action=UPDATE&amp;creator=factset&amp;DYN_ARGS=TRUE&amp;DOC_NAME=FAT:FQL_AUDITING_CLIENT_TEMPLATE.FAT&amp;display_string=Audit&amp;VAR:KEY=RWVQFQTCBO&amp;VAR:QUERY=Q1NGX0VCSVRfT1BFUihMVE1fUiwwKQ==&amp;WINDOW=FIRST_POPUP&amp;HEIGHT=450&amp;WIDTH=450&amp;START_MAXIMI","ZED=FALSE&amp;VAR:CALENDAR=US&amp;VAR:SYMBOL=GGC&amp;VAR:INDEX=0"}</definedName>
    <definedName name="_3058__FDSAUDITLINK__" hidden="1">{"fdsup://directions/FAT Viewer?action=UPDATE&amp;creator=factset&amp;DYN_ARGS=TRUE&amp;DOC_NAME=FAT:FQL_AUDITING_CLIENT_TEMPLATE.FAT&amp;display_string=Audit&amp;VAR:KEY=CTEFGLQTYN&amp;VAR:QUERY=Q1NGX0VCSVRfT1BFUihBTk4sMTIvMzEvMTk4MCwxMi8zMS8yMDA5LEFZKQ==&amp;WINDOW=FIRST_POPUP&amp;HEIGH","T=450&amp;WIDTH=450&amp;START_MAXIMIZED=FALSE&amp;VAR:CALENDAR=US&amp;VAR:SYMBOL=GGC&amp;VAR:INDEX=29"}</definedName>
    <definedName name="_3059__FDSAUDITLINK__" hidden="1">{"fdsup://directions/FAT Viewer?action=UPDATE&amp;creator=factset&amp;DYN_ARGS=TRUE&amp;DOC_NAME=FAT:FQL_AUDITING_CLIENT_TEMPLATE.FAT&amp;display_string=Audit&amp;VAR:KEY=CTEFGLQTYN&amp;VAR:QUERY=Q1NGX0VCSVRfT1BFUihBTk4sMTIvMzEvMTk4MCwxMi8zMS8yMDA5LEFZKQ==&amp;WINDOW=FIRST_POPUP&amp;HEIGH","T=450&amp;WIDTH=450&amp;START_MAXIMIZED=FALSE&amp;VAR:CALENDAR=US&amp;VAR:SYMBOL=GGC&amp;VAR:INDEX=28"}</definedName>
    <definedName name="_306__FDSAUDITLINK__" hidden="1">{"fdsup://directions/FAT Viewer?action=UPDATE&amp;creator=factset&amp;DYN_ARGS=TRUE&amp;DOC_NAME=FAT:FQL_AUDITING_CLIENT_TEMPLATE.FAT&amp;display_string=Audit&amp;VAR:KEY=ANWLIXORWF&amp;VAR:QUERY=Q1NGX0VCSVRfT1BFUihBTk4sMTIvMzEvODAsMCk=&amp;WINDOW=FIRST_POPUP&amp;HEIGHT=450&amp;WIDTH=450&amp;STAR","T_MAXIMIZED=FALSE&amp;VAR:CALENDAR=US&amp;VAR:SYMBOL=WLK&amp;VAR:INDEX=27"}</definedName>
    <definedName name="_3060__FDSAUDITLINK__" hidden="1">{"fdsup://directions/FAT Viewer?action=UPDATE&amp;creator=factset&amp;DYN_ARGS=TRUE&amp;DOC_NAME=FAT:FQL_AUDITING_CLIENT_TEMPLATE.FAT&amp;display_string=Audit&amp;VAR:KEY=CTEFGLQTYN&amp;VAR:QUERY=Q1NGX0VCSVRfT1BFUihBTk4sMTIvMzEvMTk4MCwxMi8zMS8yMDA5LEFZKQ==&amp;WINDOW=FIRST_POPUP&amp;HEIGH","T=450&amp;WIDTH=450&amp;START_MAXIMIZED=FALSE&amp;VAR:CALENDAR=US&amp;VAR:SYMBOL=GGC&amp;VAR:INDEX=27"}</definedName>
    <definedName name="_3061__FDSAUDITLINK__" hidden="1">{"fdsup://directions/FAT Viewer?action=UPDATE&amp;creator=factset&amp;DYN_ARGS=TRUE&amp;DOC_NAME=FAT:FQL_AUDITING_CLIENT_TEMPLATE.FAT&amp;display_string=Audit&amp;VAR:KEY=CTEFGLQTYN&amp;VAR:QUERY=Q1NGX0VCSVRfT1BFUihBTk4sMTIvMzEvMTk4MCwxMi8zMS8yMDA5LEFZKQ==&amp;WINDOW=FIRST_POPUP&amp;HEIGH","T=450&amp;WIDTH=450&amp;START_MAXIMIZED=FALSE&amp;VAR:CALENDAR=US&amp;VAR:SYMBOL=GGC&amp;VAR:INDEX=26"}</definedName>
    <definedName name="_3062__FDSAUDITLINK__" hidden="1">{"fdsup://directions/FAT Viewer?action=UPDATE&amp;creator=factset&amp;DYN_ARGS=TRUE&amp;DOC_NAME=FAT:FQL_AUDITING_CLIENT_TEMPLATE.FAT&amp;display_string=Audit&amp;VAR:KEY=CTEFGLQTYN&amp;VAR:QUERY=Q1NGX0VCSVRfT1BFUihBTk4sMTIvMzEvMTk4MCwxMi8zMS8yMDA5LEFZKQ==&amp;WINDOW=FIRST_POPUP&amp;HEIGH","T=450&amp;WIDTH=450&amp;START_MAXIMIZED=FALSE&amp;VAR:CALENDAR=US&amp;VAR:SYMBOL=GGC&amp;VAR:INDEX=25"}</definedName>
    <definedName name="_3063__FDSAUDITLINK__" hidden="1">{"fdsup://directions/FAT Viewer?action=UPDATE&amp;creator=factset&amp;DYN_ARGS=TRUE&amp;DOC_NAME=FAT:FQL_AUDITING_CLIENT_TEMPLATE.FAT&amp;display_string=Audit&amp;VAR:KEY=CTEFGLQTYN&amp;VAR:QUERY=Q1NGX0VCSVRfT1BFUihBTk4sMTIvMzEvMTk4MCwxMi8zMS8yMDA5LEFZKQ==&amp;WINDOW=FIRST_POPUP&amp;HEIGH","T=450&amp;WIDTH=450&amp;START_MAXIMIZED=FALSE&amp;VAR:CALENDAR=US&amp;VAR:SYMBOL=GGC&amp;VAR:INDEX=24"}</definedName>
    <definedName name="_3064__FDSAUDITLINK__" hidden="1">{"fdsup://directions/FAT Viewer?action=UPDATE&amp;creator=factset&amp;DYN_ARGS=TRUE&amp;DOC_NAME=FAT:FQL_AUDITING_CLIENT_TEMPLATE.FAT&amp;display_string=Audit&amp;VAR:KEY=CTEFGLQTYN&amp;VAR:QUERY=Q1NGX0VCSVRfT1BFUihBTk4sMTIvMzEvMTk4MCwxMi8zMS8yMDA5LEFZKQ==&amp;WINDOW=FIRST_POPUP&amp;HEIGH","T=450&amp;WIDTH=450&amp;START_MAXIMIZED=FALSE&amp;VAR:CALENDAR=US&amp;VAR:SYMBOL=GGC&amp;VAR:INDEX=23"}</definedName>
    <definedName name="_3065__FDSAUDITLINK__" hidden="1">{"fdsup://directions/FAT Viewer?action=UPDATE&amp;creator=factset&amp;DYN_ARGS=TRUE&amp;DOC_NAME=FAT:FQL_AUDITING_CLIENT_TEMPLATE.FAT&amp;display_string=Audit&amp;VAR:KEY=CTEFGLQTYN&amp;VAR:QUERY=Q1NGX0VCSVRfT1BFUihBTk4sMTIvMzEvMTk4MCwxMi8zMS8yMDA5LEFZKQ==&amp;WINDOW=FIRST_POPUP&amp;HEIGH","T=450&amp;WIDTH=450&amp;START_MAXIMIZED=FALSE&amp;VAR:CALENDAR=US&amp;VAR:SYMBOL=GGC&amp;VAR:INDEX=22"}</definedName>
    <definedName name="_3066__FDSAUDITLINK__" hidden="1">{"fdsup://directions/FAT Viewer?action=UPDATE&amp;creator=factset&amp;DYN_ARGS=TRUE&amp;DOC_NAME=FAT:FQL_AUDITING_CLIENT_TEMPLATE.FAT&amp;display_string=Audit&amp;VAR:KEY=CTEFGLQTYN&amp;VAR:QUERY=Q1NGX0VCSVRfT1BFUihBTk4sMTIvMzEvMTk4MCwxMi8zMS8yMDA5LEFZKQ==&amp;WINDOW=FIRST_POPUP&amp;HEIGH","T=450&amp;WIDTH=450&amp;START_MAXIMIZED=FALSE&amp;VAR:CALENDAR=US&amp;VAR:SYMBOL=GGC&amp;VAR:INDEX=21"}</definedName>
    <definedName name="_3067__FDSAUDITLINK__" hidden="1">{"fdsup://directions/FAT Viewer?action=UPDATE&amp;creator=factset&amp;DYN_ARGS=TRUE&amp;DOC_NAME=FAT:FQL_AUDITING_CLIENT_TEMPLATE.FAT&amp;display_string=Audit&amp;VAR:KEY=CTEFGLQTYN&amp;VAR:QUERY=Q1NGX0VCSVRfT1BFUihBTk4sMTIvMzEvMTk4MCwxMi8zMS8yMDA5LEFZKQ==&amp;WINDOW=FIRST_POPUP&amp;HEIGH","T=450&amp;WIDTH=450&amp;START_MAXIMIZED=FALSE&amp;VAR:CALENDAR=US&amp;VAR:SYMBOL=GGC&amp;VAR:INDEX=20"}</definedName>
    <definedName name="_3068__FDSAUDITLINK__" hidden="1">{"fdsup://directions/FAT Viewer?action=UPDATE&amp;creator=factset&amp;DYN_ARGS=TRUE&amp;DOC_NAME=FAT:FQL_AUDITING_CLIENT_TEMPLATE.FAT&amp;display_string=Audit&amp;VAR:KEY=CTEFGLQTYN&amp;VAR:QUERY=Q1NGX0VCSVRfT1BFUihBTk4sMTIvMzEvMTk4MCwxMi8zMS8yMDA5LEFZKQ==&amp;WINDOW=FIRST_POPUP&amp;HEIGH","T=450&amp;WIDTH=450&amp;START_MAXIMIZED=FALSE&amp;VAR:CALENDAR=US&amp;VAR:SYMBOL=GGC&amp;VAR:INDEX=19"}</definedName>
    <definedName name="_3069__FDSAUDITLINK__" hidden="1">{"fdsup://directions/FAT Viewer?action=UPDATE&amp;creator=factset&amp;DYN_ARGS=TRUE&amp;DOC_NAME=FAT:FQL_AUDITING_CLIENT_TEMPLATE.FAT&amp;display_string=Audit&amp;VAR:KEY=CTEFGLQTYN&amp;VAR:QUERY=Q1NGX0VCSVRfT1BFUihBTk4sMTIvMzEvMTk4MCwxMi8zMS8yMDA5LEFZKQ==&amp;WINDOW=FIRST_POPUP&amp;HEIGH","T=450&amp;WIDTH=450&amp;START_MAXIMIZED=FALSE&amp;VAR:CALENDAR=US&amp;VAR:SYMBOL=GGC&amp;VAR:INDEX=18"}</definedName>
    <definedName name="_307__FDSAUDITLINK__" hidden="1">{"fdsup://directions/FAT Viewer?action=UPDATE&amp;creator=factset&amp;DYN_ARGS=TRUE&amp;DOC_NAME=FAT:FQL_AUDITING_CLIENT_TEMPLATE.FAT&amp;display_string=Audit&amp;VAR:KEY=ANWLIXORWF&amp;VAR:QUERY=Q1NGX0VCSVRfT1BFUihBTk4sMTIvMzEvODAsMCk=&amp;WINDOW=FIRST_POPUP&amp;HEIGHT=450&amp;WIDTH=450&amp;STAR","T_MAXIMIZED=FALSE&amp;VAR:CALENDAR=US&amp;VAR:SYMBOL=WLK&amp;VAR:INDEX=26"}</definedName>
    <definedName name="_3070__FDSAUDITLINK__" hidden="1">{"fdsup://directions/FAT Viewer?action=UPDATE&amp;creator=factset&amp;DYN_ARGS=TRUE&amp;DOC_NAME=FAT:FQL_AUDITING_CLIENT_TEMPLATE.FAT&amp;display_string=Audit&amp;VAR:KEY=CTEFGLQTYN&amp;VAR:QUERY=Q1NGX0VCSVRfT1BFUihBTk4sMTIvMzEvMTk4MCwxMi8zMS8yMDA5LEFZKQ==&amp;WINDOW=FIRST_POPUP&amp;HEIGH","T=450&amp;WIDTH=450&amp;START_MAXIMIZED=FALSE&amp;VAR:CALENDAR=US&amp;VAR:SYMBOL=GGC&amp;VAR:INDEX=17"}</definedName>
    <definedName name="_3071__FDSAUDITLINK__" hidden="1">{"fdsup://directions/FAT Viewer?action=UPDATE&amp;creator=factset&amp;DYN_ARGS=TRUE&amp;DOC_NAME=FAT:FQL_AUDITING_CLIENT_TEMPLATE.FAT&amp;display_string=Audit&amp;VAR:KEY=CTEFGLQTYN&amp;VAR:QUERY=Q1NGX0VCSVRfT1BFUihBTk4sMTIvMzEvMTk4MCwxMi8zMS8yMDA5LEFZKQ==&amp;WINDOW=FIRST_POPUP&amp;HEIGH","T=450&amp;WIDTH=450&amp;START_MAXIMIZED=FALSE&amp;VAR:CALENDAR=US&amp;VAR:SYMBOL=GGC&amp;VAR:INDEX=16"}</definedName>
    <definedName name="_3072__FDSAUDITLINK__" hidden="1">{"fdsup://directions/FAT Viewer?action=UPDATE&amp;creator=factset&amp;DYN_ARGS=TRUE&amp;DOC_NAME=FAT:FQL_AUDITING_CLIENT_TEMPLATE.FAT&amp;display_string=Audit&amp;VAR:KEY=CTEFGLQTYN&amp;VAR:QUERY=Q1NGX0VCSVRfT1BFUihBTk4sMTIvMzEvMTk4MCwxMi8zMS8yMDA5LEFZKQ==&amp;WINDOW=FIRST_POPUP&amp;HEIGH","T=450&amp;WIDTH=450&amp;START_MAXIMIZED=FALSE&amp;VAR:CALENDAR=US&amp;VAR:SYMBOL=GGC&amp;VAR:INDEX=15"}</definedName>
    <definedName name="_3073__FDSAUDITLINK__" hidden="1">{"fdsup://directions/FAT Viewer?action=UPDATE&amp;creator=factset&amp;DYN_ARGS=TRUE&amp;DOC_NAME=FAT:FQL_AUDITING_CLIENT_TEMPLATE.FAT&amp;display_string=Audit&amp;VAR:KEY=CTEFGLQTYN&amp;VAR:QUERY=Q1NGX0VCSVRfT1BFUihBTk4sMTIvMzEvMTk4MCwxMi8zMS8yMDA5LEFZKQ==&amp;WINDOW=FIRST_POPUP&amp;HEIGH","T=450&amp;WIDTH=450&amp;START_MAXIMIZED=FALSE&amp;VAR:CALENDAR=US&amp;VAR:SYMBOL=GGC&amp;VAR:INDEX=14"}</definedName>
    <definedName name="_3074__FDSAUDITLINK__" hidden="1">{"fdsup://directions/FAT Viewer?action=UPDATE&amp;creator=factset&amp;DYN_ARGS=TRUE&amp;DOC_NAME=FAT:FQL_AUDITING_CLIENT_TEMPLATE.FAT&amp;display_string=Audit&amp;VAR:KEY=CTEFGLQTYN&amp;VAR:QUERY=Q1NGX0VCSVRfT1BFUihBTk4sMTIvMzEvMTk4MCwxMi8zMS8yMDA5LEFZKQ==&amp;WINDOW=FIRST_POPUP&amp;HEIGH","T=450&amp;WIDTH=450&amp;START_MAXIMIZED=FALSE&amp;VAR:CALENDAR=US&amp;VAR:SYMBOL=GGC&amp;VAR:INDEX=13"}</definedName>
    <definedName name="_3075__FDSAUDITLINK__" hidden="1">{"fdsup://directions/FAT Viewer?action=UPDATE&amp;creator=factset&amp;DYN_ARGS=TRUE&amp;DOC_NAME=FAT:FQL_AUDITING_CLIENT_TEMPLATE.FAT&amp;display_string=Audit&amp;VAR:KEY=CTEFGLQTYN&amp;VAR:QUERY=Q1NGX0VCSVRfT1BFUihBTk4sMTIvMzEvMTk4MCwxMi8zMS8yMDA5LEFZKQ==&amp;WINDOW=FIRST_POPUP&amp;HEIGH","T=450&amp;WIDTH=450&amp;START_MAXIMIZED=FALSE&amp;VAR:CALENDAR=US&amp;VAR:SYMBOL=GGC&amp;VAR:INDEX=12"}</definedName>
    <definedName name="_3076__FDSAUDITLINK__" hidden="1">{"fdsup://directions/FAT Viewer?action=UPDATE&amp;creator=factset&amp;DYN_ARGS=TRUE&amp;DOC_NAME=FAT:FQL_AUDITING_CLIENT_TEMPLATE.FAT&amp;display_string=Audit&amp;VAR:KEY=CTEFGLQTYN&amp;VAR:QUERY=Q1NGX0VCSVRfT1BFUihBTk4sMTIvMzEvMTk4MCwxMi8zMS8yMDA5LEFZKQ==&amp;WINDOW=FIRST_POPUP&amp;HEIGH","T=450&amp;WIDTH=450&amp;START_MAXIMIZED=FALSE&amp;VAR:CALENDAR=US&amp;VAR:SYMBOL=GGC&amp;VAR:INDEX=11"}</definedName>
    <definedName name="_3077__FDSAUDITLINK__" hidden="1">{"fdsup://directions/FAT Viewer?action=UPDATE&amp;creator=factset&amp;DYN_ARGS=TRUE&amp;DOC_NAME=FAT:FQL_AUDITING_CLIENT_TEMPLATE.FAT&amp;display_string=Audit&amp;VAR:KEY=CTEFGLQTYN&amp;VAR:QUERY=Q1NGX0VCSVRfT1BFUihBTk4sMTIvMzEvMTk4MCwxMi8zMS8yMDA5LEFZKQ==&amp;WINDOW=FIRST_POPUP&amp;HEIGH","T=450&amp;WIDTH=450&amp;START_MAXIMIZED=FALSE&amp;VAR:CALENDAR=US&amp;VAR:SYMBOL=GGC&amp;VAR:INDEX=10"}</definedName>
    <definedName name="_3078__FDSAUDITLINK__" hidden="1">{"fdsup://directions/FAT Viewer?action=UPDATE&amp;creator=factset&amp;DYN_ARGS=TRUE&amp;DOC_NAME=FAT:FQL_AUDITING_CLIENT_TEMPLATE.FAT&amp;display_string=Audit&amp;VAR:KEY=CTEFGLQTYN&amp;VAR:QUERY=Q1NGX0VCSVRfT1BFUihBTk4sMTIvMzEvMTk4MCwxMi8zMS8yMDA5LEFZKQ==&amp;WINDOW=FIRST_POPUP&amp;HEIGH","T=450&amp;WIDTH=450&amp;START_MAXIMIZED=FALSE&amp;VAR:CALENDAR=US&amp;VAR:SYMBOL=GGC&amp;VAR:INDEX=9"}</definedName>
    <definedName name="_3079__FDSAUDITLINK__" hidden="1">{"fdsup://directions/FAT Viewer?action=UPDATE&amp;creator=factset&amp;DYN_ARGS=TRUE&amp;DOC_NAME=FAT:FQL_AUDITING_CLIENT_TEMPLATE.FAT&amp;display_string=Audit&amp;VAR:KEY=CTEFGLQTYN&amp;VAR:QUERY=Q1NGX0VCSVRfT1BFUihBTk4sMTIvMzEvMTk4MCwxMi8zMS8yMDA5LEFZKQ==&amp;WINDOW=FIRST_POPUP&amp;HEIGH","T=450&amp;WIDTH=450&amp;START_MAXIMIZED=FALSE&amp;VAR:CALENDAR=US&amp;VAR:SYMBOL=GGC&amp;VAR:INDEX=8"}</definedName>
    <definedName name="_308__FDSAUDITLINK__" hidden="1">{"fdsup://directions/FAT Viewer?action=UPDATE&amp;creator=factset&amp;DYN_ARGS=TRUE&amp;DOC_NAME=FAT:FQL_AUDITING_CLIENT_TEMPLATE.FAT&amp;display_string=Audit&amp;VAR:KEY=ANWLIXORWF&amp;VAR:QUERY=Q1NGX0VCSVRfT1BFUihBTk4sMTIvMzEvODAsMCk=&amp;WINDOW=FIRST_POPUP&amp;HEIGHT=450&amp;WIDTH=450&amp;STAR","T_MAXIMIZED=FALSE&amp;VAR:CALENDAR=US&amp;VAR:SYMBOL=WLK&amp;VAR:INDEX=25"}</definedName>
    <definedName name="_3080__FDSAUDITLINK__" hidden="1">{"fdsup://directions/FAT Viewer?action=UPDATE&amp;creator=factset&amp;DYN_ARGS=TRUE&amp;DOC_NAME=FAT:FQL_AUDITING_CLIENT_TEMPLATE.FAT&amp;display_string=Audit&amp;VAR:KEY=CTEFGLQTYN&amp;VAR:QUERY=Q1NGX0VCSVRfT1BFUihBTk4sMTIvMzEvMTk4MCwxMi8zMS8yMDA5LEFZKQ==&amp;WINDOW=FIRST_POPUP&amp;HEIGH","T=450&amp;WIDTH=450&amp;START_MAXIMIZED=FALSE&amp;VAR:CALENDAR=US&amp;VAR:SYMBOL=GGC&amp;VAR:INDEX=7"}</definedName>
    <definedName name="_3081__FDSAUDITLINK__" hidden="1">{"fdsup://directions/FAT Viewer?action=UPDATE&amp;creator=factset&amp;DYN_ARGS=TRUE&amp;DOC_NAME=FAT:FQL_AUDITING_CLIENT_TEMPLATE.FAT&amp;display_string=Audit&amp;VAR:KEY=CTEFGLQTYN&amp;VAR:QUERY=Q1NGX0VCSVRfT1BFUihBTk4sMTIvMzEvMTk4MCwxMi8zMS8yMDA5LEFZKQ==&amp;WINDOW=FIRST_POPUP&amp;HEIGH","T=450&amp;WIDTH=450&amp;START_MAXIMIZED=FALSE&amp;VAR:CALENDAR=US&amp;VAR:SYMBOL=GGC&amp;VAR:INDEX=6"}</definedName>
    <definedName name="_3082__FDSAUDITLINK__" hidden="1">{"fdsup://directions/FAT Viewer?action=UPDATE&amp;creator=factset&amp;DYN_ARGS=TRUE&amp;DOC_NAME=FAT:FQL_AUDITING_CLIENT_TEMPLATE.FAT&amp;display_string=Audit&amp;VAR:KEY=CTEFGLQTYN&amp;VAR:QUERY=Q1NGX0VCSVRfT1BFUihBTk4sMTIvMzEvMTk4MCwxMi8zMS8yMDA5LEFZKQ==&amp;WINDOW=FIRST_POPUP&amp;HEIGH","T=450&amp;WIDTH=450&amp;START_MAXIMIZED=FALSE&amp;VAR:CALENDAR=US&amp;VAR:SYMBOL=GGC&amp;VAR:INDEX=5"}</definedName>
    <definedName name="_3083__FDSAUDITLINK__" hidden="1">{"fdsup://directions/FAT Viewer?action=UPDATE&amp;creator=factset&amp;DYN_ARGS=TRUE&amp;DOC_NAME=FAT:FQL_AUDITING_CLIENT_TEMPLATE.FAT&amp;display_string=Audit&amp;VAR:KEY=CTEFGLQTYN&amp;VAR:QUERY=Q1NGX0VCSVRfT1BFUihBTk4sMTIvMzEvMTk4MCwxMi8zMS8yMDA5LEFZKQ==&amp;WINDOW=FIRST_POPUP&amp;HEIGH","T=450&amp;WIDTH=450&amp;START_MAXIMIZED=FALSE&amp;VAR:CALENDAR=US&amp;VAR:SYMBOL=GGC&amp;VAR:INDEX=4"}</definedName>
    <definedName name="_3084__FDSAUDITLINK__" hidden="1">{"fdsup://directions/FAT Viewer?action=UPDATE&amp;creator=factset&amp;DYN_ARGS=TRUE&amp;DOC_NAME=FAT:FQL_AUDITING_CLIENT_TEMPLATE.FAT&amp;display_string=Audit&amp;VAR:KEY=CTEFGLQTYN&amp;VAR:QUERY=Q1NGX0VCSVRfT1BFUihBTk4sMTIvMzEvMTk4MCwxMi8zMS8yMDA5LEFZKQ==&amp;WINDOW=FIRST_POPUP&amp;HEIGH","T=450&amp;WIDTH=450&amp;START_MAXIMIZED=FALSE&amp;VAR:CALENDAR=US&amp;VAR:SYMBOL=GGC&amp;VAR:INDEX=3"}</definedName>
    <definedName name="_3085__FDSAUDITLINK__" hidden="1">{"fdsup://directions/FAT Viewer?action=UPDATE&amp;creator=factset&amp;DYN_ARGS=TRUE&amp;DOC_NAME=FAT:FQL_AUDITING_CLIENT_TEMPLATE.FAT&amp;display_string=Audit&amp;VAR:KEY=CTEFGLQTYN&amp;VAR:QUERY=Q1NGX0VCSVRfT1BFUihBTk4sMTIvMzEvMTk4MCwxMi8zMS8yMDA5LEFZKQ==&amp;WINDOW=FIRST_POPUP&amp;HEIGH","T=450&amp;WIDTH=450&amp;START_MAXIMIZED=FALSE&amp;VAR:CALENDAR=US&amp;VAR:SYMBOL=GGC&amp;VAR:INDEX=2"}</definedName>
    <definedName name="_3086__FDSAUDITLINK__" hidden="1">{"fdsup://directions/FAT Viewer?action=UPDATE&amp;creator=factset&amp;DYN_ARGS=TRUE&amp;DOC_NAME=FAT:FQL_AUDITING_CLIENT_TEMPLATE.FAT&amp;display_string=Audit&amp;VAR:KEY=CTEFGLQTYN&amp;VAR:QUERY=Q1NGX0VCSVRfT1BFUihBTk4sMTIvMzEvMTk4MCwxMi8zMS8yMDA5LEFZKQ==&amp;WINDOW=FIRST_POPUP&amp;HEIGH","T=450&amp;WIDTH=450&amp;START_MAXIMIZED=FALSE&amp;VAR:CALENDAR=US&amp;VAR:SYMBOL=GGC&amp;VAR:INDEX=1"}</definedName>
    <definedName name="_3087__FDSAUDITLINK__" hidden="1">{"fdsup://directions/FAT Viewer?action=UPDATE&amp;creator=factset&amp;DYN_ARGS=TRUE&amp;DOC_NAME=FAT:FQL_AUDITING_CLIENT_TEMPLATE.FAT&amp;display_string=Audit&amp;VAR:KEY=CTEFGLQTYN&amp;VAR:QUERY=Q1NGX0VCSVRfT1BFUihBTk4sMTIvMzEvMTk4MCwxMi8zMS8yMDA5LEFZKQ==&amp;WINDOW=FIRST_POPUP&amp;HEIGH","T=450&amp;WIDTH=450&amp;START_MAXIMIZED=FALSE&amp;VAR:CALENDAR=US&amp;VAR:SYMBOL=GGC&amp;VAR:INDEX=0"}</definedName>
    <definedName name="_3088__FDSAUDITLINK__" hidden="1">{"fdsup://directions/FAT Viewer?action=UPDATE&amp;creator=factset&amp;DYN_ARGS=TRUE&amp;DOC_NAME=FAT:FQL_AUDITING_CLIENT_TEMPLATE.FAT&amp;display_string=Audit&amp;VAR:KEY=XOJUHODIVE&amp;VAR:QUERY=Q1NGX0VCSVRfT1BFUihMVE1fUiwwKQ==&amp;WINDOW=FIRST_POPUP&amp;HEIGHT=450&amp;WIDTH=450&amp;START_MAXIMI","ZED=FALSE&amp;VAR:CALENDAR=US&amp;VAR:SYMBOL=FUL&amp;VAR:INDEX=0"}</definedName>
    <definedName name="_3089__FDSAUDITLINK__" hidden="1">{"fdsup://directions/FAT Viewer?action=UPDATE&amp;creator=factset&amp;DYN_ARGS=TRUE&amp;DOC_NAME=FAT:FQL_AUDITING_CLIENT_TEMPLATE.FAT&amp;display_string=Audit&amp;VAR:KEY=YJSBAVQZSN&amp;VAR:QUERY=Q1NGX0VCSVRfT1BFUihBTk4sMTIvMzEvMTk4MCwxMi8zMS8yMDA5LEFZKQ==&amp;WINDOW=FIRST_POPUP&amp;HEIGH","T=450&amp;WIDTH=450&amp;START_MAXIMIZED=FALSE&amp;VAR:CALENDAR=US&amp;VAR:SYMBOL=FUL&amp;VAR:INDEX=29"}</definedName>
    <definedName name="_309__FDSAUDITLINK__" hidden="1">{"fdsup://directions/FAT Viewer?action=UPDATE&amp;creator=factset&amp;DYN_ARGS=TRUE&amp;DOC_NAME=FAT:FQL_AUDITING_CLIENT_TEMPLATE.FAT&amp;display_string=Audit&amp;VAR:KEY=ANWLIXORWF&amp;VAR:QUERY=Q1NGX0VCSVRfT1BFUihBTk4sMTIvMzEvODAsMCk=&amp;WINDOW=FIRST_POPUP&amp;HEIGHT=450&amp;WIDTH=450&amp;STAR","T_MAXIMIZED=FALSE&amp;VAR:CALENDAR=US&amp;VAR:SYMBOL=WLK&amp;VAR:INDEX=24"}</definedName>
    <definedName name="_3090__FDSAUDITLINK__" hidden="1">{"fdsup://directions/FAT Viewer?action=UPDATE&amp;creator=factset&amp;DYN_ARGS=TRUE&amp;DOC_NAME=FAT:FQL_AUDITING_CLIENT_TEMPLATE.FAT&amp;display_string=Audit&amp;VAR:KEY=YJSBAVQZSN&amp;VAR:QUERY=Q1NGX0VCSVRfT1BFUihBTk4sMTIvMzEvMTk4MCwxMi8zMS8yMDA5LEFZKQ==&amp;WINDOW=FIRST_POPUP&amp;HEIGH","T=450&amp;WIDTH=450&amp;START_MAXIMIZED=FALSE&amp;VAR:CALENDAR=US&amp;VAR:SYMBOL=FUL&amp;VAR:INDEX=28"}</definedName>
    <definedName name="_3091__FDSAUDITLINK__" hidden="1">{"fdsup://directions/FAT Viewer?action=UPDATE&amp;creator=factset&amp;DYN_ARGS=TRUE&amp;DOC_NAME=FAT:FQL_AUDITING_CLIENT_TEMPLATE.FAT&amp;display_string=Audit&amp;VAR:KEY=YJSBAVQZSN&amp;VAR:QUERY=Q1NGX0VCSVRfT1BFUihBTk4sMTIvMzEvMTk4MCwxMi8zMS8yMDA5LEFZKQ==&amp;WINDOW=FIRST_POPUP&amp;HEIGH","T=450&amp;WIDTH=450&amp;START_MAXIMIZED=FALSE&amp;VAR:CALENDAR=US&amp;VAR:SYMBOL=FUL&amp;VAR:INDEX=27"}</definedName>
    <definedName name="_3092__FDSAUDITLINK__" hidden="1">{"fdsup://directions/FAT Viewer?action=UPDATE&amp;creator=factset&amp;DYN_ARGS=TRUE&amp;DOC_NAME=FAT:FQL_AUDITING_CLIENT_TEMPLATE.FAT&amp;display_string=Audit&amp;VAR:KEY=YJSBAVQZSN&amp;VAR:QUERY=Q1NGX0VCSVRfT1BFUihBTk4sMTIvMzEvMTk4MCwxMi8zMS8yMDA5LEFZKQ==&amp;WINDOW=FIRST_POPUP&amp;HEIGH","T=450&amp;WIDTH=450&amp;START_MAXIMIZED=FALSE&amp;VAR:CALENDAR=US&amp;VAR:SYMBOL=FUL&amp;VAR:INDEX=26"}</definedName>
    <definedName name="_3093__FDSAUDITLINK__" hidden="1">{"fdsup://directions/FAT Viewer?action=UPDATE&amp;creator=factset&amp;DYN_ARGS=TRUE&amp;DOC_NAME=FAT:FQL_AUDITING_CLIENT_TEMPLATE.FAT&amp;display_string=Audit&amp;VAR:KEY=YJSBAVQZSN&amp;VAR:QUERY=Q1NGX0VCSVRfT1BFUihBTk4sMTIvMzEvMTk4MCwxMi8zMS8yMDA5LEFZKQ==&amp;WINDOW=FIRST_POPUP&amp;HEIGH","T=450&amp;WIDTH=450&amp;START_MAXIMIZED=FALSE&amp;VAR:CALENDAR=US&amp;VAR:SYMBOL=FUL&amp;VAR:INDEX=25"}</definedName>
    <definedName name="_3094__FDSAUDITLINK__" hidden="1">{"fdsup://directions/FAT Viewer?action=UPDATE&amp;creator=factset&amp;DYN_ARGS=TRUE&amp;DOC_NAME=FAT:FQL_AUDITING_CLIENT_TEMPLATE.FAT&amp;display_string=Audit&amp;VAR:KEY=YJSBAVQZSN&amp;VAR:QUERY=Q1NGX0VCSVRfT1BFUihBTk4sMTIvMzEvMTk4MCwxMi8zMS8yMDA5LEFZKQ==&amp;WINDOW=FIRST_POPUP&amp;HEIGH","T=450&amp;WIDTH=450&amp;START_MAXIMIZED=FALSE&amp;VAR:CALENDAR=US&amp;VAR:SYMBOL=FUL&amp;VAR:INDEX=24"}</definedName>
    <definedName name="_3095__FDSAUDITLINK__" hidden="1">{"fdsup://directions/FAT Viewer?action=UPDATE&amp;creator=factset&amp;DYN_ARGS=TRUE&amp;DOC_NAME=FAT:FQL_AUDITING_CLIENT_TEMPLATE.FAT&amp;display_string=Audit&amp;VAR:KEY=YJSBAVQZSN&amp;VAR:QUERY=Q1NGX0VCSVRfT1BFUihBTk4sMTIvMzEvMTk4MCwxMi8zMS8yMDA5LEFZKQ==&amp;WINDOW=FIRST_POPUP&amp;HEIGH","T=450&amp;WIDTH=450&amp;START_MAXIMIZED=FALSE&amp;VAR:CALENDAR=US&amp;VAR:SYMBOL=FUL&amp;VAR:INDEX=23"}</definedName>
    <definedName name="_3096__FDSAUDITLINK__" hidden="1">{"fdsup://directions/FAT Viewer?action=UPDATE&amp;creator=factset&amp;DYN_ARGS=TRUE&amp;DOC_NAME=FAT:FQL_AUDITING_CLIENT_TEMPLATE.FAT&amp;display_string=Audit&amp;VAR:KEY=YJSBAVQZSN&amp;VAR:QUERY=Q1NGX0VCSVRfT1BFUihBTk4sMTIvMzEvMTk4MCwxMi8zMS8yMDA5LEFZKQ==&amp;WINDOW=FIRST_POPUP&amp;HEIGH","T=450&amp;WIDTH=450&amp;START_MAXIMIZED=FALSE&amp;VAR:CALENDAR=US&amp;VAR:SYMBOL=FUL&amp;VAR:INDEX=22"}</definedName>
    <definedName name="_3097__FDSAUDITLINK__" hidden="1">{"fdsup://directions/FAT Viewer?action=UPDATE&amp;creator=factset&amp;DYN_ARGS=TRUE&amp;DOC_NAME=FAT:FQL_AUDITING_CLIENT_TEMPLATE.FAT&amp;display_string=Audit&amp;VAR:KEY=YJSBAVQZSN&amp;VAR:QUERY=Q1NGX0VCSVRfT1BFUihBTk4sMTIvMzEvMTk4MCwxMi8zMS8yMDA5LEFZKQ==&amp;WINDOW=FIRST_POPUP&amp;HEIGH","T=450&amp;WIDTH=450&amp;START_MAXIMIZED=FALSE&amp;VAR:CALENDAR=US&amp;VAR:SYMBOL=FUL&amp;VAR:INDEX=21"}</definedName>
    <definedName name="_3098__FDSAUDITLINK__" hidden="1">{"fdsup://directions/FAT Viewer?action=UPDATE&amp;creator=factset&amp;DYN_ARGS=TRUE&amp;DOC_NAME=FAT:FQL_AUDITING_CLIENT_TEMPLATE.FAT&amp;display_string=Audit&amp;VAR:KEY=YJSBAVQZSN&amp;VAR:QUERY=Q1NGX0VCSVRfT1BFUihBTk4sMTIvMzEvMTk4MCwxMi8zMS8yMDA5LEFZKQ==&amp;WINDOW=FIRST_POPUP&amp;HEIGH","T=450&amp;WIDTH=450&amp;START_MAXIMIZED=FALSE&amp;VAR:CALENDAR=US&amp;VAR:SYMBOL=FUL&amp;VAR:INDEX=20"}</definedName>
    <definedName name="_3099__FDSAUDITLINK__" hidden="1">{"fdsup://directions/FAT Viewer?action=UPDATE&amp;creator=factset&amp;DYN_ARGS=TRUE&amp;DOC_NAME=FAT:FQL_AUDITING_CLIENT_TEMPLATE.FAT&amp;display_string=Audit&amp;VAR:KEY=YJSBAVQZSN&amp;VAR:QUERY=Q1NGX0VCSVRfT1BFUihBTk4sMTIvMzEvMTk4MCwxMi8zMS8yMDA5LEFZKQ==&amp;WINDOW=FIRST_POPUP&amp;HEIGH","T=450&amp;WIDTH=450&amp;START_MAXIMIZED=FALSE&amp;VAR:CALENDAR=US&amp;VAR:SYMBOL=FUL&amp;VAR:INDEX=19"}</definedName>
    <definedName name="_31__FDSAUDITLINK__" hidden="1">{"fdsup://directions/FAT Viewer?action=UPDATE&amp;creator=factset&amp;DYN_ARGS=TRUE&amp;DOC_NAME=FAT:FQL_AUDITING_CLIENT_TEMPLATE.FAT&amp;display_string=Audit&amp;VAR:KEY=GPYDQJYPQJ&amp;VAR:QUERY=Q1NGX0VCSVREQV9PUEVSKEFOTiwtMSk=&amp;WINDOW=FIRST_POPUP&amp;HEIGHT=450&amp;WIDTH=450&amp;START_MAXIMI","ZED=FALSE&amp;VAR:CALENDAR=US&amp;VAR:SYMBOL=ALB&amp;VAR:INDEX=0"}</definedName>
    <definedName name="_310__FDSAUDITLINK__" hidden="1">{"fdsup://directions/FAT Viewer?action=UPDATE&amp;creator=factset&amp;DYN_ARGS=TRUE&amp;DOC_NAME=FAT:FQL_AUDITING_CLIENT_TEMPLATE.FAT&amp;display_string=Audit&amp;VAR:KEY=ANWLIXORWF&amp;VAR:QUERY=Q1NGX0VCSVRfT1BFUihBTk4sMTIvMzEvODAsMCk=&amp;WINDOW=FIRST_POPUP&amp;HEIGHT=450&amp;WIDTH=450&amp;STAR","T_MAXIMIZED=FALSE&amp;VAR:CALENDAR=US&amp;VAR:SYMBOL=WLK&amp;VAR:INDEX=23"}</definedName>
    <definedName name="_3100__FDSAUDITLINK__" hidden="1">{"fdsup://directions/FAT Viewer?action=UPDATE&amp;creator=factset&amp;DYN_ARGS=TRUE&amp;DOC_NAME=FAT:FQL_AUDITING_CLIENT_TEMPLATE.FAT&amp;display_string=Audit&amp;VAR:KEY=YJSBAVQZSN&amp;VAR:QUERY=Q1NGX0VCSVRfT1BFUihBTk4sMTIvMzEvMTk4MCwxMi8zMS8yMDA5LEFZKQ==&amp;WINDOW=FIRST_POPUP&amp;HEIGH","T=450&amp;WIDTH=450&amp;START_MAXIMIZED=FALSE&amp;VAR:CALENDAR=US&amp;VAR:SYMBOL=FUL&amp;VAR:INDEX=18"}</definedName>
    <definedName name="_3101__FDSAUDITLINK__" hidden="1">{"fdsup://directions/FAT Viewer?action=UPDATE&amp;creator=factset&amp;DYN_ARGS=TRUE&amp;DOC_NAME=FAT:FQL_AUDITING_CLIENT_TEMPLATE.FAT&amp;display_string=Audit&amp;VAR:KEY=YJSBAVQZSN&amp;VAR:QUERY=Q1NGX0VCSVRfT1BFUihBTk4sMTIvMzEvMTk4MCwxMi8zMS8yMDA5LEFZKQ==&amp;WINDOW=FIRST_POPUP&amp;HEIGH","T=450&amp;WIDTH=450&amp;START_MAXIMIZED=FALSE&amp;VAR:CALENDAR=US&amp;VAR:SYMBOL=FUL&amp;VAR:INDEX=17"}</definedName>
    <definedName name="_3102__FDSAUDITLINK__" hidden="1">{"fdsup://directions/FAT Viewer?action=UPDATE&amp;creator=factset&amp;DYN_ARGS=TRUE&amp;DOC_NAME=FAT:FQL_AUDITING_CLIENT_TEMPLATE.FAT&amp;display_string=Audit&amp;VAR:KEY=YJSBAVQZSN&amp;VAR:QUERY=Q1NGX0VCSVRfT1BFUihBTk4sMTIvMzEvMTk4MCwxMi8zMS8yMDA5LEFZKQ==&amp;WINDOW=FIRST_POPUP&amp;HEIGH","T=450&amp;WIDTH=450&amp;START_MAXIMIZED=FALSE&amp;VAR:CALENDAR=US&amp;VAR:SYMBOL=FUL&amp;VAR:INDEX=16"}</definedName>
    <definedName name="_3103__FDSAUDITLINK__" hidden="1">{"fdsup://directions/FAT Viewer?action=UPDATE&amp;creator=factset&amp;DYN_ARGS=TRUE&amp;DOC_NAME=FAT:FQL_AUDITING_CLIENT_TEMPLATE.FAT&amp;display_string=Audit&amp;VAR:KEY=YJSBAVQZSN&amp;VAR:QUERY=Q1NGX0VCSVRfT1BFUihBTk4sMTIvMzEvMTk4MCwxMi8zMS8yMDA5LEFZKQ==&amp;WINDOW=FIRST_POPUP&amp;HEIGH","T=450&amp;WIDTH=450&amp;START_MAXIMIZED=FALSE&amp;VAR:CALENDAR=US&amp;VAR:SYMBOL=FUL&amp;VAR:INDEX=15"}</definedName>
    <definedName name="_3104__FDSAUDITLINK__" hidden="1">{"fdsup://directions/FAT Viewer?action=UPDATE&amp;creator=factset&amp;DYN_ARGS=TRUE&amp;DOC_NAME=FAT:FQL_AUDITING_CLIENT_TEMPLATE.FAT&amp;display_string=Audit&amp;VAR:KEY=YJSBAVQZSN&amp;VAR:QUERY=Q1NGX0VCSVRfT1BFUihBTk4sMTIvMzEvMTk4MCwxMi8zMS8yMDA5LEFZKQ==&amp;WINDOW=FIRST_POPUP&amp;HEIGH","T=450&amp;WIDTH=450&amp;START_MAXIMIZED=FALSE&amp;VAR:CALENDAR=US&amp;VAR:SYMBOL=FUL&amp;VAR:INDEX=14"}</definedName>
    <definedName name="_3105__FDSAUDITLINK__" hidden="1">{"fdsup://directions/FAT Viewer?action=UPDATE&amp;creator=factset&amp;DYN_ARGS=TRUE&amp;DOC_NAME=FAT:FQL_AUDITING_CLIENT_TEMPLATE.FAT&amp;display_string=Audit&amp;VAR:KEY=YJSBAVQZSN&amp;VAR:QUERY=Q1NGX0VCSVRfT1BFUihBTk4sMTIvMzEvMTk4MCwxMi8zMS8yMDA5LEFZKQ==&amp;WINDOW=FIRST_POPUP&amp;HEIGH","T=450&amp;WIDTH=450&amp;START_MAXIMIZED=FALSE&amp;VAR:CALENDAR=US&amp;VAR:SYMBOL=FUL&amp;VAR:INDEX=13"}</definedName>
    <definedName name="_3106__FDSAUDITLINK__" hidden="1">{"fdsup://directions/FAT Viewer?action=UPDATE&amp;creator=factset&amp;DYN_ARGS=TRUE&amp;DOC_NAME=FAT:FQL_AUDITING_CLIENT_TEMPLATE.FAT&amp;display_string=Audit&amp;VAR:KEY=YJSBAVQZSN&amp;VAR:QUERY=Q1NGX0VCSVRfT1BFUihBTk4sMTIvMzEvMTk4MCwxMi8zMS8yMDA5LEFZKQ==&amp;WINDOW=FIRST_POPUP&amp;HEIGH","T=450&amp;WIDTH=450&amp;START_MAXIMIZED=FALSE&amp;VAR:CALENDAR=US&amp;VAR:SYMBOL=FUL&amp;VAR:INDEX=12"}</definedName>
    <definedName name="_3107__FDSAUDITLINK__" hidden="1">{"fdsup://directions/FAT Viewer?action=UPDATE&amp;creator=factset&amp;DYN_ARGS=TRUE&amp;DOC_NAME=FAT:FQL_AUDITING_CLIENT_TEMPLATE.FAT&amp;display_string=Audit&amp;VAR:KEY=YJSBAVQZSN&amp;VAR:QUERY=Q1NGX0VCSVRfT1BFUihBTk4sMTIvMzEvMTk4MCwxMi8zMS8yMDA5LEFZKQ==&amp;WINDOW=FIRST_POPUP&amp;HEIGH","T=450&amp;WIDTH=450&amp;START_MAXIMIZED=FALSE&amp;VAR:CALENDAR=US&amp;VAR:SYMBOL=FUL&amp;VAR:INDEX=11"}</definedName>
    <definedName name="_3108__FDSAUDITLINK__" hidden="1">{"fdsup://directions/FAT Viewer?action=UPDATE&amp;creator=factset&amp;DYN_ARGS=TRUE&amp;DOC_NAME=FAT:FQL_AUDITING_CLIENT_TEMPLATE.FAT&amp;display_string=Audit&amp;VAR:KEY=YJSBAVQZSN&amp;VAR:QUERY=Q1NGX0VCSVRfT1BFUihBTk4sMTIvMzEvMTk4MCwxMi8zMS8yMDA5LEFZKQ==&amp;WINDOW=FIRST_POPUP&amp;HEIGH","T=450&amp;WIDTH=450&amp;START_MAXIMIZED=FALSE&amp;VAR:CALENDAR=US&amp;VAR:SYMBOL=FUL&amp;VAR:INDEX=10"}</definedName>
    <definedName name="_3109__FDSAUDITLINK__" hidden="1">{"fdsup://directions/FAT Viewer?action=UPDATE&amp;creator=factset&amp;DYN_ARGS=TRUE&amp;DOC_NAME=FAT:FQL_AUDITING_CLIENT_TEMPLATE.FAT&amp;display_string=Audit&amp;VAR:KEY=YJSBAVQZSN&amp;VAR:QUERY=Q1NGX0VCSVRfT1BFUihBTk4sMTIvMzEvMTk4MCwxMi8zMS8yMDA5LEFZKQ==&amp;WINDOW=FIRST_POPUP&amp;HEIGH","T=450&amp;WIDTH=450&amp;START_MAXIMIZED=FALSE&amp;VAR:CALENDAR=US&amp;VAR:SYMBOL=FUL&amp;VAR:INDEX=9"}</definedName>
    <definedName name="_311__FDSAUDITLINK__" hidden="1">{"fdsup://directions/FAT Viewer?action=UPDATE&amp;creator=factset&amp;DYN_ARGS=TRUE&amp;DOC_NAME=FAT:FQL_AUDITING_CLIENT_TEMPLATE.FAT&amp;display_string=Audit&amp;VAR:KEY=ANWLIXORWF&amp;VAR:QUERY=Q1NGX0VCSVRfT1BFUihBTk4sMTIvMzEvODAsMCk=&amp;WINDOW=FIRST_POPUP&amp;HEIGHT=450&amp;WIDTH=450&amp;STAR","T_MAXIMIZED=FALSE&amp;VAR:CALENDAR=US&amp;VAR:SYMBOL=WLK&amp;VAR:INDEX=22"}</definedName>
    <definedName name="_3110__FDSAUDITLINK__" hidden="1">{"fdsup://directions/FAT Viewer?action=UPDATE&amp;creator=factset&amp;DYN_ARGS=TRUE&amp;DOC_NAME=FAT:FQL_AUDITING_CLIENT_TEMPLATE.FAT&amp;display_string=Audit&amp;VAR:KEY=YJSBAVQZSN&amp;VAR:QUERY=Q1NGX0VCSVRfT1BFUihBTk4sMTIvMzEvMTk4MCwxMi8zMS8yMDA5LEFZKQ==&amp;WINDOW=FIRST_POPUP&amp;HEIGH","T=450&amp;WIDTH=450&amp;START_MAXIMIZED=FALSE&amp;VAR:CALENDAR=US&amp;VAR:SYMBOL=FUL&amp;VAR:INDEX=8"}</definedName>
    <definedName name="_3111__FDSAUDITLINK__" hidden="1">{"fdsup://directions/FAT Viewer?action=UPDATE&amp;creator=factset&amp;DYN_ARGS=TRUE&amp;DOC_NAME=FAT:FQL_AUDITING_CLIENT_TEMPLATE.FAT&amp;display_string=Audit&amp;VAR:KEY=YJSBAVQZSN&amp;VAR:QUERY=Q1NGX0VCSVRfT1BFUihBTk4sMTIvMzEvMTk4MCwxMi8zMS8yMDA5LEFZKQ==&amp;WINDOW=FIRST_POPUP&amp;HEIGH","T=450&amp;WIDTH=450&amp;START_MAXIMIZED=FALSE&amp;VAR:CALENDAR=US&amp;VAR:SYMBOL=FUL&amp;VAR:INDEX=7"}</definedName>
    <definedName name="_3112__FDSAUDITLINK__" hidden="1">{"fdsup://directions/FAT Viewer?action=UPDATE&amp;creator=factset&amp;DYN_ARGS=TRUE&amp;DOC_NAME=FAT:FQL_AUDITING_CLIENT_TEMPLATE.FAT&amp;display_string=Audit&amp;VAR:KEY=YJSBAVQZSN&amp;VAR:QUERY=Q1NGX0VCSVRfT1BFUihBTk4sMTIvMzEvMTk4MCwxMi8zMS8yMDA5LEFZKQ==&amp;WINDOW=FIRST_POPUP&amp;HEIGH","T=450&amp;WIDTH=450&amp;START_MAXIMIZED=FALSE&amp;VAR:CALENDAR=US&amp;VAR:SYMBOL=FUL&amp;VAR:INDEX=6"}</definedName>
    <definedName name="_3113__FDSAUDITLINK__" hidden="1">{"fdsup://directions/FAT Viewer?action=UPDATE&amp;creator=factset&amp;DYN_ARGS=TRUE&amp;DOC_NAME=FAT:FQL_AUDITING_CLIENT_TEMPLATE.FAT&amp;display_string=Audit&amp;VAR:KEY=YJSBAVQZSN&amp;VAR:QUERY=Q1NGX0VCSVRfT1BFUihBTk4sMTIvMzEvMTk4MCwxMi8zMS8yMDA5LEFZKQ==&amp;WINDOW=FIRST_POPUP&amp;HEIGH","T=450&amp;WIDTH=450&amp;START_MAXIMIZED=FALSE&amp;VAR:CALENDAR=US&amp;VAR:SYMBOL=FUL&amp;VAR:INDEX=5"}</definedName>
    <definedName name="_3114__FDSAUDITLINK__" hidden="1">{"fdsup://directions/FAT Viewer?action=UPDATE&amp;creator=factset&amp;DYN_ARGS=TRUE&amp;DOC_NAME=FAT:FQL_AUDITING_CLIENT_TEMPLATE.FAT&amp;display_string=Audit&amp;VAR:KEY=YJSBAVQZSN&amp;VAR:QUERY=Q1NGX0VCSVRfT1BFUihBTk4sMTIvMzEvMTk4MCwxMi8zMS8yMDA5LEFZKQ==&amp;WINDOW=FIRST_POPUP&amp;HEIGH","T=450&amp;WIDTH=450&amp;START_MAXIMIZED=FALSE&amp;VAR:CALENDAR=US&amp;VAR:SYMBOL=FUL&amp;VAR:INDEX=4"}</definedName>
    <definedName name="_3115__FDSAUDITLINK__" hidden="1">{"fdsup://directions/FAT Viewer?action=UPDATE&amp;creator=factset&amp;DYN_ARGS=TRUE&amp;DOC_NAME=FAT:FQL_AUDITING_CLIENT_TEMPLATE.FAT&amp;display_string=Audit&amp;VAR:KEY=YJSBAVQZSN&amp;VAR:QUERY=Q1NGX0VCSVRfT1BFUihBTk4sMTIvMzEvMTk4MCwxMi8zMS8yMDA5LEFZKQ==&amp;WINDOW=FIRST_POPUP&amp;HEIGH","T=450&amp;WIDTH=450&amp;START_MAXIMIZED=FALSE&amp;VAR:CALENDAR=US&amp;VAR:SYMBOL=FUL&amp;VAR:INDEX=3"}</definedName>
    <definedName name="_3116__FDSAUDITLINK__" hidden="1">{"fdsup://directions/FAT Viewer?action=UPDATE&amp;creator=factset&amp;DYN_ARGS=TRUE&amp;DOC_NAME=FAT:FQL_AUDITING_CLIENT_TEMPLATE.FAT&amp;display_string=Audit&amp;VAR:KEY=YJSBAVQZSN&amp;VAR:QUERY=Q1NGX0VCSVRfT1BFUihBTk4sMTIvMzEvMTk4MCwxMi8zMS8yMDA5LEFZKQ==&amp;WINDOW=FIRST_POPUP&amp;HEIGH","T=450&amp;WIDTH=450&amp;START_MAXIMIZED=FALSE&amp;VAR:CALENDAR=US&amp;VAR:SYMBOL=FUL&amp;VAR:INDEX=2"}</definedName>
    <definedName name="_3117__FDSAUDITLINK__" hidden="1">{"fdsup://directions/FAT Viewer?action=UPDATE&amp;creator=factset&amp;DYN_ARGS=TRUE&amp;DOC_NAME=FAT:FQL_AUDITING_CLIENT_TEMPLATE.FAT&amp;display_string=Audit&amp;VAR:KEY=YJSBAVQZSN&amp;VAR:QUERY=Q1NGX0VCSVRfT1BFUihBTk4sMTIvMzEvMTk4MCwxMi8zMS8yMDA5LEFZKQ==&amp;WINDOW=FIRST_POPUP&amp;HEIGH","T=450&amp;WIDTH=450&amp;START_MAXIMIZED=FALSE&amp;VAR:CALENDAR=US&amp;VAR:SYMBOL=FUL&amp;VAR:INDEX=1"}</definedName>
    <definedName name="_3118__FDSAUDITLINK__" hidden="1">{"fdsup://directions/FAT Viewer?action=UPDATE&amp;creator=factset&amp;DYN_ARGS=TRUE&amp;DOC_NAME=FAT:FQL_AUDITING_CLIENT_TEMPLATE.FAT&amp;display_string=Audit&amp;VAR:KEY=YJSBAVQZSN&amp;VAR:QUERY=Q1NGX0VCSVRfT1BFUihBTk4sMTIvMzEvMTk4MCwxMi8zMS8yMDA5LEFZKQ==&amp;WINDOW=FIRST_POPUP&amp;HEIGH","T=450&amp;WIDTH=450&amp;START_MAXIMIZED=FALSE&amp;VAR:CALENDAR=US&amp;VAR:SYMBOL=FUL&amp;VAR:INDEX=0"}</definedName>
    <definedName name="_3119__FDSAUDITLINK__" hidden="1">{"fdsup://directions/FAT Viewer?action=UPDATE&amp;creator=factset&amp;DYN_ARGS=TRUE&amp;DOC_NAME=FAT:FQL_AUDITING_CLIENT_TEMPLATE.FAT&amp;display_string=Audit&amp;VAR:KEY=TKNCZSDMZU&amp;VAR:QUERY=Q1NGX0VCSVRfT1BFUihMVE1fUiwwKQ==&amp;WINDOW=FIRST_POPUP&amp;HEIGHT=450&amp;WIDTH=450&amp;START_MAXIMI","ZED=FALSE&amp;VAR:CALENDAR=US&amp;VAR:SYMBOL=FMC&amp;VAR:INDEX=0"}</definedName>
    <definedName name="_312__FDSAUDITLINK__" hidden="1">{"fdsup://directions/FAT Viewer?action=UPDATE&amp;creator=factset&amp;DYN_ARGS=TRUE&amp;DOC_NAME=FAT:FQL_AUDITING_CLIENT_TEMPLATE.FAT&amp;display_string=Audit&amp;VAR:KEY=ANWLIXORWF&amp;VAR:QUERY=Q1NGX0VCSVRfT1BFUihBTk4sMTIvMzEvODAsMCk=&amp;WINDOW=FIRST_POPUP&amp;HEIGHT=450&amp;WIDTH=450&amp;STAR","T_MAXIMIZED=FALSE&amp;VAR:CALENDAR=US&amp;VAR:SYMBOL=WLK&amp;VAR:INDEX=21"}</definedName>
    <definedName name="_3120__FDSAUDITLINK__" hidden="1">{"fdsup://directions/FAT Viewer?action=UPDATE&amp;creator=factset&amp;DYN_ARGS=TRUE&amp;DOC_NAME=FAT:FQL_AUDITING_CLIENT_TEMPLATE.FAT&amp;display_string=Audit&amp;VAR:KEY=IPIZOLWJOV&amp;VAR:QUERY=Q1NGX0VCSVRfT1BFUihBTk4sMTIvMzEvMTk4MCwxMi8zMS8yMDA5LEFZKQ==&amp;WINDOW=FIRST_POPUP&amp;HEIGH","T=450&amp;WIDTH=450&amp;START_MAXIMIZED=FALSE&amp;VAR:CALENDAR=US&amp;VAR:SYMBOL=FMC&amp;VAR:INDEX=29"}</definedName>
    <definedName name="_3121__FDSAUDITLINK__" hidden="1">{"fdsup://directions/FAT Viewer?action=UPDATE&amp;creator=factset&amp;DYN_ARGS=TRUE&amp;DOC_NAME=FAT:FQL_AUDITING_CLIENT_TEMPLATE.FAT&amp;display_string=Audit&amp;VAR:KEY=IPIZOLWJOV&amp;VAR:QUERY=Q1NGX0VCSVRfT1BFUihBTk4sMTIvMzEvMTk4MCwxMi8zMS8yMDA5LEFZKQ==&amp;WINDOW=FIRST_POPUP&amp;HEIGH","T=450&amp;WIDTH=450&amp;START_MAXIMIZED=FALSE&amp;VAR:CALENDAR=US&amp;VAR:SYMBOL=FMC&amp;VAR:INDEX=28"}</definedName>
    <definedName name="_3122__FDSAUDITLINK__" hidden="1">{"fdsup://directions/FAT Viewer?action=UPDATE&amp;creator=factset&amp;DYN_ARGS=TRUE&amp;DOC_NAME=FAT:FQL_AUDITING_CLIENT_TEMPLATE.FAT&amp;display_string=Audit&amp;VAR:KEY=IPIZOLWJOV&amp;VAR:QUERY=Q1NGX0VCSVRfT1BFUihBTk4sMTIvMzEvMTk4MCwxMi8zMS8yMDA5LEFZKQ==&amp;WINDOW=FIRST_POPUP&amp;HEIGH","T=450&amp;WIDTH=450&amp;START_MAXIMIZED=FALSE&amp;VAR:CALENDAR=US&amp;VAR:SYMBOL=FMC&amp;VAR:INDEX=27"}</definedName>
    <definedName name="_3123__FDSAUDITLINK__" hidden="1">{"fdsup://directions/FAT Viewer?action=UPDATE&amp;creator=factset&amp;DYN_ARGS=TRUE&amp;DOC_NAME=FAT:FQL_AUDITING_CLIENT_TEMPLATE.FAT&amp;display_string=Audit&amp;VAR:KEY=IPIZOLWJOV&amp;VAR:QUERY=Q1NGX0VCSVRfT1BFUihBTk4sMTIvMzEvMTk4MCwxMi8zMS8yMDA5LEFZKQ==&amp;WINDOW=FIRST_POPUP&amp;HEIGH","T=450&amp;WIDTH=450&amp;START_MAXIMIZED=FALSE&amp;VAR:CALENDAR=US&amp;VAR:SYMBOL=FMC&amp;VAR:INDEX=26"}</definedName>
    <definedName name="_3124__FDSAUDITLINK__" hidden="1">{"fdsup://directions/FAT Viewer?action=UPDATE&amp;creator=factset&amp;DYN_ARGS=TRUE&amp;DOC_NAME=FAT:FQL_AUDITING_CLIENT_TEMPLATE.FAT&amp;display_string=Audit&amp;VAR:KEY=IPIZOLWJOV&amp;VAR:QUERY=Q1NGX0VCSVRfT1BFUihBTk4sMTIvMzEvMTk4MCwxMi8zMS8yMDA5LEFZKQ==&amp;WINDOW=FIRST_POPUP&amp;HEIGH","T=450&amp;WIDTH=450&amp;START_MAXIMIZED=FALSE&amp;VAR:CALENDAR=US&amp;VAR:SYMBOL=FMC&amp;VAR:INDEX=25"}</definedName>
    <definedName name="_3125__FDSAUDITLINK__" hidden="1">{"fdsup://directions/FAT Viewer?action=UPDATE&amp;creator=factset&amp;DYN_ARGS=TRUE&amp;DOC_NAME=FAT:FQL_AUDITING_CLIENT_TEMPLATE.FAT&amp;display_string=Audit&amp;VAR:KEY=IPIZOLWJOV&amp;VAR:QUERY=Q1NGX0VCSVRfT1BFUihBTk4sMTIvMzEvMTk4MCwxMi8zMS8yMDA5LEFZKQ==&amp;WINDOW=FIRST_POPUP&amp;HEIGH","T=450&amp;WIDTH=450&amp;START_MAXIMIZED=FALSE&amp;VAR:CALENDAR=US&amp;VAR:SYMBOL=FMC&amp;VAR:INDEX=24"}</definedName>
    <definedName name="_3126__FDSAUDITLINK__" hidden="1">{"fdsup://directions/FAT Viewer?action=UPDATE&amp;creator=factset&amp;DYN_ARGS=TRUE&amp;DOC_NAME=FAT:FQL_AUDITING_CLIENT_TEMPLATE.FAT&amp;display_string=Audit&amp;VAR:KEY=IPIZOLWJOV&amp;VAR:QUERY=Q1NGX0VCSVRfT1BFUihBTk4sMTIvMzEvMTk4MCwxMi8zMS8yMDA5LEFZKQ==&amp;WINDOW=FIRST_POPUP&amp;HEIGH","T=450&amp;WIDTH=450&amp;START_MAXIMIZED=FALSE&amp;VAR:CALENDAR=US&amp;VAR:SYMBOL=FMC&amp;VAR:INDEX=23"}</definedName>
    <definedName name="_3127__FDSAUDITLINK__" hidden="1">{"fdsup://directions/FAT Viewer?action=UPDATE&amp;creator=factset&amp;DYN_ARGS=TRUE&amp;DOC_NAME=FAT:FQL_AUDITING_CLIENT_TEMPLATE.FAT&amp;display_string=Audit&amp;VAR:KEY=IPIZOLWJOV&amp;VAR:QUERY=Q1NGX0VCSVRfT1BFUihBTk4sMTIvMzEvMTk4MCwxMi8zMS8yMDA5LEFZKQ==&amp;WINDOW=FIRST_POPUP&amp;HEIGH","T=450&amp;WIDTH=450&amp;START_MAXIMIZED=FALSE&amp;VAR:CALENDAR=US&amp;VAR:SYMBOL=FMC&amp;VAR:INDEX=22"}</definedName>
    <definedName name="_3128__FDSAUDITLINK__" hidden="1">{"fdsup://directions/FAT Viewer?action=UPDATE&amp;creator=factset&amp;DYN_ARGS=TRUE&amp;DOC_NAME=FAT:FQL_AUDITING_CLIENT_TEMPLATE.FAT&amp;display_string=Audit&amp;VAR:KEY=IPIZOLWJOV&amp;VAR:QUERY=Q1NGX0VCSVRfT1BFUihBTk4sMTIvMzEvMTk4MCwxMi8zMS8yMDA5LEFZKQ==&amp;WINDOW=FIRST_POPUP&amp;HEIGH","T=450&amp;WIDTH=450&amp;START_MAXIMIZED=FALSE&amp;VAR:CALENDAR=US&amp;VAR:SYMBOL=FMC&amp;VAR:INDEX=21"}</definedName>
    <definedName name="_3129__FDSAUDITLINK__" hidden="1">{"fdsup://directions/FAT Viewer?action=UPDATE&amp;creator=factset&amp;DYN_ARGS=TRUE&amp;DOC_NAME=FAT:FQL_AUDITING_CLIENT_TEMPLATE.FAT&amp;display_string=Audit&amp;VAR:KEY=IPIZOLWJOV&amp;VAR:QUERY=Q1NGX0VCSVRfT1BFUihBTk4sMTIvMzEvMTk4MCwxMi8zMS8yMDA5LEFZKQ==&amp;WINDOW=FIRST_POPUP&amp;HEIGH","T=450&amp;WIDTH=450&amp;START_MAXIMIZED=FALSE&amp;VAR:CALENDAR=US&amp;VAR:SYMBOL=FMC&amp;VAR:INDEX=20"}</definedName>
    <definedName name="_313__FDSAUDITLINK__" hidden="1">{"fdsup://directions/FAT Viewer?action=UPDATE&amp;creator=factset&amp;DYN_ARGS=TRUE&amp;DOC_NAME=FAT:FQL_AUDITING_CLIENT_TEMPLATE.FAT&amp;display_string=Audit&amp;VAR:KEY=ANWLIXORWF&amp;VAR:QUERY=Q1NGX0VCSVRfT1BFUihBTk4sMTIvMzEvODAsMCk=&amp;WINDOW=FIRST_POPUP&amp;HEIGHT=450&amp;WIDTH=450&amp;STAR","T_MAXIMIZED=FALSE&amp;VAR:CALENDAR=US&amp;VAR:SYMBOL=WLK&amp;VAR:INDEX=20"}</definedName>
    <definedName name="_3130__FDSAUDITLINK__" hidden="1">{"fdsup://directions/FAT Viewer?action=UPDATE&amp;creator=factset&amp;DYN_ARGS=TRUE&amp;DOC_NAME=FAT:FQL_AUDITING_CLIENT_TEMPLATE.FAT&amp;display_string=Audit&amp;VAR:KEY=IPIZOLWJOV&amp;VAR:QUERY=Q1NGX0VCSVRfT1BFUihBTk4sMTIvMzEvMTk4MCwxMi8zMS8yMDA5LEFZKQ==&amp;WINDOW=FIRST_POPUP&amp;HEIGH","T=450&amp;WIDTH=450&amp;START_MAXIMIZED=FALSE&amp;VAR:CALENDAR=US&amp;VAR:SYMBOL=FMC&amp;VAR:INDEX=19"}</definedName>
    <definedName name="_3131__FDSAUDITLINK__" hidden="1">{"fdsup://directions/FAT Viewer?action=UPDATE&amp;creator=factset&amp;DYN_ARGS=TRUE&amp;DOC_NAME=FAT:FQL_AUDITING_CLIENT_TEMPLATE.FAT&amp;display_string=Audit&amp;VAR:KEY=IPIZOLWJOV&amp;VAR:QUERY=Q1NGX0VCSVRfT1BFUihBTk4sMTIvMzEvMTk4MCwxMi8zMS8yMDA5LEFZKQ==&amp;WINDOW=FIRST_POPUP&amp;HEIGH","T=450&amp;WIDTH=450&amp;START_MAXIMIZED=FALSE&amp;VAR:CALENDAR=US&amp;VAR:SYMBOL=FMC&amp;VAR:INDEX=18"}</definedName>
    <definedName name="_3132__FDSAUDITLINK__" hidden="1">{"fdsup://directions/FAT Viewer?action=UPDATE&amp;creator=factset&amp;DYN_ARGS=TRUE&amp;DOC_NAME=FAT:FQL_AUDITING_CLIENT_TEMPLATE.FAT&amp;display_string=Audit&amp;VAR:KEY=IPIZOLWJOV&amp;VAR:QUERY=Q1NGX0VCSVRfT1BFUihBTk4sMTIvMzEvMTk4MCwxMi8zMS8yMDA5LEFZKQ==&amp;WINDOW=FIRST_POPUP&amp;HEIGH","T=450&amp;WIDTH=450&amp;START_MAXIMIZED=FALSE&amp;VAR:CALENDAR=US&amp;VAR:SYMBOL=FMC&amp;VAR:INDEX=17"}</definedName>
    <definedName name="_3133__FDSAUDITLINK__" hidden="1">{"fdsup://directions/FAT Viewer?action=UPDATE&amp;creator=factset&amp;DYN_ARGS=TRUE&amp;DOC_NAME=FAT:FQL_AUDITING_CLIENT_TEMPLATE.FAT&amp;display_string=Audit&amp;VAR:KEY=IPIZOLWJOV&amp;VAR:QUERY=Q1NGX0VCSVRfT1BFUihBTk4sMTIvMzEvMTk4MCwxMi8zMS8yMDA5LEFZKQ==&amp;WINDOW=FIRST_POPUP&amp;HEIGH","T=450&amp;WIDTH=450&amp;START_MAXIMIZED=FALSE&amp;VAR:CALENDAR=US&amp;VAR:SYMBOL=FMC&amp;VAR:INDEX=16"}</definedName>
    <definedName name="_3134__FDSAUDITLINK__" hidden="1">{"fdsup://directions/FAT Viewer?action=UPDATE&amp;creator=factset&amp;DYN_ARGS=TRUE&amp;DOC_NAME=FAT:FQL_AUDITING_CLIENT_TEMPLATE.FAT&amp;display_string=Audit&amp;VAR:KEY=IPIZOLWJOV&amp;VAR:QUERY=Q1NGX0VCSVRfT1BFUihBTk4sMTIvMzEvMTk4MCwxMi8zMS8yMDA5LEFZKQ==&amp;WINDOW=FIRST_POPUP&amp;HEIGH","T=450&amp;WIDTH=450&amp;START_MAXIMIZED=FALSE&amp;VAR:CALENDAR=US&amp;VAR:SYMBOL=FMC&amp;VAR:INDEX=15"}</definedName>
    <definedName name="_3135__FDSAUDITLINK__" hidden="1">{"fdsup://directions/FAT Viewer?action=UPDATE&amp;creator=factset&amp;DYN_ARGS=TRUE&amp;DOC_NAME=FAT:FQL_AUDITING_CLIENT_TEMPLATE.FAT&amp;display_string=Audit&amp;VAR:KEY=IPIZOLWJOV&amp;VAR:QUERY=Q1NGX0VCSVRfT1BFUihBTk4sMTIvMzEvMTk4MCwxMi8zMS8yMDA5LEFZKQ==&amp;WINDOW=FIRST_POPUP&amp;HEIGH","T=450&amp;WIDTH=450&amp;START_MAXIMIZED=FALSE&amp;VAR:CALENDAR=US&amp;VAR:SYMBOL=FMC&amp;VAR:INDEX=14"}</definedName>
    <definedName name="_3136__FDSAUDITLINK__" hidden="1">{"fdsup://directions/FAT Viewer?action=UPDATE&amp;creator=factset&amp;DYN_ARGS=TRUE&amp;DOC_NAME=FAT:FQL_AUDITING_CLIENT_TEMPLATE.FAT&amp;display_string=Audit&amp;VAR:KEY=IPIZOLWJOV&amp;VAR:QUERY=Q1NGX0VCSVRfT1BFUihBTk4sMTIvMzEvMTk4MCwxMi8zMS8yMDA5LEFZKQ==&amp;WINDOW=FIRST_POPUP&amp;HEIGH","T=450&amp;WIDTH=450&amp;START_MAXIMIZED=FALSE&amp;VAR:CALENDAR=US&amp;VAR:SYMBOL=FMC&amp;VAR:INDEX=13"}</definedName>
    <definedName name="_3137__FDSAUDITLINK__" hidden="1">{"fdsup://directions/FAT Viewer?action=UPDATE&amp;creator=factset&amp;DYN_ARGS=TRUE&amp;DOC_NAME=FAT:FQL_AUDITING_CLIENT_TEMPLATE.FAT&amp;display_string=Audit&amp;VAR:KEY=IPIZOLWJOV&amp;VAR:QUERY=Q1NGX0VCSVRfT1BFUihBTk4sMTIvMzEvMTk4MCwxMi8zMS8yMDA5LEFZKQ==&amp;WINDOW=FIRST_POPUP&amp;HEIGH","T=450&amp;WIDTH=450&amp;START_MAXIMIZED=FALSE&amp;VAR:CALENDAR=US&amp;VAR:SYMBOL=FMC&amp;VAR:INDEX=12"}</definedName>
    <definedName name="_3138__FDSAUDITLINK__" hidden="1">{"fdsup://directions/FAT Viewer?action=UPDATE&amp;creator=factset&amp;DYN_ARGS=TRUE&amp;DOC_NAME=FAT:FQL_AUDITING_CLIENT_TEMPLATE.FAT&amp;display_string=Audit&amp;VAR:KEY=IPIZOLWJOV&amp;VAR:QUERY=Q1NGX0VCSVRfT1BFUihBTk4sMTIvMzEvMTk4MCwxMi8zMS8yMDA5LEFZKQ==&amp;WINDOW=FIRST_POPUP&amp;HEIGH","T=450&amp;WIDTH=450&amp;START_MAXIMIZED=FALSE&amp;VAR:CALENDAR=US&amp;VAR:SYMBOL=FMC&amp;VAR:INDEX=11"}</definedName>
    <definedName name="_3139__FDSAUDITLINK__" hidden="1">{"fdsup://directions/FAT Viewer?action=UPDATE&amp;creator=factset&amp;DYN_ARGS=TRUE&amp;DOC_NAME=FAT:FQL_AUDITING_CLIENT_TEMPLATE.FAT&amp;display_string=Audit&amp;VAR:KEY=IPIZOLWJOV&amp;VAR:QUERY=Q1NGX0VCSVRfT1BFUihBTk4sMTIvMzEvMTk4MCwxMi8zMS8yMDA5LEFZKQ==&amp;WINDOW=FIRST_POPUP&amp;HEIGH","T=450&amp;WIDTH=450&amp;START_MAXIMIZED=FALSE&amp;VAR:CALENDAR=US&amp;VAR:SYMBOL=FMC&amp;VAR:INDEX=10"}</definedName>
    <definedName name="_314__FDSAUDITLINK__" hidden="1">{"fdsup://directions/FAT Viewer?action=UPDATE&amp;creator=factset&amp;DYN_ARGS=TRUE&amp;DOC_NAME=FAT:FQL_AUDITING_CLIENT_TEMPLATE.FAT&amp;display_string=Audit&amp;VAR:KEY=ANWLIXORWF&amp;VAR:QUERY=Q1NGX0VCSVRfT1BFUihBTk4sMTIvMzEvODAsMCk=&amp;WINDOW=FIRST_POPUP&amp;HEIGHT=450&amp;WIDTH=450&amp;STAR","T_MAXIMIZED=FALSE&amp;VAR:CALENDAR=US&amp;VAR:SYMBOL=WLK&amp;VAR:INDEX=19"}</definedName>
    <definedName name="_3140__FDSAUDITLINK__" hidden="1">{"fdsup://directions/FAT Viewer?action=UPDATE&amp;creator=factset&amp;DYN_ARGS=TRUE&amp;DOC_NAME=FAT:FQL_AUDITING_CLIENT_TEMPLATE.FAT&amp;display_string=Audit&amp;VAR:KEY=IPIZOLWJOV&amp;VAR:QUERY=Q1NGX0VCSVRfT1BFUihBTk4sMTIvMzEvMTk4MCwxMi8zMS8yMDA5LEFZKQ==&amp;WINDOW=FIRST_POPUP&amp;HEIGH","T=450&amp;WIDTH=450&amp;START_MAXIMIZED=FALSE&amp;VAR:CALENDAR=US&amp;VAR:SYMBOL=FMC&amp;VAR:INDEX=9"}</definedName>
    <definedName name="_3141__FDSAUDITLINK__" hidden="1">{"fdsup://directions/FAT Viewer?action=UPDATE&amp;creator=factset&amp;DYN_ARGS=TRUE&amp;DOC_NAME=FAT:FQL_AUDITING_CLIENT_TEMPLATE.FAT&amp;display_string=Audit&amp;VAR:KEY=IPIZOLWJOV&amp;VAR:QUERY=Q1NGX0VCSVRfT1BFUihBTk4sMTIvMzEvMTk4MCwxMi8zMS8yMDA5LEFZKQ==&amp;WINDOW=FIRST_POPUP&amp;HEIGH","T=450&amp;WIDTH=450&amp;START_MAXIMIZED=FALSE&amp;VAR:CALENDAR=US&amp;VAR:SYMBOL=FMC&amp;VAR:INDEX=8"}</definedName>
    <definedName name="_3142__FDSAUDITLINK__" hidden="1">{"fdsup://directions/FAT Viewer?action=UPDATE&amp;creator=factset&amp;DYN_ARGS=TRUE&amp;DOC_NAME=FAT:FQL_AUDITING_CLIENT_TEMPLATE.FAT&amp;display_string=Audit&amp;VAR:KEY=IPIZOLWJOV&amp;VAR:QUERY=Q1NGX0VCSVRfT1BFUihBTk4sMTIvMzEvMTk4MCwxMi8zMS8yMDA5LEFZKQ==&amp;WINDOW=FIRST_POPUP&amp;HEIGH","T=450&amp;WIDTH=450&amp;START_MAXIMIZED=FALSE&amp;VAR:CALENDAR=US&amp;VAR:SYMBOL=FMC&amp;VAR:INDEX=7"}</definedName>
    <definedName name="_3143__FDSAUDITLINK__" hidden="1">{"fdsup://directions/FAT Viewer?action=UPDATE&amp;creator=factset&amp;DYN_ARGS=TRUE&amp;DOC_NAME=FAT:FQL_AUDITING_CLIENT_TEMPLATE.FAT&amp;display_string=Audit&amp;VAR:KEY=IPIZOLWJOV&amp;VAR:QUERY=Q1NGX0VCSVRfT1BFUihBTk4sMTIvMzEvMTk4MCwxMi8zMS8yMDA5LEFZKQ==&amp;WINDOW=FIRST_POPUP&amp;HEIGH","T=450&amp;WIDTH=450&amp;START_MAXIMIZED=FALSE&amp;VAR:CALENDAR=US&amp;VAR:SYMBOL=FMC&amp;VAR:INDEX=6"}</definedName>
    <definedName name="_3144__FDSAUDITLINK__" hidden="1">{"fdsup://directions/FAT Viewer?action=UPDATE&amp;creator=factset&amp;DYN_ARGS=TRUE&amp;DOC_NAME=FAT:FQL_AUDITING_CLIENT_TEMPLATE.FAT&amp;display_string=Audit&amp;VAR:KEY=IPIZOLWJOV&amp;VAR:QUERY=Q1NGX0VCSVRfT1BFUihBTk4sMTIvMzEvMTk4MCwxMi8zMS8yMDA5LEFZKQ==&amp;WINDOW=FIRST_POPUP&amp;HEIGH","T=450&amp;WIDTH=450&amp;START_MAXIMIZED=FALSE&amp;VAR:CALENDAR=US&amp;VAR:SYMBOL=FMC&amp;VAR:INDEX=5"}</definedName>
    <definedName name="_3145__FDSAUDITLINK__" hidden="1">{"fdsup://directions/FAT Viewer?action=UPDATE&amp;creator=factset&amp;DYN_ARGS=TRUE&amp;DOC_NAME=FAT:FQL_AUDITING_CLIENT_TEMPLATE.FAT&amp;display_string=Audit&amp;VAR:KEY=IPIZOLWJOV&amp;VAR:QUERY=Q1NGX0VCSVRfT1BFUihBTk4sMTIvMzEvMTk4MCwxMi8zMS8yMDA5LEFZKQ==&amp;WINDOW=FIRST_POPUP&amp;HEIGH","T=450&amp;WIDTH=450&amp;START_MAXIMIZED=FALSE&amp;VAR:CALENDAR=US&amp;VAR:SYMBOL=FMC&amp;VAR:INDEX=4"}</definedName>
    <definedName name="_3146__FDSAUDITLINK__" hidden="1">{"fdsup://directions/FAT Viewer?action=UPDATE&amp;creator=factset&amp;DYN_ARGS=TRUE&amp;DOC_NAME=FAT:FQL_AUDITING_CLIENT_TEMPLATE.FAT&amp;display_string=Audit&amp;VAR:KEY=IPIZOLWJOV&amp;VAR:QUERY=Q1NGX0VCSVRfT1BFUihBTk4sMTIvMzEvMTk4MCwxMi8zMS8yMDA5LEFZKQ==&amp;WINDOW=FIRST_POPUP&amp;HEIGH","T=450&amp;WIDTH=450&amp;START_MAXIMIZED=FALSE&amp;VAR:CALENDAR=US&amp;VAR:SYMBOL=FMC&amp;VAR:INDEX=3"}</definedName>
    <definedName name="_3147__FDSAUDITLINK__" hidden="1">{"fdsup://directions/FAT Viewer?action=UPDATE&amp;creator=factset&amp;DYN_ARGS=TRUE&amp;DOC_NAME=FAT:FQL_AUDITING_CLIENT_TEMPLATE.FAT&amp;display_string=Audit&amp;VAR:KEY=IPIZOLWJOV&amp;VAR:QUERY=Q1NGX0VCSVRfT1BFUihBTk4sMTIvMzEvMTk4MCwxMi8zMS8yMDA5LEFZKQ==&amp;WINDOW=FIRST_POPUP&amp;HEIGH","T=450&amp;WIDTH=450&amp;START_MAXIMIZED=FALSE&amp;VAR:CALENDAR=US&amp;VAR:SYMBOL=FMC&amp;VAR:INDEX=2"}</definedName>
    <definedName name="_3148__FDSAUDITLINK__" hidden="1">{"fdsup://directions/FAT Viewer?action=UPDATE&amp;creator=factset&amp;DYN_ARGS=TRUE&amp;DOC_NAME=FAT:FQL_AUDITING_CLIENT_TEMPLATE.FAT&amp;display_string=Audit&amp;VAR:KEY=IPIZOLWJOV&amp;VAR:QUERY=Q1NGX0VCSVRfT1BFUihBTk4sMTIvMzEvMTk4MCwxMi8zMS8yMDA5LEFZKQ==&amp;WINDOW=FIRST_POPUP&amp;HEIGH","T=450&amp;WIDTH=450&amp;START_MAXIMIZED=FALSE&amp;VAR:CALENDAR=US&amp;VAR:SYMBOL=FMC&amp;VAR:INDEX=1"}</definedName>
    <definedName name="_3149__FDSAUDITLINK__" hidden="1">{"fdsup://directions/FAT Viewer?action=UPDATE&amp;creator=factset&amp;DYN_ARGS=TRUE&amp;DOC_NAME=FAT:FQL_AUDITING_CLIENT_TEMPLATE.FAT&amp;display_string=Audit&amp;VAR:KEY=IPIZOLWJOV&amp;VAR:QUERY=Q1NGX0VCSVRfT1BFUihBTk4sMTIvMzEvMTk4MCwxMi8zMS8yMDA5LEFZKQ==&amp;WINDOW=FIRST_POPUP&amp;HEIGH","T=450&amp;WIDTH=450&amp;START_MAXIMIZED=FALSE&amp;VAR:CALENDAR=US&amp;VAR:SYMBOL=FMC&amp;VAR:INDEX=0"}</definedName>
    <definedName name="_315__FDSAUDITLINK__" hidden="1">{"fdsup://directions/FAT Viewer?action=UPDATE&amp;creator=factset&amp;DYN_ARGS=TRUE&amp;DOC_NAME=FAT:FQL_AUDITING_CLIENT_TEMPLATE.FAT&amp;display_string=Audit&amp;VAR:KEY=ANWLIXORWF&amp;VAR:QUERY=Q1NGX0VCSVRfT1BFUihBTk4sMTIvMzEvODAsMCk=&amp;WINDOW=FIRST_POPUP&amp;HEIGHT=450&amp;WIDTH=450&amp;STAR","T_MAXIMIZED=FALSE&amp;VAR:CALENDAR=US&amp;VAR:SYMBOL=WLK&amp;VAR:INDEX=18"}</definedName>
    <definedName name="_3150__FDSAUDITLINK__" hidden="1">{"fdsup://directions/FAT Viewer?action=UPDATE&amp;creator=factset&amp;DYN_ARGS=TRUE&amp;DOC_NAME=FAT:FQL_AUDITING_CLIENT_TEMPLATE.FAT&amp;display_string=Audit&amp;VAR:KEY=BENENOBYHW&amp;VAR:QUERY=Q1NGX0VCSVRfT1BFUihMVE1fUiwwKQ==&amp;WINDOW=FIRST_POPUP&amp;HEIGHT=450&amp;WIDTH=450&amp;START_MAXIMI","ZED=FALSE&amp;VAR:CALENDAR=US&amp;VAR:SYMBOL=EMN&amp;VAR:INDEX=0"}</definedName>
    <definedName name="_3151__FDSAUDITLINK__" hidden="1">{"fdsup://directions/FAT Viewer?action=UPDATE&amp;creator=factset&amp;DYN_ARGS=TRUE&amp;DOC_NAME=FAT:FQL_AUDITING_CLIENT_TEMPLATE.FAT&amp;display_string=Audit&amp;VAR:KEY=QBIPUJEPSV&amp;VAR:QUERY=Q1NGX0VCSVRfT1BFUihBTk4sMTIvMzEvMTk4MCwxMi8zMS8yMDA5LEFZKQ==&amp;WINDOW=FIRST_POPUP&amp;HEIGH","T=450&amp;WIDTH=450&amp;START_MAXIMIZED=FALSE&amp;VAR:CALENDAR=US&amp;VAR:SYMBOL=EMN&amp;VAR:INDEX=29"}</definedName>
    <definedName name="_3152__FDSAUDITLINK__" hidden="1">{"fdsup://directions/FAT Viewer?action=UPDATE&amp;creator=factset&amp;DYN_ARGS=TRUE&amp;DOC_NAME=FAT:FQL_AUDITING_CLIENT_TEMPLATE.FAT&amp;display_string=Audit&amp;VAR:KEY=QBIPUJEPSV&amp;VAR:QUERY=Q1NGX0VCSVRfT1BFUihBTk4sMTIvMzEvMTk4MCwxMi8zMS8yMDA5LEFZKQ==&amp;WINDOW=FIRST_POPUP&amp;HEIGH","T=450&amp;WIDTH=450&amp;START_MAXIMIZED=FALSE&amp;VAR:CALENDAR=US&amp;VAR:SYMBOL=EMN&amp;VAR:INDEX=28"}</definedName>
    <definedName name="_3153__FDSAUDITLINK__" hidden="1">{"fdsup://directions/FAT Viewer?action=UPDATE&amp;creator=factset&amp;DYN_ARGS=TRUE&amp;DOC_NAME=FAT:FQL_AUDITING_CLIENT_TEMPLATE.FAT&amp;display_string=Audit&amp;VAR:KEY=QBIPUJEPSV&amp;VAR:QUERY=Q1NGX0VCSVRfT1BFUihBTk4sMTIvMzEvMTk4MCwxMi8zMS8yMDA5LEFZKQ==&amp;WINDOW=FIRST_POPUP&amp;HEIGH","T=450&amp;WIDTH=450&amp;START_MAXIMIZED=FALSE&amp;VAR:CALENDAR=US&amp;VAR:SYMBOL=EMN&amp;VAR:INDEX=27"}</definedName>
    <definedName name="_3154__FDSAUDITLINK__" hidden="1">{"fdsup://directions/FAT Viewer?action=UPDATE&amp;creator=factset&amp;DYN_ARGS=TRUE&amp;DOC_NAME=FAT:FQL_AUDITING_CLIENT_TEMPLATE.FAT&amp;display_string=Audit&amp;VAR:KEY=QBIPUJEPSV&amp;VAR:QUERY=Q1NGX0VCSVRfT1BFUihBTk4sMTIvMzEvMTk4MCwxMi8zMS8yMDA5LEFZKQ==&amp;WINDOW=FIRST_POPUP&amp;HEIGH","T=450&amp;WIDTH=450&amp;START_MAXIMIZED=FALSE&amp;VAR:CALENDAR=US&amp;VAR:SYMBOL=EMN&amp;VAR:INDEX=26"}</definedName>
    <definedName name="_3155__FDSAUDITLINK__" hidden="1">{"fdsup://directions/FAT Viewer?action=UPDATE&amp;creator=factset&amp;DYN_ARGS=TRUE&amp;DOC_NAME=FAT:FQL_AUDITING_CLIENT_TEMPLATE.FAT&amp;display_string=Audit&amp;VAR:KEY=QBIPUJEPSV&amp;VAR:QUERY=Q1NGX0VCSVRfT1BFUihBTk4sMTIvMzEvMTk4MCwxMi8zMS8yMDA5LEFZKQ==&amp;WINDOW=FIRST_POPUP&amp;HEIGH","T=450&amp;WIDTH=450&amp;START_MAXIMIZED=FALSE&amp;VAR:CALENDAR=US&amp;VAR:SYMBOL=EMN&amp;VAR:INDEX=25"}</definedName>
    <definedName name="_3156__FDSAUDITLINK__" hidden="1">{"fdsup://directions/FAT Viewer?action=UPDATE&amp;creator=factset&amp;DYN_ARGS=TRUE&amp;DOC_NAME=FAT:FQL_AUDITING_CLIENT_TEMPLATE.FAT&amp;display_string=Audit&amp;VAR:KEY=QBIPUJEPSV&amp;VAR:QUERY=Q1NGX0VCSVRfT1BFUihBTk4sMTIvMzEvMTk4MCwxMi8zMS8yMDA5LEFZKQ==&amp;WINDOW=FIRST_POPUP&amp;HEIGH","T=450&amp;WIDTH=450&amp;START_MAXIMIZED=FALSE&amp;VAR:CALENDAR=US&amp;VAR:SYMBOL=EMN&amp;VAR:INDEX=24"}</definedName>
    <definedName name="_3157__FDSAUDITLINK__" hidden="1">{"fdsup://directions/FAT Viewer?action=UPDATE&amp;creator=factset&amp;DYN_ARGS=TRUE&amp;DOC_NAME=FAT:FQL_AUDITING_CLIENT_TEMPLATE.FAT&amp;display_string=Audit&amp;VAR:KEY=QBIPUJEPSV&amp;VAR:QUERY=Q1NGX0VCSVRfT1BFUihBTk4sMTIvMzEvMTk4MCwxMi8zMS8yMDA5LEFZKQ==&amp;WINDOW=FIRST_POPUP&amp;HEIGH","T=450&amp;WIDTH=450&amp;START_MAXIMIZED=FALSE&amp;VAR:CALENDAR=US&amp;VAR:SYMBOL=EMN&amp;VAR:INDEX=23"}</definedName>
    <definedName name="_3158__FDSAUDITLINK__" hidden="1">{"fdsup://directions/FAT Viewer?action=UPDATE&amp;creator=factset&amp;DYN_ARGS=TRUE&amp;DOC_NAME=FAT:FQL_AUDITING_CLIENT_TEMPLATE.FAT&amp;display_string=Audit&amp;VAR:KEY=QBIPUJEPSV&amp;VAR:QUERY=Q1NGX0VCSVRfT1BFUihBTk4sMTIvMzEvMTk4MCwxMi8zMS8yMDA5LEFZKQ==&amp;WINDOW=FIRST_POPUP&amp;HEIGH","T=450&amp;WIDTH=450&amp;START_MAXIMIZED=FALSE&amp;VAR:CALENDAR=US&amp;VAR:SYMBOL=EMN&amp;VAR:INDEX=22"}</definedName>
    <definedName name="_3159__FDSAUDITLINK__" hidden="1">{"fdsup://directions/FAT Viewer?action=UPDATE&amp;creator=factset&amp;DYN_ARGS=TRUE&amp;DOC_NAME=FAT:FQL_AUDITING_CLIENT_TEMPLATE.FAT&amp;display_string=Audit&amp;VAR:KEY=QBIPUJEPSV&amp;VAR:QUERY=Q1NGX0VCSVRfT1BFUihBTk4sMTIvMzEvMTk4MCwxMi8zMS8yMDA5LEFZKQ==&amp;WINDOW=FIRST_POPUP&amp;HEIGH","T=450&amp;WIDTH=450&amp;START_MAXIMIZED=FALSE&amp;VAR:CALENDAR=US&amp;VAR:SYMBOL=EMN&amp;VAR:INDEX=21"}</definedName>
    <definedName name="_316__FDSAUDITLINK__" hidden="1">{"fdsup://directions/FAT Viewer?action=UPDATE&amp;creator=factset&amp;DYN_ARGS=TRUE&amp;DOC_NAME=FAT:FQL_AUDITING_CLIENT_TEMPLATE.FAT&amp;display_string=Audit&amp;VAR:KEY=ANWLIXORWF&amp;VAR:QUERY=Q1NGX0VCSVRfT1BFUihBTk4sMTIvMzEvODAsMCk=&amp;WINDOW=FIRST_POPUP&amp;HEIGHT=450&amp;WIDTH=450&amp;STAR","T_MAXIMIZED=FALSE&amp;VAR:CALENDAR=US&amp;VAR:SYMBOL=WLK&amp;VAR:INDEX=17"}</definedName>
    <definedName name="_3160__FDSAUDITLINK__" hidden="1">{"fdsup://directions/FAT Viewer?action=UPDATE&amp;creator=factset&amp;DYN_ARGS=TRUE&amp;DOC_NAME=FAT:FQL_AUDITING_CLIENT_TEMPLATE.FAT&amp;display_string=Audit&amp;VAR:KEY=QBIPUJEPSV&amp;VAR:QUERY=Q1NGX0VCSVRfT1BFUihBTk4sMTIvMzEvMTk4MCwxMi8zMS8yMDA5LEFZKQ==&amp;WINDOW=FIRST_POPUP&amp;HEIGH","T=450&amp;WIDTH=450&amp;START_MAXIMIZED=FALSE&amp;VAR:CALENDAR=US&amp;VAR:SYMBOL=EMN&amp;VAR:INDEX=20"}</definedName>
    <definedName name="_3161__FDSAUDITLINK__" hidden="1">{"fdsup://directions/FAT Viewer?action=UPDATE&amp;creator=factset&amp;DYN_ARGS=TRUE&amp;DOC_NAME=FAT:FQL_AUDITING_CLIENT_TEMPLATE.FAT&amp;display_string=Audit&amp;VAR:KEY=QBIPUJEPSV&amp;VAR:QUERY=Q1NGX0VCSVRfT1BFUihBTk4sMTIvMzEvMTk4MCwxMi8zMS8yMDA5LEFZKQ==&amp;WINDOW=FIRST_POPUP&amp;HEIGH","T=450&amp;WIDTH=450&amp;START_MAXIMIZED=FALSE&amp;VAR:CALENDAR=US&amp;VAR:SYMBOL=EMN&amp;VAR:INDEX=19"}</definedName>
    <definedName name="_3162__FDSAUDITLINK__" hidden="1">{"fdsup://directions/FAT Viewer?action=UPDATE&amp;creator=factset&amp;DYN_ARGS=TRUE&amp;DOC_NAME=FAT:FQL_AUDITING_CLIENT_TEMPLATE.FAT&amp;display_string=Audit&amp;VAR:KEY=QBIPUJEPSV&amp;VAR:QUERY=Q1NGX0VCSVRfT1BFUihBTk4sMTIvMzEvMTk4MCwxMi8zMS8yMDA5LEFZKQ==&amp;WINDOW=FIRST_POPUP&amp;HEIGH","T=450&amp;WIDTH=450&amp;START_MAXIMIZED=FALSE&amp;VAR:CALENDAR=US&amp;VAR:SYMBOL=EMN&amp;VAR:INDEX=18"}</definedName>
    <definedName name="_3163__FDSAUDITLINK__" hidden="1">{"fdsup://directions/FAT Viewer?action=UPDATE&amp;creator=factset&amp;DYN_ARGS=TRUE&amp;DOC_NAME=FAT:FQL_AUDITING_CLIENT_TEMPLATE.FAT&amp;display_string=Audit&amp;VAR:KEY=QBIPUJEPSV&amp;VAR:QUERY=Q1NGX0VCSVRfT1BFUihBTk4sMTIvMzEvMTk4MCwxMi8zMS8yMDA5LEFZKQ==&amp;WINDOW=FIRST_POPUP&amp;HEIGH","T=450&amp;WIDTH=450&amp;START_MAXIMIZED=FALSE&amp;VAR:CALENDAR=US&amp;VAR:SYMBOL=EMN&amp;VAR:INDEX=17"}</definedName>
    <definedName name="_3164__FDSAUDITLINK__" hidden="1">{"fdsup://directions/FAT Viewer?action=UPDATE&amp;creator=factset&amp;DYN_ARGS=TRUE&amp;DOC_NAME=FAT:FQL_AUDITING_CLIENT_TEMPLATE.FAT&amp;display_string=Audit&amp;VAR:KEY=QBIPUJEPSV&amp;VAR:QUERY=Q1NGX0VCSVRfT1BFUihBTk4sMTIvMzEvMTk4MCwxMi8zMS8yMDA5LEFZKQ==&amp;WINDOW=FIRST_POPUP&amp;HEIGH","T=450&amp;WIDTH=450&amp;START_MAXIMIZED=FALSE&amp;VAR:CALENDAR=US&amp;VAR:SYMBOL=EMN&amp;VAR:INDEX=16"}</definedName>
    <definedName name="_3165__FDSAUDITLINK__" hidden="1">{"fdsup://directions/FAT Viewer?action=UPDATE&amp;creator=factset&amp;DYN_ARGS=TRUE&amp;DOC_NAME=FAT:FQL_AUDITING_CLIENT_TEMPLATE.FAT&amp;display_string=Audit&amp;VAR:KEY=QBIPUJEPSV&amp;VAR:QUERY=Q1NGX0VCSVRfT1BFUihBTk4sMTIvMzEvMTk4MCwxMi8zMS8yMDA5LEFZKQ==&amp;WINDOW=FIRST_POPUP&amp;HEIGH","T=450&amp;WIDTH=450&amp;START_MAXIMIZED=FALSE&amp;VAR:CALENDAR=US&amp;VAR:SYMBOL=EMN&amp;VAR:INDEX=15"}</definedName>
    <definedName name="_3166__FDSAUDITLINK__" hidden="1">{"fdsup://directions/FAT Viewer?action=UPDATE&amp;creator=factset&amp;DYN_ARGS=TRUE&amp;DOC_NAME=FAT:FQL_AUDITING_CLIENT_TEMPLATE.FAT&amp;display_string=Audit&amp;VAR:KEY=QBIPUJEPSV&amp;VAR:QUERY=Q1NGX0VCSVRfT1BFUihBTk4sMTIvMzEvMTk4MCwxMi8zMS8yMDA5LEFZKQ==&amp;WINDOW=FIRST_POPUP&amp;HEIGH","T=450&amp;WIDTH=450&amp;START_MAXIMIZED=FALSE&amp;VAR:CALENDAR=US&amp;VAR:SYMBOL=EMN&amp;VAR:INDEX=14"}</definedName>
    <definedName name="_3167__FDSAUDITLINK__" hidden="1">{"fdsup://directions/FAT Viewer?action=UPDATE&amp;creator=factset&amp;DYN_ARGS=TRUE&amp;DOC_NAME=FAT:FQL_AUDITING_CLIENT_TEMPLATE.FAT&amp;display_string=Audit&amp;VAR:KEY=QBIPUJEPSV&amp;VAR:QUERY=Q1NGX0VCSVRfT1BFUihBTk4sMTIvMzEvMTk4MCwxMi8zMS8yMDA5LEFZKQ==&amp;WINDOW=FIRST_POPUP&amp;HEIGH","T=450&amp;WIDTH=450&amp;START_MAXIMIZED=FALSE&amp;VAR:CALENDAR=US&amp;VAR:SYMBOL=EMN&amp;VAR:INDEX=13"}</definedName>
    <definedName name="_3168__FDSAUDITLINK__" hidden="1">{"fdsup://directions/FAT Viewer?action=UPDATE&amp;creator=factset&amp;DYN_ARGS=TRUE&amp;DOC_NAME=FAT:FQL_AUDITING_CLIENT_TEMPLATE.FAT&amp;display_string=Audit&amp;VAR:KEY=QBIPUJEPSV&amp;VAR:QUERY=Q1NGX0VCSVRfT1BFUihBTk4sMTIvMzEvMTk4MCwxMi8zMS8yMDA5LEFZKQ==&amp;WINDOW=FIRST_POPUP&amp;HEIGH","T=450&amp;WIDTH=450&amp;START_MAXIMIZED=FALSE&amp;VAR:CALENDAR=US&amp;VAR:SYMBOL=EMN&amp;VAR:INDEX=12"}</definedName>
    <definedName name="_3169__FDSAUDITLINK__" hidden="1">{"fdsup://directions/FAT Viewer?action=UPDATE&amp;creator=factset&amp;DYN_ARGS=TRUE&amp;DOC_NAME=FAT:FQL_AUDITING_CLIENT_TEMPLATE.FAT&amp;display_string=Audit&amp;VAR:KEY=QBIPUJEPSV&amp;VAR:QUERY=Q1NGX0VCSVRfT1BFUihBTk4sMTIvMzEvMTk4MCwxMi8zMS8yMDA5LEFZKQ==&amp;WINDOW=FIRST_POPUP&amp;HEIGH","T=450&amp;WIDTH=450&amp;START_MAXIMIZED=FALSE&amp;VAR:CALENDAR=US&amp;VAR:SYMBOL=EMN&amp;VAR:INDEX=11"}</definedName>
    <definedName name="_317__FDSAUDITLINK__" hidden="1">{"fdsup://directions/FAT Viewer?action=UPDATE&amp;creator=factset&amp;DYN_ARGS=TRUE&amp;DOC_NAME=FAT:FQL_AUDITING_CLIENT_TEMPLATE.FAT&amp;display_string=Audit&amp;VAR:KEY=ANWLIXORWF&amp;VAR:QUERY=Q1NGX0VCSVRfT1BFUihBTk4sMTIvMzEvODAsMCk=&amp;WINDOW=FIRST_POPUP&amp;HEIGHT=450&amp;WIDTH=450&amp;STAR","T_MAXIMIZED=FALSE&amp;VAR:CALENDAR=US&amp;VAR:SYMBOL=WLK&amp;VAR:INDEX=16"}</definedName>
    <definedName name="_3170__FDSAUDITLINK__" hidden="1">{"fdsup://directions/FAT Viewer?action=UPDATE&amp;creator=factset&amp;DYN_ARGS=TRUE&amp;DOC_NAME=FAT:FQL_AUDITING_CLIENT_TEMPLATE.FAT&amp;display_string=Audit&amp;VAR:KEY=QBIPUJEPSV&amp;VAR:QUERY=Q1NGX0VCSVRfT1BFUihBTk4sMTIvMzEvMTk4MCwxMi8zMS8yMDA5LEFZKQ==&amp;WINDOW=FIRST_POPUP&amp;HEIGH","T=450&amp;WIDTH=450&amp;START_MAXIMIZED=FALSE&amp;VAR:CALENDAR=US&amp;VAR:SYMBOL=EMN&amp;VAR:INDEX=10"}</definedName>
    <definedName name="_3171__FDSAUDITLINK__" hidden="1">{"fdsup://directions/FAT Viewer?action=UPDATE&amp;creator=factset&amp;DYN_ARGS=TRUE&amp;DOC_NAME=FAT:FQL_AUDITING_CLIENT_TEMPLATE.FAT&amp;display_string=Audit&amp;VAR:KEY=QBIPUJEPSV&amp;VAR:QUERY=Q1NGX0VCSVRfT1BFUihBTk4sMTIvMzEvMTk4MCwxMi8zMS8yMDA5LEFZKQ==&amp;WINDOW=FIRST_POPUP&amp;HEIGH","T=450&amp;WIDTH=450&amp;START_MAXIMIZED=FALSE&amp;VAR:CALENDAR=US&amp;VAR:SYMBOL=EMN&amp;VAR:INDEX=9"}</definedName>
    <definedName name="_3172__FDSAUDITLINK__" hidden="1">{"fdsup://directions/FAT Viewer?action=UPDATE&amp;creator=factset&amp;DYN_ARGS=TRUE&amp;DOC_NAME=FAT:FQL_AUDITING_CLIENT_TEMPLATE.FAT&amp;display_string=Audit&amp;VAR:KEY=QBIPUJEPSV&amp;VAR:QUERY=Q1NGX0VCSVRfT1BFUihBTk4sMTIvMzEvMTk4MCwxMi8zMS8yMDA5LEFZKQ==&amp;WINDOW=FIRST_POPUP&amp;HEIGH","T=450&amp;WIDTH=450&amp;START_MAXIMIZED=FALSE&amp;VAR:CALENDAR=US&amp;VAR:SYMBOL=EMN&amp;VAR:INDEX=8"}</definedName>
    <definedName name="_3173__FDSAUDITLINK__" hidden="1">{"fdsup://directions/FAT Viewer?action=UPDATE&amp;creator=factset&amp;DYN_ARGS=TRUE&amp;DOC_NAME=FAT:FQL_AUDITING_CLIENT_TEMPLATE.FAT&amp;display_string=Audit&amp;VAR:KEY=QBIPUJEPSV&amp;VAR:QUERY=Q1NGX0VCSVRfT1BFUihBTk4sMTIvMzEvMTk4MCwxMi8zMS8yMDA5LEFZKQ==&amp;WINDOW=FIRST_POPUP&amp;HEIGH","T=450&amp;WIDTH=450&amp;START_MAXIMIZED=FALSE&amp;VAR:CALENDAR=US&amp;VAR:SYMBOL=EMN&amp;VAR:INDEX=7"}</definedName>
    <definedName name="_3174__FDSAUDITLINK__" hidden="1">{"fdsup://directions/FAT Viewer?action=UPDATE&amp;creator=factset&amp;DYN_ARGS=TRUE&amp;DOC_NAME=FAT:FQL_AUDITING_CLIENT_TEMPLATE.FAT&amp;display_string=Audit&amp;VAR:KEY=QBIPUJEPSV&amp;VAR:QUERY=Q1NGX0VCSVRfT1BFUihBTk4sMTIvMzEvMTk4MCwxMi8zMS8yMDA5LEFZKQ==&amp;WINDOW=FIRST_POPUP&amp;HEIGH","T=450&amp;WIDTH=450&amp;START_MAXIMIZED=FALSE&amp;VAR:CALENDAR=US&amp;VAR:SYMBOL=EMN&amp;VAR:INDEX=6"}</definedName>
    <definedName name="_3175__FDSAUDITLINK__" hidden="1">{"fdsup://directions/FAT Viewer?action=UPDATE&amp;creator=factset&amp;DYN_ARGS=TRUE&amp;DOC_NAME=FAT:FQL_AUDITING_CLIENT_TEMPLATE.FAT&amp;display_string=Audit&amp;VAR:KEY=QBIPUJEPSV&amp;VAR:QUERY=Q1NGX0VCSVRfT1BFUihBTk4sMTIvMzEvMTk4MCwxMi8zMS8yMDA5LEFZKQ==&amp;WINDOW=FIRST_POPUP&amp;HEIGH","T=450&amp;WIDTH=450&amp;START_MAXIMIZED=FALSE&amp;VAR:CALENDAR=US&amp;VAR:SYMBOL=EMN&amp;VAR:INDEX=5"}</definedName>
    <definedName name="_3176__FDSAUDITLINK__" hidden="1">{"fdsup://directions/FAT Viewer?action=UPDATE&amp;creator=factset&amp;DYN_ARGS=TRUE&amp;DOC_NAME=FAT:FQL_AUDITING_CLIENT_TEMPLATE.FAT&amp;display_string=Audit&amp;VAR:KEY=QBIPUJEPSV&amp;VAR:QUERY=Q1NGX0VCSVRfT1BFUihBTk4sMTIvMzEvMTk4MCwxMi8zMS8yMDA5LEFZKQ==&amp;WINDOW=FIRST_POPUP&amp;HEIGH","T=450&amp;WIDTH=450&amp;START_MAXIMIZED=FALSE&amp;VAR:CALENDAR=US&amp;VAR:SYMBOL=EMN&amp;VAR:INDEX=4"}</definedName>
    <definedName name="_3177__FDSAUDITLINK__" hidden="1">{"fdsup://directions/FAT Viewer?action=UPDATE&amp;creator=factset&amp;DYN_ARGS=TRUE&amp;DOC_NAME=FAT:FQL_AUDITING_CLIENT_TEMPLATE.FAT&amp;display_string=Audit&amp;VAR:KEY=QBIPUJEPSV&amp;VAR:QUERY=Q1NGX0VCSVRfT1BFUihBTk4sMTIvMzEvMTk4MCwxMi8zMS8yMDA5LEFZKQ==&amp;WINDOW=FIRST_POPUP&amp;HEIGH","T=450&amp;WIDTH=450&amp;START_MAXIMIZED=FALSE&amp;VAR:CALENDAR=US&amp;VAR:SYMBOL=EMN&amp;VAR:INDEX=3"}</definedName>
    <definedName name="_3178__FDSAUDITLINK__" hidden="1">{"fdsup://directions/FAT Viewer?action=UPDATE&amp;creator=factset&amp;DYN_ARGS=TRUE&amp;DOC_NAME=FAT:FQL_AUDITING_CLIENT_TEMPLATE.FAT&amp;display_string=Audit&amp;VAR:KEY=QBIPUJEPSV&amp;VAR:QUERY=Q1NGX0VCSVRfT1BFUihBTk4sMTIvMzEvMTk4MCwxMi8zMS8yMDA5LEFZKQ==&amp;WINDOW=FIRST_POPUP&amp;HEIGH","T=450&amp;WIDTH=450&amp;START_MAXIMIZED=FALSE&amp;VAR:CALENDAR=US&amp;VAR:SYMBOL=EMN&amp;VAR:INDEX=2"}</definedName>
    <definedName name="_3179__FDSAUDITLINK__" hidden="1">{"fdsup://directions/FAT Viewer?action=UPDATE&amp;creator=factset&amp;DYN_ARGS=TRUE&amp;DOC_NAME=FAT:FQL_AUDITING_CLIENT_TEMPLATE.FAT&amp;display_string=Audit&amp;VAR:KEY=QBIPUJEPSV&amp;VAR:QUERY=Q1NGX0VCSVRfT1BFUihBTk4sMTIvMzEvMTk4MCwxMi8zMS8yMDA5LEFZKQ==&amp;WINDOW=FIRST_POPUP&amp;HEIGH","T=450&amp;WIDTH=450&amp;START_MAXIMIZED=FALSE&amp;VAR:CALENDAR=US&amp;VAR:SYMBOL=EMN&amp;VAR:INDEX=1"}</definedName>
    <definedName name="_318__FDSAUDITLINK__" hidden="1">{"fdsup://directions/FAT Viewer?action=UPDATE&amp;creator=factset&amp;DYN_ARGS=TRUE&amp;DOC_NAME=FAT:FQL_AUDITING_CLIENT_TEMPLATE.FAT&amp;display_string=Audit&amp;VAR:KEY=ANWLIXORWF&amp;VAR:QUERY=Q1NGX0VCSVRfT1BFUihBTk4sMTIvMzEvODAsMCk=&amp;WINDOW=FIRST_POPUP&amp;HEIGHT=450&amp;WIDTH=450&amp;STAR","T_MAXIMIZED=FALSE&amp;VAR:CALENDAR=US&amp;VAR:SYMBOL=WLK&amp;VAR:INDEX=15"}</definedName>
    <definedName name="_3180__FDSAUDITLINK__" hidden="1">{"fdsup://directions/FAT Viewer?action=UPDATE&amp;creator=factset&amp;DYN_ARGS=TRUE&amp;DOC_NAME=FAT:FQL_AUDITING_CLIENT_TEMPLATE.FAT&amp;display_string=Audit&amp;VAR:KEY=QBIPUJEPSV&amp;VAR:QUERY=Q1NGX0VCSVRfT1BFUihBTk4sMTIvMzEvMTk4MCwxMi8zMS8yMDA5LEFZKQ==&amp;WINDOW=FIRST_POPUP&amp;HEIGH","T=450&amp;WIDTH=450&amp;START_MAXIMIZED=FALSE&amp;VAR:CALENDAR=US&amp;VAR:SYMBOL=EMN&amp;VAR:INDEX=0"}</definedName>
    <definedName name="_3181__FDSAUDITLINK__" hidden="1">{"fdsup://directions/FAT Viewer?action=UPDATE&amp;creator=factset&amp;DYN_ARGS=TRUE&amp;DOC_NAME=FAT:FQL_AUDITING_CLIENT_TEMPLATE.FAT&amp;display_string=Audit&amp;VAR:KEY=FYBOHYLSBK&amp;VAR:QUERY=Q1NGX0VCSVRfT1BFUihMVE1fUiwwKQ==&amp;WINDOW=FIRST_POPUP&amp;HEIGHT=450&amp;WIDTH=450&amp;START_MAXIMI","ZED=FALSE&amp;VAR:CALENDAR=US&amp;VAR:SYMBOL=CYT&amp;VAR:INDEX=0"}</definedName>
    <definedName name="_3182__FDSAUDITLINK__" hidden="1">{"fdsup://directions/FAT Viewer?action=UPDATE&amp;creator=factset&amp;DYN_ARGS=TRUE&amp;DOC_NAME=FAT:FQL_AUDITING_CLIENT_TEMPLATE.FAT&amp;display_string=Audit&amp;VAR:KEY=CDGJUBQDQZ&amp;VAR:QUERY=Q1NGX0VCSVRfT1BFUihBTk4sMTIvMzEvMTk4MCwxMi8zMS8yMDA5LEFZKQ==&amp;WINDOW=FIRST_POPUP&amp;HEIGH","T=450&amp;WIDTH=450&amp;START_MAXIMIZED=FALSE&amp;VAR:CALENDAR=US&amp;VAR:SYMBOL=CYT&amp;VAR:INDEX=29"}</definedName>
    <definedName name="_3183__FDSAUDITLINK__" hidden="1">{"fdsup://directions/FAT Viewer?action=UPDATE&amp;creator=factset&amp;DYN_ARGS=TRUE&amp;DOC_NAME=FAT:FQL_AUDITING_CLIENT_TEMPLATE.FAT&amp;display_string=Audit&amp;VAR:KEY=CDGJUBQDQZ&amp;VAR:QUERY=Q1NGX0VCSVRfT1BFUihBTk4sMTIvMzEvMTk4MCwxMi8zMS8yMDA5LEFZKQ==&amp;WINDOW=FIRST_POPUP&amp;HEIGH","T=450&amp;WIDTH=450&amp;START_MAXIMIZED=FALSE&amp;VAR:CALENDAR=US&amp;VAR:SYMBOL=CYT&amp;VAR:INDEX=28"}</definedName>
    <definedName name="_3184__FDSAUDITLINK__" hidden="1">{"fdsup://directions/FAT Viewer?action=UPDATE&amp;creator=factset&amp;DYN_ARGS=TRUE&amp;DOC_NAME=FAT:FQL_AUDITING_CLIENT_TEMPLATE.FAT&amp;display_string=Audit&amp;VAR:KEY=CDGJUBQDQZ&amp;VAR:QUERY=Q1NGX0VCSVRfT1BFUihBTk4sMTIvMzEvMTk4MCwxMi8zMS8yMDA5LEFZKQ==&amp;WINDOW=FIRST_POPUP&amp;HEIGH","T=450&amp;WIDTH=450&amp;START_MAXIMIZED=FALSE&amp;VAR:CALENDAR=US&amp;VAR:SYMBOL=CYT&amp;VAR:INDEX=27"}</definedName>
    <definedName name="_3185__FDSAUDITLINK__" hidden="1">{"fdsup://directions/FAT Viewer?action=UPDATE&amp;creator=factset&amp;DYN_ARGS=TRUE&amp;DOC_NAME=FAT:FQL_AUDITING_CLIENT_TEMPLATE.FAT&amp;display_string=Audit&amp;VAR:KEY=CDGJUBQDQZ&amp;VAR:QUERY=Q1NGX0VCSVRfT1BFUihBTk4sMTIvMzEvMTk4MCwxMi8zMS8yMDA5LEFZKQ==&amp;WINDOW=FIRST_POPUP&amp;HEIGH","T=450&amp;WIDTH=450&amp;START_MAXIMIZED=FALSE&amp;VAR:CALENDAR=US&amp;VAR:SYMBOL=CYT&amp;VAR:INDEX=26"}</definedName>
    <definedName name="_3186__FDSAUDITLINK__" hidden="1">{"fdsup://directions/FAT Viewer?action=UPDATE&amp;creator=factset&amp;DYN_ARGS=TRUE&amp;DOC_NAME=FAT:FQL_AUDITING_CLIENT_TEMPLATE.FAT&amp;display_string=Audit&amp;VAR:KEY=CDGJUBQDQZ&amp;VAR:QUERY=Q1NGX0VCSVRfT1BFUihBTk4sMTIvMzEvMTk4MCwxMi8zMS8yMDA5LEFZKQ==&amp;WINDOW=FIRST_POPUP&amp;HEIGH","T=450&amp;WIDTH=450&amp;START_MAXIMIZED=FALSE&amp;VAR:CALENDAR=US&amp;VAR:SYMBOL=CYT&amp;VAR:INDEX=25"}</definedName>
    <definedName name="_3187__FDSAUDITLINK__" hidden="1">{"fdsup://directions/FAT Viewer?action=UPDATE&amp;creator=factset&amp;DYN_ARGS=TRUE&amp;DOC_NAME=FAT:FQL_AUDITING_CLIENT_TEMPLATE.FAT&amp;display_string=Audit&amp;VAR:KEY=CDGJUBQDQZ&amp;VAR:QUERY=Q1NGX0VCSVRfT1BFUihBTk4sMTIvMzEvMTk4MCwxMi8zMS8yMDA5LEFZKQ==&amp;WINDOW=FIRST_POPUP&amp;HEIGH","T=450&amp;WIDTH=450&amp;START_MAXIMIZED=FALSE&amp;VAR:CALENDAR=US&amp;VAR:SYMBOL=CYT&amp;VAR:INDEX=24"}</definedName>
    <definedName name="_3188__FDSAUDITLINK__" hidden="1">{"fdsup://directions/FAT Viewer?action=UPDATE&amp;creator=factset&amp;DYN_ARGS=TRUE&amp;DOC_NAME=FAT:FQL_AUDITING_CLIENT_TEMPLATE.FAT&amp;display_string=Audit&amp;VAR:KEY=CDGJUBQDQZ&amp;VAR:QUERY=Q1NGX0VCSVRfT1BFUihBTk4sMTIvMzEvMTk4MCwxMi8zMS8yMDA5LEFZKQ==&amp;WINDOW=FIRST_POPUP&amp;HEIGH","T=450&amp;WIDTH=450&amp;START_MAXIMIZED=FALSE&amp;VAR:CALENDAR=US&amp;VAR:SYMBOL=CYT&amp;VAR:INDEX=23"}</definedName>
    <definedName name="_3189__FDSAUDITLINK__" hidden="1">{"fdsup://directions/FAT Viewer?action=UPDATE&amp;creator=factset&amp;DYN_ARGS=TRUE&amp;DOC_NAME=FAT:FQL_AUDITING_CLIENT_TEMPLATE.FAT&amp;display_string=Audit&amp;VAR:KEY=CDGJUBQDQZ&amp;VAR:QUERY=Q1NGX0VCSVRfT1BFUihBTk4sMTIvMzEvMTk4MCwxMi8zMS8yMDA5LEFZKQ==&amp;WINDOW=FIRST_POPUP&amp;HEIGH","T=450&amp;WIDTH=450&amp;START_MAXIMIZED=FALSE&amp;VAR:CALENDAR=US&amp;VAR:SYMBOL=CYT&amp;VAR:INDEX=22"}</definedName>
    <definedName name="_319__FDSAUDITLINK__" hidden="1">{"fdsup://directions/FAT Viewer?action=UPDATE&amp;creator=factset&amp;DYN_ARGS=TRUE&amp;DOC_NAME=FAT:FQL_AUDITING_CLIENT_TEMPLATE.FAT&amp;display_string=Audit&amp;VAR:KEY=ANWLIXORWF&amp;VAR:QUERY=Q1NGX0VCSVRfT1BFUihBTk4sMTIvMzEvODAsMCk=&amp;WINDOW=FIRST_POPUP&amp;HEIGHT=450&amp;WIDTH=450&amp;STAR","T_MAXIMIZED=FALSE&amp;VAR:CALENDAR=US&amp;VAR:SYMBOL=WLK&amp;VAR:INDEX=14"}</definedName>
    <definedName name="_3190__FDSAUDITLINK__" hidden="1">{"fdsup://directions/FAT Viewer?action=UPDATE&amp;creator=factset&amp;DYN_ARGS=TRUE&amp;DOC_NAME=FAT:FQL_AUDITING_CLIENT_TEMPLATE.FAT&amp;display_string=Audit&amp;VAR:KEY=CDGJUBQDQZ&amp;VAR:QUERY=Q1NGX0VCSVRfT1BFUihBTk4sMTIvMzEvMTk4MCwxMi8zMS8yMDA5LEFZKQ==&amp;WINDOW=FIRST_POPUP&amp;HEIGH","T=450&amp;WIDTH=450&amp;START_MAXIMIZED=FALSE&amp;VAR:CALENDAR=US&amp;VAR:SYMBOL=CYT&amp;VAR:INDEX=21"}</definedName>
    <definedName name="_3191__FDSAUDITLINK__" hidden="1">{"fdsup://directions/FAT Viewer?action=UPDATE&amp;creator=factset&amp;DYN_ARGS=TRUE&amp;DOC_NAME=FAT:FQL_AUDITING_CLIENT_TEMPLATE.FAT&amp;display_string=Audit&amp;VAR:KEY=CDGJUBQDQZ&amp;VAR:QUERY=Q1NGX0VCSVRfT1BFUihBTk4sMTIvMzEvMTk4MCwxMi8zMS8yMDA5LEFZKQ==&amp;WINDOW=FIRST_POPUP&amp;HEIGH","T=450&amp;WIDTH=450&amp;START_MAXIMIZED=FALSE&amp;VAR:CALENDAR=US&amp;VAR:SYMBOL=CYT&amp;VAR:INDEX=20"}</definedName>
    <definedName name="_3192__FDSAUDITLINK__" hidden="1">{"fdsup://directions/FAT Viewer?action=UPDATE&amp;creator=factset&amp;DYN_ARGS=TRUE&amp;DOC_NAME=FAT:FQL_AUDITING_CLIENT_TEMPLATE.FAT&amp;display_string=Audit&amp;VAR:KEY=CDGJUBQDQZ&amp;VAR:QUERY=Q1NGX0VCSVRfT1BFUihBTk4sMTIvMzEvMTk4MCwxMi8zMS8yMDA5LEFZKQ==&amp;WINDOW=FIRST_POPUP&amp;HEIGH","T=450&amp;WIDTH=450&amp;START_MAXIMIZED=FALSE&amp;VAR:CALENDAR=US&amp;VAR:SYMBOL=CYT&amp;VAR:INDEX=19"}</definedName>
    <definedName name="_3193__FDSAUDITLINK__" hidden="1">{"fdsup://directions/FAT Viewer?action=UPDATE&amp;creator=factset&amp;DYN_ARGS=TRUE&amp;DOC_NAME=FAT:FQL_AUDITING_CLIENT_TEMPLATE.FAT&amp;display_string=Audit&amp;VAR:KEY=CDGJUBQDQZ&amp;VAR:QUERY=Q1NGX0VCSVRfT1BFUihBTk4sMTIvMzEvMTk4MCwxMi8zMS8yMDA5LEFZKQ==&amp;WINDOW=FIRST_POPUP&amp;HEIGH","T=450&amp;WIDTH=450&amp;START_MAXIMIZED=FALSE&amp;VAR:CALENDAR=US&amp;VAR:SYMBOL=CYT&amp;VAR:INDEX=18"}</definedName>
    <definedName name="_3194__FDSAUDITLINK__" hidden="1">{"fdsup://directions/FAT Viewer?action=UPDATE&amp;creator=factset&amp;DYN_ARGS=TRUE&amp;DOC_NAME=FAT:FQL_AUDITING_CLIENT_TEMPLATE.FAT&amp;display_string=Audit&amp;VAR:KEY=CDGJUBQDQZ&amp;VAR:QUERY=Q1NGX0VCSVRfT1BFUihBTk4sMTIvMzEvMTk4MCwxMi8zMS8yMDA5LEFZKQ==&amp;WINDOW=FIRST_POPUP&amp;HEIGH","T=450&amp;WIDTH=450&amp;START_MAXIMIZED=FALSE&amp;VAR:CALENDAR=US&amp;VAR:SYMBOL=CYT&amp;VAR:INDEX=17"}</definedName>
    <definedName name="_3195__FDSAUDITLINK__" hidden="1">{"fdsup://directions/FAT Viewer?action=UPDATE&amp;creator=factset&amp;DYN_ARGS=TRUE&amp;DOC_NAME=FAT:FQL_AUDITING_CLIENT_TEMPLATE.FAT&amp;display_string=Audit&amp;VAR:KEY=CDGJUBQDQZ&amp;VAR:QUERY=Q1NGX0VCSVRfT1BFUihBTk4sMTIvMzEvMTk4MCwxMi8zMS8yMDA5LEFZKQ==&amp;WINDOW=FIRST_POPUP&amp;HEIGH","T=450&amp;WIDTH=450&amp;START_MAXIMIZED=FALSE&amp;VAR:CALENDAR=US&amp;VAR:SYMBOL=CYT&amp;VAR:INDEX=16"}</definedName>
    <definedName name="_3196__FDSAUDITLINK__" hidden="1">{"fdsup://directions/FAT Viewer?action=UPDATE&amp;creator=factset&amp;DYN_ARGS=TRUE&amp;DOC_NAME=FAT:FQL_AUDITING_CLIENT_TEMPLATE.FAT&amp;display_string=Audit&amp;VAR:KEY=CDGJUBQDQZ&amp;VAR:QUERY=Q1NGX0VCSVRfT1BFUihBTk4sMTIvMzEvMTk4MCwxMi8zMS8yMDA5LEFZKQ==&amp;WINDOW=FIRST_POPUP&amp;HEIGH","T=450&amp;WIDTH=450&amp;START_MAXIMIZED=FALSE&amp;VAR:CALENDAR=US&amp;VAR:SYMBOL=CYT&amp;VAR:INDEX=15"}</definedName>
    <definedName name="_3197__FDSAUDITLINK__" hidden="1">{"fdsup://directions/FAT Viewer?action=UPDATE&amp;creator=factset&amp;DYN_ARGS=TRUE&amp;DOC_NAME=FAT:FQL_AUDITING_CLIENT_TEMPLATE.FAT&amp;display_string=Audit&amp;VAR:KEY=CDGJUBQDQZ&amp;VAR:QUERY=Q1NGX0VCSVRfT1BFUihBTk4sMTIvMzEvMTk4MCwxMi8zMS8yMDA5LEFZKQ==&amp;WINDOW=FIRST_POPUP&amp;HEIGH","T=450&amp;WIDTH=450&amp;START_MAXIMIZED=FALSE&amp;VAR:CALENDAR=US&amp;VAR:SYMBOL=CYT&amp;VAR:INDEX=14"}</definedName>
    <definedName name="_3198__FDSAUDITLINK__" hidden="1">{"fdsup://directions/FAT Viewer?action=UPDATE&amp;creator=factset&amp;DYN_ARGS=TRUE&amp;DOC_NAME=FAT:FQL_AUDITING_CLIENT_TEMPLATE.FAT&amp;display_string=Audit&amp;VAR:KEY=CDGJUBQDQZ&amp;VAR:QUERY=Q1NGX0VCSVRfT1BFUihBTk4sMTIvMzEvMTk4MCwxMi8zMS8yMDA5LEFZKQ==&amp;WINDOW=FIRST_POPUP&amp;HEIGH","T=450&amp;WIDTH=450&amp;START_MAXIMIZED=FALSE&amp;VAR:CALENDAR=US&amp;VAR:SYMBOL=CYT&amp;VAR:INDEX=13"}</definedName>
    <definedName name="_3199__FDSAUDITLINK__" hidden="1">{"fdsup://directions/FAT Viewer?action=UPDATE&amp;creator=factset&amp;DYN_ARGS=TRUE&amp;DOC_NAME=FAT:FQL_AUDITING_CLIENT_TEMPLATE.FAT&amp;display_string=Audit&amp;VAR:KEY=CDGJUBQDQZ&amp;VAR:QUERY=Q1NGX0VCSVRfT1BFUihBTk4sMTIvMzEvMTk4MCwxMi8zMS8yMDA5LEFZKQ==&amp;WINDOW=FIRST_POPUP&amp;HEIGH","T=450&amp;WIDTH=450&amp;START_MAXIMIZED=FALSE&amp;VAR:CALENDAR=US&amp;VAR:SYMBOL=CYT&amp;VAR:INDEX=12"}</definedName>
    <definedName name="_32__FDSAUDITLINK__" hidden="1">{"fdsup://directions/FAT Viewer?action=UPDATE&amp;creator=factset&amp;DYN_ARGS=TRUE&amp;DOC_NAME=FAT:FQL_AUDITING_CLIENT_TEMPLATE.FAT&amp;display_string=Audit&amp;VAR:KEY=IZWXGVYDGV&amp;VAR:QUERY=Q1NGX0RFQlQoUVRSX1IsMCk=&amp;WINDOW=FIRST_POPUP&amp;HEIGHT=450&amp;WIDTH=450&amp;START_MAXIMIZED=FALS","E&amp;VAR:CALENDAR=US&amp;VAR:SYMBOL=CYT&amp;VAR:INDEX=0"}</definedName>
    <definedName name="_320__FDSAUDITLINK__" hidden="1">{"fdsup://directions/FAT Viewer?action=UPDATE&amp;creator=factset&amp;DYN_ARGS=TRUE&amp;DOC_NAME=FAT:FQL_AUDITING_CLIENT_TEMPLATE.FAT&amp;display_string=Audit&amp;VAR:KEY=ANWLIXORWF&amp;VAR:QUERY=Q1NGX0VCSVRfT1BFUihBTk4sMTIvMzEvODAsMCk=&amp;WINDOW=FIRST_POPUP&amp;HEIGHT=450&amp;WIDTH=450&amp;STAR","T_MAXIMIZED=FALSE&amp;VAR:CALENDAR=US&amp;VAR:SYMBOL=WLK&amp;VAR:INDEX=13"}</definedName>
    <definedName name="_3200__FDSAUDITLINK__" hidden="1">{"fdsup://directions/FAT Viewer?action=UPDATE&amp;creator=factset&amp;DYN_ARGS=TRUE&amp;DOC_NAME=FAT:FQL_AUDITING_CLIENT_TEMPLATE.FAT&amp;display_string=Audit&amp;VAR:KEY=CDGJUBQDQZ&amp;VAR:QUERY=Q1NGX0VCSVRfT1BFUihBTk4sMTIvMzEvMTk4MCwxMi8zMS8yMDA5LEFZKQ==&amp;WINDOW=FIRST_POPUP&amp;HEIGH","T=450&amp;WIDTH=450&amp;START_MAXIMIZED=FALSE&amp;VAR:CALENDAR=US&amp;VAR:SYMBOL=CYT&amp;VAR:INDEX=11"}</definedName>
    <definedName name="_3201__FDSAUDITLINK__" hidden="1">{"fdsup://directions/FAT Viewer?action=UPDATE&amp;creator=factset&amp;DYN_ARGS=TRUE&amp;DOC_NAME=FAT:FQL_AUDITING_CLIENT_TEMPLATE.FAT&amp;display_string=Audit&amp;VAR:KEY=CDGJUBQDQZ&amp;VAR:QUERY=Q1NGX0VCSVRfT1BFUihBTk4sMTIvMzEvMTk4MCwxMi8zMS8yMDA5LEFZKQ==&amp;WINDOW=FIRST_POPUP&amp;HEIGH","T=450&amp;WIDTH=450&amp;START_MAXIMIZED=FALSE&amp;VAR:CALENDAR=US&amp;VAR:SYMBOL=CYT&amp;VAR:INDEX=10"}</definedName>
    <definedName name="_3202__FDSAUDITLINK__" hidden="1">{"fdsup://directions/FAT Viewer?action=UPDATE&amp;creator=factset&amp;DYN_ARGS=TRUE&amp;DOC_NAME=FAT:FQL_AUDITING_CLIENT_TEMPLATE.FAT&amp;display_string=Audit&amp;VAR:KEY=CDGJUBQDQZ&amp;VAR:QUERY=Q1NGX0VCSVRfT1BFUihBTk4sMTIvMzEvMTk4MCwxMi8zMS8yMDA5LEFZKQ==&amp;WINDOW=FIRST_POPUP&amp;HEIGH","T=450&amp;WIDTH=450&amp;START_MAXIMIZED=FALSE&amp;VAR:CALENDAR=US&amp;VAR:SYMBOL=CYT&amp;VAR:INDEX=9"}</definedName>
    <definedName name="_3203__FDSAUDITLINK__" hidden="1">{"fdsup://directions/FAT Viewer?action=UPDATE&amp;creator=factset&amp;DYN_ARGS=TRUE&amp;DOC_NAME=FAT:FQL_AUDITING_CLIENT_TEMPLATE.FAT&amp;display_string=Audit&amp;VAR:KEY=CDGJUBQDQZ&amp;VAR:QUERY=Q1NGX0VCSVRfT1BFUihBTk4sMTIvMzEvMTk4MCwxMi8zMS8yMDA5LEFZKQ==&amp;WINDOW=FIRST_POPUP&amp;HEIGH","T=450&amp;WIDTH=450&amp;START_MAXIMIZED=FALSE&amp;VAR:CALENDAR=US&amp;VAR:SYMBOL=CYT&amp;VAR:INDEX=8"}</definedName>
    <definedName name="_3204__FDSAUDITLINK__" hidden="1">{"fdsup://directions/FAT Viewer?action=UPDATE&amp;creator=factset&amp;DYN_ARGS=TRUE&amp;DOC_NAME=FAT:FQL_AUDITING_CLIENT_TEMPLATE.FAT&amp;display_string=Audit&amp;VAR:KEY=CDGJUBQDQZ&amp;VAR:QUERY=Q1NGX0VCSVRfT1BFUihBTk4sMTIvMzEvMTk4MCwxMi8zMS8yMDA5LEFZKQ==&amp;WINDOW=FIRST_POPUP&amp;HEIGH","T=450&amp;WIDTH=450&amp;START_MAXIMIZED=FALSE&amp;VAR:CALENDAR=US&amp;VAR:SYMBOL=CYT&amp;VAR:INDEX=7"}</definedName>
    <definedName name="_3205__FDSAUDITLINK__" hidden="1">{"fdsup://directions/FAT Viewer?action=UPDATE&amp;creator=factset&amp;DYN_ARGS=TRUE&amp;DOC_NAME=FAT:FQL_AUDITING_CLIENT_TEMPLATE.FAT&amp;display_string=Audit&amp;VAR:KEY=CDGJUBQDQZ&amp;VAR:QUERY=Q1NGX0VCSVRfT1BFUihBTk4sMTIvMzEvMTk4MCwxMi8zMS8yMDA5LEFZKQ==&amp;WINDOW=FIRST_POPUP&amp;HEIGH","T=450&amp;WIDTH=450&amp;START_MAXIMIZED=FALSE&amp;VAR:CALENDAR=US&amp;VAR:SYMBOL=CYT&amp;VAR:INDEX=6"}</definedName>
    <definedName name="_3206__FDSAUDITLINK__" hidden="1">{"fdsup://directions/FAT Viewer?action=UPDATE&amp;creator=factset&amp;DYN_ARGS=TRUE&amp;DOC_NAME=FAT:FQL_AUDITING_CLIENT_TEMPLATE.FAT&amp;display_string=Audit&amp;VAR:KEY=CDGJUBQDQZ&amp;VAR:QUERY=Q1NGX0VCSVRfT1BFUihBTk4sMTIvMzEvMTk4MCwxMi8zMS8yMDA5LEFZKQ==&amp;WINDOW=FIRST_POPUP&amp;HEIGH","T=450&amp;WIDTH=450&amp;START_MAXIMIZED=FALSE&amp;VAR:CALENDAR=US&amp;VAR:SYMBOL=CYT&amp;VAR:INDEX=5"}</definedName>
    <definedName name="_3207__FDSAUDITLINK__" hidden="1">{"fdsup://directions/FAT Viewer?action=UPDATE&amp;creator=factset&amp;DYN_ARGS=TRUE&amp;DOC_NAME=FAT:FQL_AUDITING_CLIENT_TEMPLATE.FAT&amp;display_string=Audit&amp;VAR:KEY=CDGJUBQDQZ&amp;VAR:QUERY=Q1NGX0VCSVRfT1BFUihBTk4sMTIvMzEvMTk4MCwxMi8zMS8yMDA5LEFZKQ==&amp;WINDOW=FIRST_POPUP&amp;HEIGH","T=450&amp;WIDTH=450&amp;START_MAXIMIZED=FALSE&amp;VAR:CALENDAR=US&amp;VAR:SYMBOL=CYT&amp;VAR:INDEX=4"}</definedName>
    <definedName name="_3208__FDSAUDITLINK__" hidden="1">{"fdsup://directions/FAT Viewer?action=UPDATE&amp;creator=factset&amp;DYN_ARGS=TRUE&amp;DOC_NAME=FAT:FQL_AUDITING_CLIENT_TEMPLATE.FAT&amp;display_string=Audit&amp;VAR:KEY=CDGJUBQDQZ&amp;VAR:QUERY=Q1NGX0VCSVRfT1BFUihBTk4sMTIvMzEvMTk4MCwxMi8zMS8yMDA5LEFZKQ==&amp;WINDOW=FIRST_POPUP&amp;HEIGH","T=450&amp;WIDTH=450&amp;START_MAXIMIZED=FALSE&amp;VAR:CALENDAR=US&amp;VAR:SYMBOL=CYT&amp;VAR:INDEX=3"}</definedName>
    <definedName name="_3209__FDSAUDITLINK__" hidden="1">{"fdsup://directions/FAT Viewer?action=UPDATE&amp;creator=factset&amp;DYN_ARGS=TRUE&amp;DOC_NAME=FAT:FQL_AUDITING_CLIENT_TEMPLATE.FAT&amp;display_string=Audit&amp;VAR:KEY=CDGJUBQDQZ&amp;VAR:QUERY=Q1NGX0VCSVRfT1BFUihBTk4sMTIvMzEvMTk4MCwxMi8zMS8yMDA5LEFZKQ==&amp;WINDOW=FIRST_POPUP&amp;HEIGH","T=450&amp;WIDTH=450&amp;START_MAXIMIZED=FALSE&amp;VAR:CALENDAR=US&amp;VAR:SYMBOL=CYT&amp;VAR:INDEX=2"}</definedName>
    <definedName name="_321__FDSAUDITLINK__" hidden="1">{"fdsup://directions/FAT Viewer?action=UPDATE&amp;creator=factset&amp;DYN_ARGS=TRUE&amp;DOC_NAME=FAT:FQL_AUDITING_CLIENT_TEMPLATE.FAT&amp;display_string=Audit&amp;VAR:KEY=ANWLIXORWF&amp;VAR:QUERY=Q1NGX0VCSVRfT1BFUihBTk4sMTIvMzEvODAsMCk=&amp;WINDOW=FIRST_POPUP&amp;HEIGHT=450&amp;WIDTH=450&amp;STAR","T_MAXIMIZED=FALSE&amp;VAR:CALENDAR=US&amp;VAR:SYMBOL=WLK&amp;VAR:INDEX=12"}</definedName>
    <definedName name="_3210__FDSAUDITLINK__" hidden="1">{"fdsup://directions/FAT Viewer?action=UPDATE&amp;creator=factset&amp;DYN_ARGS=TRUE&amp;DOC_NAME=FAT:FQL_AUDITING_CLIENT_TEMPLATE.FAT&amp;display_string=Audit&amp;VAR:KEY=CDGJUBQDQZ&amp;VAR:QUERY=Q1NGX0VCSVRfT1BFUihBTk4sMTIvMzEvMTk4MCwxMi8zMS8yMDA5LEFZKQ==&amp;WINDOW=FIRST_POPUP&amp;HEIGH","T=450&amp;WIDTH=450&amp;START_MAXIMIZED=FALSE&amp;VAR:CALENDAR=US&amp;VAR:SYMBOL=CYT&amp;VAR:INDEX=1"}</definedName>
    <definedName name="_3211__FDSAUDITLINK__" hidden="1">{"fdsup://directions/FAT Viewer?action=UPDATE&amp;creator=factset&amp;DYN_ARGS=TRUE&amp;DOC_NAME=FAT:FQL_AUDITING_CLIENT_TEMPLATE.FAT&amp;display_string=Audit&amp;VAR:KEY=CDGJUBQDQZ&amp;VAR:QUERY=Q1NGX0VCSVRfT1BFUihBTk4sMTIvMzEvMTk4MCwxMi8zMS8yMDA5LEFZKQ==&amp;WINDOW=FIRST_POPUP&amp;HEIGH","T=450&amp;WIDTH=450&amp;START_MAXIMIZED=FALSE&amp;VAR:CALENDAR=US&amp;VAR:SYMBOL=CYT&amp;VAR:INDEX=0"}</definedName>
    <definedName name="_3212__FDSAUDITLINK__" hidden="1">{"fdsup://directions/FAT Viewer?action=UPDATE&amp;creator=factset&amp;DYN_ARGS=TRUE&amp;DOC_NAME=FAT:FQL_AUDITING_CLIENT_TEMPLATE.FAT&amp;display_string=Audit&amp;VAR:KEY=ZYVSRAVKXI&amp;VAR:QUERY=Q1NGX0VCSVRfT1BFUihMVE1fUiwwKQ==&amp;WINDOW=FIRST_POPUP&amp;HEIGHT=450&amp;WIDTH=450&amp;START_MAXIMI","ZED=FALSE&amp;VAR:CALENDAR=US&amp;VAR:SYMBOL=CCC&amp;VAR:INDEX=0"}</definedName>
    <definedName name="_3213__FDSAUDITLINK__" hidden="1">{"fdsup://directions/FAT Viewer?action=UPDATE&amp;creator=factset&amp;DYN_ARGS=TRUE&amp;DOC_NAME=FAT:FQL_AUDITING_CLIENT_TEMPLATE.FAT&amp;display_string=Audit&amp;VAR:KEY=AJEVMZIDWV&amp;VAR:QUERY=Q1NGX0VCSVRfT1BFUihBTk4sMTIvMzEvMTk4MCwxMi8zMS8yMDA5LEFZKQ==&amp;WINDOW=FIRST_POPUP&amp;HEIGH","T=450&amp;WIDTH=450&amp;START_MAXIMIZED=FALSE&amp;VAR:CALENDAR=US&amp;VAR:SYMBOL=CCC&amp;VAR:INDEX=29"}</definedName>
    <definedName name="_3214__FDSAUDITLINK__" hidden="1">{"fdsup://directions/FAT Viewer?action=UPDATE&amp;creator=factset&amp;DYN_ARGS=TRUE&amp;DOC_NAME=FAT:FQL_AUDITING_CLIENT_TEMPLATE.FAT&amp;display_string=Audit&amp;VAR:KEY=AJEVMZIDWV&amp;VAR:QUERY=Q1NGX0VCSVRfT1BFUihBTk4sMTIvMzEvMTk4MCwxMi8zMS8yMDA5LEFZKQ==&amp;WINDOW=FIRST_POPUP&amp;HEIGH","T=450&amp;WIDTH=450&amp;START_MAXIMIZED=FALSE&amp;VAR:CALENDAR=US&amp;VAR:SYMBOL=CCC&amp;VAR:INDEX=28"}</definedName>
    <definedName name="_3215__FDSAUDITLINK__" hidden="1">{"fdsup://directions/FAT Viewer?action=UPDATE&amp;creator=factset&amp;DYN_ARGS=TRUE&amp;DOC_NAME=FAT:FQL_AUDITING_CLIENT_TEMPLATE.FAT&amp;display_string=Audit&amp;VAR:KEY=AJEVMZIDWV&amp;VAR:QUERY=Q1NGX0VCSVRfT1BFUihBTk4sMTIvMzEvMTk4MCwxMi8zMS8yMDA5LEFZKQ==&amp;WINDOW=FIRST_POPUP&amp;HEIGH","T=450&amp;WIDTH=450&amp;START_MAXIMIZED=FALSE&amp;VAR:CALENDAR=US&amp;VAR:SYMBOL=CCC&amp;VAR:INDEX=27"}</definedName>
    <definedName name="_3216__FDSAUDITLINK__" hidden="1">{"fdsup://directions/FAT Viewer?action=UPDATE&amp;creator=factset&amp;DYN_ARGS=TRUE&amp;DOC_NAME=FAT:FQL_AUDITING_CLIENT_TEMPLATE.FAT&amp;display_string=Audit&amp;VAR:KEY=AJEVMZIDWV&amp;VAR:QUERY=Q1NGX0VCSVRfT1BFUihBTk4sMTIvMzEvMTk4MCwxMi8zMS8yMDA5LEFZKQ==&amp;WINDOW=FIRST_POPUP&amp;HEIGH","T=450&amp;WIDTH=450&amp;START_MAXIMIZED=FALSE&amp;VAR:CALENDAR=US&amp;VAR:SYMBOL=CCC&amp;VAR:INDEX=26"}</definedName>
    <definedName name="_3217__FDSAUDITLINK__" hidden="1">{"fdsup://directions/FAT Viewer?action=UPDATE&amp;creator=factset&amp;DYN_ARGS=TRUE&amp;DOC_NAME=FAT:FQL_AUDITING_CLIENT_TEMPLATE.FAT&amp;display_string=Audit&amp;VAR:KEY=AJEVMZIDWV&amp;VAR:QUERY=Q1NGX0VCSVRfT1BFUihBTk4sMTIvMzEvMTk4MCwxMi8zMS8yMDA5LEFZKQ==&amp;WINDOW=FIRST_POPUP&amp;HEIGH","T=450&amp;WIDTH=450&amp;START_MAXIMIZED=FALSE&amp;VAR:CALENDAR=US&amp;VAR:SYMBOL=CCC&amp;VAR:INDEX=25"}</definedName>
    <definedName name="_3218__FDSAUDITLINK__" hidden="1">{"fdsup://directions/FAT Viewer?action=UPDATE&amp;creator=factset&amp;DYN_ARGS=TRUE&amp;DOC_NAME=FAT:FQL_AUDITING_CLIENT_TEMPLATE.FAT&amp;display_string=Audit&amp;VAR:KEY=AJEVMZIDWV&amp;VAR:QUERY=Q1NGX0VCSVRfT1BFUihBTk4sMTIvMzEvMTk4MCwxMi8zMS8yMDA5LEFZKQ==&amp;WINDOW=FIRST_POPUP&amp;HEIGH","T=450&amp;WIDTH=450&amp;START_MAXIMIZED=FALSE&amp;VAR:CALENDAR=US&amp;VAR:SYMBOL=CCC&amp;VAR:INDEX=24"}</definedName>
    <definedName name="_3219__FDSAUDITLINK__" hidden="1">{"fdsup://directions/FAT Viewer?action=UPDATE&amp;creator=factset&amp;DYN_ARGS=TRUE&amp;DOC_NAME=FAT:FQL_AUDITING_CLIENT_TEMPLATE.FAT&amp;display_string=Audit&amp;VAR:KEY=AJEVMZIDWV&amp;VAR:QUERY=Q1NGX0VCSVRfT1BFUihBTk4sMTIvMzEvMTk4MCwxMi8zMS8yMDA5LEFZKQ==&amp;WINDOW=FIRST_POPUP&amp;HEIGH","T=450&amp;WIDTH=450&amp;START_MAXIMIZED=FALSE&amp;VAR:CALENDAR=US&amp;VAR:SYMBOL=CCC&amp;VAR:INDEX=23"}</definedName>
    <definedName name="_322__FDSAUDITLINK__" hidden="1">{"fdsup://directions/FAT Viewer?action=UPDATE&amp;creator=factset&amp;DYN_ARGS=TRUE&amp;DOC_NAME=FAT:FQL_AUDITING_CLIENT_TEMPLATE.FAT&amp;display_string=Audit&amp;VAR:KEY=ANWLIXORWF&amp;VAR:QUERY=Q1NGX0VCSVRfT1BFUihBTk4sMTIvMzEvODAsMCk=&amp;WINDOW=FIRST_POPUP&amp;HEIGHT=450&amp;WIDTH=450&amp;STAR","T_MAXIMIZED=FALSE&amp;VAR:CALENDAR=US&amp;VAR:SYMBOL=WLK&amp;VAR:INDEX=11"}</definedName>
    <definedName name="_3220__FDSAUDITLINK__" hidden="1">{"fdsup://directions/FAT Viewer?action=UPDATE&amp;creator=factset&amp;DYN_ARGS=TRUE&amp;DOC_NAME=FAT:FQL_AUDITING_CLIENT_TEMPLATE.FAT&amp;display_string=Audit&amp;VAR:KEY=AJEVMZIDWV&amp;VAR:QUERY=Q1NGX0VCSVRfT1BFUihBTk4sMTIvMzEvMTk4MCwxMi8zMS8yMDA5LEFZKQ==&amp;WINDOW=FIRST_POPUP&amp;HEIGH","T=450&amp;WIDTH=450&amp;START_MAXIMIZED=FALSE&amp;VAR:CALENDAR=US&amp;VAR:SYMBOL=CCC&amp;VAR:INDEX=22"}</definedName>
    <definedName name="_3221__FDSAUDITLINK__" hidden="1">{"fdsup://directions/FAT Viewer?action=UPDATE&amp;creator=factset&amp;DYN_ARGS=TRUE&amp;DOC_NAME=FAT:FQL_AUDITING_CLIENT_TEMPLATE.FAT&amp;display_string=Audit&amp;VAR:KEY=AJEVMZIDWV&amp;VAR:QUERY=Q1NGX0VCSVRfT1BFUihBTk4sMTIvMzEvMTk4MCwxMi8zMS8yMDA5LEFZKQ==&amp;WINDOW=FIRST_POPUP&amp;HEIGH","T=450&amp;WIDTH=450&amp;START_MAXIMIZED=FALSE&amp;VAR:CALENDAR=US&amp;VAR:SYMBOL=CCC&amp;VAR:INDEX=21"}</definedName>
    <definedName name="_3222__FDSAUDITLINK__" hidden="1">{"fdsup://directions/FAT Viewer?action=UPDATE&amp;creator=factset&amp;DYN_ARGS=TRUE&amp;DOC_NAME=FAT:FQL_AUDITING_CLIENT_TEMPLATE.FAT&amp;display_string=Audit&amp;VAR:KEY=AJEVMZIDWV&amp;VAR:QUERY=Q1NGX0VCSVRfT1BFUihBTk4sMTIvMzEvMTk4MCwxMi8zMS8yMDA5LEFZKQ==&amp;WINDOW=FIRST_POPUP&amp;HEIGH","T=450&amp;WIDTH=450&amp;START_MAXIMIZED=FALSE&amp;VAR:CALENDAR=US&amp;VAR:SYMBOL=CCC&amp;VAR:INDEX=20"}</definedName>
    <definedName name="_3223__FDSAUDITLINK__" hidden="1">{"fdsup://directions/FAT Viewer?action=UPDATE&amp;creator=factset&amp;DYN_ARGS=TRUE&amp;DOC_NAME=FAT:FQL_AUDITING_CLIENT_TEMPLATE.FAT&amp;display_string=Audit&amp;VAR:KEY=AJEVMZIDWV&amp;VAR:QUERY=Q1NGX0VCSVRfT1BFUihBTk4sMTIvMzEvMTk4MCwxMi8zMS8yMDA5LEFZKQ==&amp;WINDOW=FIRST_POPUP&amp;HEIGH","T=450&amp;WIDTH=450&amp;START_MAXIMIZED=FALSE&amp;VAR:CALENDAR=US&amp;VAR:SYMBOL=CCC&amp;VAR:INDEX=19"}</definedName>
    <definedName name="_3224__FDSAUDITLINK__" hidden="1">{"fdsup://directions/FAT Viewer?action=UPDATE&amp;creator=factset&amp;DYN_ARGS=TRUE&amp;DOC_NAME=FAT:FQL_AUDITING_CLIENT_TEMPLATE.FAT&amp;display_string=Audit&amp;VAR:KEY=AJEVMZIDWV&amp;VAR:QUERY=Q1NGX0VCSVRfT1BFUihBTk4sMTIvMzEvMTk4MCwxMi8zMS8yMDA5LEFZKQ==&amp;WINDOW=FIRST_POPUP&amp;HEIGH","T=450&amp;WIDTH=450&amp;START_MAXIMIZED=FALSE&amp;VAR:CALENDAR=US&amp;VAR:SYMBOL=CCC&amp;VAR:INDEX=18"}</definedName>
    <definedName name="_3225__FDSAUDITLINK__" hidden="1">{"fdsup://directions/FAT Viewer?action=UPDATE&amp;creator=factset&amp;DYN_ARGS=TRUE&amp;DOC_NAME=FAT:FQL_AUDITING_CLIENT_TEMPLATE.FAT&amp;display_string=Audit&amp;VAR:KEY=AJEVMZIDWV&amp;VAR:QUERY=Q1NGX0VCSVRfT1BFUihBTk4sMTIvMzEvMTk4MCwxMi8zMS8yMDA5LEFZKQ==&amp;WINDOW=FIRST_POPUP&amp;HEIGH","T=450&amp;WIDTH=450&amp;START_MAXIMIZED=FALSE&amp;VAR:CALENDAR=US&amp;VAR:SYMBOL=CCC&amp;VAR:INDEX=17"}</definedName>
    <definedName name="_3226__FDSAUDITLINK__" hidden="1">{"fdsup://directions/FAT Viewer?action=UPDATE&amp;creator=factset&amp;DYN_ARGS=TRUE&amp;DOC_NAME=FAT:FQL_AUDITING_CLIENT_TEMPLATE.FAT&amp;display_string=Audit&amp;VAR:KEY=AJEVMZIDWV&amp;VAR:QUERY=Q1NGX0VCSVRfT1BFUihBTk4sMTIvMzEvMTk4MCwxMi8zMS8yMDA5LEFZKQ==&amp;WINDOW=FIRST_POPUP&amp;HEIGH","T=450&amp;WIDTH=450&amp;START_MAXIMIZED=FALSE&amp;VAR:CALENDAR=US&amp;VAR:SYMBOL=CCC&amp;VAR:INDEX=16"}</definedName>
    <definedName name="_3227__FDSAUDITLINK__" hidden="1">{"fdsup://directions/FAT Viewer?action=UPDATE&amp;creator=factset&amp;DYN_ARGS=TRUE&amp;DOC_NAME=FAT:FQL_AUDITING_CLIENT_TEMPLATE.FAT&amp;display_string=Audit&amp;VAR:KEY=AJEVMZIDWV&amp;VAR:QUERY=Q1NGX0VCSVRfT1BFUihBTk4sMTIvMzEvMTk4MCwxMi8zMS8yMDA5LEFZKQ==&amp;WINDOW=FIRST_POPUP&amp;HEIGH","T=450&amp;WIDTH=450&amp;START_MAXIMIZED=FALSE&amp;VAR:CALENDAR=US&amp;VAR:SYMBOL=CCC&amp;VAR:INDEX=15"}</definedName>
    <definedName name="_3228__FDSAUDITLINK__" hidden="1">{"fdsup://directions/FAT Viewer?action=UPDATE&amp;creator=factset&amp;DYN_ARGS=TRUE&amp;DOC_NAME=FAT:FQL_AUDITING_CLIENT_TEMPLATE.FAT&amp;display_string=Audit&amp;VAR:KEY=AJEVMZIDWV&amp;VAR:QUERY=Q1NGX0VCSVRfT1BFUihBTk4sMTIvMzEvMTk4MCwxMi8zMS8yMDA5LEFZKQ==&amp;WINDOW=FIRST_POPUP&amp;HEIGH","T=450&amp;WIDTH=450&amp;START_MAXIMIZED=FALSE&amp;VAR:CALENDAR=US&amp;VAR:SYMBOL=CCC&amp;VAR:INDEX=14"}</definedName>
    <definedName name="_3229__FDSAUDITLINK__" hidden="1">{"fdsup://directions/FAT Viewer?action=UPDATE&amp;creator=factset&amp;DYN_ARGS=TRUE&amp;DOC_NAME=FAT:FQL_AUDITING_CLIENT_TEMPLATE.FAT&amp;display_string=Audit&amp;VAR:KEY=AJEVMZIDWV&amp;VAR:QUERY=Q1NGX0VCSVRfT1BFUihBTk4sMTIvMzEvMTk4MCwxMi8zMS8yMDA5LEFZKQ==&amp;WINDOW=FIRST_POPUP&amp;HEIGH","T=450&amp;WIDTH=450&amp;START_MAXIMIZED=FALSE&amp;VAR:CALENDAR=US&amp;VAR:SYMBOL=CCC&amp;VAR:INDEX=13"}</definedName>
    <definedName name="_323__FDSAUDITLINK__" hidden="1">{"fdsup://directions/FAT Viewer?action=UPDATE&amp;creator=factset&amp;DYN_ARGS=TRUE&amp;DOC_NAME=FAT:FQL_AUDITING_CLIENT_TEMPLATE.FAT&amp;display_string=Audit&amp;VAR:KEY=ANWLIXORWF&amp;VAR:QUERY=Q1NGX0VCSVRfT1BFUihBTk4sMTIvMzEvODAsMCk=&amp;WINDOW=FIRST_POPUP&amp;HEIGHT=450&amp;WIDTH=450&amp;STAR","T_MAXIMIZED=FALSE&amp;VAR:CALENDAR=US&amp;VAR:SYMBOL=WLK&amp;VAR:INDEX=10"}</definedName>
    <definedName name="_3230__FDSAUDITLINK__" hidden="1">{"fdsup://directions/FAT Viewer?action=UPDATE&amp;creator=factset&amp;DYN_ARGS=TRUE&amp;DOC_NAME=FAT:FQL_AUDITING_CLIENT_TEMPLATE.FAT&amp;display_string=Audit&amp;VAR:KEY=AJEVMZIDWV&amp;VAR:QUERY=Q1NGX0VCSVRfT1BFUihBTk4sMTIvMzEvMTk4MCwxMi8zMS8yMDA5LEFZKQ==&amp;WINDOW=FIRST_POPUP&amp;HEIGH","T=450&amp;WIDTH=450&amp;START_MAXIMIZED=FALSE&amp;VAR:CALENDAR=US&amp;VAR:SYMBOL=CCC&amp;VAR:INDEX=12"}</definedName>
    <definedName name="_3231__FDSAUDITLINK__" hidden="1">{"fdsup://directions/FAT Viewer?action=UPDATE&amp;creator=factset&amp;DYN_ARGS=TRUE&amp;DOC_NAME=FAT:FQL_AUDITING_CLIENT_TEMPLATE.FAT&amp;display_string=Audit&amp;VAR:KEY=AJEVMZIDWV&amp;VAR:QUERY=Q1NGX0VCSVRfT1BFUihBTk4sMTIvMzEvMTk4MCwxMi8zMS8yMDA5LEFZKQ==&amp;WINDOW=FIRST_POPUP&amp;HEIGH","T=450&amp;WIDTH=450&amp;START_MAXIMIZED=FALSE&amp;VAR:CALENDAR=US&amp;VAR:SYMBOL=CCC&amp;VAR:INDEX=11"}</definedName>
    <definedName name="_3232__FDSAUDITLINK__" hidden="1">{"fdsup://directions/FAT Viewer?action=UPDATE&amp;creator=factset&amp;DYN_ARGS=TRUE&amp;DOC_NAME=FAT:FQL_AUDITING_CLIENT_TEMPLATE.FAT&amp;display_string=Audit&amp;VAR:KEY=AJEVMZIDWV&amp;VAR:QUERY=Q1NGX0VCSVRfT1BFUihBTk4sMTIvMzEvMTk4MCwxMi8zMS8yMDA5LEFZKQ==&amp;WINDOW=FIRST_POPUP&amp;HEIGH","T=450&amp;WIDTH=450&amp;START_MAXIMIZED=FALSE&amp;VAR:CALENDAR=US&amp;VAR:SYMBOL=CCC&amp;VAR:INDEX=10"}</definedName>
    <definedName name="_3233__FDSAUDITLINK__" hidden="1">{"fdsup://directions/FAT Viewer?action=UPDATE&amp;creator=factset&amp;DYN_ARGS=TRUE&amp;DOC_NAME=FAT:FQL_AUDITING_CLIENT_TEMPLATE.FAT&amp;display_string=Audit&amp;VAR:KEY=AJEVMZIDWV&amp;VAR:QUERY=Q1NGX0VCSVRfT1BFUihBTk4sMTIvMzEvMTk4MCwxMi8zMS8yMDA5LEFZKQ==&amp;WINDOW=FIRST_POPUP&amp;HEIGH","T=450&amp;WIDTH=450&amp;START_MAXIMIZED=FALSE&amp;VAR:CALENDAR=US&amp;VAR:SYMBOL=CCC&amp;VAR:INDEX=9"}</definedName>
    <definedName name="_3234__FDSAUDITLINK__" hidden="1">{"fdsup://directions/FAT Viewer?action=UPDATE&amp;creator=factset&amp;DYN_ARGS=TRUE&amp;DOC_NAME=FAT:FQL_AUDITING_CLIENT_TEMPLATE.FAT&amp;display_string=Audit&amp;VAR:KEY=AJEVMZIDWV&amp;VAR:QUERY=Q1NGX0VCSVRfT1BFUihBTk4sMTIvMzEvMTk4MCwxMi8zMS8yMDA5LEFZKQ==&amp;WINDOW=FIRST_POPUP&amp;HEIGH","T=450&amp;WIDTH=450&amp;START_MAXIMIZED=FALSE&amp;VAR:CALENDAR=US&amp;VAR:SYMBOL=CCC&amp;VAR:INDEX=8"}</definedName>
    <definedName name="_3235__FDSAUDITLINK__" hidden="1">{"fdsup://directions/FAT Viewer?action=UPDATE&amp;creator=factset&amp;DYN_ARGS=TRUE&amp;DOC_NAME=FAT:FQL_AUDITING_CLIENT_TEMPLATE.FAT&amp;display_string=Audit&amp;VAR:KEY=AJEVMZIDWV&amp;VAR:QUERY=Q1NGX0VCSVRfT1BFUihBTk4sMTIvMzEvMTk4MCwxMi8zMS8yMDA5LEFZKQ==&amp;WINDOW=FIRST_POPUP&amp;HEIGH","T=450&amp;WIDTH=450&amp;START_MAXIMIZED=FALSE&amp;VAR:CALENDAR=US&amp;VAR:SYMBOL=CCC&amp;VAR:INDEX=7"}</definedName>
    <definedName name="_3236__FDSAUDITLINK__" hidden="1">{"fdsup://directions/FAT Viewer?action=UPDATE&amp;creator=factset&amp;DYN_ARGS=TRUE&amp;DOC_NAME=FAT:FQL_AUDITING_CLIENT_TEMPLATE.FAT&amp;display_string=Audit&amp;VAR:KEY=AJEVMZIDWV&amp;VAR:QUERY=Q1NGX0VCSVRfT1BFUihBTk4sMTIvMzEvMTk4MCwxMi8zMS8yMDA5LEFZKQ==&amp;WINDOW=FIRST_POPUP&amp;HEIGH","T=450&amp;WIDTH=450&amp;START_MAXIMIZED=FALSE&amp;VAR:CALENDAR=US&amp;VAR:SYMBOL=CCC&amp;VAR:INDEX=6"}</definedName>
    <definedName name="_3237__FDSAUDITLINK__" hidden="1">{"fdsup://directions/FAT Viewer?action=UPDATE&amp;creator=factset&amp;DYN_ARGS=TRUE&amp;DOC_NAME=FAT:FQL_AUDITING_CLIENT_TEMPLATE.FAT&amp;display_string=Audit&amp;VAR:KEY=AJEVMZIDWV&amp;VAR:QUERY=Q1NGX0VCSVRfT1BFUihBTk4sMTIvMzEvMTk4MCwxMi8zMS8yMDA5LEFZKQ==&amp;WINDOW=FIRST_POPUP&amp;HEIGH","T=450&amp;WIDTH=450&amp;START_MAXIMIZED=FALSE&amp;VAR:CALENDAR=US&amp;VAR:SYMBOL=CCC&amp;VAR:INDEX=5"}</definedName>
    <definedName name="_3238__FDSAUDITLINK__" hidden="1">{"fdsup://directions/FAT Viewer?action=UPDATE&amp;creator=factset&amp;DYN_ARGS=TRUE&amp;DOC_NAME=FAT:FQL_AUDITING_CLIENT_TEMPLATE.FAT&amp;display_string=Audit&amp;VAR:KEY=AJEVMZIDWV&amp;VAR:QUERY=Q1NGX0VCSVRfT1BFUihBTk4sMTIvMzEvMTk4MCwxMi8zMS8yMDA5LEFZKQ==&amp;WINDOW=FIRST_POPUP&amp;HEIGH","T=450&amp;WIDTH=450&amp;START_MAXIMIZED=FALSE&amp;VAR:CALENDAR=US&amp;VAR:SYMBOL=CCC&amp;VAR:INDEX=4"}</definedName>
    <definedName name="_3239__FDSAUDITLINK__" hidden="1">{"fdsup://directions/FAT Viewer?action=UPDATE&amp;creator=factset&amp;DYN_ARGS=TRUE&amp;DOC_NAME=FAT:FQL_AUDITING_CLIENT_TEMPLATE.FAT&amp;display_string=Audit&amp;VAR:KEY=AJEVMZIDWV&amp;VAR:QUERY=Q1NGX0VCSVRfT1BFUihBTk4sMTIvMzEvMTk4MCwxMi8zMS8yMDA5LEFZKQ==&amp;WINDOW=FIRST_POPUP&amp;HEIGH","T=450&amp;WIDTH=450&amp;START_MAXIMIZED=FALSE&amp;VAR:CALENDAR=US&amp;VAR:SYMBOL=CCC&amp;VAR:INDEX=3"}</definedName>
    <definedName name="_324__FDSAUDITLINK__" hidden="1">{"fdsup://directions/FAT Viewer?action=UPDATE&amp;creator=factset&amp;DYN_ARGS=TRUE&amp;DOC_NAME=FAT:FQL_AUDITING_CLIENT_TEMPLATE.FAT&amp;display_string=Audit&amp;VAR:KEY=ANWLIXORWF&amp;VAR:QUERY=Q1NGX0VCSVRfT1BFUihBTk4sMTIvMzEvODAsMCk=&amp;WINDOW=FIRST_POPUP&amp;HEIGHT=450&amp;WIDTH=450&amp;STAR","T_MAXIMIZED=FALSE&amp;VAR:CALENDAR=US&amp;VAR:SYMBOL=WLK&amp;VAR:INDEX=9"}</definedName>
    <definedName name="_3240__FDSAUDITLINK__" hidden="1">{"fdsup://directions/FAT Viewer?action=UPDATE&amp;creator=factset&amp;DYN_ARGS=TRUE&amp;DOC_NAME=FAT:FQL_AUDITING_CLIENT_TEMPLATE.FAT&amp;display_string=Audit&amp;VAR:KEY=AJEVMZIDWV&amp;VAR:QUERY=Q1NGX0VCSVRfT1BFUihBTk4sMTIvMzEvMTk4MCwxMi8zMS8yMDA5LEFZKQ==&amp;WINDOW=FIRST_POPUP&amp;HEIGH","T=450&amp;WIDTH=450&amp;START_MAXIMIZED=FALSE&amp;VAR:CALENDAR=US&amp;VAR:SYMBOL=CCC&amp;VAR:INDEX=2"}</definedName>
    <definedName name="_3241__FDSAUDITLINK__" hidden="1">{"fdsup://directions/FAT Viewer?action=UPDATE&amp;creator=factset&amp;DYN_ARGS=TRUE&amp;DOC_NAME=FAT:FQL_AUDITING_CLIENT_TEMPLATE.FAT&amp;display_string=Audit&amp;VAR:KEY=AJEVMZIDWV&amp;VAR:QUERY=Q1NGX0VCSVRfT1BFUihBTk4sMTIvMzEvMTk4MCwxMi8zMS8yMDA5LEFZKQ==&amp;WINDOW=FIRST_POPUP&amp;HEIGH","T=450&amp;WIDTH=450&amp;START_MAXIMIZED=FALSE&amp;VAR:CALENDAR=US&amp;VAR:SYMBOL=CCC&amp;VAR:INDEX=1"}</definedName>
    <definedName name="_3242__FDSAUDITLINK__" hidden="1">{"fdsup://directions/FAT Viewer?action=UPDATE&amp;creator=factset&amp;DYN_ARGS=TRUE&amp;DOC_NAME=FAT:FQL_AUDITING_CLIENT_TEMPLATE.FAT&amp;display_string=Audit&amp;VAR:KEY=AJEVMZIDWV&amp;VAR:QUERY=Q1NGX0VCSVRfT1BFUihBTk4sMTIvMzEvMTk4MCwxMi8zMS8yMDA5LEFZKQ==&amp;WINDOW=FIRST_POPUP&amp;HEIGH","T=450&amp;WIDTH=450&amp;START_MAXIMIZED=FALSE&amp;VAR:CALENDAR=US&amp;VAR:SYMBOL=CCC&amp;VAR:INDEX=0"}</definedName>
    <definedName name="_3243__FDSAUDITLINK__" hidden="1">{"fdsup://directions/FAT Viewer?action=UPDATE&amp;creator=factset&amp;DYN_ARGS=TRUE&amp;DOC_NAME=FAT:FQL_AUDITING_CLIENT_TEMPLATE.FAT&amp;display_string=Audit&amp;VAR:KEY=XGVENUXGBY&amp;VAR:QUERY=Q1NGX0VCSVRfT1BFUihMVE1fUiwwKQ==&amp;WINDOW=FIRST_POPUP&amp;HEIGHT=450&amp;WIDTH=450&amp;START_MAXIMI","ZED=FALSE&amp;VAR:CALENDAR=US&amp;VAR:SYMBOL=CBT&amp;VAR:INDEX=0"}</definedName>
    <definedName name="_3244__FDSAUDITLINK__" hidden="1">{"fdsup://directions/FAT Viewer?action=UPDATE&amp;creator=factset&amp;DYN_ARGS=TRUE&amp;DOC_NAME=FAT:FQL_AUDITING_CLIENT_TEMPLATE.FAT&amp;display_string=Audit&amp;VAR:KEY=GHQZUJMLQJ&amp;VAR:QUERY=Q1NGX0VCSVRfT1BFUihBTk4sMTIvMzEvMTk4MCwxMi8zMS8yMDA5LEFZKQ==&amp;WINDOW=FIRST_POPUP&amp;HEIGH","T=450&amp;WIDTH=450&amp;START_MAXIMIZED=FALSE&amp;VAR:CALENDAR=US&amp;VAR:SYMBOL=CBT&amp;VAR:INDEX=29"}</definedName>
    <definedName name="_3245__FDSAUDITLINK__" hidden="1">{"fdsup://directions/FAT Viewer?action=UPDATE&amp;creator=factset&amp;DYN_ARGS=TRUE&amp;DOC_NAME=FAT:FQL_AUDITING_CLIENT_TEMPLATE.FAT&amp;display_string=Audit&amp;VAR:KEY=GHQZUJMLQJ&amp;VAR:QUERY=Q1NGX0VCSVRfT1BFUihBTk4sMTIvMzEvMTk4MCwxMi8zMS8yMDA5LEFZKQ==&amp;WINDOW=FIRST_POPUP&amp;HEIGH","T=450&amp;WIDTH=450&amp;START_MAXIMIZED=FALSE&amp;VAR:CALENDAR=US&amp;VAR:SYMBOL=CBT&amp;VAR:INDEX=28"}</definedName>
    <definedName name="_3246__FDSAUDITLINK__" hidden="1">{"fdsup://directions/FAT Viewer?action=UPDATE&amp;creator=factset&amp;DYN_ARGS=TRUE&amp;DOC_NAME=FAT:FQL_AUDITING_CLIENT_TEMPLATE.FAT&amp;display_string=Audit&amp;VAR:KEY=GHQZUJMLQJ&amp;VAR:QUERY=Q1NGX0VCSVRfT1BFUihBTk4sMTIvMzEvMTk4MCwxMi8zMS8yMDA5LEFZKQ==&amp;WINDOW=FIRST_POPUP&amp;HEIGH","T=450&amp;WIDTH=450&amp;START_MAXIMIZED=FALSE&amp;VAR:CALENDAR=US&amp;VAR:SYMBOL=CBT&amp;VAR:INDEX=27"}</definedName>
    <definedName name="_3247__FDSAUDITLINK__" hidden="1">{"fdsup://directions/FAT Viewer?action=UPDATE&amp;creator=factset&amp;DYN_ARGS=TRUE&amp;DOC_NAME=FAT:FQL_AUDITING_CLIENT_TEMPLATE.FAT&amp;display_string=Audit&amp;VAR:KEY=GHQZUJMLQJ&amp;VAR:QUERY=Q1NGX0VCSVRfT1BFUihBTk4sMTIvMzEvMTk4MCwxMi8zMS8yMDA5LEFZKQ==&amp;WINDOW=FIRST_POPUP&amp;HEIGH","T=450&amp;WIDTH=450&amp;START_MAXIMIZED=FALSE&amp;VAR:CALENDAR=US&amp;VAR:SYMBOL=CBT&amp;VAR:INDEX=26"}</definedName>
    <definedName name="_3248__FDSAUDITLINK__" hidden="1">{"fdsup://directions/FAT Viewer?action=UPDATE&amp;creator=factset&amp;DYN_ARGS=TRUE&amp;DOC_NAME=FAT:FQL_AUDITING_CLIENT_TEMPLATE.FAT&amp;display_string=Audit&amp;VAR:KEY=GHQZUJMLQJ&amp;VAR:QUERY=Q1NGX0VCSVRfT1BFUihBTk4sMTIvMzEvMTk4MCwxMi8zMS8yMDA5LEFZKQ==&amp;WINDOW=FIRST_POPUP&amp;HEIGH","T=450&amp;WIDTH=450&amp;START_MAXIMIZED=FALSE&amp;VAR:CALENDAR=US&amp;VAR:SYMBOL=CBT&amp;VAR:INDEX=25"}</definedName>
    <definedName name="_3249__FDSAUDITLINK__" hidden="1">{"fdsup://directions/FAT Viewer?action=UPDATE&amp;creator=factset&amp;DYN_ARGS=TRUE&amp;DOC_NAME=FAT:FQL_AUDITING_CLIENT_TEMPLATE.FAT&amp;display_string=Audit&amp;VAR:KEY=GHQZUJMLQJ&amp;VAR:QUERY=Q1NGX0VCSVRfT1BFUihBTk4sMTIvMzEvMTk4MCwxMi8zMS8yMDA5LEFZKQ==&amp;WINDOW=FIRST_POPUP&amp;HEIGH","T=450&amp;WIDTH=450&amp;START_MAXIMIZED=FALSE&amp;VAR:CALENDAR=US&amp;VAR:SYMBOL=CBT&amp;VAR:INDEX=24"}</definedName>
    <definedName name="_325__FDSAUDITLINK__" hidden="1">{"fdsup://directions/FAT Viewer?action=UPDATE&amp;creator=factset&amp;DYN_ARGS=TRUE&amp;DOC_NAME=FAT:FQL_AUDITING_CLIENT_TEMPLATE.FAT&amp;display_string=Audit&amp;VAR:KEY=ANWLIXORWF&amp;VAR:QUERY=Q1NGX0VCSVRfT1BFUihBTk4sMTIvMzEvODAsMCk=&amp;WINDOW=FIRST_POPUP&amp;HEIGHT=450&amp;WIDTH=450&amp;STAR","T_MAXIMIZED=FALSE&amp;VAR:CALENDAR=US&amp;VAR:SYMBOL=WLK&amp;VAR:INDEX=8"}</definedName>
    <definedName name="_3250__FDSAUDITLINK__" hidden="1">{"fdsup://directions/FAT Viewer?action=UPDATE&amp;creator=factset&amp;DYN_ARGS=TRUE&amp;DOC_NAME=FAT:FQL_AUDITING_CLIENT_TEMPLATE.FAT&amp;display_string=Audit&amp;VAR:KEY=GHQZUJMLQJ&amp;VAR:QUERY=Q1NGX0VCSVRfT1BFUihBTk4sMTIvMzEvMTk4MCwxMi8zMS8yMDA5LEFZKQ==&amp;WINDOW=FIRST_POPUP&amp;HEIGH","T=450&amp;WIDTH=450&amp;START_MAXIMIZED=FALSE&amp;VAR:CALENDAR=US&amp;VAR:SYMBOL=CBT&amp;VAR:INDEX=23"}</definedName>
    <definedName name="_3251__FDSAUDITLINK__" hidden="1">{"fdsup://directions/FAT Viewer?action=UPDATE&amp;creator=factset&amp;DYN_ARGS=TRUE&amp;DOC_NAME=FAT:FQL_AUDITING_CLIENT_TEMPLATE.FAT&amp;display_string=Audit&amp;VAR:KEY=GHQZUJMLQJ&amp;VAR:QUERY=Q1NGX0VCSVRfT1BFUihBTk4sMTIvMzEvMTk4MCwxMi8zMS8yMDA5LEFZKQ==&amp;WINDOW=FIRST_POPUP&amp;HEIGH","T=450&amp;WIDTH=450&amp;START_MAXIMIZED=FALSE&amp;VAR:CALENDAR=US&amp;VAR:SYMBOL=CBT&amp;VAR:INDEX=22"}</definedName>
    <definedName name="_3252__FDSAUDITLINK__" hidden="1">{"fdsup://directions/FAT Viewer?action=UPDATE&amp;creator=factset&amp;DYN_ARGS=TRUE&amp;DOC_NAME=FAT:FQL_AUDITING_CLIENT_TEMPLATE.FAT&amp;display_string=Audit&amp;VAR:KEY=GHQZUJMLQJ&amp;VAR:QUERY=Q1NGX0VCSVRfT1BFUihBTk4sMTIvMzEvMTk4MCwxMi8zMS8yMDA5LEFZKQ==&amp;WINDOW=FIRST_POPUP&amp;HEIGH","T=450&amp;WIDTH=450&amp;START_MAXIMIZED=FALSE&amp;VAR:CALENDAR=US&amp;VAR:SYMBOL=CBT&amp;VAR:INDEX=21"}</definedName>
    <definedName name="_3253__FDSAUDITLINK__" hidden="1">{"fdsup://directions/FAT Viewer?action=UPDATE&amp;creator=factset&amp;DYN_ARGS=TRUE&amp;DOC_NAME=FAT:FQL_AUDITING_CLIENT_TEMPLATE.FAT&amp;display_string=Audit&amp;VAR:KEY=GHQZUJMLQJ&amp;VAR:QUERY=Q1NGX0VCSVRfT1BFUihBTk4sMTIvMzEvMTk4MCwxMi8zMS8yMDA5LEFZKQ==&amp;WINDOW=FIRST_POPUP&amp;HEIGH","T=450&amp;WIDTH=450&amp;START_MAXIMIZED=FALSE&amp;VAR:CALENDAR=US&amp;VAR:SYMBOL=CBT&amp;VAR:INDEX=20"}</definedName>
    <definedName name="_3254__FDSAUDITLINK__" hidden="1">{"fdsup://directions/FAT Viewer?action=UPDATE&amp;creator=factset&amp;DYN_ARGS=TRUE&amp;DOC_NAME=FAT:FQL_AUDITING_CLIENT_TEMPLATE.FAT&amp;display_string=Audit&amp;VAR:KEY=GHQZUJMLQJ&amp;VAR:QUERY=Q1NGX0VCSVRfT1BFUihBTk4sMTIvMzEvMTk4MCwxMi8zMS8yMDA5LEFZKQ==&amp;WINDOW=FIRST_POPUP&amp;HEIGH","T=450&amp;WIDTH=450&amp;START_MAXIMIZED=FALSE&amp;VAR:CALENDAR=US&amp;VAR:SYMBOL=CBT&amp;VAR:INDEX=19"}</definedName>
    <definedName name="_3255__FDSAUDITLINK__" hidden="1">{"fdsup://directions/FAT Viewer?action=UPDATE&amp;creator=factset&amp;DYN_ARGS=TRUE&amp;DOC_NAME=FAT:FQL_AUDITING_CLIENT_TEMPLATE.FAT&amp;display_string=Audit&amp;VAR:KEY=GHQZUJMLQJ&amp;VAR:QUERY=Q1NGX0VCSVRfT1BFUihBTk4sMTIvMzEvMTk4MCwxMi8zMS8yMDA5LEFZKQ==&amp;WINDOW=FIRST_POPUP&amp;HEIGH","T=450&amp;WIDTH=450&amp;START_MAXIMIZED=FALSE&amp;VAR:CALENDAR=US&amp;VAR:SYMBOL=CBT&amp;VAR:INDEX=18"}</definedName>
    <definedName name="_3256__FDSAUDITLINK__" hidden="1">{"fdsup://directions/FAT Viewer?action=UPDATE&amp;creator=factset&amp;DYN_ARGS=TRUE&amp;DOC_NAME=FAT:FQL_AUDITING_CLIENT_TEMPLATE.FAT&amp;display_string=Audit&amp;VAR:KEY=GHQZUJMLQJ&amp;VAR:QUERY=Q1NGX0VCSVRfT1BFUihBTk4sMTIvMzEvMTk4MCwxMi8zMS8yMDA5LEFZKQ==&amp;WINDOW=FIRST_POPUP&amp;HEIGH","T=450&amp;WIDTH=450&amp;START_MAXIMIZED=FALSE&amp;VAR:CALENDAR=US&amp;VAR:SYMBOL=CBT&amp;VAR:INDEX=17"}</definedName>
    <definedName name="_3257__FDSAUDITLINK__" hidden="1">{"fdsup://directions/FAT Viewer?action=UPDATE&amp;creator=factset&amp;DYN_ARGS=TRUE&amp;DOC_NAME=FAT:FQL_AUDITING_CLIENT_TEMPLATE.FAT&amp;display_string=Audit&amp;VAR:KEY=GHQZUJMLQJ&amp;VAR:QUERY=Q1NGX0VCSVRfT1BFUihBTk4sMTIvMzEvMTk4MCwxMi8zMS8yMDA5LEFZKQ==&amp;WINDOW=FIRST_POPUP&amp;HEIGH","T=450&amp;WIDTH=450&amp;START_MAXIMIZED=FALSE&amp;VAR:CALENDAR=US&amp;VAR:SYMBOL=CBT&amp;VAR:INDEX=16"}</definedName>
    <definedName name="_3258__FDSAUDITLINK__" hidden="1">{"fdsup://directions/FAT Viewer?action=UPDATE&amp;creator=factset&amp;DYN_ARGS=TRUE&amp;DOC_NAME=FAT:FQL_AUDITING_CLIENT_TEMPLATE.FAT&amp;display_string=Audit&amp;VAR:KEY=GHQZUJMLQJ&amp;VAR:QUERY=Q1NGX0VCSVRfT1BFUihBTk4sMTIvMzEvMTk4MCwxMi8zMS8yMDA5LEFZKQ==&amp;WINDOW=FIRST_POPUP&amp;HEIGH","T=450&amp;WIDTH=450&amp;START_MAXIMIZED=FALSE&amp;VAR:CALENDAR=US&amp;VAR:SYMBOL=CBT&amp;VAR:INDEX=15"}</definedName>
    <definedName name="_3259__FDSAUDITLINK__" hidden="1">{"fdsup://directions/FAT Viewer?action=UPDATE&amp;creator=factset&amp;DYN_ARGS=TRUE&amp;DOC_NAME=FAT:FQL_AUDITING_CLIENT_TEMPLATE.FAT&amp;display_string=Audit&amp;VAR:KEY=GHQZUJMLQJ&amp;VAR:QUERY=Q1NGX0VCSVRfT1BFUihBTk4sMTIvMzEvMTk4MCwxMi8zMS8yMDA5LEFZKQ==&amp;WINDOW=FIRST_POPUP&amp;HEIGH","T=450&amp;WIDTH=450&amp;START_MAXIMIZED=FALSE&amp;VAR:CALENDAR=US&amp;VAR:SYMBOL=CBT&amp;VAR:INDEX=14"}</definedName>
    <definedName name="_326__FDSAUDITLINK__" hidden="1">{"fdsup://directions/FAT Viewer?action=UPDATE&amp;creator=factset&amp;DYN_ARGS=TRUE&amp;DOC_NAME=FAT:FQL_AUDITING_CLIENT_TEMPLATE.FAT&amp;display_string=Audit&amp;VAR:KEY=ANWLIXORWF&amp;VAR:QUERY=Q1NGX0VCSVRfT1BFUihBTk4sMTIvMzEvODAsMCk=&amp;WINDOW=FIRST_POPUP&amp;HEIGHT=450&amp;WIDTH=450&amp;STAR","T_MAXIMIZED=FALSE&amp;VAR:CALENDAR=US&amp;VAR:SYMBOL=WLK&amp;VAR:INDEX=7"}</definedName>
    <definedName name="_3260__FDSAUDITLINK__" hidden="1">{"fdsup://directions/FAT Viewer?action=UPDATE&amp;creator=factset&amp;DYN_ARGS=TRUE&amp;DOC_NAME=FAT:FQL_AUDITING_CLIENT_TEMPLATE.FAT&amp;display_string=Audit&amp;VAR:KEY=GHQZUJMLQJ&amp;VAR:QUERY=Q1NGX0VCSVRfT1BFUihBTk4sMTIvMzEvMTk4MCwxMi8zMS8yMDA5LEFZKQ==&amp;WINDOW=FIRST_POPUP&amp;HEIGH","T=450&amp;WIDTH=450&amp;START_MAXIMIZED=FALSE&amp;VAR:CALENDAR=US&amp;VAR:SYMBOL=CBT&amp;VAR:INDEX=13"}</definedName>
    <definedName name="_3261__FDSAUDITLINK__" hidden="1">{"fdsup://directions/FAT Viewer?action=UPDATE&amp;creator=factset&amp;DYN_ARGS=TRUE&amp;DOC_NAME=FAT:FQL_AUDITING_CLIENT_TEMPLATE.FAT&amp;display_string=Audit&amp;VAR:KEY=GHQZUJMLQJ&amp;VAR:QUERY=Q1NGX0VCSVRfT1BFUihBTk4sMTIvMzEvMTk4MCwxMi8zMS8yMDA5LEFZKQ==&amp;WINDOW=FIRST_POPUP&amp;HEIGH","T=450&amp;WIDTH=450&amp;START_MAXIMIZED=FALSE&amp;VAR:CALENDAR=US&amp;VAR:SYMBOL=CBT&amp;VAR:INDEX=12"}</definedName>
    <definedName name="_3262__FDSAUDITLINK__" hidden="1">{"fdsup://directions/FAT Viewer?action=UPDATE&amp;creator=factset&amp;DYN_ARGS=TRUE&amp;DOC_NAME=FAT:FQL_AUDITING_CLIENT_TEMPLATE.FAT&amp;display_string=Audit&amp;VAR:KEY=GHQZUJMLQJ&amp;VAR:QUERY=Q1NGX0VCSVRfT1BFUihBTk4sMTIvMzEvMTk4MCwxMi8zMS8yMDA5LEFZKQ==&amp;WINDOW=FIRST_POPUP&amp;HEIGH","T=450&amp;WIDTH=450&amp;START_MAXIMIZED=FALSE&amp;VAR:CALENDAR=US&amp;VAR:SYMBOL=CBT&amp;VAR:INDEX=11"}</definedName>
    <definedName name="_3263__FDSAUDITLINK__" hidden="1">{"fdsup://directions/FAT Viewer?action=UPDATE&amp;creator=factset&amp;DYN_ARGS=TRUE&amp;DOC_NAME=FAT:FQL_AUDITING_CLIENT_TEMPLATE.FAT&amp;display_string=Audit&amp;VAR:KEY=GHQZUJMLQJ&amp;VAR:QUERY=Q1NGX0VCSVRfT1BFUihBTk4sMTIvMzEvMTk4MCwxMi8zMS8yMDA5LEFZKQ==&amp;WINDOW=FIRST_POPUP&amp;HEIGH","T=450&amp;WIDTH=450&amp;START_MAXIMIZED=FALSE&amp;VAR:CALENDAR=US&amp;VAR:SYMBOL=CBT&amp;VAR:INDEX=10"}</definedName>
    <definedName name="_3264__FDSAUDITLINK__" hidden="1">{"fdsup://directions/FAT Viewer?action=UPDATE&amp;creator=factset&amp;DYN_ARGS=TRUE&amp;DOC_NAME=FAT:FQL_AUDITING_CLIENT_TEMPLATE.FAT&amp;display_string=Audit&amp;VAR:KEY=GHQZUJMLQJ&amp;VAR:QUERY=Q1NGX0VCSVRfT1BFUihBTk4sMTIvMzEvMTk4MCwxMi8zMS8yMDA5LEFZKQ==&amp;WINDOW=FIRST_POPUP&amp;HEIGH","T=450&amp;WIDTH=450&amp;START_MAXIMIZED=FALSE&amp;VAR:CALENDAR=US&amp;VAR:SYMBOL=CBT&amp;VAR:INDEX=9"}</definedName>
    <definedName name="_3265__FDSAUDITLINK__" hidden="1">{"fdsup://directions/FAT Viewer?action=UPDATE&amp;creator=factset&amp;DYN_ARGS=TRUE&amp;DOC_NAME=FAT:FQL_AUDITING_CLIENT_TEMPLATE.FAT&amp;display_string=Audit&amp;VAR:KEY=GHQZUJMLQJ&amp;VAR:QUERY=Q1NGX0VCSVRfT1BFUihBTk4sMTIvMzEvMTk4MCwxMi8zMS8yMDA5LEFZKQ==&amp;WINDOW=FIRST_POPUP&amp;HEIGH","T=450&amp;WIDTH=450&amp;START_MAXIMIZED=FALSE&amp;VAR:CALENDAR=US&amp;VAR:SYMBOL=CBT&amp;VAR:INDEX=8"}</definedName>
    <definedName name="_3266__FDSAUDITLINK__" hidden="1">{"fdsup://directions/FAT Viewer?action=UPDATE&amp;creator=factset&amp;DYN_ARGS=TRUE&amp;DOC_NAME=FAT:FQL_AUDITING_CLIENT_TEMPLATE.FAT&amp;display_string=Audit&amp;VAR:KEY=GHQZUJMLQJ&amp;VAR:QUERY=Q1NGX0VCSVRfT1BFUihBTk4sMTIvMzEvMTk4MCwxMi8zMS8yMDA5LEFZKQ==&amp;WINDOW=FIRST_POPUP&amp;HEIGH","T=450&amp;WIDTH=450&amp;START_MAXIMIZED=FALSE&amp;VAR:CALENDAR=US&amp;VAR:SYMBOL=CBT&amp;VAR:INDEX=7"}</definedName>
    <definedName name="_3267__FDSAUDITLINK__" hidden="1">{"fdsup://directions/FAT Viewer?action=UPDATE&amp;creator=factset&amp;DYN_ARGS=TRUE&amp;DOC_NAME=FAT:FQL_AUDITING_CLIENT_TEMPLATE.FAT&amp;display_string=Audit&amp;VAR:KEY=GHQZUJMLQJ&amp;VAR:QUERY=Q1NGX0VCSVRfT1BFUihBTk4sMTIvMzEvMTk4MCwxMi8zMS8yMDA5LEFZKQ==&amp;WINDOW=FIRST_POPUP&amp;HEIGH","T=450&amp;WIDTH=450&amp;START_MAXIMIZED=FALSE&amp;VAR:CALENDAR=US&amp;VAR:SYMBOL=CBT&amp;VAR:INDEX=6"}</definedName>
    <definedName name="_3268__FDSAUDITLINK__" hidden="1">{"fdsup://directions/FAT Viewer?action=UPDATE&amp;creator=factset&amp;DYN_ARGS=TRUE&amp;DOC_NAME=FAT:FQL_AUDITING_CLIENT_TEMPLATE.FAT&amp;display_string=Audit&amp;VAR:KEY=GHQZUJMLQJ&amp;VAR:QUERY=Q1NGX0VCSVRfT1BFUihBTk4sMTIvMzEvMTk4MCwxMi8zMS8yMDA5LEFZKQ==&amp;WINDOW=FIRST_POPUP&amp;HEIGH","T=450&amp;WIDTH=450&amp;START_MAXIMIZED=FALSE&amp;VAR:CALENDAR=US&amp;VAR:SYMBOL=CBT&amp;VAR:INDEX=5"}</definedName>
    <definedName name="_3269__FDSAUDITLINK__" hidden="1">{"fdsup://directions/FAT Viewer?action=UPDATE&amp;creator=factset&amp;DYN_ARGS=TRUE&amp;DOC_NAME=FAT:FQL_AUDITING_CLIENT_TEMPLATE.FAT&amp;display_string=Audit&amp;VAR:KEY=GHQZUJMLQJ&amp;VAR:QUERY=Q1NGX0VCSVRfT1BFUihBTk4sMTIvMzEvMTk4MCwxMi8zMS8yMDA5LEFZKQ==&amp;WINDOW=FIRST_POPUP&amp;HEIGH","T=450&amp;WIDTH=450&amp;START_MAXIMIZED=FALSE&amp;VAR:CALENDAR=US&amp;VAR:SYMBOL=CBT&amp;VAR:INDEX=4"}</definedName>
    <definedName name="_327__FDSAUDITLINK__" hidden="1">{"fdsup://directions/FAT Viewer?action=UPDATE&amp;creator=factset&amp;DYN_ARGS=TRUE&amp;DOC_NAME=FAT:FQL_AUDITING_CLIENT_TEMPLATE.FAT&amp;display_string=Audit&amp;VAR:KEY=ANWLIXORWF&amp;VAR:QUERY=Q1NGX0VCSVRfT1BFUihBTk4sMTIvMzEvODAsMCk=&amp;WINDOW=FIRST_POPUP&amp;HEIGHT=450&amp;WIDTH=450&amp;STAR","T_MAXIMIZED=FALSE&amp;VAR:CALENDAR=US&amp;VAR:SYMBOL=WLK&amp;VAR:INDEX=6"}</definedName>
    <definedName name="_3270__FDSAUDITLINK__" hidden="1">{"fdsup://directions/FAT Viewer?action=UPDATE&amp;creator=factset&amp;DYN_ARGS=TRUE&amp;DOC_NAME=FAT:FQL_AUDITING_CLIENT_TEMPLATE.FAT&amp;display_string=Audit&amp;VAR:KEY=GHQZUJMLQJ&amp;VAR:QUERY=Q1NGX0VCSVRfT1BFUihBTk4sMTIvMzEvMTk4MCwxMi8zMS8yMDA5LEFZKQ==&amp;WINDOW=FIRST_POPUP&amp;HEIGH","T=450&amp;WIDTH=450&amp;START_MAXIMIZED=FALSE&amp;VAR:CALENDAR=US&amp;VAR:SYMBOL=CBT&amp;VAR:INDEX=3"}</definedName>
    <definedName name="_3271__FDSAUDITLINK__" hidden="1">{"fdsup://directions/FAT Viewer?action=UPDATE&amp;creator=factset&amp;DYN_ARGS=TRUE&amp;DOC_NAME=FAT:FQL_AUDITING_CLIENT_TEMPLATE.FAT&amp;display_string=Audit&amp;VAR:KEY=GHQZUJMLQJ&amp;VAR:QUERY=Q1NGX0VCSVRfT1BFUihBTk4sMTIvMzEvMTk4MCwxMi8zMS8yMDA5LEFZKQ==&amp;WINDOW=FIRST_POPUP&amp;HEIGH","T=450&amp;WIDTH=450&amp;START_MAXIMIZED=FALSE&amp;VAR:CALENDAR=US&amp;VAR:SYMBOL=CBT&amp;VAR:INDEX=2"}</definedName>
    <definedName name="_3272__FDSAUDITLINK__" hidden="1">{"fdsup://directions/FAT Viewer?action=UPDATE&amp;creator=factset&amp;DYN_ARGS=TRUE&amp;DOC_NAME=FAT:FQL_AUDITING_CLIENT_TEMPLATE.FAT&amp;display_string=Audit&amp;VAR:KEY=GHQZUJMLQJ&amp;VAR:QUERY=Q1NGX0VCSVRfT1BFUihBTk4sMTIvMzEvMTk4MCwxMi8zMS8yMDA5LEFZKQ==&amp;WINDOW=FIRST_POPUP&amp;HEIGH","T=450&amp;WIDTH=450&amp;START_MAXIMIZED=FALSE&amp;VAR:CALENDAR=US&amp;VAR:SYMBOL=CBT&amp;VAR:INDEX=1"}</definedName>
    <definedName name="_3273__FDSAUDITLINK__" hidden="1">{"fdsup://directions/FAT Viewer?action=UPDATE&amp;creator=factset&amp;DYN_ARGS=TRUE&amp;DOC_NAME=FAT:FQL_AUDITING_CLIENT_TEMPLATE.FAT&amp;display_string=Audit&amp;VAR:KEY=GHQZUJMLQJ&amp;VAR:QUERY=Q1NGX0VCSVRfT1BFUihBTk4sMTIvMzEvMTk4MCwxMi8zMS8yMDA5LEFZKQ==&amp;WINDOW=FIRST_POPUP&amp;HEIGH","T=450&amp;WIDTH=450&amp;START_MAXIMIZED=FALSE&amp;VAR:CALENDAR=US&amp;VAR:SYMBOL=CBT&amp;VAR:INDEX=0"}</definedName>
    <definedName name="_3274__FDSAUDITLINK__" hidden="1">{"fdsup://directions/FAT Viewer?action=UPDATE&amp;creator=factset&amp;DYN_ARGS=TRUE&amp;DOC_NAME=FAT:FQL_AUDITING_CLIENT_TEMPLATE.FAT&amp;display_string=Audit&amp;VAR:KEY=LOXURKTWRY&amp;VAR:QUERY=Q1NGX0VCSVRfT1BFUihMVE1fUiwwKQ==&amp;WINDOW=FIRST_POPUP&amp;HEIGHT=450&amp;WIDTH=450&amp;START_MAXIMI","ZED=FALSE&amp;VAR:CALENDAR=US&amp;VAR:SYMBOL=CE&amp;VAR:INDEX=0"}</definedName>
    <definedName name="_3275__FDSAUDITLINK__" hidden="1">{"fdsup://directions/FAT Viewer?action=UPDATE&amp;creator=factset&amp;DYN_ARGS=TRUE&amp;DOC_NAME=FAT:FQL_AUDITING_CLIENT_TEMPLATE.FAT&amp;display_string=Audit&amp;VAR:KEY=ULSBQFMBYV&amp;VAR:QUERY=Q1NGX0VCSVRfT1BFUihBTk4sMTIvMzEvMTk4MCwxMi8zMS8yMDA5LEFZKQ==&amp;WINDOW=FIRST_POPUP&amp;HEIGH","T=450&amp;WIDTH=450&amp;START_MAXIMIZED=FALSE&amp;VAR:CALENDAR=US&amp;VAR:SYMBOL=CE&amp;VAR:INDEX=29"}</definedName>
    <definedName name="_3276__FDSAUDITLINK__" hidden="1">{"fdsup://directions/FAT Viewer?action=UPDATE&amp;creator=factset&amp;DYN_ARGS=TRUE&amp;DOC_NAME=FAT:FQL_AUDITING_CLIENT_TEMPLATE.FAT&amp;display_string=Audit&amp;VAR:KEY=ULSBQFMBYV&amp;VAR:QUERY=Q1NGX0VCSVRfT1BFUihBTk4sMTIvMzEvMTk4MCwxMi8zMS8yMDA5LEFZKQ==&amp;WINDOW=FIRST_POPUP&amp;HEIGH","T=450&amp;WIDTH=450&amp;START_MAXIMIZED=FALSE&amp;VAR:CALENDAR=US&amp;VAR:SYMBOL=CE&amp;VAR:INDEX=28"}</definedName>
    <definedName name="_3277__FDSAUDITLINK__" hidden="1">{"fdsup://directions/FAT Viewer?action=UPDATE&amp;creator=factset&amp;DYN_ARGS=TRUE&amp;DOC_NAME=FAT:FQL_AUDITING_CLIENT_TEMPLATE.FAT&amp;display_string=Audit&amp;VAR:KEY=ULSBQFMBYV&amp;VAR:QUERY=Q1NGX0VCSVRfT1BFUihBTk4sMTIvMzEvMTk4MCwxMi8zMS8yMDA5LEFZKQ==&amp;WINDOW=FIRST_POPUP&amp;HEIGH","T=450&amp;WIDTH=450&amp;START_MAXIMIZED=FALSE&amp;VAR:CALENDAR=US&amp;VAR:SYMBOL=CE&amp;VAR:INDEX=27"}</definedName>
    <definedName name="_3278__FDSAUDITLINK__" hidden="1">{"fdsup://directions/FAT Viewer?action=UPDATE&amp;creator=factset&amp;DYN_ARGS=TRUE&amp;DOC_NAME=FAT:FQL_AUDITING_CLIENT_TEMPLATE.FAT&amp;display_string=Audit&amp;VAR:KEY=ULSBQFMBYV&amp;VAR:QUERY=Q1NGX0VCSVRfT1BFUihBTk4sMTIvMzEvMTk4MCwxMi8zMS8yMDA5LEFZKQ==&amp;WINDOW=FIRST_POPUP&amp;HEIGH","T=450&amp;WIDTH=450&amp;START_MAXIMIZED=FALSE&amp;VAR:CALENDAR=US&amp;VAR:SYMBOL=CE&amp;VAR:INDEX=26"}</definedName>
    <definedName name="_3279__FDSAUDITLINK__" hidden="1">{"fdsup://directions/FAT Viewer?action=UPDATE&amp;creator=factset&amp;DYN_ARGS=TRUE&amp;DOC_NAME=FAT:FQL_AUDITING_CLIENT_TEMPLATE.FAT&amp;display_string=Audit&amp;VAR:KEY=ULSBQFMBYV&amp;VAR:QUERY=Q1NGX0VCSVRfT1BFUihBTk4sMTIvMzEvMTk4MCwxMi8zMS8yMDA5LEFZKQ==&amp;WINDOW=FIRST_POPUP&amp;HEIGH","T=450&amp;WIDTH=450&amp;START_MAXIMIZED=FALSE&amp;VAR:CALENDAR=US&amp;VAR:SYMBOL=CE&amp;VAR:INDEX=25"}</definedName>
    <definedName name="_328__FDSAUDITLINK__" hidden="1">{"fdsup://directions/FAT Viewer?action=UPDATE&amp;creator=factset&amp;DYN_ARGS=TRUE&amp;DOC_NAME=FAT:FQL_AUDITING_CLIENT_TEMPLATE.FAT&amp;display_string=Audit&amp;VAR:KEY=ANWLIXORWF&amp;VAR:QUERY=Q1NGX0VCSVRfT1BFUihBTk4sMTIvMzEvODAsMCk=&amp;WINDOW=FIRST_POPUP&amp;HEIGHT=450&amp;WIDTH=450&amp;STAR","T_MAXIMIZED=FALSE&amp;VAR:CALENDAR=US&amp;VAR:SYMBOL=WLK&amp;VAR:INDEX=5"}</definedName>
    <definedName name="_3280__FDSAUDITLINK__" hidden="1">{"fdsup://directions/FAT Viewer?action=UPDATE&amp;creator=factset&amp;DYN_ARGS=TRUE&amp;DOC_NAME=FAT:FQL_AUDITING_CLIENT_TEMPLATE.FAT&amp;display_string=Audit&amp;VAR:KEY=ULSBQFMBYV&amp;VAR:QUERY=Q1NGX0VCSVRfT1BFUihBTk4sMTIvMzEvMTk4MCwxMi8zMS8yMDA5LEFZKQ==&amp;WINDOW=FIRST_POPUP&amp;HEIGH","T=450&amp;WIDTH=450&amp;START_MAXIMIZED=FALSE&amp;VAR:CALENDAR=US&amp;VAR:SYMBOL=CE&amp;VAR:INDEX=24"}</definedName>
    <definedName name="_3281__FDSAUDITLINK__" hidden="1">{"fdsup://directions/FAT Viewer?action=UPDATE&amp;creator=factset&amp;DYN_ARGS=TRUE&amp;DOC_NAME=FAT:FQL_AUDITING_CLIENT_TEMPLATE.FAT&amp;display_string=Audit&amp;VAR:KEY=ULSBQFMBYV&amp;VAR:QUERY=Q1NGX0VCSVRfT1BFUihBTk4sMTIvMzEvMTk4MCwxMi8zMS8yMDA5LEFZKQ==&amp;WINDOW=FIRST_POPUP&amp;HEIGH","T=450&amp;WIDTH=450&amp;START_MAXIMIZED=FALSE&amp;VAR:CALENDAR=US&amp;VAR:SYMBOL=CE&amp;VAR:INDEX=23"}</definedName>
    <definedName name="_3282__FDSAUDITLINK__" hidden="1">{"fdsup://directions/FAT Viewer?action=UPDATE&amp;creator=factset&amp;DYN_ARGS=TRUE&amp;DOC_NAME=FAT:FQL_AUDITING_CLIENT_TEMPLATE.FAT&amp;display_string=Audit&amp;VAR:KEY=ULSBQFMBYV&amp;VAR:QUERY=Q1NGX0VCSVRfT1BFUihBTk4sMTIvMzEvMTk4MCwxMi8zMS8yMDA5LEFZKQ==&amp;WINDOW=FIRST_POPUP&amp;HEIGH","T=450&amp;WIDTH=450&amp;START_MAXIMIZED=FALSE&amp;VAR:CALENDAR=US&amp;VAR:SYMBOL=CE&amp;VAR:INDEX=22"}</definedName>
    <definedName name="_3283__FDSAUDITLINK__" hidden="1">{"fdsup://directions/FAT Viewer?action=UPDATE&amp;creator=factset&amp;DYN_ARGS=TRUE&amp;DOC_NAME=FAT:FQL_AUDITING_CLIENT_TEMPLATE.FAT&amp;display_string=Audit&amp;VAR:KEY=ULSBQFMBYV&amp;VAR:QUERY=Q1NGX0VCSVRfT1BFUihBTk4sMTIvMzEvMTk4MCwxMi8zMS8yMDA5LEFZKQ==&amp;WINDOW=FIRST_POPUP&amp;HEIGH","T=450&amp;WIDTH=450&amp;START_MAXIMIZED=FALSE&amp;VAR:CALENDAR=US&amp;VAR:SYMBOL=CE&amp;VAR:INDEX=21"}</definedName>
    <definedName name="_3284__FDSAUDITLINK__" hidden="1">{"fdsup://directions/FAT Viewer?action=UPDATE&amp;creator=factset&amp;DYN_ARGS=TRUE&amp;DOC_NAME=FAT:FQL_AUDITING_CLIENT_TEMPLATE.FAT&amp;display_string=Audit&amp;VAR:KEY=ULSBQFMBYV&amp;VAR:QUERY=Q1NGX0VCSVRfT1BFUihBTk4sMTIvMzEvMTk4MCwxMi8zMS8yMDA5LEFZKQ==&amp;WINDOW=FIRST_POPUP&amp;HEIGH","T=450&amp;WIDTH=450&amp;START_MAXIMIZED=FALSE&amp;VAR:CALENDAR=US&amp;VAR:SYMBOL=CE&amp;VAR:INDEX=20"}</definedName>
    <definedName name="_3285__FDSAUDITLINK__" hidden="1">{"fdsup://directions/FAT Viewer?action=UPDATE&amp;creator=factset&amp;DYN_ARGS=TRUE&amp;DOC_NAME=FAT:FQL_AUDITING_CLIENT_TEMPLATE.FAT&amp;display_string=Audit&amp;VAR:KEY=ULSBQFMBYV&amp;VAR:QUERY=Q1NGX0VCSVRfT1BFUihBTk4sMTIvMzEvMTk4MCwxMi8zMS8yMDA5LEFZKQ==&amp;WINDOW=FIRST_POPUP&amp;HEIGH","T=450&amp;WIDTH=450&amp;START_MAXIMIZED=FALSE&amp;VAR:CALENDAR=US&amp;VAR:SYMBOL=CE&amp;VAR:INDEX=19"}</definedName>
    <definedName name="_3286__FDSAUDITLINK__" hidden="1">{"fdsup://directions/FAT Viewer?action=UPDATE&amp;creator=factset&amp;DYN_ARGS=TRUE&amp;DOC_NAME=FAT:FQL_AUDITING_CLIENT_TEMPLATE.FAT&amp;display_string=Audit&amp;VAR:KEY=ULSBQFMBYV&amp;VAR:QUERY=Q1NGX0VCSVRfT1BFUihBTk4sMTIvMzEvMTk4MCwxMi8zMS8yMDA5LEFZKQ==&amp;WINDOW=FIRST_POPUP&amp;HEIGH","T=450&amp;WIDTH=450&amp;START_MAXIMIZED=FALSE&amp;VAR:CALENDAR=US&amp;VAR:SYMBOL=CE&amp;VAR:INDEX=18"}</definedName>
    <definedName name="_3287__FDSAUDITLINK__" hidden="1">{"fdsup://directions/FAT Viewer?action=UPDATE&amp;creator=factset&amp;DYN_ARGS=TRUE&amp;DOC_NAME=FAT:FQL_AUDITING_CLIENT_TEMPLATE.FAT&amp;display_string=Audit&amp;VAR:KEY=ULSBQFMBYV&amp;VAR:QUERY=Q1NGX0VCSVRfT1BFUihBTk4sMTIvMzEvMTk4MCwxMi8zMS8yMDA5LEFZKQ==&amp;WINDOW=FIRST_POPUP&amp;HEIGH","T=450&amp;WIDTH=450&amp;START_MAXIMIZED=FALSE&amp;VAR:CALENDAR=US&amp;VAR:SYMBOL=CE&amp;VAR:INDEX=17"}</definedName>
    <definedName name="_3288__FDSAUDITLINK__" hidden="1">{"fdsup://directions/FAT Viewer?action=UPDATE&amp;creator=factset&amp;DYN_ARGS=TRUE&amp;DOC_NAME=FAT:FQL_AUDITING_CLIENT_TEMPLATE.FAT&amp;display_string=Audit&amp;VAR:KEY=ULSBQFMBYV&amp;VAR:QUERY=Q1NGX0VCSVRfT1BFUihBTk4sMTIvMzEvMTk4MCwxMi8zMS8yMDA5LEFZKQ==&amp;WINDOW=FIRST_POPUP&amp;HEIGH","T=450&amp;WIDTH=450&amp;START_MAXIMIZED=FALSE&amp;VAR:CALENDAR=US&amp;VAR:SYMBOL=CE&amp;VAR:INDEX=16"}</definedName>
    <definedName name="_3289__FDSAUDITLINK__" hidden="1">{"fdsup://directions/FAT Viewer?action=UPDATE&amp;creator=factset&amp;DYN_ARGS=TRUE&amp;DOC_NAME=FAT:FQL_AUDITING_CLIENT_TEMPLATE.FAT&amp;display_string=Audit&amp;VAR:KEY=ULSBQFMBYV&amp;VAR:QUERY=Q1NGX0VCSVRfT1BFUihBTk4sMTIvMzEvMTk4MCwxMi8zMS8yMDA5LEFZKQ==&amp;WINDOW=FIRST_POPUP&amp;HEIGH","T=450&amp;WIDTH=450&amp;START_MAXIMIZED=FALSE&amp;VAR:CALENDAR=US&amp;VAR:SYMBOL=CE&amp;VAR:INDEX=15"}</definedName>
    <definedName name="_329__FDSAUDITLINK__" hidden="1">{"fdsup://directions/FAT Viewer?action=UPDATE&amp;creator=factset&amp;DYN_ARGS=TRUE&amp;DOC_NAME=FAT:FQL_AUDITING_CLIENT_TEMPLATE.FAT&amp;display_string=Audit&amp;VAR:KEY=ANWLIXORWF&amp;VAR:QUERY=Q1NGX0VCSVRfT1BFUihBTk4sMTIvMzEvODAsMCk=&amp;WINDOW=FIRST_POPUP&amp;HEIGHT=450&amp;WIDTH=450&amp;STAR","T_MAXIMIZED=FALSE&amp;VAR:CALENDAR=US&amp;VAR:SYMBOL=WLK&amp;VAR:INDEX=4"}</definedName>
    <definedName name="_3290__FDSAUDITLINK__" hidden="1">{"fdsup://directions/FAT Viewer?action=UPDATE&amp;creator=factset&amp;DYN_ARGS=TRUE&amp;DOC_NAME=FAT:FQL_AUDITING_CLIENT_TEMPLATE.FAT&amp;display_string=Audit&amp;VAR:KEY=ULSBQFMBYV&amp;VAR:QUERY=Q1NGX0VCSVRfT1BFUihBTk4sMTIvMzEvMTk4MCwxMi8zMS8yMDA5LEFZKQ==&amp;WINDOW=FIRST_POPUP&amp;HEIGH","T=450&amp;WIDTH=450&amp;START_MAXIMIZED=FALSE&amp;VAR:CALENDAR=US&amp;VAR:SYMBOL=CE&amp;VAR:INDEX=14"}</definedName>
    <definedName name="_3291__FDSAUDITLINK__" hidden="1">{"fdsup://directions/FAT Viewer?action=UPDATE&amp;creator=factset&amp;DYN_ARGS=TRUE&amp;DOC_NAME=FAT:FQL_AUDITING_CLIENT_TEMPLATE.FAT&amp;display_string=Audit&amp;VAR:KEY=ULSBQFMBYV&amp;VAR:QUERY=Q1NGX0VCSVRfT1BFUihBTk4sMTIvMzEvMTk4MCwxMi8zMS8yMDA5LEFZKQ==&amp;WINDOW=FIRST_POPUP&amp;HEIGH","T=450&amp;WIDTH=450&amp;START_MAXIMIZED=FALSE&amp;VAR:CALENDAR=US&amp;VAR:SYMBOL=CE&amp;VAR:INDEX=13"}</definedName>
    <definedName name="_3292__FDSAUDITLINK__" hidden="1">{"fdsup://directions/FAT Viewer?action=UPDATE&amp;creator=factset&amp;DYN_ARGS=TRUE&amp;DOC_NAME=FAT:FQL_AUDITING_CLIENT_TEMPLATE.FAT&amp;display_string=Audit&amp;VAR:KEY=ULSBQFMBYV&amp;VAR:QUERY=Q1NGX0VCSVRfT1BFUihBTk4sMTIvMzEvMTk4MCwxMi8zMS8yMDA5LEFZKQ==&amp;WINDOW=FIRST_POPUP&amp;HEIGH","T=450&amp;WIDTH=450&amp;START_MAXIMIZED=FALSE&amp;VAR:CALENDAR=US&amp;VAR:SYMBOL=CE&amp;VAR:INDEX=12"}</definedName>
    <definedName name="_3293__FDSAUDITLINK__" hidden="1">{"fdsup://directions/FAT Viewer?action=UPDATE&amp;creator=factset&amp;DYN_ARGS=TRUE&amp;DOC_NAME=FAT:FQL_AUDITING_CLIENT_TEMPLATE.FAT&amp;display_string=Audit&amp;VAR:KEY=ULSBQFMBYV&amp;VAR:QUERY=Q1NGX0VCSVRfT1BFUihBTk4sMTIvMzEvMTk4MCwxMi8zMS8yMDA5LEFZKQ==&amp;WINDOW=FIRST_POPUP&amp;HEIGH","T=450&amp;WIDTH=450&amp;START_MAXIMIZED=FALSE&amp;VAR:CALENDAR=US&amp;VAR:SYMBOL=CE&amp;VAR:INDEX=11"}</definedName>
    <definedName name="_3294__FDSAUDITLINK__" hidden="1">{"fdsup://directions/FAT Viewer?action=UPDATE&amp;creator=factset&amp;DYN_ARGS=TRUE&amp;DOC_NAME=FAT:FQL_AUDITING_CLIENT_TEMPLATE.FAT&amp;display_string=Audit&amp;VAR:KEY=ULSBQFMBYV&amp;VAR:QUERY=Q1NGX0VCSVRfT1BFUihBTk4sMTIvMzEvMTk4MCwxMi8zMS8yMDA5LEFZKQ==&amp;WINDOW=FIRST_POPUP&amp;HEIGH","T=450&amp;WIDTH=450&amp;START_MAXIMIZED=FALSE&amp;VAR:CALENDAR=US&amp;VAR:SYMBOL=CE&amp;VAR:INDEX=10"}</definedName>
    <definedName name="_3295__FDSAUDITLINK__" hidden="1">{"fdsup://directions/FAT Viewer?action=UPDATE&amp;creator=factset&amp;DYN_ARGS=TRUE&amp;DOC_NAME=FAT:FQL_AUDITING_CLIENT_TEMPLATE.FAT&amp;display_string=Audit&amp;VAR:KEY=ULSBQFMBYV&amp;VAR:QUERY=Q1NGX0VCSVRfT1BFUihBTk4sMTIvMzEvMTk4MCwxMi8zMS8yMDA5LEFZKQ==&amp;WINDOW=FIRST_POPUP&amp;HEIGH","T=450&amp;WIDTH=450&amp;START_MAXIMIZED=FALSE&amp;VAR:CALENDAR=US&amp;VAR:SYMBOL=CE&amp;VAR:INDEX=9"}</definedName>
    <definedName name="_3296__FDSAUDITLINK__" hidden="1">{"fdsup://directions/FAT Viewer?action=UPDATE&amp;creator=factset&amp;DYN_ARGS=TRUE&amp;DOC_NAME=FAT:FQL_AUDITING_CLIENT_TEMPLATE.FAT&amp;display_string=Audit&amp;VAR:KEY=ULSBQFMBYV&amp;VAR:QUERY=Q1NGX0VCSVRfT1BFUihBTk4sMTIvMzEvMTk4MCwxMi8zMS8yMDA5LEFZKQ==&amp;WINDOW=FIRST_POPUP&amp;HEIGH","T=450&amp;WIDTH=450&amp;START_MAXIMIZED=FALSE&amp;VAR:CALENDAR=US&amp;VAR:SYMBOL=CE&amp;VAR:INDEX=8"}</definedName>
    <definedName name="_3297__FDSAUDITLINK__" hidden="1">{"fdsup://directions/FAT Viewer?action=UPDATE&amp;creator=factset&amp;DYN_ARGS=TRUE&amp;DOC_NAME=FAT:FQL_AUDITING_CLIENT_TEMPLATE.FAT&amp;display_string=Audit&amp;VAR:KEY=ULSBQFMBYV&amp;VAR:QUERY=Q1NGX0VCSVRfT1BFUihBTk4sMTIvMzEvMTk4MCwxMi8zMS8yMDA5LEFZKQ==&amp;WINDOW=FIRST_POPUP&amp;HEIGH","T=450&amp;WIDTH=450&amp;START_MAXIMIZED=FALSE&amp;VAR:CALENDAR=US&amp;VAR:SYMBOL=CE&amp;VAR:INDEX=7"}</definedName>
    <definedName name="_3298__FDSAUDITLINK__" hidden="1">{"fdsup://directions/FAT Viewer?action=UPDATE&amp;creator=factset&amp;DYN_ARGS=TRUE&amp;DOC_NAME=FAT:FQL_AUDITING_CLIENT_TEMPLATE.FAT&amp;display_string=Audit&amp;VAR:KEY=ULSBQFMBYV&amp;VAR:QUERY=Q1NGX0VCSVRfT1BFUihBTk4sMTIvMzEvMTk4MCwxMi8zMS8yMDA5LEFZKQ==&amp;WINDOW=FIRST_POPUP&amp;HEIGH","T=450&amp;WIDTH=450&amp;START_MAXIMIZED=FALSE&amp;VAR:CALENDAR=US&amp;VAR:SYMBOL=CE&amp;VAR:INDEX=6"}</definedName>
    <definedName name="_3299__FDSAUDITLINK__" hidden="1">{"fdsup://directions/FAT Viewer?action=UPDATE&amp;creator=factset&amp;DYN_ARGS=TRUE&amp;DOC_NAME=FAT:FQL_AUDITING_CLIENT_TEMPLATE.FAT&amp;display_string=Audit&amp;VAR:KEY=ULSBQFMBYV&amp;VAR:QUERY=Q1NGX0VCSVRfT1BFUihBTk4sMTIvMzEvMTk4MCwxMi8zMS8yMDA5LEFZKQ==&amp;WINDOW=FIRST_POPUP&amp;HEIGH","T=450&amp;WIDTH=450&amp;START_MAXIMIZED=FALSE&amp;VAR:CALENDAR=US&amp;VAR:SYMBOL=CE&amp;VAR:INDEX=5"}</definedName>
    <definedName name="_33__FDSAUDITLINK__" hidden="1">{"fdsup://directions/FAT Viewer?action=UPDATE&amp;creator=factset&amp;DYN_ARGS=TRUE&amp;DOC_NAME=FAT:FQL_AUDITING_CLIENT_TEMPLATE.FAT&amp;display_string=Audit&amp;VAR:KEY=CVETWRMHAB&amp;VAR:QUERY=Q1NGX0RFQlQoUVRSX1IsMCk=&amp;WINDOW=FIRST_POPUP&amp;HEIGHT=450&amp;WIDTH=450&amp;START_MAXIMIZED=FALS","E&amp;VAR:CALENDAR=US&amp;VAR:SYMBOL=OLN&amp;VAR:INDEX=0"}</definedName>
    <definedName name="_330__FDSAUDITLINK__" hidden="1">{"fdsup://directions/FAT Viewer?action=UPDATE&amp;creator=factset&amp;DYN_ARGS=TRUE&amp;DOC_NAME=FAT:FQL_AUDITING_CLIENT_TEMPLATE.FAT&amp;display_string=Audit&amp;VAR:KEY=ANWLIXORWF&amp;VAR:QUERY=Q1NGX0VCSVRfT1BFUihBTk4sMTIvMzEvODAsMCk=&amp;WINDOW=FIRST_POPUP&amp;HEIGHT=450&amp;WIDTH=450&amp;STAR","T_MAXIMIZED=FALSE&amp;VAR:CALENDAR=US&amp;VAR:SYMBOL=WLK&amp;VAR:INDEX=3"}</definedName>
    <definedName name="_3300__FDSAUDITLINK__" hidden="1">{"fdsup://directions/FAT Viewer?action=UPDATE&amp;creator=factset&amp;DYN_ARGS=TRUE&amp;DOC_NAME=FAT:FQL_AUDITING_CLIENT_TEMPLATE.FAT&amp;display_string=Audit&amp;VAR:KEY=ULSBQFMBYV&amp;VAR:QUERY=Q1NGX0VCSVRfT1BFUihBTk4sMTIvMzEvMTk4MCwxMi8zMS8yMDA5LEFZKQ==&amp;WINDOW=FIRST_POPUP&amp;HEIGH","T=450&amp;WIDTH=450&amp;START_MAXIMIZED=FALSE&amp;VAR:CALENDAR=US&amp;VAR:SYMBOL=CE&amp;VAR:INDEX=4"}</definedName>
    <definedName name="_3301__FDSAUDITLINK__" hidden="1">{"fdsup://directions/FAT Viewer?action=UPDATE&amp;creator=factset&amp;DYN_ARGS=TRUE&amp;DOC_NAME=FAT:FQL_AUDITING_CLIENT_TEMPLATE.FAT&amp;display_string=Audit&amp;VAR:KEY=ULSBQFMBYV&amp;VAR:QUERY=Q1NGX0VCSVRfT1BFUihBTk4sMTIvMzEvMTk4MCwxMi8zMS8yMDA5LEFZKQ==&amp;WINDOW=FIRST_POPUP&amp;HEIGH","T=450&amp;WIDTH=450&amp;START_MAXIMIZED=FALSE&amp;VAR:CALENDAR=US&amp;VAR:SYMBOL=CE&amp;VAR:INDEX=3"}</definedName>
    <definedName name="_3302__FDSAUDITLINK__" hidden="1">{"fdsup://directions/FAT Viewer?action=UPDATE&amp;creator=factset&amp;DYN_ARGS=TRUE&amp;DOC_NAME=FAT:FQL_AUDITING_CLIENT_TEMPLATE.FAT&amp;display_string=Audit&amp;VAR:KEY=ULSBQFMBYV&amp;VAR:QUERY=Q1NGX0VCSVRfT1BFUihBTk4sMTIvMzEvMTk4MCwxMi8zMS8yMDA5LEFZKQ==&amp;WINDOW=FIRST_POPUP&amp;HEIGH","T=450&amp;WIDTH=450&amp;START_MAXIMIZED=FALSE&amp;VAR:CALENDAR=US&amp;VAR:SYMBOL=CE&amp;VAR:INDEX=2"}</definedName>
    <definedName name="_3303__FDSAUDITLINK__" hidden="1">{"fdsup://directions/FAT Viewer?action=UPDATE&amp;creator=factset&amp;DYN_ARGS=TRUE&amp;DOC_NAME=FAT:FQL_AUDITING_CLIENT_TEMPLATE.FAT&amp;display_string=Audit&amp;VAR:KEY=ULSBQFMBYV&amp;VAR:QUERY=Q1NGX0VCSVRfT1BFUihBTk4sMTIvMzEvMTk4MCwxMi8zMS8yMDA5LEFZKQ==&amp;WINDOW=FIRST_POPUP&amp;HEIGH","T=450&amp;WIDTH=450&amp;START_MAXIMIZED=FALSE&amp;VAR:CALENDAR=US&amp;VAR:SYMBOL=CE&amp;VAR:INDEX=1"}</definedName>
    <definedName name="_3304__FDSAUDITLINK__" hidden="1">{"fdsup://directions/FAT Viewer?action=UPDATE&amp;creator=factset&amp;DYN_ARGS=TRUE&amp;DOC_NAME=FAT:FQL_AUDITING_CLIENT_TEMPLATE.FAT&amp;display_string=Audit&amp;VAR:KEY=ULSBQFMBYV&amp;VAR:QUERY=Q1NGX0VCSVRfT1BFUihBTk4sMTIvMzEvMTk4MCwxMi8zMS8yMDA5LEFZKQ==&amp;WINDOW=FIRST_POPUP&amp;HEIGH","T=450&amp;WIDTH=450&amp;START_MAXIMIZED=FALSE&amp;VAR:CALENDAR=US&amp;VAR:SYMBOL=CE&amp;VAR:INDEX=0"}</definedName>
    <definedName name="_3305__FDSAUDITLINK__" hidden="1">{"fdsup://directions/FAT Viewer?action=UPDATE&amp;creator=factset&amp;DYN_ARGS=TRUE&amp;DOC_NAME=FAT:FQL_AUDITING_CLIENT_TEMPLATE.FAT&amp;display_string=Audit&amp;VAR:KEY=JINWTKXIXU&amp;VAR:QUERY=Q1NGX0VCSVRfT1BFUihMVE1fUiwwKQ==&amp;WINDOW=FIRST_POPUP&amp;HEIGHT=450&amp;WIDTH=450&amp;START_MAXIMI","ZED=FALSE&amp;VAR:CALENDAR=US&amp;VAR:SYMBOL=BCPC&amp;VAR:INDEX=0"}</definedName>
    <definedName name="_3306__FDSAUDITLINK__" hidden="1">{"fdsup://directions/FAT Viewer?action=UPDATE&amp;creator=factset&amp;DYN_ARGS=TRUE&amp;DOC_NAME=FAT:FQL_AUDITING_CLIENT_TEMPLATE.FAT&amp;display_string=Audit&amp;VAR:KEY=UZOZKROFML&amp;VAR:QUERY=Q1NGX0VCSVRfT1BFUihBTk4sMTIvMzEvMTk4MCwxMi8zMS8yMDA5LEFZKQ==&amp;WINDOW=FIRST_POPUP&amp;HEIGH","T=450&amp;WIDTH=450&amp;START_MAXIMIZED=FALSE&amp;VAR:CALENDAR=US&amp;VAR:SYMBOL=BCPC&amp;VAR:INDEX=29"}</definedName>
    <definedName name="_3307__FDSAUDITLINK__" hidden="1">{"fdsup://directions/FAT Viewer?action=UPDATE&amp;creator=factset&amp;DYN_ARGS=TRUE&amp;DOC_NAME=FAT:FQL_AUDITING_CLIENT_TEMPLATE.FAT&amp;display_string=Audit&amp;VAR:KEY=UZOZKROFML&amp;VAR:QUERY=Q1NGX0VCSVRfT1BFUihBTk4sMTIvMzEvMTk4MCwxMi8zMS8yMDA5LEFZKQ==&amp;WINDOW=FIRST_POPUP&amp;HEIGH","T=450&amp;WIDTH=450&amp;START_MAXIMIZED=FALSE&amp;VAR:CALENDAR=US&amp;VAR:SYMBOL=BCPC&amp;VAR:INDEX=28"}</definedName>
    <definedName name="_3308__FDSAUDITLINK__" hidden="1">{"fdsup://directions/FAT Viewer?action=UPDATE&amp;creator=factset&amp;DYN_ARGS=TRUE&amp;DOC_NAME=FAT:FQL_AUDITING_CLIENT_TEMPLATE.FAT&amp;display_string=Audit&amp;VAR:KEY=UZOZKROFML&amp;VAR:QUERY=Q1NGX0VCSVRfT1BFUihBTk4sMTIvMzEvMTk4MCwxMi8zMS8yMDA5LEFZKQ==&amp;WINDOW=FIRST_POPUP&amp;HEIGH","T=450&amp;WIDTH=450&amp;START_MAXIMIZED=FALSE&amp;VAR:CALENDAR=US&amp;VAR:SYMBOL=BCPC&amp;VAR:INDEX=27"}</definedName>
    <definedName name="_3309__FDSAUDITLINK__" hidden="1">{"fdsup://directions/FAT Viewer?action=UPDATE&amp;creator=factset&amp;DYN_ARGS=TRUE&amp;DOC_NAME=FAT:FQL_AUDITING_CLIENT_TEMPLATE.FAT&amp;display_string=Audit&amp;VAR:KEY=UZOZKROFML&amp;VAR:QUERY=Q1NGX0VCSVRfT1BFUihBTk4sMTIvMzEvMTk4MCwxMi8zMS8yMDA5LEFZKQ==&amp;WINDOW=FIRST_POPUP&amp;HEIGH","T=450&amp;WIDTH=450&amp;START_MAXIMIZED=FALSE&amp;VAR:CALENDAR=US&amp;VAR:SYMBOL=BCPC&amp;VAR:INDEX=26"}</definedName>
    <definedName name="_331__FDSAUDITLINK__" hidden="1">{"fdsup://directions/FAT Viewer?action=UPDATE&amp;creator=factset&amp;DYN_ARGS=TRUE&amp;DOC_NAME=FAT:FQL_AUDITING_CLIENT_TEMPLATE.FAT&amp;display_string=Audit&amp;VAR:KEY=ANWLIXORWF&amp;VAR:QUERY=Q1NGX0VCSVRfT1BFUihBTk4sMTIvMzEvODAsMCk=&amp;WINDOW=FIRST_POPUP&amp;HEIGHT=450&amp;WIDTH=450&amp;STAR","T_MAXIMIZED=FALSE&amp;VAR:CALENDAR=US&amp;VAR:SYMBOL=WLK&amp;VAR:INDEX=2"}</definedName>
    <definedName name="_3310__FDSAUDITLINK__" hidden="1">{"fdsup://directions/FAT Viewer?action=UPDATE&amp;creator=factset&amp;DYN_ARGS=TRUE&amp;DOC_NAME=FAT:FQL_AUDITING_CLIENT_TEMPLATE.FAT&amp;display_string=Audit&amp;VAR:KEY=UZOZKROFML&amp;VAR:QUERY=Q1NGX0VCSVRfT1BFUihBTk4sMTIvMzEvMTk4MCwxMi8zMS8yMDA5LEFZKQ==&amp;WINDOW=FIRST_POPUP&amp;HEIGH","T=450&amp;WIDTH=450&amp;START_MAXIMIZED=FALSE&amp;VAR:CALENDAR=US&amp;VAR:SYMBOL=BCPC&amp;VAR:INDEX=25"}</definedName>
    <definedName name="_3311__FDSAUDITLINK__" hidden="1">{"fdsup://directions/FAT Viewer?action=UPDATE&amp;creator=factset&amp;DYN_ARGS=TRUE&amp;DOC_NAME=FAT:FQL_AUDITING_CLIENT_TEMPLATE.FAT&amp;display_string=Audit&amp;VAR:KEY=UZOZKROFML&amp;VAR:QUERY=Q1NGX0VCSVRfT1BFUihBTk4sMTIvMzEvMTk4MCwxMi8zMS8yMDA5LEFZKQ==&amp;WINDOW=FIRST_POPUP&amp;HEIGH","T=450&amp;WIDTH=450&amp;START_MAXIMIZED=FALSE&amp;VAR:CALENDAR=US&amp;VAR:SYMBOL=BCPC&amp;VAR:INDEX=24"}</definedName>
    <definedName name="_3312__FDSAUDITLINK__" hidden="1">{"fdsup://directions/FAT Viewer?action=UPDATE&amp;creator=factset&amp;DYN_ARGS=TRUE&amp;DOC_NAME=FAT:FQL_AUDITING_CLIENT_TEMPLATE.FAT&amp;display_string=Audit&amp;VAR:KEY=UZOZKROFML&amp;VAR:QUERY=Q1NGX0VCSVRfT1BFUihBTk4sMTIvMzEvMTk4MCwxMi8zMS8yMDA5LEFZKQ==&amp;WINDOW=FIRST_POPUP&amp;HEIGH","T=450&amp;WIDTH=450&amp;START_MAXIMIZED=FALSE&amp;VAR:CALENDAR=US&amp;VAR:SYMBOL=BCPC&amp;VAR:INDEX=23"}</definedName>
    <definedName name="_3313__FDSAUDITLINK__" hidden="1">{"fdsup://directions/FAT Viewer?action=UPDATE&amp;creator=factset&amp;DYN_ARGS=TRUE&amp;DOC_NAME=FAT:FQL_AUDITING_CLIENT_TEMPLATE.FAT&amp;display_string=Audit&amp;VAR:KEY=UZOZKROFML&amp;VAR:QUERY=Q1NGX0VCSVRfT1BFUihBTk4sMTIvMzEvMTk4MCwxMi8zMS8yMDA5LEFZKQ==&amp;WINDOW=FIRST_POPUP&amp;HEIGH","T=450&amp;WIDTH=450&amp;START_MAXIMIZED=FALSE&amp;VAR:CALENDAR=US&amp;VAR:SYMBOL=BCPC&amp;VAR:INDEX=22"}</definedName>
    <definedName name="_3314__FDSAUDITLINK__" hidden="1">{"fdsup://directions/FAT Viewer?action=UPDATE&amp;creator=factset&amp;DYN_ARGS=TRUE&amp;DOC_NAME=FAT:FQL_AUDITING_CLIENT_TEMPLATE.FAT&amp;display_string=Audit&amp;VAR:KEY=UZOZKROFML&amp;VAR:QUERY=Q1NGX0VCSVRfT1BFUihBTk4sMTIvMzEvMTk4MCwxMi8zMS8yMDA5LEFZKQ==&amp;WINDOW=FIRST_POPUP&amp;HEIGH","T=450&amp;WIDTH=450&amp;START_MAXIMIZED=FALSE&amp;VAR:CALENDAR=US&amp;VAR:SYMBOL=BCPC&amp;VAR:INDEX=21"}</definedName>
    <definedName name="_3315__FDSAUDITLINK__" hidden="1">{"fdsup://directions/FAT Viewer?action=UPDATE&amp;creator=factset&amp;DYN_ARGS=TRUE&amp;DOC_NAME=FAT:FQL_AUDITING_CLIENT_TEMPLATE.FAT&amp;display_string=Audit&amp;VAR:KEY=UZOZKROFML&amp;VAR:QUERY=Q1NGX0VCSVRfT1BFUihBTk4sMTIvMzEvMTk4MCwxMi8zMS8yMDA5LEFZKQ==&amp;WINDOW=FIRST_POPUP&amp;HEIGH","T=450&amp;WIDTH=450&amp;START_MAXIMIZED=FALSE&amp;VAR:CALENDAR=US&amp;VAR:SYMBOL=BCPC&amp;VAR:INDEX=20"}</definedName>
    <definedName name="_3316__FDSAUDITLINK__" hidden="1">{"fdsup://directions/FAT Viewer?action=UPDATE&amp;creator=factset&amp;DYN_ARGS=TRUE&amp;DOC_NAME=FAT:FQL_AUDITING_CLIENT_TEMPLATE.FAT&amp;display_string=Audit&amp;VAR:KEY=UZOZKROFML&amp;VAR:QUERY=Q1NGX0VCSVRfT1BFUihBTk4sMTIvMzEvMTk4MCwxMi8zMS8yMDA5LEFZKQ==&amp;WINDOW=FIRST_POPUP&amp;HEIGH","T=450&amp;WIDTH=450&amp;START_MAXIMIZED=FALSE&amp;VAR:CALENDAR=US&amp;VAR:SYMBOL=BCPC&amp;VAR:INDEX=19"}</definedName>
    <definedName name="_3317__FDSAUDITLINK__" hidden="1">{"fdsup://directions/FAT Viewer?action=UPDATE&amp;creator=factset&amp;DYN_ARGS=TRUE&amp;DOC_NAME=FAT:FQL_AUDITING_CLIENT_TEMPLATE.FAT&amp;display_string=Audit&amp;VAR:KEY=UZOZKROFML&amp;VAR:QUERY=Q1NGX0VCSVRfT1BFUihBTk4sMTIvMzEvMTk4MCwxMi8zMS8yMDA5LEFZKQ==&amp;WINDOW=FIRST_POPUP&amp;HEIGH","T=450&amp;WIDTH=450&amp;START_MAXIMIZED=FALSE&amp;VAR:CALENDAR=US&amp;VAR:SYMBOL=BCPC&amp;VAR:INDEX=18"}</definedName>
    <definedName name="_3318__FDSAUDITLINK__" hidden="1">{"fdsup://directions/FAT Viewer?action=UPDATE&amp;creator=factset&amp;DYN_ARGS=TRUE&amp;DOC_NAME=FAT:FQL_AUDITING_CLIENT_TEMPLATE.FAT&amp;display_string=Audit&amp;VAR:KEY=UZOZKROFML&amp;VAR:QUERY=Q1NGX0VCSVRfT1BFUihBTk4sMTIvMzEvMTk4MCwxMi8zMS8yMDA5LEFZKQ==&amp;WINDOW=FIRST_POPUP&amp;HEIGH","T=450&amp;WIDTH=450&amp;START_MAXIMIZED=FALSE&amp;VAR:CALENDAR=US&amp;VAR:SYMBOL=BCPC&amp;VAR:INDEX=17"}</definedName>
    <definedName name="_3319__FDSAUDITLINK__" hidden="1">{"fdsup://directions/FAT Viewer?action=UPDATE&amp;creator=factset&amp;DYN_ARGS=TRUE&amp;DOC_NAME=FAT:FQL_AUDITING_CLIENT_TEMPLATE.FAT&amp;display_string=Audit&amp;VAR:KEY=UZOZKROFML&amp;VAR:QUERY=Q1NGX0VCSVRfT1BFUihBTk4sMTIvMzEvMTk4MCwxMi8zMS8yMDA5LEFZKQ==&amp;WINDOW=FIRST_POPUP&amp;HEIGH","T=450&amp;WIDTH=450&amp;START_MAXIMIZED=FALSE&amp;VAR:CALENDAR=US&amp;VAR:SYMBOL=BCPC&amp;VAR:INDEX=16"}</definedName>
    <definedName name="_332__FDSAUDITLINK__" hidden="1">{"fdsup://directions/FAT Viewer?action=UPDATE&amp;creator=factset&amp;DYN_ARGS=TRUE&amp;DOC_NAME=FAT:FQL_AUDITING_CLIENT_TEMPLATE.FAT&amp;display_string=Audit&amp;VAR:KEY=ANWLIXORWF&amp;VAR:QUERY=Q1NGX0VCSVRfT1BFUihBTk4sMTIvMzEvODAsMCk=&amp;WINDOW=FIRST_POPUP&amp;HEIGHT=450&amp;WIDTH=450&amp;STAR","T_MAXIMIZED=FALSE&amp;VAR:CALENDAR=US&amp;VAR:SYMBOL=WLK&amp;VAR:INDEX=1"}</definedName>
    <definedName name="_3320__FDSAUDITLINK__" hidden="1">{"fdsup://directions/FAT Viewer?action=UPDATE&amp;creator=factset&amp;DYN_ARGS=TRUE&amp;DOC_NAME=FAT:FQL_AUDITING_CLIENT_TEMPLATE.FAT&amp;display_string=Audit&amp;VAR:KEY=UZOZKROFML&amp;VAR:QUERY=Q1NGX0VCSVRfT1BFUihBTk4sMTIvMzEvMTk4MCwxMi8zMS8yMDA5LEFZKQ==&amp;WINDOW=FIRST_POPUP&amp;HEIGH","T=450&amp;WIDTH=450&amp;START_MAXIMIZED=FALSE&amp;VAR:CALENDAR=US&amp;VAR:SYMBOL=BCPC&amp;VAR:INDEX=15"}</definedName>
    <definedName name="_3321__FDSAUDITLINK__" hidden="1">{"fdsup://directions/FAT Viewer?action=UPDATE&amp;creator=factset&amp;DYN_ARGS=TRUE&amp;DOC_NAME=FAT:FQL_AUDITING_CLIENT_TEMPLATE.FAT&amp;display_string=Audit&amp;VAR:KEY=UZOZKROFML&amp;VAR:QUERY=Q1NGX0VCSVRfT1BFUihBTk4sMTIvMzEvMTk4MCwxMi8zMS8yMDA5LEFZKQ==&amp;WINDOW=FIRST_POPUP&amp;HEIGH","T=450&amp;WIDTH=450&amp;START_MAXIMIZED=FALSE&amp;VAR:CALENDAR=US&amp;VAR:SYMBOL=BCPC&amp;VAR:INDEX=14"}</definedName>
    <definedName name="_3322__FDSAUDITLINK__" hidden="1">{"fdsup://directions/FAT Viewer?action=UPDATE&amp;creator=factset&amp;DYN_ARGS=TRUE&amp;DOC_NAME=FAT:FQL_AUDITING_CLIENT_TEMPLATE.FAT&amp;display_string=Audit&amp;VAR:KEY=UZOZKROFML&amp;VAR:QUERY=Q1NGX0VCSVRfT1BFUihBTk4sMTIvMzEvMTk4MCwxMi8zMS8yMDA5LEFZKQ==&amp;WINDOW=FIRST_POPUP&amp;HEIGH","T=450&amp;WIDTH=450&amp;START_MAXIMIZED=FALSE&amp;VAR:CALENDAR=US&amp;VAR:SYMBOL=BCPC&amp;VAR:INDEX=13"}</definedName>
    <definedName name="_3323__FDSAUDITLINK__" hidden="1">{"fdsup://directions/FAT Viewer?action=UPDATE&amp;creator=factset&amp;DYN_ARGS=TRUE&amp;DOC_NAME=FAT:FQL_AUDITING_CLIENT_TEMPLATE.FAT&amp;display_string=Audit&amp;VAR:KEY=UZOZKROFML&amp;VAR:QUERY=Q1NGX0VCSVRfT1BFUihBTk4sMTIvMzEvMTk4MCwxMi8zMS8yMDA5LEFZKQ==&amp;WINDOW=FIRST_POPUP&amp;HEIGH","T=450&amp;WIDTH=450&amp;START_MAXIMIZED=FALSE&amp;VAR:CALENDAR=US&amp;VAR:SYMBOL=BCPC&amp;VAR:INDEX=12"}</definedName>
    <definedName name="_3324__FDSAUDITLINK__" hidden="1">{"fdsup://directions/FAT Viewer?action=UPDATE&amp;creator=factset&amp;DYN_ARGS=TRUE&amp;DOC_NAME=FAT:FQL_AUDITING_CLIENT_TEMPLATE.FAT&amp;display_string=Audit&amp;VAR:KEY=UZOZKROFML&amp;VAR:QUERY=Q1NGX0VCSVRfT1BFUihBTk4sMTIvMzEvMTk4MCwxMi8zMS8yMDA5LEFZKQ==&amp;WINDOW=FIRST_POPUP&amp;HEIGH","T=450&amp;WIDTH=450&amp;START_MAXIMIZED=FALSE&amp;VAR:CALENDAR=US&amp;VAR:SYMBOL=BCPC&amp;VAR:INDEX=11"}</definedName>
    <definedName name="_3325__FDSAUDITLINK__" hidden="1">{"fdsup://directions/FAT Viewer?action=UPDATE&amp;creator=factset&amp;DYN_ARGS=TRUE&amp;DOC_NAME=FAT:FQL_AUDITING_CLIENT_TEMPLATE.FAT&amp;display_string=Audit&amp;VAR:KEY=UZOZKROFML&amp;VAR:QUERY=Q1NGX0VCSVRfT1BFUihBTk4sMTIvMzEvMTk4MCwxMi8zMS8yMDA5LEFZKQ==&amp;WINDOW=FIRST_POPUP&amp;HEIGH","T=450&amp;WIDTH=450&amp;START_MAXIMIZED=FALSE&amp;VAR:CALENDAR=US&amp;VAR:SYMBOL=BCPC&amp;VAR:INDEX=10"}</definedName>
    <definedName name="_3326__FDSAUDITLINK__" hidden="1">{"fdsup://directions/FAT Viewer?action=UPDATE&amp;creator=factset&amp;DYN_ARGS=TRUE&amp;DOC_NAME=FAT:FQL_AUDITING_CLIENT_TEMPLATE.FAT&amp;display_string=Audit&amp;VAR:KEY=UZOZKROFML&amp;VAR:QUERY=Q1NGX0VCSVRfT1BFUihBTk4sMTIvMzEvMTk4MCwxMi8zMS8yMDA5LEFZKQ==&amp;WINDOW=FIRST_POPUP&amp;HEIGH","T=450&amp;WIDTH=450&amp;START_MAXIMIZED=FALSE&amp;VAR:CALENDAR=US&amp;VAR:SYMBOL=BCPC&amp;VAR:INDEX=9"}</definedName>
    <definedName name="_3327__FDSAUDITLINK__" hidden="1">{"fdsup://directions/FAT Viewer?action=UPDATE&amp;creator=factset&amp;DYN_ARGS=TRUE&amp;DOC_NAME=FAT:FQL_AUDITING_CLIENT_TEMPLATE.FAT&amp;display_string=Audit&amp;VAR:KEY=UZOZKROFML&amp;VAR:QUERY=Q1NGX0VCSVRfT1BFUihBTk4sMTIvMzEvMTk4MCwxMi8zMS8yMDA5LEFZKQ==&amp;WINDOW=FIRST_POPUP&amp;HEIGH","T=450&amp;WIDTH=450&amp;START_MAXIMIZED=FALSE&amp;VAR:CALENDAR=US&amp;VAR:SYMBOL=BCPC&amp;VAR:INDEX=8"}</definedName>
    <definedName name="_3328__FDSAUDITLINK__" hidden="1">{"fdsup://directions/FAT Viewer?action=UPDATE&amp;creator=factset&amp;DYN_ARGS=TRUE&amp;DOC_NAME=FAT:FQL_AUDITING_CLIENT_TEMPLATE.FAT&amp;display_string=Audit&amp;VAR:KEY=UZOZKROFML&amp;VAR:QUERY=Q1NGX0VCSVRfT1BFUihBTk4sMTIvMzEvMTk4MCwxMi8zMS8yMDA5LEFZKQ==&amp;WINDOW=FIRST_POPUP&amp;HEIGH","T=450&amp;WIDTH=450&amp;START_MAXIMIZED=FALSE&amp;VAR:CALENDAR=US&amp;VAR:SYMBOL=BCPC&amp;VAR:INDEX=7"}</definedName>
    <definedName name="_3329__FDSAUDITLINK__" hidden="1">{"fdsup://directions/FAT Viewer?action=UPDATE&amp;creator=factset&amp;DYN_ARGS=TRUE&amp;DOC_NAME=FAT:FQL_AUDITING_CLIENT_TEMPLATE.FAT&amp;display_string=Audit&amp;VAR:KEY=UZOZKROFML&amp;VAR:QUERY=Q1NGX0VCSVRfT1BFUihBTk4sMTIvMzEvMTk4MCwxMi8zMS8yMDA5LEFZKQ==&amp;WINDOW=FIRST_POPUP&amp;HEIGH","T=450&amp;WIDTH=450&amp;START_MAXIMIZED=FALSE&amp;VAR:CALENDAR=US&amp;VAR:SYMBOL=BCPC&amp;VAR:INDEX=6"}</definedName>
    <definedName name="_333__FDSAUDITLINK__" hidden="1">{"fdsup://directions/FAT Viewer?action=UPDATE&amp;creator=factset&amp;DYN_ARGS=TRUE&amp;DOC_NAME=FAT:FQL_AUDITING_CLIENT_TEMPLATE.FAT&amp;display_string=Audit&amp;VAR:KEY=ANWLIXORWF&amp;VAR:QUERY=Q1NGX0VCSVRfT1BFUihBTk4sMTIvMzEvODAsMCk=&amp;WINDOW=FIRST_POPUP&amp;HEIGHT=450&amp;WIDTH=450&amp;STAR","T_MAXIMIZED=FALSE&amp;VAR:CALENDAR=US&amp;VAR:SYMBOL=WLK&amp;VAR:INDEX=0"}</definedName>
    <definedName name="_3330__FDSAUDITLINK__" hidden="1">{"fdsup://directions/FAT Viewer?action=UPDATE&amp;creator=factset&amp;DYN_ARGS=TRUE&amp;DOC_NAME=FAT:FQL_AUDITING_CLIENT_TEMPLATE.FAT&amp;display_string=Audit&amp;VAR:KEY=UZOZKROFML&amp;VAR:QUERY=Q1NGX0VCSVRfT1BFUihBTk4sMTIvMzEvMTk4MCwxMi8zMS8yMDA5LEFZKQ==&amp;WINDOW=FIRST_POPUP&amp;HEIGH","T=450&amp;WIDTH=450&amp;START_MAXIMIZED=FALSE&amp;VAR:CALENDAR=US&amp;VAR:SYMBOL=BCPC&amp;VAR:INDEX=5"}</definedName>
    <definedName name="_3331__FDSAUDITLINK__" hidden="1">{"fdsup://directions/FAT Viewer?action=UPDATE&amp;creator=factset&amp;DYN_ARGS=TRUE&amp;DOC_NAME=FAT:FQL_AUDITING_CLIENT_TEMPLATE.FAT&amp;display_string=Audit&amp;VAR:KEY=UZOZKROFML&amp;VAR:QUERY=Q1NGX0VCSVRfT1BFUihBTk4sMTIvMzEvMTk4MCwxMi8zMS8yMDA5LEFZKQ==&amp;WINDOW=FIRST_POPUP&amp;HEIGH","T=450&amp;WIDTH=450&amp;START_MAXIMIZED=FALSE&amp;VAR:CALENDAR=US&amp;VAR:SYMBOL=BCPC&amp;VAR:INDEX=4"}</definedName>
    <definedName name="_3332__FDSAUDITLINK__" hidden="1">{"fdsup://directions/FAT Viewer?action=UPDATE&amp;creator=factset&amp;DYN_ARGS=TRUE&amp;DOC_NAME=FAT:FQL_AUDITING_CLIENT_TEMPLATE.FAT&amp;display_string=Audit&amp;VAR:KEY=UZOZKROFML&amp;VAR:QUERY=Q1NGX0VCSVRfT1BFUihBTk4sMTIvMzEvMTk4MCwxMi8zMS8yMDA5LEFZKQ==&amp;WINDOW=FIRST_POPUP&amp;HEIGH","T=450&amp;WIDTH=450&amp;START_MAXIMIZED=FALSE&amp;VAR:CALENDAR=US&amp;VAR:SYMBOL=BCPC&amp;VAR:INDEX=3"}</definedName>
    <definedName name="_3333__FDSAUDITLINK__" hidden="1">{"fdsup://directions/FAT Viewer?action=UPDATE&amp;creator=factset&amp;DYN_ARGS=TRUE&amp;DOC_NAME=FAT:FQL_AUDITING_CLIENT_TEMPLATE.FAT&amp;display_string=Audit&amp;VAR:KEY=UZOZKROFML&amp;VAR:QUERY=Q1NGX0VCSVRfT1BFUihBTk4sMTIvMzEvMTk4MCwxMi8zMS8yMDA5LEFZKQ==&amp;WINDOW=FIRST_POPUP&amp;HEIGH","T=450&amp;WIDTH=450&amp;START_MAXIMIZED=FALSE&amp;VAR:CALENDAR=US&amp;VAR:SYMBOL=BCPC&amp;VAR:INDEX=2"}</definedName>
    <definedName name="_3334__FDSAUDITLINK__" hidden="1">{"fdsup://directions/FAT Viewer?action=UPDATE&amp;creator=factset&amp;DYN_ARGS=TRUE&amp;DOC_NAME=FAT:FQL_AUDITING_CLIENT_TEMPLATE.FAT&amp;display_string=Audit&amp;VAR:KEY=UZOZKROFML&amp;VAR:QUERY=Q1NGX0VCSVRfT1BFUihBTk4sMTIvMzEvMTk4MCwxMi8zMS8yMDA5LEFZKQ==&amp;WINDOW=FIRST_POPUP&amp;HEIGH","T=450&amp;WIDTH=450&amp;START_MAXIMIZED=FALSE&amp;VAR:CALENDAR=US&amp;VAR:SYMBOL=BCPC&amp;VAR:INDEX=1"}</definedName>
    <definedName name="_3335__FDSAUDITLINK__" hidden="1">{"fdsup://directions/FAT Viewer?action=UPDATE&amp;creator=factset&amp;DYN_ARGS=TRUE&amp;DOC_NAME=FAT:FQL_AUDITING_CLIENT_TEMPLATE.FAT&amp;display_string=Audit&amp;VAR:KEY=UZOZKROFML&amp;VAR:QUERY=Q1NGX0VCSVRfT1BFUihBTk4sMTIvMzEvMTk4MCwxMi8zMS8yMDA5LEFZKQ==&amp;WINDOW=FIRST_POPUP&amp;HEIGH","T=450&amp;WIDTH=450&amp;START_MAXIMIZED=FALSE&amp;VAR:CALENDAR=US&amp;VAR:SYMBOL=BCPC&amp;VAR:INDEX=0"}</definedName>
    <definedName name="_3336__FDSAUDITLINK__" hidden="1">{"fdsup://directions/FAT Viewer?action=UPDATE&amp;creator=factset&amp;DYN_ARGS=TRUE&amp;DOC_NAME=FAT:FQL_AUDITING_CLIENT_TEMPLATE.FAT&amp;display_string=Audit&amp;VAR:KEY=DGRELUXGDQ&amp;VAR:QUERY=Q1NGX0VCSVRfT1BFUihMVE1fUiwwKQ==&amp;WINDOW=FIRST_POPUP&amp;HEIGHT=450&amp;WIDTH=450&amp;START_MAXIMI","ZED=FALSE&amp;VAR:CALENDAR=US&amp;VAR:SYMBOL=ASH&amp;VAR:INDEX=0"}</definedName>
    <definedName name="_3337__FDSAUDITLINK__" hidden="1">{"fdsup://directions/FAT Viewer?action=UPDATE&amp;creator=factset&amp;DYN_ARGS=TRUE&amp;DOC_NAME=FAT:FQL_AUDITING_CLIENT_TEMPLATE.FAT&amp;display_string=Audit&amp;VAR:KEY=WPMJARKBKJ&amp;VAR:QUERY=Q1NGX0VCSVRfT1BFUihBTk4sMTIvMzEvMTk4MCwxMi8zMS8yMDA5LEFZKQ==&amp;WINDOW=FIRST_POPUP&amp;HEIGH","T=450&amp;WIDTH=450&amp;START_MAXIMIZED=FALSE&amp;VAR:CALENDAR=US&amp;VAR:SYMBOL=ASH&amp;VAR:INDEX=29"}</definedName>
    <definedName name="_3338__FDSAUDITLINK__" hidden="1">{"fdsup://directions/FAT Viewer?action=UPDATE&amp;creator=factset&amp;DYN_ARGS=TRUE&amp;DOC_NAME=FAT:FQL_AUDITING_CLIENT_TEMPLATE.FAT&amp;display_string=Audit&amp;VAR:KEY=WPMJARKBKJ&amp;VAR:QUERY=Q1NGX0VCSVRfT1BFUihBTk4sMTIvMzEvMTk4MCwxMi8zMS8yMDA5LEFZKQ==&amp;WINDOW=FIRST_POPUP&amp;HEIGH","T=450&amp;WIDTH=450&amp;START_MAXIMIZED=FALSE&amp;VAR:CALENDAR=US&amp;VAR:SYMBOL=ASH&amp;VAR:INDEX=28"}</definedName>
    <definedName name="_3339__FDSAUDITLINK__" hidden="1">{"fdsup://directions/FAT Viewer?action=UPDATE&amp;creator=factset&amp;DYN_ARGS=TRUE&amp;DOC_NAME=FAT:FQL_AUDITING_CLIENT_TEMPLATE.FAT&amp;display_string=Audit&amp;VAR:KEY=WPMJARKBKJ&amp;VAR:QUERY=Q1NGX0VCSVRfT1BFUihBTk4sMTIvMzEvMTk4MCwxMi8zMS8yMDA5LEFZKQ==&amp;WINDOW=FIRST_POPUP&amp;HEIGH","T=450&amp;WIDTH=450&amp;START_MAXIMIZED=FALSE&amp;VAR:CALENDAR=US&amp;VAR:SYMBOL=ASH&amp;VAR:INDEX=27"}</definedName>
    <definedName name="_334__FDSAUDITLINK__" hidden="1">{"fdsup://directions/FAT Viewer?action=UPDATE&amp;creator=factset&amp;DYN_ARGS=TRUE&amp;DOC_NAME=FAT:FQL_AUDITING_CLIENT_TEMPLATE.FAT&amp;display_string=Audit&amp;VAR:KEY=INMFOFUZWN&amp;VAR:QUERY=Q1NGX0VCSVRfT1BFUihBTk4sMTIvMzEvODAsMCk=&amp;WINDOW=FIRST_POPUP&amp;HEIGHT=450&amp;WIDTH=450&amp;STAR","T_MAXIMIZED=FALSE&amp;VAR:CALENDAR=US&amp;VAR:SYMBOL=UK&amp;VAR:INDEX=20"}</definedName>
    <definedName name="_3340__FDSAUDITLINK__" hidden="1">{"fdsup://directions/FAT Viewer?action=UPDATE&amp;creator=factset&amp;DYN_ARGS=TRUE&amp;DOC_NAME=FAT:FQL_AUDITING_CLIENT_TEMPLATE.FAT&amp;display_string=Audit&amp;VAR:KEY=WPMJARKBKJ&amp;VAR:QUERY=Q1NGX0VCSVRfT1BFUihBTk4sMTIvMzEvMTk4MCwxMi8zMS8yMDA5LEFZKQ==&amp;WINDOW=FIRST_POPUP&amp;HEIGH","T=450&amp;WIDTH=450&amp;START_MAXIMIZED=FALSE&amp;VAR:CALENDAR=US&amp;VAR:SYMBOL=ASH&amp;VAR:INDEX=26"}</definedName>
    <definedName name="_3341__FDSAUDITLINK__" hidden="1">{"fdsup://directions/FAT Viewer?action=UPDATE&amp;creator=factset&amp;DYN_ARGS=TRUE&amp;DOC_NAME=FAT:FQL_AUDITING_CLIENT_TEMPLATE.FAT&amp;display_string=Audit&amp;VAR:KEY=WPMJARKBKJ&amp;VAR:QUERY=Q1NGX0VCSVRfT1BFUihBTk4sMTIvMzEvMTk4MCwxMi8zMS8yMDA5LEFZKQ==&amp;WINDOW=FIRST_POPUP&amp;HEIGH","T=450&amp;WIDTH=450&amp;START_MAXIMIZED=FALSE&amp;VAR:CALENDAR=US&amp;VAR:SYMBOL=ASH&amp;VAR:INDEX=25"}</definedName>
    <definedName name="_3342__FDSAUDITLINK__" hidden="1">{"fdsup://directions/FAT Viewer?action=UPDATE&amp;creator=factset&amp;DYN_ARGS=TRUE&amp;DOC_NAME=FAT:FQL_AUDITING_CLIENT_TEMPLATE.FAT&amp;display_string=Audit&amp;VAR:KEY=WPMJARKBKJ&amp;VAR:QUERY=Q1NGX0VCSVRfT1BFUihBTk4sMTIvMzEvMTk4MCwxMi8zMS8yMDA5LEFZKQ==&amp;WINDOW=FIRST_POPUP&amp;HEIGH","T=450&amp;WIDTH=450&amp;START_MAXIMIZED=FALSE&amp;VAR:CALENDAR=US&amp;VAR:SYMBOL=ASH&amp;VAR:INDEX=24"}</definedName>
    <definedName name="_3343__FDSAUDITLINK__" hidden="1">{"fdsup://directions/FAT Viewer?action=UPDATE&amp;creator=factset&amp;DYN_ARGS=TRUE&amp;DOC_NAME=FAT:FQL_AUDITING_CLIENT_TEMPLATE.FAT&amp;display_string=Audit&amp;VAR:KEY=WPMJARKBKJ&amp;VAR:QUERY=Q1NGX0VCSVRfT1BFUihBTk4sMTIvMzEvMTk4MCwxMi8zMS8yMDA5LEFZKQ==&amp;WINDOW=FIRST_POPUP&amp;HEIGH","T=450&amp;WIDTH=450&amp;START_MAXIMIZED=FALSE&amp;VAR:CALENDAR=US&amp;VAR:SYMBOL=ASH&amp;VAR:INDEX=23"}</definedName>
    <definedName name="_3344__FDSAUDITLINK__" hidden="1">{"fdsup://directions/FAT Viewer?action=UPDATE&amp;creator=factset&amp;DYN_ARGS=TRUE&amp;DOC_NAME=FAT:FQL_AUDITING_CLIENT_TEMPLATE.FAT&amp;display_string=Audit&amp;VAR:KEY=WPMJARKBKJ&amp;VAR:QUERY=Q1NGX0VCSVRfT1BFUihBTk4sMTIvMzEvMTk4MCwxMi8zMS8yMDA5LEFZKQ==&amp;WINDOW=FIRST_POPUP&amp;HEIGH","T=450&amp;WIDTH=450&amp;START_MAXIMIZED=FALSE&amp;VAR:CALENDAR=US&amp;VAR:SYMBOL=ASH&amp;VAR:INDEX=22"}</definedName>
    <definedName name="_3345__FDSAUDITLINK__" hidden="1">{"fdsup://directions/FAT Viewer?action=UPDATE&amp;creator=factset&amp;DYN_ARGS=TRUE&amp;DOC_NAME=FAT:FQL_AUDITING_CLIENT_TEMPLATE.FAT&amp;display_string=Audit&amp;VAR:KEY=WPMJARKBKJ&amp;VAR:QUERY=Q1NGX0VCSVRfT1BFUihBTk4sMTIvMzEvMTk4MCwxMi8zMS8yMDA5LEFZKQ==&amp;WINDOW=FIRST_POPUP&amp;HEIGH","T=450&amp;WIDTH=450&amp;START_MAXIMIZED=FALSE&amp;VAR:CALENDAR=US&amp;VAR:SYMBOL=ASH&amp;VAR:INDEX=21"}</definedName>
    <definedName name="_3346__FDSAUDITLINK__" hidden="1">{"fdsup://directions/FAT Viewer?action=UPDATE&amp;creator=factset&amp;DYN_ARGS=TRUE&amp;DOC_NAME=FAT:FQL_AUDITING_CLIENT_TEMPLATE.FAT&amp;display_string=Audit&amp;VAR:KEY=WPMJARKBKJ&amp;VAR:QUERY=Q1NGX0VCSVRfT1BFUihBTk4sMTIvMzEvMTk4MCwxMi8zMS8yMDA5LEFZKQ==&amp;WINDOW=FIRST_POPUP&amp;HEIGH","T=450&amp;WIDTH=450&amp;START_MAXIMIZED=FALSE&amp;VAR:CALENDAR=US&amp;VAR:SYMBOL=ASH&amp;VAR:INDEX=20"}</definedName>
    <definedName name="_3347__FDSAUDITLINK__" hidden="1">{"fdsup://directions/FAT Viewer?action=UPDATE&amp;creator=factset&amp;DYN_ARGS=TRUE&amp;DOC_NAME=FAT:FQL_AUDITING_CLIENT_TEMPLATE.FAT&amp;display_string=Audit&amp;VAR:KEY=WPMJARKBKJ&amp;VAR:QUERY=Q1NGX0VCSVRfT1BFUihBTk4sMTIvMzEvMTk4MCwxMi8zMS8yMDA5LEFZKQ==&amp;WINDOW=FIRST_POPUP&amp;HEIGH","T=450&amp;WIDTH=450&amp;START_MAXIMIZED=FALSE&amp;VAR:CALENDAR=US&amp;VAR:SYMBOL=ASH&amp;VAR:INDEX=19"}</definedName>
    <definedName name="_3348__FDSAUDITLINK__" hidden="1">{"fdsup://directions/FAT Viewer?action=UPDATE&amp;creator=factset&amp;DYN_ARGS=TRUE&amp;DOC_NAME=FAT:FQL_AUDITING_CLIENT_TEMPLATE.FAT&amp;display_string=Audit&amp;VAR:KEY=WPMJARKBKJ&amp;VAR:QUERY=Q1NGX0VCSVRfT1BFUihBTk4sMTIvMzEvMTk4MCwxMi8zMS8yMDA5LEFZKQ==&amp;WINDOW=FIRST_POPUP&amp;HEIGH","T=450&amp;WIDTH=450&amp;START_MAXIMIZED=FALSE&amp;VAR:CALENDAR=US&amp;VAR:SYMBOL=ASH&amp;VAR:INDEX=18"}</definedName>
    <definedName name="_3349__FDSAUDITLINK__" hidden="1">{"fdsup://directions/FAT Viewer?action=UPDATE&amp;creator=factset&amp;DYN_ARGS=TRUE&amp;DOC_NAME=FAT:FQL_AUDITING_CLIENT_TEMPLATE.FAT&amp;display_string=Audit&amp;VAR:KEY=WPMJARKBKJ&amp;VAR:QUERY=Q1NGX0VCSVRfT1BFUihBTk4sMTIvMzEvMTk4MCwxMi8zMS8yMDA5LEFZKQ==&amp;WINDOW=FIRST_POPUP&amp;HEIGH","T=450&amp;WIDTH=450&amp;START_MAXIMIZED=FALSE&amp;VAR:CALENDAR=US&amp;VAR:SYMBOL=ASH&amp;VAR:INDEX=17"}</definedName>
    <definedName name="_335__FDSAUDITLINK__" hidden="1">{"fdsup://directions/FAT Viewer?action=UPDATE&amp;creator=factset&amp;DYN_ARGS=TRUE&amp;DOC_NAME=FAT:FQL_AUDITING_CLIENT_TEMPLATE.FAT&amp;display_string=Audit&amp;VAR:KEY=INMFOFUZWN&amp;VAR:QUERY=Q1NGX0VCSVRfT1BFUihBTk4sMTIvMzEvODAsMCk=&amp;WINDOW=FIRST_POPUP&amp;HEIGHT=450&amp;WIDTH=450&amp;STAR","T_MAXIMIZED=FALSE&amp;VAR:CALENDAR=US&amp;VAR:SYMBOL=UK&amp;VAR:INDEX=19"}</definedName>
    <definedName name="_3350__FDSAUDITLINK__" hidden="1">{"fdsup://directions/FAT Viewer?action=UPDATE&amp;creator=factset&amp;DYN_ARGS=TRUE&amp;DOC_NAME=FAT:FQL_AUDITING_CLIENT_TEMPLATE.FAT&amp;display_string=Audit&amp;VAR:KEY=WPMJARKBKJ&amp;VAR:QUERY=Q1NGX0VCSVRfT1BFUihBTk4sMTIvMzEvMTk4MCwxMi8zMS8yMDA5LEFZKQ==&amp;WINDOW=FIRST_POPUP&amp;HEIGH","T=450&amp;WIDTH=450&amp;START_MAXIMIZED=FALSE&amp;VAR:CALENDAR=US&amp;VAR:SYMBOL=ASH&amp;VAR:INDEX=16"}</definedName>
    <definedName name="_3351__FDSAUDITLINK__" hidden="1">{"fdsup://directions/FAT Viewer?action=UPDATE&amp;creator=factset&amp;DYN_ARGS=TRUE&amp;DOC_NAME=FAT:FQL_AUDITING_CLIENT_TEMPLATE.FAT&amp;display_string=Audit&amp;VAR:KEY=WPMJARKBKJ&amp;VAR:QUERY=Q1NGX0VCSVRfT1BFUihBTk4sMTIvMzEvMTk4MCwxMi8zMS8yMDA5LEFZKQ==&amp;WINDOW=FIRST_POPUP&amp;HEIGH","T=450&amp;WIDTH=450&amp;START_MAXIMIZED=FALSE&amp;VAR:CALENDAR=US&amp;VAR:SYMBOL=ASH&amp;VAR:INDEX=15"}</definedName>
    <definedName name="_3352__FDSAUDITLINK__" hidden="1">{"fdsup://directions/FAT Viewer?action=UPDATE&amp;creator=factset&amp;DYN_ARGS=TRUE&amp;DOC_NAME=FAT:FQL_AUDITING_CLIENT_TEMPLATE.FAT&amp;display_string=Audit&amp;VAR:KEY=WPMJARKBKJ&amp;VAR:QUERY=Q1NGX0VCSVRfT1BFUihBTk4sMTIvMzEvMTk4MCwxMi8zMS8yMDA5LEFZKQ==&amp;WINDOW=FIRST_POPUP&amp;HEIGH","T=450&amp;WIDTH=450&amp;START_MAXIMIZED=FALSE&amp;VAR:CALENDAR=US&amp;VAR:SYMBOL=ASH&amp;VAR:INDEX=14"}</definedName>
    <definedName name="_3353__FDSAUDITLINK__" hidden="1">{"fdsup://directions/FAT Viewer?action=UPDATE&amp;creator=factset&amp;DYN_ARGS=TRUE&amp;DOC_NAME=FAT:FQL_AUDITING_CLIENT_TEMPLATE.FAT&amp;display_string=Audit&amp;VAR:KEY=WPMJARKBKJ&amp;VAR:QUERY=Q1NGX0VCSVRfT1BFUihBTk4sMTIvMzEvMTk4MCwxMi8zMS8yMDA5LEFZKQ==&amp;WINDOW=FIRST_POPUP&amp;HEIGH","T=450&amp;WIDTH=450&amp;START_MAXIMIZED=FALSE&amp;VAR:CALENDAR=US&amp;VAR:SYMBOL=ASH&amp;VAR:INDEX=13"}</definedName>
    <definedName name="_3354__FDSAUDITLINK__" hidden="1">{"fdsup://directions/FAT Viewer?action=UPDATE&amp;creator=factset&amp;DYN_ARGS=TRUE&amp;DOC_NAME=FAT:FQL_AUDITING_CLIENT_TEMPLATE.FAT&amp;display_string=Audit&amp;VAR:KEY=WPMJARKBKJ&amp;VAR:QUERY=Q1NGX0VCSVRfT1BFUihBTk4sMTIvMzEvMTk4MCwxMi8zMS8yMDA5LEFZKQ==&amp;WINDOW=FIRST_POPUP&amp;HEIGH","T=450&amp;WIDTH=450&amp;START_MAXIMIZED=FALSE&amp;VAR:CALENDAR=US&amp;VAR:SYMBOL=ASH&amp;VAR:INDEX=12"}</definedName>
    <definedName name="_3355__FDSAUDITLINK__" hidden="1">{"fdsup://directions/FAT Viewer?action=UPDATE&amp;creator=factset&amp;DYN_ARGS=TRUE&amp;DOC_NAME=FAT:FQL_AUDITING_CLIENT_TEMPLATE.FAT&amp;display_string=Audit&amp;VAR:KEY=WPMJARKBKJ&amp;VAR:QUERY=Q1NGX0VCSVRfT1BFUihBTk4sMTIvMzEvMTk4MCwxMi8zMS8yMDA5LEFZKQ==&amp;WINDOW=FIRST_POPUP&amp;HEIGH","T=450&amp;WIDTH=450&amp;START_MAXIMIZED=FALSE&amp;VAR:CALENDAR=US&amp;VAR:SYMBOL=ASH&amp;VAR:INDEX=11"}</definedName>
    <definedName name="_3356__FDSAUDITLINK__" hidden="1">{"fdsup://directions/FAT Viewer?action=UPDATE&amp;creator=factset&amp;DYN_ARGS=TRUE&amp;DOC_NAME=FAT:FQL_AUDITING_CLIENT_TEMPLATE.FAT&amp;display_string=Audit&amp;VAR:KEY=WPMJARKBKJ&amp;VAR:QUERY=Q1NGX0VCSVRfT1BFUihBTk4sMTIvMzEvMTk4MCwxMi8zMS8yMDA5LEFZKQ==&amp;WINDOW=FIRST_POPUP&amp;HEIGH","T=450&amp;WIDTH=450&amp;START_MAXIMIZED=FALSE&amp;VAR:CALENDAR=US&amp;VAR:SYMBOL=ASH&amp;VAR:INDEX=10"}</definedName>
    <definedName name="_3357__FDSAUDITLINK__" hidden="1">{"fdsup://directions/FAT Viewer?action=UPDATE&amp;creator=factset&amp;DYN_ARGS=TRUE&amp;DOC_NAME=FAT:FQL_AUDITING_CLIENT_TEMPLATE.FAT&amp;display_string=Audit&amp;VAR:KEY=WPMJARKBKJ&amp;VAR:QUERY=Q1NGX0VCSVRfT1BFUihBTk4sMTIvMzEvMTk4MCwxMi8zMS8yMDA5LEFZKQ==&amp;WINDOW=FIRST_POPUP&amp;HEIGH","T=450&amp;WIDTH=450&amp;START_MAXIMIZED=FALSE&amp;VAR:CALENDAR=US&amp;VAR:SYMBOL=ASH&amp;VAR:INDEX=9"}</definedName>
    <definedName name="_3358__FDSAUDITLINK__" hidden="1">{"fdsup://directions/FAT Viewer?action=UPDATE&amp;creator=factset&amp;DYN_ARGS=TRUE&amp;DOC_NAME=FAT:FQL_AUDITING_CLIENT_TEMPLATE.FAT&amp;display_string=Audit&amp;VAR:KEY=WPMJARKBKJ&amp;VAR:QUERY=Q1NGX0VCSVRfT1BFUihBTk4sMTIvMzEvMTk4MCwxMi8zMS8yMDA5LEFZKQ==&amp;WINDOW=FIRST_POPUP&amp;HEIGH","T=450&amp;WIDTH=450&amp;START_MAXIMIZED=FALSE&amp;VAR:CALENDAR=US&amp;VAR:SYMBOL=ASH&amp;VAR:INDEX=8"}</definedName>
    <definedName name="_3359__FDSAUDITLINK__" hidden="1">{"fdsup://directions/FAT Viewer?action=UPDATE&amp;creator=factset&amp;DYN_ARGS=TRUE&amp;DOC_NAME=FAT:FQL_AUDITING_CLIENT_TEMPLATE.FAT&amp;display_string=Audit&amp;VAR:KEY=WPMJARKBKJ&amp;VAR:QUERY=Q1NGX0VCSVRfT1BFUihBTk4sMTIvMzEvMTk4MCwxMi8zMS8yMDA5LEFZKQ==&amp;WINDOW=FIRST_POPUP&amp;HEIGH","T=450&amp;WIDTH=450&amp;START_MAXIMIZED=FALSE&amp;VAR:CALENDAR=US&amp;VAR:SYMBOL=ASH&amp;VAR:INDEX=7"}</definedName>
    <definedName name="_336__FDSAUDITLINK__" hidden="1">{"fdsup://directions/FAT Viewer?action=UPDATE&amp;creator=factset&amp;DYN_ARGS=TRUE&amp;DOC_NAME=FAT:FQL_AUDITING_CLIENT_TEMPLATE.FAT&amp;display_string=Audit&amp;VAR:KEY=INMFOFUZWN&amp;VAR:QUERY=Q1NGX0VCSVRfT1BFUihBTk4sMTIvMzEvODAsMCk=&amp;WINDOW=FIRST_POPUP&amp;HEIGHT=450&amp;WIDTH=450&amp;STAR","T_MAXIMIZED=FALSE&amp;VAR:CALENDAR=US&amp;VAR:SYMBOL=UK&amp;VAR:INDEX=18"}</definedName>
    <definedName name="_3360__FDSAUDITLINK__" hidden="1">{"fdsup://directions/FAT Viewer?action=UPDATE&amp;creator=factset&amp;DYN_ARGS=TRUE&amp;DOC_NAME=FAT:FQL_AUDITING_CLIENT_TEMPLATE.FAT&amp;display_string=Audit&amp;VAR:KEY=WPMJARKBKJ&amp;VAR:QUERY=Q1NGX0VCSVRfT1BFUihBTk4sMTIvMzEvMTk4MCwxMi8zMS8yMDA5LEFZKQ==&amp;WINDOW=FIRST_POPUP&amp;HEIGH","T=450&amp;WIDTH=450&amp;START_MAXIMIZED=FALSE&amp;VAR:CALENDAR=US&amp;VAR:SYMBOL=ASH&amp;VAR:INDEX=6"}</definedName>
    <definedName name="_3361__FDSAUDITLINK__" hidden="1">{"fdsup://directions/FAT Viewer?action=UPDATE&amp;creator=factset&amp;DYN_ARGS=TRUE&amp;DOC_NAME=FAT:FQL_AUDITING_CLIENT_TEMPLATE.FAT&amp;display_string=Audit&amp;VAR:KEY=WPMJARKBKJ&amp;VAR:QUERY=Q1NGX0VCSVRfT1BFUihBTk4sMTIvMzEvMTk4MCwxMi8zMS8yMDA5LEFZKQ==&amp;WINDOW=FIRST_POPUP&amp;HEIGH","T=450&amp;WIDTH=450&amp;START_MAXIMIZED=FALSE&amp;VAR:CALENDAR=US&amp;VAR:SYMBOL=ASH&amp;VAR:INDEX=5"}</definedName>
    <definedName name="_3362__FDSAUDITLINK__" hidden="1">{"fdsup://directions/FAT Viewer?action=UPDATE&amp;creator=factset&amp;DYN_ARGS=TRUE&amp;DOC_NAME=FAT:FQL_AUDITING_CLIENT_TEMPLATE.FAT&amp;display_string=Audit&amp;VAR:KEY=WPMJARKBKJ&amp;VAR:QUERY=Q1NGX0VCSVRfT1BFUihBTk4sMTIvMzEvMTk4MCwxMi8zMS8yMDA5LEFZKQ==&amp;WINDOW=FIRST_POPUP&amp;HEIGH","T=450&amp;WIDTH=450&amp;START_MAXIMIZED=FALSE&amp;VAR:CALENDAR=US&amp;VAR:SYMBOL=ASH&amp;VAR:INDEX=4"}</definedName>
    <definedName name="_3363__FDSAUDITLINK__" hidden="1">{"fdsup://directions/FAT Viewer?action=UPDATE&amp;creator=factset&amp;DYN_ARGS=TRUE&amp;DOC_NAME=FAT:FQL_AUDITING_CLIENT_TEMPLATE.FAT&amp;display_string=Audit&amp;VAR:KEY=WPMJARKBKJ&amp;VAR:QUERY=Q1NGX0VCSVRfT1BFUihBTk4sMTIvMzEvMTk4MCwxMi8zMS8yMDA5LEFZKQ==&amp;WINDOW=FIRST_POPUP&amp;HEIGH","T=450&amp;WIDTH=450&amp;START_MAXIMIZED=FALSE&amp;VAR:CALENDAR=US&amp;VAR:SYMBOL=ASH&amp;VAR:INDEX=3"}</definedName>
    <definedName name="_3364__FDSAUDITLINK__" hidden="1">{"fdsup://directions/FAT Viewer?action=UPDATE&amp;creator=factset&amp;DYN_ARGS=TRUE&amp;DOC_NAME=FAT:FQL_AUDITING_CLIENT_TEMPLATE.FAT&amp;display_string=Audit&amp;VAR:KEY=WPMJARKBKJ&amp;VAR:QUERY=Q1NGX0VCSVRfT1BFUihBTk4sMTIvMzEvMTk4MCwxMi8zMS8yMDA5LEFZKQ==&amp;WINDOW=FIRST_POPUP&amp;HEIGH","T=450&amp;WIDTH=450&amp;START_MAXIMIZED=FALSE&amp;VAR:CALENDAR=US&amp;VAR:SYMBOL=ASH&amp;VAR:INDEX=2"}</definedName>
    <definedName name="_3365__FDSAUDITLINK__" hidden="1">{"fdsup://directions/FAT Viewer?action=UPDATE&amp;creator=factset&amp;DYN_ARGS=TRUE&amp;DOC_NAME=FAT:FQL_AUDITING_CLIENT_TEMPLATE.FAT&amp;display_string=Audit&amp;VAR:KEY=WPMJARKBKJ&amp;VAR:QUERY=Q1NGX0VCSVRfT1BFUihBTk4sMTIvMzEvMTk4MCwxMi8zMS8yMDA5LEFZKQ==&amp;WINDOW=FIRST_POPUP&amp;HEIGH","T=450&amp;WIDTH=450&amp;START_MAXIMIZED=FALSE&amp;VAR:CALENDAR=US&amp;VAR:SYMBOL=ASH&amp;VAR:INDEX=1"}</definedName>
    <definedName name="_3366__FDSAUDITLINK__" hidden="1">{"fdsup://directions/FAT Viewer?action=UPDATE&amp;creator=factset&amp;DYN_ARGS=TRUE&amp;DOC_NAME=FAT:FQL_AUDITING_CLIENT_TEMPLATE.FAT&amp;display_string=Audit&amp;VAR:KEY=WPMJARKBKJ&amp;VAR:QUERY=Q1NGX0VCSVRfT1BFUihBTk4sMTIvMzEvMTk4MCwxMi8zMS8yMDA5LEFZKQ==&amp;WINDOW=FIRST_POPUP&amp;HEIGH","T=450&amp;WIDTH=450&amp;START_MAXIMIZED=FALSE&amp;VAR:CALENDAR=US&amp;VAR:SYMBOL=ASH&amp;VAR:INDEX=0"}</definedName>
    <definedName name="_3367__FDSAUDITLINK__" hidden="1">{"fdsup://directions/FAT Viewer?action=UPDATE&amp;creator=factset&amp;DYN_ARGS=TRUE&amp;DOC_NAME=FAT:FQL_AUDITING_CLIENT_TEMPLATE.FAT&amp;display_string=Audit&amp;VAR:KEY=HIBWLSFKTC&amp;VAR:QUERY=Q1NGX0VCSVRfT1BFUihMVE1fUiwwKQ==&amp;WINDOW=FIRST_POPUP&amp;HEIGHT=450&amp;WIDTH=450&amp;START_MAXIMI","ZED=FALSE&amp;VAR:CALENDAR=US&amp;VAR:SYMBOL=ARJ&amp;VAR:INDEX=0"}</definedName>
    <definedName name="_3368__FDSAUDITLINK__" hidden="1">{"fdsup://directions/FAT Viewer?action=UPDATE&amp;creator=factset&amp;DYN_ARGS=TRUE&amp;DOC_NAME=FAT:FQL_AUDITING_CLIENT_TEMPLATE.FAT&amp;display_string=Audit&amp;VAR:KEY=AZSLKLWPOJ&amp;VAR:QUERY=Q1NGX0VCSVRfT1BFUihBTk4sMTIvMzEvMTk4MCwxMi8zMS8yMDA5LEFZKQ==&amp;WINDOW=FIRST_POPUP&amp;HEIGH","T=450&amp;WIDTH=450&amp;START_MAXIMIZED=FALSE&amp;VAR:CALENDAR=US&amp;VAR:SYMBOL=ARJ&amp;VAR:INDEX=29"}</definedName>
    <definedName name="_3369__FDSAUDITLINK__" hidden="1">{"fdsup://directions/FAT Viewer?action=UPDATE&amp;creator=factset&amp;DYN_ARGS=TRUE&amp;DOC_NAME=FAT:FQL_AUDITING_CLIENT_TEMPLATE.FAT&amp;display_string=Audit&amp;VAR:KEY=AZSLKLWPOJ&amp;VAR:QUERY=Q1NGX0VCSVRfT1BFUihBTk4sMTIvMzEvMTk4MCwxMi8zMS8yMDA5LEFZKQ==&amp;WINDOW=FIRST_POPUP&amp;HEIGH","T=450&amp;WIDTH=450&amp;START_MAXIMIZED=FALSE&amp;VAR:CALENDAR=US&amp;VAR:SYMBOL=ARJ&amp;VAR:INDEX=28"}</definedName>
    <definedName name="_337__FDSAUDITLINK__" hidden="1">{"fdsup://directions/FAT Viewer?action=UPDATE&amp;creator=factset&amp;DYN_ARGS=TRUE&amp;DOC_NAME=FAT:FQL_AUDITING_CLIENT_TEMPLATE.FAT&amp;display_string=Audit&amp;VAR:KEY=INMFOFUZWN&amp;VAR:QUERY=Q1NGX0VCSVRfT1BFUihBTk4sMTIvMzEvODAsMCk=&amp;WINDOW=FIRST_POPUP&amp;HEIGHT=450&amp;WIDTH=450&amp;STAR","T_MAXIMIZED=FALSE&amp;VAR:CALENDAR=US&amp;VAR:SYMBOL=UK&amp;VAR:INDEX=17"}</definedName>
    <definedName name="_3370__FDSAUDITLINK__" hidden="1">{"fdsup://directions/FAT Viewer?action=UPDATE&amp;creator=factset&amp;DYN_ARGS=TRUE&amp;DOC_NAME=FAT:FQL_AUDITING_CLIENT_TEMPLATE.FAT&amp;display_string=Audit&amp;VAR:KEY=AZSLKLWPOJ&amp;VAR:QUERY=Q1NGX0VCSVRfT1BFUihBTk4sMTIvMzEvMTk4MCwxMi8zMS8yMDA5LEFZKQ==&amp;WINDOW=FIRST_POPUP&amp;HEIGH","T=450&amp;WIDTH=450&amp;START_MAXIMIZED=FALSE&amp;VAR:CALENDAR=US&amp;VAR:SYMBOL=ARJ&amp;VAR:INDEX=27"}</definedName>
    <definedName name="_3371__FDSAUDITLINK__" hidden="1">{"fdsup://directions/FAT Viewer?action=UPDATE&amp;creator=factset&amp;DYN_ARGS=TRUE&amp;DOC_NAME=FAT:FQL_AUDITING_CLIENT_TEMPLATE.FAT&amp;display_string=Audit&amp;VAR:KEY=AZSLKLWPOJ&amp;VAR:QUERY=Q1NGX0VCSVRfT1BFUihBTk4sMTIvMzEvMTk4MCwxMi8zMS8yMDA5LEFZKQ==&amp;WINDOW=FIRST_POPUP&amp;HEIGH","T=450&amp;WIDTH=450&amp;START_MAXIMIZED=FALSE&amp;VAR:CALENDAR=US&amp;VAR:SYMBOL=ARJ&amp;VAR:INDEX=26"}</definedName>
    <definedName name="_3372__FDSAUDITLINK__" hidden="1">{"fdsup://directions/FAT Viewer?action=UPDATE&amp;creator=factset&amp;DYN_ARGS=TRUE&amp;DOC_NAME=FAT:FQL_AUDITING_CLIENT_TEMPLATE.FAT&amp;display_string=Audit&amp;VAR:KEY=AZSLKLWPOJ&amp;VAR:QUERY=Q1NGX0VCSVRfT1BFUihBTk4sMTIvMzEvMTk4MCwxMi8zMS8yMDA5LEFZKQ==&amp;WINDOW=FIRST_POPUP&amp;HEIGH","T=450&amp;WIDTH=450&amp;START_MAXIMIZED=FALSE&amp;VAR:CALENDAR=US&amp;VAR:SYMBOL=ARJ&amp;VAR:INDEX=25"}</definedName>
    <definedName name="_3373__FDSAUDITLINK__" hidden="1">{"fdsup://directions/FAT Viewer?action=UPDATE&amp;creator=factset&amp;DYN_ARGS=TRUE&amp;DOC_NAME=FAT:FQL_AUDITING_CLIENT_TEMPLATE.FAT&amp;display_string=Audit&amp;VAR:KEY=AZSLKLWPOJ&amp;VAR:QUERY=Q1NGX0VCSVRfT1BFUihBTk4sMTIvMzEvMTk4MCwxMi8zMS8yMDA5LEFZKQ==&amp;WINDOW=FIRST_POPUP&amp;HEIGH","T=450&amp;WIDTH=450&amp;START_MAXIMIZED=FALSE&amp;VAR:CALENDAR=US&amp;VAR:SYMBOL=ARJ&amp;VAR:INDEX=24"}</definedName>
    <definedName name="_3374__FDSAUDITLINK__" hidden="1">{"fdsup://directions/FAT Viewer?action=UPDATE&amp;creator=factset&amp;DYN_ARGS=TRUE&amp;DOC_NAME=FAT:FQL_AUDITING_CLIENT_TEMPLATE.FAT&amp;display_string=Audit&amp;VAR:KEY=AZSLKLWPOJ&amp;VAR:QUERY=Q1NGX0VCSVRfT1BFUihBTk4sMTIvMzEvMTk4MCwxMi8zMS8yMDA5LEFZKQ==&amp;WINDOW=FIRST_POPUP&amp;HEIGH","T=450&amp;WIDTH=450&amp;START_MAXIMIZED=FALSE&amp;VAR:CALENDAR=US&amp;VAR:SYMBOL=ARJ&amp;VAR:INDEX=23"}</definedName>
    <definedName name="_3375__FDSAUDITLINK__" hidden="1">{"fdsup://directions/FAT Viewer?action=UPDATE&amp;creator=factset&amp;DYN_ARGS=TRUE&amp;DOC_NAME=FAT:FQL_AUDITING_CLIENT_TEMPLATE.FAT&amp;display_string=Audit&amp;VAR:KEY=AZSLKLWPOJ&amp;VAR:QUERY=Q1NGX0VCSVRfT1BFUihBTk4sMTIvMzEvMTk4MCwxMi8zMS8yMDA5LEFZKQ==&amp;WINDOW=FIRST_POPUP&amp;HEIGH","T=450&amp;WIDTH=450&amp;START_MAXIMIZED=FALSE&amp;VAR:CALENDAR=US&amp;VAR:SYMBOL=ARJ&amp;VAR:INDEX=22"}</definedName>
    <definedName name="_3376__FDSAUDITLINK__" hidden="1">{"fdsup://directions/FAT Viewer?action=UPDATE&amp;creator=factset&amp;DYN_ARGS=TRUE&amp;DOC_NAME=FAT:FQL_AUDITING_CLIENT_TEMPLATE.FAT&amp;display_string=Audit&amp;VAR:KEY=AZSLKLWPOJ&amp;VAR:QUERY=Q1NGX0VCSVRfT1BFUihBTk4sMTIvMzEvMTk4MCwxMi8zMS8yMDA5LEFZKQ==&amp;WINDOW=FIRST_POPUP&amp;HEIGH","T=450&amp;WIDTH=450&amp;START_MAXIMIZED=FALSE&amp;VAR:CALENDAR=US&amp;VAR:SYMBOL=ARJ&amp;VAR:INDEX=21"}</definedName>
    <definedName name="_3377__FDSAUDITLINK__" hidden="1">{"fdsup://directions/FAT Viewer?action=UPDATE&amp;creator=factset&amp;DYN_ARGS=TRUE&amp;DOC_NAME=FAT:FQL_AUDITING_CLIENT_TEMPLATE.FAT&amp;display_string=Audit&amp;VAR:KEY=AZSLKLWPOJ&amp;VAR:QUERY=Q1NGX0VCSVRfT1BFUihBTk4sMTIvMzEvMTk4MCwxMi8zMS8yMDA5LEFZKQ==&amp;WINDOW=FIRST_POPUP&amp;HEIGH","T=450&amp;WIDTH=450&amp;START_MAXIMIZED=FALSE&amp;VAR:CALENDAR=US&amp;VAR:SYMBOL=ARJ&amp;VAR:INDEX=20"}</definedName>
    <definedName name="_3378__FDSAUDITLINK__" hidden="1">{"fdsup://directions/FAT Viewer?action=UPDATE&amp;creator=factset&amp;DYN_ARGS=TRUE&amp;DOC_NAME=FAT:FQL_AUDITING_CLIENT_TEMPLATE.FAT&amp;display_string=Audit&amp;VAR:KEY=AZSLKLWPOJ&amp;VAR:QUERY=Q1NGX0VCSVRfT1BFUihBTk4sMTIvMzEvMTk4MCwxMi8zMS8yMDA5LEFZKQ==&amp;WINDOW=FIRST_POPUP&amp;HEIGH","T=450&amp;WIDTH=450&amp;START_MAXIMIZED=FALSE&amp;VAR:CALENDAR=US&amp;VAR:SYMBOL=ARJ&amp;VAR:INDEX=19"}</definedName>
    <definedName name="_3379__FDSAUDITLINK__" hidden="1">{"fdsup://directions/FAT Viewer?action=UPDATE&amp;creator=factset&amp;DYN_ARGS=TRUE&amp;DOC_NAME=FAT:FQL_AUDITING_CLIENT_TEMPLATE.FAT&amp;display_string=Audit&amp;VAR:KEY=AZSLKLWPOJ&amp;VAR:QUERY=Q1NGX0VCSVRfT1BFUihBTk4sMTIvMzEvMTk4MCwxMi8zMS8yMDA5LEFZKQ==&amp;WINDOW=FIRST_POPUP&amp;HEIGH","T=450&amp;WIDTH=450&amp;START_MAXIMIZED=FALSE&amp;VAR:CALENDAR=US&amp;VAR:SYMBOL=ARJ&amp;VAR:INDEX=18"}</definedName>
    <definedName name="_338__FDSAUDITLINK__" hidden="1">{"fdsup://directions/FAT Viewer?action=UPDATE&amp;creator=factset&amp;DYN_ARGS=TRUE&amp;DOC_NAME=FAT:FQL_AUDITING_CLIENT_TEMPLATE.FAT&amp;display_string=Audit&amp;VAR:KEY=INMFOFUZWN&amp;VAR:QUERY=Q1NGX0VCSVRfT1BFUihBTk4sMTIvMzEvODAsMCk=&amp;WINDOW=FIRST_POPUP&amp;HEIGHT=450&amp;WIDTH=450&amp;STAR","T_MAXIMIZED=FALSE&amp;VAR:CALENDAR=US&amp;VAR:SYMBOL=UK&amp;VAR:INDEX=16"}</definedName>
    <definedName name="_3380__FDSAUDITLINK__" hidden="1">{"fdsup://directions/FAT Viewer?action=UPDATE&amp;creator=factset&amp;DYN_ARGS=TRUE&amp;DOC_NAME=FAT:FQL_AUDITING_CLIENT_TEMPLATE.FAT&amp;display_string=Audit&amp;VAR:KEY=AZSLKLWPOJ&amp;VAR:QUERY=Q1NGX0VCSVRfT1BFUihBTk4sMTIvMzEvMTk4MCwxMi8zMS8yMDA5LEFZKQ==&amp;WINDOW=FIRST_POPUP&amp;HEIGH","T=450&amp;WIDTH=450&amp;START_MAXIMIZED=FALSE&amp;VAR:CALENDAR=US&amp;VAR:SYMBOL=ARJ&amp;VAR:INDEX=17"}</definedName>
    <definedName name="_3381__FDSAUDITLINK__" hidden="1">{"fdsup://directions/FAT Viewer?action=UPDATE&amp;creator=factset&amp;DYN_ARGS=TRUE&amp;DOC_NAME=FAT:FQL_AUDITING_CLIENT_TEMPLATE.FAT&amp;display_string=Audit&amp;VAR:KEY=AZSLKLWPOJ&amp;VAR:QUERY=Q1NGX0VCSVRfT1BFUihBTk4sMTIvMzEvMTk4MCwxMi8zMS8yMDA5LEFZKQ==&amp;WINDOW=FIRST_POPUP&amp;HEIGH","T=450&amp;WIDTH=450&amp;START_MAXIMIZED=FALSE&amp;VAR:CALENDAR=US&amp;VAR:SYMBOL=ARJ&amp;VAR:INDEX=16"}</definedName>
    <definedName name="_3382__FDSAUDITLINK__" hidden="1">{"fdsup://directions/FAT Viewer?action=UPDATE&amp;creator=factset&amp;DYN_ARGS=TRUE&amp;DOC_NAME=FAT:FQL_AUDITING_CLIENT_TEMPLATE.FAT&amp;display_string=Audit&amp;VAR:KEY=AZSLKLWPOJ&amp;VAR:QUERY=Q1NGX0VCSVRfT1BFUihBTk4sMTIvMzEvMTk4MCwxMi8zMS8yMDA5LEFZKQ==&amp;WINDOW=FIRST_POPUP&amp;HEIGH","T=450&amp;WIDTH=450&amp;START_MAXIMIZED=FALSE&amp;VAR:CALENDAR=US&amp;VAR:SYMBOL=ARJ&amp;VAR:INDEX=15"}</definedName>
    <definedName name="_3383__FDSAUDITLINK__" hidden="1">{"fdsup://directions/FAT Viewer?action=UPDATE&amp;creator=factset&amp;DYN_ARGS=TRUE&amp;DOC_NAME=FAT:FQL_AUDITING_CLIENT_TEMPLATE.FAT&amp;display_string=Audit&amp;VAR:KEY=AZSLKLWPOJ&amp;VAR:QUERY=Q1NGX0VCSVRfT1BFUihBTk4sMTIvMzEvMTk4MCwxMi8zMS8yMDA5LEFZKQ==&amp;WINDOW=FIRST_POPUP&amp;HEIGH","T=450&amp;WIDTH=450&amp;START_MAXIMIZED=FALSE&amp;VAR:CALENDAR=US&amp;VAR:SYMBOL=ARJ&amp;VAR:INDEX=14"}</definedName>
    <definedName name="_3384__FDSAUDITLINK__" hidden="1">{"fdsup://directions/FAT Viewer?action=UPDATE&amp;creator=factset&amp;DYN_ARGS=TRUE&amp;DOC_NAME=FAT:FQL_AUDITING_CLIENT_TEMPLATE.FAT&amp;display_string=Audit&amp;VAR:KEY=AZSLKLWPOJ&amp;VAR:QUERY=Q1NGX0VCSVRfT1BFUihBTk4sMTIvMzEvMTk4MCwxMi8zMS8yMDA5LEFZKQ==&amp;WINDOW=FIRST_POPUP&amp;HEIGH","T=450&amp;WIDTH=450&amp;START_MAXIMIZED=FALSE&amp;VAR:CALENDAR=US&amp;VAR:SYMBOL=ARJ&amp;VAR:INDEX=13"}</definedName>
    <definedName name="_3385__FDSAUDITLINK__" hidden="1">{"fdsup://directions/FAT Viewer?action=UPDATE&amp;creator=factset&amp;DYN_ARGS=TRUE&amp;DOC_NAME=FAT:FQL_AUDITING_CLIENT_TEMPLATE.FAT&amp;display_string=Audit&amp;VAR:KEY=AZSLKLWPOJ&amp;VAR:QUERY=Q1NGX0VCSVRfT1BFUihBTk4sMTIvMzEvMTk4MCwxMi8zMS8yMDA5LEFZKQ==&amp;WINDOW=FIRST_POPUP&amp;HEIGH","T=450&amp;WIDTH=450&amp;START_MAXIMIZED=FALSE&amp;VAR:CALENDAR=US&amp;VAR:SYMBOL=ARJ&amp;VAR:INDEX=12"}</definedName>
    <definedName name="_3386__FDSAUDITLINK__" hidden="1">{"fdsup://directions/FAT Viewer?action=UPDATE&amp;creator=factset&amp;DYN_ARGS=TRUE&amp;DOC_NAME=FAT:FQL_AUDITING_CLIENT_TEMPLATE.FAT&amp;display_string=Audit&amp;VAR:KEY=AZSLKLWPOJ&amp;VAR:QUERY=Q1NGX0VCSVRfT1BFUihBTk4sMTIvMzEvMTk4MCwxMi8zMS8yMDA5LEFZKQ==&amp;WINDOW=FIRST_POPUP&amp;HEIGH","T=450&amp;WIDTH=450&amp;START_MAXIMIZED=FALSE&amp;VAR:CALENDAR=US&amp;VAR:SYMBOL=ARJ&amp;VAR:INDEX=11"}</definedName>
    <definedName name="_3387__FDSAUDITLINK__" hidden="1">{"fdsup://directions/FAT Viewer?action=UPDATE&amp;creator=factset&amp;DYN_ARGS=TRUE&amp;DOC_NAME=FAT:FQL_AUDITING_CLIENT_TEMPLATE.FAT&amp;display_string=Audit&amp;VAR:KEY=AZSLKLWPOJ&amp;VAR:QUERY=Q1NGX0VCSVRfT1BFUihBTk4sMTIvMzEvMTk4MCwxMi8zMS8yMDA5LEFZKQ==&amp;WINDOW=FIRST_POPUP&amp;HEIGH","T=450&amp;WIDTH=450&amp;START_MAXIMIZED=FALSE&amp;VAR:CALENDAR=US&amp;VAR:SYMBOL=ARJ&amp;VAR:INDEX=10"}</definedName>
    <definedName name="_3388__FDSAUDITLINK__" hidden="1">{"fdsup://directions/FAT Viewer?action=UPDATE&amp;creator=factset&amp;DYN_ARGS=TRUE&amp;DOC_NAME=FAT:FQL_AUDITING_CLIENT_TEMPLATE.FAT&amp;display_string=Audit&amp;VAR:KEY=AZSLKLWPOJ&amp;VAR:QUERY=Q1NGX0VCSVRfT1BFUihBTk4sMTIvMzEvMTk4MCwxMi8zMS8yMDA5LEFZKQ==&amp;WINDOW=FIRST_POPUP&amp;HEIGH","T=450&amp;WIDTH=450&amp;START_MAXIMIZED=FALSE&amp;VAR:CALENDAR=US&amp;VAR:SYMBOL=ARJ&amp;VAR:INDEX=9"}</definedName>
    <definedName name="_3389__FDSAUDITLINK__" hidden="1">{"fdsup://directions/FAT Viewer?action=UPDATE&amp;creator=factset&amp;DYN_ARGS=TRUE&amp;DOC_NAME=FAT:FQL_AUDITING_CLIENT_TEMPLATE.FAT&amp;display_string=Audit&amp;VAR:KEY=AZSLKLWPOJ&amp;VAR:QUERY=Q1NGX0VCSVRfT1BFUihBTk4sMTIvMzEvMTk4MCwxMi8zMS8yMDA5LEFZKQ==&amp;WINDOW=FIRST_POPUP&amp;HEIGH","T=450&amp;WIDTH=450&amp;START_MAXIMIZED=FALSE&amp;VAR:CALENDAR=US&amp;VAR:SYMBOL=ARJ&amp;VAR:INDEX=8"}</definedName>
    <definedName name="_339__FDSAUDITLINK__" hidden="1">{"fdsup://directions/FAT Viewer?action=UPDATE&amp;creator=factset&amp;DYN_ARGS=TRUE&amp;DOC_NAME=FAT:FQL_AUDITING_CLIENT_TEMPLATE.FAT&amp;display_string=Audit&amp;VAR:KEY=INMFOFUZWN&amp;VAR:QUERY=Q1NGX0VCSVRfT1BFUihBTk4sMTIvMzEvODAsMCk=&amp;WINDOW=FIRST_POPUP&amp;HEIGHT=450&amp;WIDTH=450&amp;STAR","T_MAXIMIZED=FALSE&amp;VAR:CALENDAR=US&amp;VAR:SYMBOL=UK&amp;VAR:INDEX=15"}</definedName>
    <definedName name="_3390__FDSAUDITLINK__" hidden="1">{"fdsup://directions/FAT Viewer?action=UPDATE&amp;creator=factset&amp;DYN_ARGS=TRUE&amp;DOC_NAME=FAT:FQL_AUDITING_CLIENT_TEMPLATE.FAT&amp;display_string=Audit&amp;VAR:KEY=AZSLKLWPOJ&amp;VAR:QUERY=Q1NGX0VCSVRfT1BFUihBTk4sMTIvMzEvMTk4MCwxMi8zMS8yMDA5LEFZKQ==&amp;WINDOW=FIRST_POPUP&amp;HEIGH","T=450&amp;WIDTH=450&amp;START_MAXIMIZED=FALSE&amp;VAR:CALENDAR=US&amp;VAR:SYMBOL=ARJ&amp;VAR:INDEX=7"}</definedName>
    <definedName name="_3391__FDSAUDITLINK__" hidden="1">{"fdsup://directions/FAT Viewer?action=UPDATE&amp;creator=factset&amp;DYN_ARGS=TRUE&amp;DOC_NAME=FAT:FQL_AUDITING_CLIENT_TEMPLATE.FAT&amp;display_string=Audit&amp;VAR:KEY=AZSLKLWPOJ&amp;VAR:QUERY=Q1NGX0VCSVRfT1BFUihBTk4sMTIvMzEvMTk4MCwxMi8zMS8yMDA5LEFZKQ==&amp;WINDOW=FIRST_POPUP&amp;HEIGH","T=450&amp;WIDTH=450&amp;START_MAXIMIZED=FALSE&amp;VAR:CALENDAR=US&amp;VAR:SYMBOL=ARJ&amp;VAR:INDEX=6"}</definedName>
    <definedName name="_3392__FDSAUDITLINK__" hidden="1">{"fdsup://directions/FAT Viewer?action=UPDATE&amp;creator=factset&amp;DYN_ARGS=TRUE&amp;DOC_NAME=FAT:FQL_AUDITING_CLIENT_TEMPLATE.FAT&amp;display_string=Audit&amp;VAR:KEY=AZSLKLWPOJ&amp;VAR:QUERY=Q1NGX0VCSVRfT1BFUihBTk4sMTIvMzEvMTk4MCwxMi8zMS8yMDA5LEFZKQ==&amp;WINDOW=FIRST_POPUP&amp;HEIGH","T=450&amp;WIDTH=450&amp;START_MAXIMIZED=FALSE&amp;VAR:CALENDAR=US&amp;VAR:SYMBOL=ARJ&amp;VAR:INDEX=5"}</definedName>
    <definedName name="_3393__FDSAUDITLINK__" hidden="1">{"fdsup://directions/FAT Viewer?action=UPDATE&amp;creator=factset&amp;DYN_ARGS=TRUE&amp;DOC_NAME=FAT:FQL_AUDITING_CLIENT_TEMPLATE.FAT&amp;display_string=Audit&amp;VAR:KEY=AZSLKLWPOJ&amp;VAR:QUERY=Q1NGX0VCSVRfT1BFUihBTk4sMTIvMzEvMTk4MCwxMi8zMS8yMDA5LEFZKQ==&amp;WINDOW=FIRST_POPUP&amp;HEIGH","T=450&amp;WIDTH=450&amp;START_MAXIMIZED=FALSE&amp;VAR:CALENDAR=US&amp;VAR:SYMBOL=ARJ&amp;VAR:INDEX=4"}</definedName>
    <definedName name="_3394__FDSAUDITLINK__" hidden="1">{"fdsup://directions/FAT Viewer?action=UPDATE&amp;creator=factset&amp;DYN_ARGS=TRUE&amp;DOC_NAME=FAT:FQL_AUDITING_CLIENT_TEMPLATE.FAT&amp;display_string=Audit&amp;VAR:KEY=AZSLKLWPOJ&amp;VAR:QUERY=Q1NGX0VCSVRfT1BFUihBTk4sMTIvMzEvMTk4MCwxMi8zMS8yMDA5LEFZKQ==&amp;WINDOW=FIRST_POPUP&amp;HEIGH","T=450&amp;WIDTH=450&amp;START_MAXIMIZED=FALSE&amp;VAR:CALENDAR=US&amp;VAR:SYMBOL=ARJ&amp;VAR:INDEX=3"}</definedName>
    <definedName name="_3395__FDSAUDITLINK__" hidden="1">{"fdsup://directions/FAT Viewer?action=UPDATE&amp;creator=factset&amp;DYN_ARGS=TRUE&amp;DOC_NAME=FAT:FQL_AUDITING_CLIENT_TEMPLATE.FAT&amp;display_string=Audit&amp;VAR:KEY=AZSLKLWPOJ&amp;VAR:QUERY=Q1NGX0VCSVRfT1BFUihBTk4sMTIvMzEvMTk4MCwxMi8zMS8yMDA5LEFZKQ==&amp;WINDOW=FIRST_POPUP&amp;HEIGH","T=450&amp;WIDTH=450&amp;START_MAXIMIZED=FALSE&amp;VAR:CALENDAR=US&amp;VAR:SYMBOL=ARJ&amp;VAR:INDEX=2"}</definedName>
    <definedName name="_3396__FDSAUDITLINK__" hidden="1">{"fdsup://directions/FAT Viewer?action=UPDATE&amp;creator=factset&amp;DYN_ARGS=TRUE&amp;DOC_NAME=FAT:FQL_AUDITING_CLIENT_TEMPLATE.FAT&amp;display_string=Audit&amp;VAR:KEY=AZSLKLWPOJ&amp;VAR:QUERY=Q1NGX0VCSVRfT1BFUihBTk4sMTIvMzEvMTk4MCwxMi8zMS8yMDA5LEFZKQ==&amp;WINDOW=FIRST_POPUP&amp;HEIGH","T=450&amp;WIDTH=450&amp;START_MAXIMIZED=FALSE&amp;VAR:CALENDAR=US&amp;VAR:SYMBOL=ARJ&amp;VAR:INDEX=1"}</definedName>
    <definedName name="_3397__FDSAUDITLINK__" hidden="1">{"fdsup://directions/FAT Viewer?action=UPDATE&amp;creator=factset&amp;DYN_ARGS=TRUE&amp;DOC_NAME=FAT:FQL_AUDITING_CLIENT_TEMPLATE.FAT&amp;display_string=Audit&amp;VAR:KEY=AZSLKLWPOJ&amp;VAR:QUERY=Q1NGX0VCSVRfT1BFUihBTk4sMTIvMzEvMTk4MCwxMi8zMS8yMDA5LEFZKQ==&amp;WINDOW=FIRST_POPUP&amp;HEIGH","T=450&amp;WIDTH=450&amp;START_MAXIMIZED=FALSE&amp;VAR:CALENDAR=US&amp;VAR:SYMBOL=ARJ&amp;VAR:INDEX=0"}</definedName>
    <definedName name="_3398__FDSAUDITLINK__" hidden="1">{"fdsup://directions/FAT Viewer?action=UPDATE&amp;creator=factset&amp;DYN_ARGS=TRUE&amp;DOC_NAME=FAT:FQL_AUDITING_CLIENT_TEMPLATE.FAT&amp;display_string=Audit&amp;VAR:KEY=LEHMBKLOFC&amp;VAR:QUERY=Q1NGX0VCSVRfT1BFUihMVE1fUiwwKQ==&amp;WINDOW=FIRST_POPUP&amp;HEIGHT=450&amp;WIDTH=450&amp;START_MAXIMI","ZED=FALSE&amp;VAR:CALENDAR=US&amp;VAR:SYMBOL=ALB&amp;VAR:INDEX=0"}</definedName>
    <definedName name="_3399__FDSAUDITLINK__" hidden="1">{"fdsup://directions/FAT Viewer?action=UPDATE&amp;creator=factset&amp;DYN_ARGS=TRUE&amp;DOC_NAME=FAT:FQL_AUDITING_CLIENT_TEMPLATE.FAT&amp;display_string=Audit&amp;VAR:KEY=ULYHOHAJGX&amp;VAR:QUERY=Q1NGX0VCSVRfT1BFUihBTk4sMTIvMzEvMTk4MCwxMi8zMS8yMDA5LEFZKQ==&amp;WINDOW=FIRST_POPUP&amp;HEIGH","T=450&amp;WIDTH=450&amp;START_MAXIMIZED=FALSE&amp;VAR:CALENDAR=US&amp;VAR:SYMBOL=ALB&amp;VAR:INDEX=29"}</definedName>
    <definedName name="_34__FDSAUDITLINK__" hidden="1">{"fdsup://directions/FAT Viewer?action=UPDATE&amp;creator=factset&amp;DYN_ARGS=TRUE&amp;DOC_NAME=FAT:FQL_AUDITING_CLIENT_TEMPLATE.FAT&amp;display_string=Audit&amp;VAR:KEY=OPCTWNULSL&amp;VAR:QUERY=Q1NGX0dST1NTX0lOQyhRVFJfUiwtM0FZLDAsRlEp&amp;WINDOW=FIRST_POPUP&amp;HEIGHT=450&amp;WIDTH=450&amp;STAR","T_MAXIMIZED=FALSE&amp;VAR:CALENDAR=US&amp;VAR:SYMBOL=PPG&amp;VAR:INDEX=5"}</definedName>
    <definedName name="_340__FDSAUDITLINK__" hidden="1">{"fdsup://directions/FAT Viewer?action=UPDATE&amp;creator=factset&amp;DYN_ARGS=TRUE&amp;DOC_NAME=FAT:FQL_AUDITING_CLIENT_TEMPLATE.FAT&amp;display_string=Audit&amp;VAR:KEY=INMFOFUZWN&amp;VAR:QUERY=Q1NGX0VCSVRfT1BFUihBTk4sMTIvMzEvODAsMCk=&amp;WINDOW=FIRST_POPUP&amp;HEIGHT=450&amp;WIDTH=450&amp;STAR","T_MAXIMIZED=FALSE&amp;VAR:CALENDAR=US&amp;VAR:SYMBOL=UK&amp;VAR:INDEX=14"}</definedName>
    <definedName name="_3400__FDSAUDITLINK__" hidden="1">{"fdsup://directions/FAT Viewer?action=UPDATE&amp;creator=factset&amp;DYN_ARGS=TRUE&amp;DOC_NAME=FAT:FQL_AUDITING_CLIENT_TEMPLATE.FAT&amp;display_string=Audit&amp;VAR:KEY=ULYHOHAJGX&amp;VAR:QUERY=Q1NGX0VCSVRfT1BFUihBTk4sMTIvMzEvMTk4MCwxMi8zMS8yMDA5LEFZKQ==&amp;WINDOW=FIRST_POPUP&amp;HEIGH","T=450&amp;WIDTH=450&amp;START_MAXIMIZED=FALSE&amp;VAR:CALENDAR=US&amp;VAR:SYMBOL=ALB&amp;VAR:INDEX=28"}</definedName>
    <definedName name="_3401__FDSAUDITLINK__" hidden="1">{"fdsup://directions/FAT Viewer?action=UPDATE&amp;creator=factset&amp;DYN_ARGS=TRUE&amp;DOC_NAME=FAT:FQL_AUDITING_CLIENT_TEMPLATE.FAT&amp;display_string=Audit&amp;VAR:KEY=ULYHOHAJGX&amp;VAR:QUERY=Q1NGX0VCSVRfT1BFUihBTk4sMTIvMzEvMTk4MCwxMi8zMS8yMDA5LEFZKQ==&amp;WINDOW=FIRST_POPUP&amp;HEIGH","T=450&amp;WIDTH=450&amp;START_MAXIMIZED=FALSE&amp;VAR:CALENDAR=US&amp;VAR:SYMBOL=ALB&amp;VAR:INDEX=27"}</definedName>
    <definedName name="_3402__FDSAUDITLINK__" hidden="1">{"fdsup://directions/FAT Viewer?action=UPDATE&amp;creator=factset&amp;DYN_ARGS=TRUE&amp;DOC_NAME=FAT:FQL_AUDITING_CLIENT_TEMPLATE.FAT&amp;display_string=Audit&amp;VAR:KEY=ULYHOHAJGX&amp;VAR:QUERY=Q1NGX0VCSVRfT1BFUihBTk4sMTIvMzEvMTk4MCwxMi8zMS8yMDA5LEFZKQ==&amp;WINDOW=FIRST_POPUP&amp;HEIGH","T=450&amp;WIDTH=450&amp;START_MAXIMIZED=FALSE&amp;VAR:CALENDAR=US&amp;VAR:SYMBOL=ALB&amp;VAR:INDEX=26"}</definedName>
    <definedName name="_3403__FDSAUDITLINK__" hidden="1">{"fdsup://directions/FAT Viewer?action=UPDATE&amp;creator=factset&amp;DYN_ARGS=TRUE&amp;DOC_NAME=FAT:FQL_AUDITING_CLIENT_TEMPLATE.FAT&amp;display_string=Audit&amp;VAR:KEY=ULYHOHAJGX&amp;VAR:QUERY=Q1NGX0VCSVRfT1BFUihBTk4sMTIvMzEvMTk4MCwxMi8zMS8yMDA5LEFZKQ==&amp;WINDOW=FIRST_POPUP&amp;HEIGH","T=450&amp;WIDTH=450&amp;START_MAXIMIZED=FALSE&amp;VAR:CALENDAR=US&amp;VAR:SYMBOL=ALB&amp;VAR:INDEX=25"}</definedName>
    <definedName name="_3404__FDSAUDITLINK__" hidden="1">{"fdsup://directions/FAT Viewer?action=UPDATE&amp;creator=factset&amp;DYN_ARGS=TRUE&amp;DOC_NAME=FAT:FQL_AUDITING_CLIENT_TEMPLATE.FAT&amp;display_string=Audit&amp;VAR:KEY=ULYHOHAJGX&amp;VAR:QUERY=Q1NGX0VCSVRfT1BFUihBTk4sMTIvMzEvMTk4MCwxMi8zMS8yMDA5LEFZKQ==&amp;WINDOW=FIRST_POPUP&amp;HEIGH","T=450&amp;WIDTH=450&amp;START_MAXIMIZED=FALSE&amp;VAR:CALENDAR=US&amp;VAR:SYMBOL=ALB&amp;VAR:INDEX=24"}</definedName>
    <definedName name="_3405__FDSAUDITLINK__" hidden="1">{"fdsup://directions/FAT Viewer?action=UPDATE&amp;creator=factset&amp;DYN_ARGS=TRUE&amp;DOC_NAME=FAT:FQL_AUDITING_CLIENT_TEMPLATE.FAT&amp;display_string=Audit&amp;VAR:KEY=ULYHOHAJGX&amp;VAR:QUERY=Q1NGX0VCSVRfT1BFUihBTk4sMTIvMzEvMTk4MCwxMi8zMS8yMDA5LEFZKQ==&amp;WINDOW=FIRST_POPUP&amp;HEIGH","T=450&amp;WIDTH=450&amp;START_MAXIMIZED=FALSE&amp;VAR:CALENDAR=US&amp;VAR:SYMBOL=ALB&amp;VAR:INDEX=23"}</definedName>
    <definedName name="_3406__FDSAUDITLINK__" hidden="1">{"fdsup://directions/FAT Viewer?action=UPDATE&amp;creator=factset&amp;DYN_ARGS=TRUE&amp;DOC_NAME=FAT:FQL_AUDITING_CLIENT_TEMPLATE.FAT&amp;display_string=Audit&amp;VAR:KEY=ULYHOHAJGX&amp;VAR:QUERY=Q1NGX0VCSVRfT1BFUihBTk4sMTIvMzEvMTk4MCwxMi8zMS8yMDA5LEFZKQ==&amp;WINDOW=FIRST_POPUP&amp;HEIGH","T=450&amp;WIDTH=450&amp;START_MAXIMIZED=FALSE&amp;VAR:CALENDAR=US&amp;VAR:SYMBOL=ALB&amp;VAR:INDEX=22"}</definedName>
    <definedName name="_3407__FDSAUDITLINK__" hidden="1">{"fdsup://directions/FAT Viewer?action=UPDATE&amp;creator=factset&amp;DYN_ARGS=TRUE&amp;DOC_NAME=FAT:FQL_AUDITING_CLIENT_TEMPLATE.FAT&amp;display_string=Audit&amp;VAR:KEY=ULYHOHAJGX&amp;VAR:QUERY=Q1NGX0VCSVRfT1BFUihBTk4sMTIvMzEvMTk4MCwxMi8zMS8yMDA5LEFZKQ==&amp;WINDOW=FIRST_POPUP&amp;HEIGH","T=450&amp;WIDTH=450&amp;START_MAXIMIZED=FALSE&amp;VAR:CALENDAR=US&amp;VAR:SYMBOL=ALB&amp;VAR:INDEX=21"}</definedName>
    <definedName name="_3408__FDSAUDITLINK__" hidden="1">{"fdsup://directions/FAT Viewer?action=UPDATE&amp;creator=factset&amp;DYN_ARGS=TRUE&amp;DOC_NAME=FAT:FQL_AUDITING_CLIENT_TEMPLATE.FAT&amp;display_string=Audit&amp;VAR:KEY=ULYHOHAJGX&amp;VAR:QUERY=Q1NGX0VCSVRfT1BFUihBTk4sMTIvMzEvMTk4MCwxMi8zMS8yMDA5LEFZKQ==&amp;WINDOW=FIRST_POPUP&amp;HEIGH","T=450&amp;WIDTH=450&amp;START_MAXIMIZED=FALSE&amp;VAR:CALENDAR=US&amp;VAR:SYMBOL=ALB&amp;VAR:INDEX=20"}</definedName>
    <definedName name="_3409__FDSAUDITLINK__" hidden="1">{"fdsup://directions/FAT Viewer?action=UPDATE&amp;creator=factset&amp;DYN_ARGS=TRUE&amp;DOC_NAME=FAT:FQL_AUDITING_CLIENT_TEMPLATE.FAT&amp;display_string=Audit&amp;VAR:KEY=ULYHOHAJGX&amp;VAR:QUERY=Q1NGX0VCSVRfT1BFUihBTk4sMTIvMzEvMTk4MCwxMi8zMS8yMDA5LEFZKQ==&amp;WINDOW=FIRST_POPUP&amp;HEIGH","T=450&amp;WIDTH=450&amp;START_MAXIMIZED=FALSE&amp;VAR:CALENDAR=US&amp;VAR:SYMBOL=ALB&amp;VAR:INDEX=19"}</definedName>
    <definedName name="_341__FDSAUDITLINK__" hidden="1">{"fdsup://directions/FAT Viewer?action=UPDATE&amp;creator=factset&amp;DYN_ARGS=TRUE&amp;DOC_NAME=FAT:FQL_AUDITING_CLIENT_TEMPLATE.FAT&amp;display_string=Audit&amp;VAR:KEY=INMFOFUZWN&amp;VAR:QUERY=Q1NGX0VCSVRfT1BFUihBTk4sMTIvMzEvODAsMCk=&amp;WINDOW=FIRST_POPUP&amp;HEIGHT=450&amp;WIDTH=450&amp;STAR","T_MAXIMIZED=FALSE&amp;VAR:CALENDAR=US&amp;VAR:SYMBOL=UK&amp;VAR:INDEX=13"}</definedName>
    <definedName name="_3410__FDSAUDITLINK__" hidden="1">{"fdsup://directions/FAT Viewer?action=UPDATE&amp;creator=factset&amp;DYN_ARGS=TRUE&amp;DOC_NAME=FAT:FQL_AUDITING_CLIENT_TEMPLATE.FAT&amp;display_string=Audit&amp;VAR:KEY=ULYHOHAJGX&amp;VAR:QUERY=Q1NGX0VCSVRfT1BFUihBTk4sMTIvMzEvMTk4MCwxMi8zMS8yMDA5LEFZKQ==&amp;WINDOW=FIRST_POPUP&amp;HEIGH","T=450&amp;WIDTH=450&amp;START_MAXIMIZED=FALSE&amp;VAR:CALENDAR=US&amp;VAR:SYMBOL=ALB&amp;VAR:INDEX=18"}</definedName>
    <definedName name="_3411__FDSAUDITLINK__" hidden="1">{"fdsup://directions/FAT Viewer?action=UPDATE&amp;creator=factset&amp;DYN_ARGS=TRUE&amp;DOC_NAME=FAT:FQL_AUDITING_CLIENT_TEMPLATE.FAT&amp;display_string=Audit&amp;VAR:KEY=ULYHOHAJGX&amp;VAR:QUERY=Q1NGX0VCSVRfT1BFUihBTk4sMTIvMzEvMTk4MCwxMi8zMS8yMDA5LEFZKQ==&amp;WINDOW=FIRST_POPUP&amp;HEIGH","T=450&amp;WIDTH=450&amp;START_MAXIMIZED=FALSE&amp;VAR:CALENDAR=US&amp;VAR:SYMBOL=ALB&amp;VAR:INDEX=17"}</definedName>
    <definedName name="_3412__FDSAUDITLINK__" hidden="1">{"fdsup://directions/FAT Viewer?action=UPDATE&amp;creator=factset&amp;DYN_ARGS=TRUE&amp;DOC_NAME=FAT:FQL_AUDITING_CLIENT_TEMPLATE.FAT&amp;display_string=Audit&amp;VAR:KEY=ULYHOHAJGX&amp;VAR:QUERY=Q1NGX0VCSVRfT1BFUihBTk4sMTIvMzEvMTk4MCwxMi8zMS8yMDA5LEFZKQ==&amp;WINDOW=FIRST_POPUP&amp;HEIGH","T=450&amp;WIDTH=450&amp;START_MAXIMIZED=FALSE&amp;VAR:CALENDAR=US&amp;VAR:SYMBOL=ALB&amp;VAR:INDEX=16"}</definedName>
    <definedName name="_3413__FDSAUDITLINK__" hidden="1">{"fdsup://directions/FAT Viewer?action=UPDATE&amp;creator=factset&amp;DYN_ARGS=TRUE&amp;DOC_NAME=FAT:FQL_AUDITING_CLIENT_TEMPLATE.FAT&amp;display_string=Audit&amp;VAR:KEY=ULYHOHAJGX&amp;VAR:QUERY=Q1NGX0VCSVRfT1BFUihBTk4sMTIvMzEvMTk4MCwxMi8zMS8yMDA5LEFZKQ==&amp;WINDOW=FIRST_POPUP&amp;HEIGH","T=450&amp;WIDTH=450&amp;START_MAXIMIZED=FALSE&amp;VAR:CALENDAR=US&amp;VAR:SYMBOL=ALB&amp;VAR:INDEX=15"}</definedName>
    <definedName name="_3414__FDSAUDITLINK__" hidden="1">{"fdsup://directions/FAT Viewer?action=UPDATE&amp;creator=factset&amp;DYN_ARGS=TRUE&amp;DOC_NAME=FAT:FQL_AUDITING_CLIENT_TEMPLATE.FAT&amp;display_string=Audit&amp;VAR:KEY=ULYHOHAJGX&amp;VAR:QUERY=Q1NGX0VCSVRfT1BFUihBTk4sMTIvMzEvMTk4MCwxMi8zMS8yMDA5LEFZKQ==&amp;WINDOW=FIRST_POPUP&amp;HEIGH","T=450&amp;WIDTH=450&amp;START_MAXIMIZED=FALSE&amp;VAR:CALENDAR=US&amp;VAR:SYMBOL=ALB&amp;VAR:INDEX=14"}</definedName>
    <definedName name="_3415__FDSAUDITLINK__" hidden="1">{"fdsup://directions/FAT Viewer?action=UPDATE&amp;creator=factset&amp;DYN_ARGS=TRUE&amp;DOC_NAME=FAT:FQL_AUDITING_CLIENT_TEMPLATE.FAT&amp;display_string=Audit&amp;VAR:KEY=ULYHOHAJGX&amp;VAR:QUERY=Q1NGX0VCSVRfT1BFUihBTk4sMTIvMzEvMTk4MCwxMi8zMS8yMDA5LEFZKQ==&amp;WINDOW=FIRST_POPUP&amp;HEIGH","T=450&amp;WIDTH=450&amp;START_MAXIMIZED=FALSE&amp;VAR:CALENDAR=US&amp;VAR:SYMBOL=ALB&amp;VAR:INDEX=13"}</definedName>
    <definedName name="_3416__FDSAUDITLINK__" hidden="1">{"fdsup://directions/FAT Viewer?action=UPDATE&amp;creator=factset&amp;DYN_ARGS=TRUE&amp;DOC_NAME=FAT:FQL_AUDITING_CLIENT_TEMPLATE.FAT&amp;display_string=Audit&amp;VAR:KEY=ULYHOHAJGX&amp;VAR:QUERY=Q1NGX0VCSVRfT1BFUihBTk4sMTIvMzEvMTk4MCwxMi8zMS8yMDA5LEFZKQ==&amp;WINDOW=FIRST_POPUP&amp;HEIGH","T=450&amp;WIDTH=450&amp;START_MAXIMIZED=FALSE&amp;VAR:CALENDAR=US&amp;VAR:SYMBOL=ALB&amp;VAR:INDEX=12"}</definedName>
    <definedName name="_3417__FDSAUDITLINK__" hidden="1">{"fdsup://directions/FAT Viewer?action=UPDATE&amp;creator=factset&amp;DYN_ARGS=TRUE&amp;DOC_NAME=FAT:FQL_AUDITING_CLIENT_TEMPLATE.FAT&amp;display_string=Audit&amp;VAR:KEY=ULYHOHAJGX&amp;VAR:QUERY=Q1NGX0VCSVRfT1BFUihBTk4sMTIvMzEvMTk4MCwxMi8zMS8yMDA5LEFZKQ==&amp;WINDOW=FIRST_POPUP&amp;HEIGH","T=450&amp;WIDTH=450&amp;START_MAXIMIZED=FALSE&amp;VAR:CALENDAR=US&amp;VAR:SYMBOL=ALB&amp;VAR:INDEX=11"}</definedName>
    <definedName name="_3418__FDSAUDITLINK__" hidden="1">{"fdsup://directions/FAT Viewer?action=UPDATE&amp;creator=factset&amp;DYN_ARGS=TRUE&amp;DOC_NAME=FAT:FQL_AUDITING_CLIENT_TEMPLATE.FAT&amp;display_string=Audit&amp;VAR:KEY=ULYHOHAJGX&amp;VAR:QUERY=Q1NGX0VCSVRfT1BFUihBTk4sMTIvMzEvMTk4MCwxMi8zMS8yMDA5LEFZKQ==&amp;WINDOW=FIRST_POPUP&amp;HEIGH","T=450&amp;WIDTH=450&amp;START_MAXIMIZED=FALSE&amp;VAR:CALENDAR=US&amp;VAR:SYMBOL=ALB&amp;VAR:INDEX=10"}</definedName>
    <definedName name="_3419__FDSAUDITLINK__" hidden="1">{"fdsup://directions/FAT Viewer?action=UPDATE&amp;creator=factset&amp;DYN_ARGS=TRUE&amp;DOC_NAME=FAT:FQL_AUDITING_CLIENT_TEMPLATE.FAT&amp;display_string=Audit&amp;VAR:KEY=ULYHOHAJGX&amp;VAR:QUERY=Q1NGX0VCSVRfT1BFUihBTk4sMTIvMzEvMTk4MCwxMi8zMS8yMDA5LEFZKQ==&amp;WINDOW=FIRST_POPUP&amp;HEIGH","T=450&amp;WIDTH=450&amp;START_MAXIMIZED=FALSE&amp;VAR:CALENDAR=US&amp;VAR:SYMBOL=ALB&amp;VAR:INDEX=9"}</definedName>
    <definedName name="_342__FDSAUDITLINK__" hidden="1">{"fdsup://directions/FAT Viewer?action=UPDATE&amp;creator=factset&amp;DYN_ARGS=TRUE&amp;DOC_NAME=FAT:FQL_AUDITING_CLIENT_TEMPLATE.FAT&amp;display_string=Audit&amp;VAR:KEY=INMFOFUZWN&amp;VAR:QUERY=Q1NGX0VCSVRfT1BFUihBTk4sMTIvMzEvODAsMCk=&amp;WINDOW=FIRST_POPUP&amp;HEIGHT=450&amp;WIDTH=450&amp;STAR","T_MAXIMIZED=FALSE&amp;VAR:CALENDAR=US&amp;VAR:SYMBOL=UK&amp;VAR:INDEX=12"}</definedName>
    <definedName name="_3420__FDSAUDITLINK__" hidden="1">{"fdsup://directions/FAT Viewer?action=UPDATE&amp;creator=factset&amp;DYN_ARGS=TRUE&amp;DOC_NAME=FAT:FQL_AUDITING_CLIENT_TEMPLATE.FAT&amp;display_string=Audit&amp;VAR:KEY=ULYHOHAJGX&amp;VAR:QUERY=Q1NGX0VCSVRfT1BFUihBTk4sMTIvMzEvMTk4MCwxMi8zMS8yMDA5LEFZKQ==&amp;WINDOW=FIRST_POPUP&amp;HEIGH","T=450&amp;WIDTH=450&amp;START_MAXIMIZED=FALSE&amp;VAR:CALENDAR=US&amp;VAR:SYMBOL=ALB&amp;VAR:INDEX=8"}</definedName>
    <definedName name="_3421__FDSAUDITLINK__" hidden="1">{"fdsup://directions/FAT Viewer?action=UPDATE&amp;creator=factset&amp;DYN_ARGS=TRUE&amp;DOC_NAME=FAT:FQL_AUDITING_CLIENT_TEMPLATE.FAT&amp;display_string=Audit&amp;VAR:KEY=ULYHOHAJGX&amp;VAR:QUERY=Q1NGX0VCSVRfT1BFUihBTk4sMTIvMzEvMTk4MCwxMi8zMS8yMDA5LEFZKQ==&amp;WINDOW=FIRST_POPUP&amp;HEIGH","T=450&amp;WIDTH=450&amp;START_MAXIMIZED=FALSE&amp;VAR:CALENDAR=US&amp;VAR:SYMBOL=ALB&amp;VAR:INDEX=7"}</definedName>
    <definedName name="_3422__FDSAUDITLINK__" hidden="1">{"fdsup://directions/FAT Viewer?action=UPDATE&amp;creator=factset&amp;DYN_ARGS=TRUE&amp;DOC_NAME=FAT:FQL_AUDITING_CLIENT_TEMPLATE.FAT&amp;display_string=Audit&amp;VAR:KEY=ULYHOHAJGX&amp;VAR:QUERY=Q1NGX0VCSVRfT1BFUihBTk4sMTIvMzEvMTk4MCwxMi8zMS8yMDA5LEFZKQ==&amp;WINDOW=FIRST_POPUP&amp;HEIGH","T=450&amp;WIDTH=450&amp;START_MAXIMIZED=FALSE&amp;VAR:CALENDAR=US&amp;VAR:SYMBOL=ALB&amp;VAR:INDEX=6"}</definedName>
    <definedName name="_3423__FDSAUDITLINK__" hidden="1">{"fdsup://directions/FAT Viewer?action=UPDATE&amp;creator=factset&amp;DYN_ARGS=TRUE&amp;DOC_NAME=FAT:FQL_AUDITING_CLIENT_TEMPLATE.FAT&amp;display_string=Audit&amp;VAR:KEY=ULYHOHAJGX&amp;VAR:QUERY=Q1NGX0VCSVRfT1BFUihBTk4sMTIvMzEvMTk4MCwxMi8zMS8yMDA5LEFZKQ==&amp;WINDOW=FIRST_POPUP&amp;HEIGH","T=450&amp;WIDTH=450&amp;START_MAXIMIZED=FALSE&amp;VAR:CALENDAR=US&amp;VAR:SYMBOL=ALB&amp;VAR:INDEX=5"}</definedName>
    <definedName name="_3424__FDSAUDITLINK__" hidden="1">{"fdsup://directions/FAT Viewer?action=UPDATE&amp;creator=factset&amp;DYN_ARGS=TRUE&amp;DOC_NAME=FAT:FQL_AUDITING_CLIENT_TEMPLATE.FAT&amp;display_string=Audit&amp;VAR:KEY=ULYHOHAJGX&amp;VAR:QUERY=Q1NGX0VCSVRfT1BFUihBTk4sMTIvMzEvMTk4MCwxMi8zMS8yMDA5LEFZKQ==&amp;WINDOW=FIRST_POPUP&amp;HEIGH","T=450&amp;WIDTH=450&amp;START_MAXIMIZED=FALSE&amp;VAR:CALENDAR=US&amp;VAR:SYMBOL=ALB&amp;VAR:INDEX=4"}</definedName>
    <definedName name="_3425__FDSAUDITLINK__" hidden="1">{"fdsup://directions/FAT Viewer?action=UPDATE&amp;creator=factset&amp;DYN_ARGS=TRUE&amp;DOC_NAME=FAT:FQL_AUDITING_CLIENT_TEMPLATE.FAT&amp;display_string=Audit&amp;VAR:KEY=ULYHOHAJGX&amp;VAR:QUERY=Q1NGX0VCSVRfT1BFUihBTk4sMTIvMzEvMTk4MCwxMi8zMS8yMDA5LEFZKQ==&amp;WINDOW=FIRST_POPUP&amp;HEIGH","T=450&amp;WIDTH=450&amp;START_MAXIMIZED=FALSE&amp;VAR:CALENDAR=US&amp;VAR:SYMBOL=ALB&amp;VAR:INDEX=3"}</definedName>
    <definedName name="_3426__FDSAUDITLINK__" hidden="1">{"fdsup://directions/FAT Viewer?action=UPDATE&amp;creator=factset&amp;DYN_ARGS=TRUE&amp;DOC_NAME=FAT:FQL_AUDITING_CLIENT_TEMPLATE.FAT&amp;display_string=Audit&amp;VAR:KEY=ULYHOHAJGX&amp;VAR:QUERY=Q1NGX0VCSVRfT1BFUihBTk4sMTIvMzEvMTk4MCwxMi8zMS8yMDA5LEFZKQ==&amp;WINDOW=FIRST_POPUP&amp;HEIGH","T=450&amp;WIDTH=450&amp;START_MAXIMIZED=FALSE&amp;VAR:CALENDAR=US&amp;VAR:SYMBOL=ALB&amp;VAR:INDEX=2"}</definedName>
    <definedName name="_3427__FDSAUDITLINK__" hidden="1">{"fdsup://directions/FAT Viewer?action=UPDATE&amp;creator=factset&amp;DYN_ARGS=TRUE&amp;DOC_NAME=FAT:FQL_AUDITING_CLIENT_TEMPLATE.FAT&amp;display_string=Audit&amp;VAR:KEY=ULYHOHAJGX&amp;VAR:QUERY=Q1NGX0VCSVRfT1BFUihBTk4sMTIvMzEvMTk4MCwxMi8zMS8yMDA5LEFZKQ==&amp;WINDOW=FIRST_POPUP&amp;HEIGH","T=450&amp;WIDTH=450&amp;START_MAXIMIZED=FALSE&amp;VAR:CALENDAR=US&amp;VAR:SYMBOL=ALB&amp;VAR:INDEX=1"}</definedName>
    <definedName name="_3428__FDSAUDITLINK__" hidden="1">{"fdsup://directions/FAT Viewer?action=UPDATE&amp;creator=factset&amp;DYN_ARGS=TRUE&amp;DOC_NAME=FAT:FQL_AUDITING_CLIENT_TEMPLATE.FAT&amp;display_string=Audit&amp;VAR:KEY=ULYHOHAJGX&amp;VAR:QUERY=Q1NGX0VCSVRfT1BFUihBTk4sMTIvMzEvMTk4MCwxMi8zMS8yMDA5LEFZKQ==&amp;WINDOW=FIRST_POPUP&amp;HEIGH","T=450&amp;WIDTH=450&amp;START_MAXIMIZED=FALSE&amp;VAR:CALENDAR=US&amp;VAR:SYMBOL=ALB&amp;VAR:INDEX=0"}</definedName>
    <definedName name="_3429__FDSAUDITLINK__" hidden="1">{"fdsup://directions/FAT Viewer?action=UPDATE&amp;creator=factset&amp;DYN_ARGS=TRUE&amp;DOC_NAME=FAT:FQL_AUDITING_CLIENT_TEMPLATE.FAT&amp;display_string=Audit&amp;VAR:KEY=ZOTINWLMVO&amp;VAR:QUERY=Q1NGX0VCSVRfT1BFUihMVE1fUiwwKQ==&amp;WINDOW=FIRST_POPUP&amp;HEIGHT=450&amp;WIDTH=450&amp;START_MAXIMI","ZED=FALSE&amp;VAR:CALENDAR=US&amp;VAR:SYMBOL=PPG&amp;VAR:INDEX=0"}</definedName>
    <definedName name="_343__FDSAUDITLINK__" hidden="1">{"fdsup://directions/FAT Viewer?action=UPDATE&amp;creator=factset&amp;DYN_ARGS=TRUE&amp;DOC_NAME=FAT:FQL_AUDITING_CLIENT_TEMPLATE.FAT&amp;display_string=Audit&amp;VAR:KEY=INMFOFUZWN&amp;VAR:QUERY=Q1NGX0VCSVRfT1BFUihBTk4sMTIvMzEvODAsMCk=&amp;WINDOW=FIRST_POPUP&amp;HEIGHT=450&amp;WIDTH=450&amp;STAR","T_MAXIMIZED=FALSE&amp;VAR:CALENDAR=US&amp;VAR:SYMBOL=UK&amp;VAR:INDEX=11"}</definedName>
    <definedName name="_3430__FDSAUDITLINK__" hidden="1">{"fdsup://directions/FAT Viewer?action=UPDATE&amp;creator=factset&amp;DYN_ARGS=TRUE&amp;DOC_NAME=FAT:FQL_AUDITING_CLIENT_TEMPLATE.FAT&amp;display_string=Audit&amp;VAR:KEY=GNMNETGRQH&amp;VAR:QUERY=Q1NGX0VCSVRfT1BFUihBTk4sMTIvMzEvMTk4MCwxMi8zMS8yMDA5LEFZKQ==&amp;WINDOW=FIRST_POPUP&amp;HEIGH","T=450&amp;WIDTH=450&amp;START_MAXIMIZED=FALSE&amp;VAR:CALENDAR=US&amp;VAR:SYMBOL=PPG&amp;VAR:INDEX=29"}</definedName>
    <definedName name="_3431__FDSAUDITLINK__" hidden="1">{"fdsup://directions/FAT Viewer?action=UPDATE&amp;creator=factset&amp;DYN_ARGS=TRUE&amp;DOC_NAME=FAT:FQL_AUDITING_CLIENT_TEMPLATE.FAT&amp;display_string=Audit&amp;VAR:KEY=GNMNETGRQH&amp;VAR:QUERY=Q1NGX0VCSVRfT1BFUihBTk4sMTIvMzEvMTk4MCwxMi8zMS8yMDA5LEFZKQ==&amp;WINDOW=FIRST_POPUP&amp;HEIGH","T=450&amp;WIDTH=450&amp;START_MAXIMIZED=FALSE&amp;VAR:CALENDAR=US&amp;VAR:SYMBOL=PPG&amp;VAR:INDEX=28"}</definedName>
    <definedName name="_3432__FDSAUDITLINK__" hidden="1">{"fdsup://directions/FAT Viewer?action=UPDATE&amp;creator=factset&amp;DYN_ARGS=TRUE&amp;DOC_NAME=FAT:FQL_AUDITING_CLIENT_TEMPLATE.FAT&amp;display_string=Audit&amp;VAR:KEY=GNMNETGRQH&amp;VAR:QUERY=Q1NGX0VCSVRfT1BFUihBTk4sMTIvMzEvMTk4MCwxMi8zMS8yMDA5LEFZKQ==&amp;WINDOW=FIRST_POPUP&amp;HEIGH","T=450&amp;WIDTH=450&amp;START_MAXIMIZED=FALSE&amp;VAR:CALENDAR=US&amp;VAR:SYMBOL=PPG&amp;VAR:INDEX=27"}</definedName>
    <definedName name="_3433__FDSAUDITLINK__" hidden="1">{"fdsup://directions/FAT Viewer?action=UPDATE&amp;creator=factset&amp;DYN_ARGS=TRUE&amp;DOC_NAME=FAT:FQL_AUDITING_CLIENT_TEMPLATE.FAT&amp;display_string=Audit&amp;VAR:KEY=GNMNETGRQH&amp;VAR:QUERY=Q1NGX0VCSVRfT1BFUihBTk4sMTIvMzEvMTk4MCwxMi8zMS8yMDA5LEFZKQ==&amp;WINDOW=FIRST_POPUP&amp;HEIGH","T=450&amp;WIDTH=450&amp;START_MAXIMIZED=FALSE&amp;VAR:CALENDAR=US&amp;VAR:SYMBOL=PPG&amp;VAR:INDEX=26"}</definedName>
    <definedName name="_3434__FDSAUDITLINK__" hidden="1">{"fdsup://directions/FAT Viewer?action=UPDATE&amp;creator=factset&amp;DYN_ARGS=TRUE&amp;DOC_NAME=FAT:FQL_AUDITING_CLIENT_TEMPLATE.FAT&amp;display_string=Audit&amp;VAR:KEY=GNMNETGRQH&amp;VAR:QUERY=Q1NGX0VCSVRfT1BFUihBTk4sMTIvMzEvMTk4MCwxMi8zMS8yMDA5LEFZKQ==&amp;WINDOW=FIRST_POPUP&amp;HEIGH","T=450&amp;WIDTH=450&amp;START_MAXIMIZED=FALSE&amp;VAR:CALENDAR=US&amp;VAR:SYMBOL=PPG&amp;VAR:INDEX=25"}</definedName>
    <definedName name="_3435__FDSAUDITLINK__" hidden="1">{"fdsup://directions/FAT Viewer?action=UPDATE&amp;creator=factset&amp;DYN_ARGS=TRUE&amp;DOC_NAME=FAT:FQL_AUDITING_CLIENT_TEMPLATE.FAT&amp;display_string=Audit&amp;VAR:KEY=GNMNETGRQH&amp;VAR:QUERY=Q1NGX0VCSVRfT1BFUihBTk4sMTIvMzEvMTk4MCwxMi8zMS8yMDA5LEFZKQ==&amp;WINDOW=FIRST_POPUP&amp;HEIGH","T=450&amp;WIDTH=450&amp;START_MAXIMIZED=FALSE&amp;VAR:CALENDAR=US&amp;VAR:SYMBOL=PPG&amp;VAR:INDEX=24"}</definedName>
    <definedName name="_3436__FDSAUDITLINK__" hidden="1">{"fdsup://directions/FAT Viewer?action=UPDATE&amp;creator=factset&amp;DYN_ARGS=TRUE&amp;DOC_NAME=FAT:FQL_AUDITING_CLIENT_TEMPLATE.FAT&amp;display_string=Audit&amp;VAR:KEY=GNMNETGRQH&amp;VAR:QUERY=Q1NGX0VCSVRfT1BFUihBTk4sMTIvMzEvMTk4MCwxMi8zMS8yMDA5LEFZKQ==&amp;WINDOW=FIRST_POPUP&amp;HEIGH","T=450&amp;WIDTH=450&amp;START_MAXIMIZED=FALSE&amp;VAR:CALENDAR=US&amp;VAR:SYMBOL=PPG&amp;VAR:INDEX=23"}</definedName>
    <definedName name="_3437__FDSAUDITLINK__" hidden="1">{"fdsup://directions/FAT Viewer?action=UPDATE&amp;creator=factset&amp;DYN_ARGS=TRUE&amp;DOC_NAME=FAT:FQL_AUDITING_CLIENT_TEMPLATE.FAT&amp;display_string=Audit&amp;VAR:KEY=GNMNETGRQH&amp;VAR:QUERY=Q1NGX0VCSVRfT1BFUihBTk4sMTIvMzEvMTk4MCwxMi8zMS8yMDA5LEFZKQ==&amp;WINDOW=FIRST_POPUP&amp;HEIGH","T=450&amp;WIDTH=450&amp;START_MAXIMIZED=FALSE&amp;VAR:CALENDAR=US&amp;VAR:SYMBOL=PPG&amp;VAR:INDEX=22"}</definedName>
    <definedName name="_3438__FDSAUDITLINK__" hidden="1">{"fdsup://directions/FAT Viewer?action=UPDATE&amp;creator=factset&amp;DYN_ARGS=TRUE&amp;DOC_NAME=FAT:FQL_AUDITING_CLIENT_TEMPLATE.FAT&amp;display_string=Audit&amp;VAR:KEY=GNMNETGRQH&amp;VAR:QUERY=Q1NGX0VCSVRfT1BFUihBTk4sMTIvMzEvMTk4MCwxMi8zMS8yMDA5LEFZKQ==&amp;WINDOW=FIRST_POPUP&amp;HEIGH","T=450&amp;WIDTH=450&amp;START_MAXIMIZED=FALSE&amp;VAR:CALENDAR=US&amp;VAR:SYMBOL=PPG&amp;VAR:INDEX=21"}</definedName>
    <definedName name="_3439__FDSAUDITLINK__" hidden="1">{"fdsup://directions/FAT Viewer?action=UPDATE&amp;creator=factset&amp;DYN_ARGS=TRUE&amp;DOC_NAME=FAT:FQL_AUDITING_CLIENT_TEMPLATE.FAT&amp;display_string=Audit&amp;VAR:KEY=GNMNETGRQH&amp;VAR:QUERY=Q1NGX0VCSVRfT1BFUihBTk4sMTIvMzEvMTk4MCwxMi8zMS8yMDA5LEFZKQ==&amp;WINDOW=FIRST_POPUP&amp;HEIGH","T=450&amp;WIDTH=450&amp;START_MAXIMIZED=FALSE&amp;VAR:CALENDAR=US&amp;VAR:SYMBOL=PPG&amp;VAR:INDEX=20"}</definedName>
    <definedName name="_344__FDSAUDITLINK__" hidden="1">{"fdsup://directions/FAT Viewer?action=UPDATE&amp;creator=factset&amp;DYN_ARGS=TRUE&amp;DOC_NAME=FAT:FQL_AUDITING_CLIENT_TEMPLATE.FAT&amp;display_string=Audit&amp;VAR:KEY=INMFOFUZWN&amp;VAR:QUERY=Q1NGX0VCSVRfT1BFUihBTk4sMTIvMzEvODAsMCk=&amp;WINDOW=FIRST_POPUP&amp;HEIGHT=450&amp;WIDTH=450&amp;STAR","T_MAXIMIZED=FALSE&amp;VAR:CALENDAR=US&amp;VAR:SYMBOL=UK&amp;VAR:INDEX=10"}</definedName>
    <definedName name="_3440__FDSAUDITLINK__" hidden="1">{"fdsup://directions/FAT Viewer?action=UPDATE&amp;creator=factset&amp;DYN_ARGS=TRUE&amp;DOC_NAME=FAT:FQL_AUDITING_CLIENT_TEMPLATE.FAT&amp;display_string=Audit&amp;VAR:KEY=GNMNETGRQH&amp;VAR:QUERY=Q1NGX0VCSVRfT1BFUihBTk4sMTIvMzEvMTk4MCwxMi8zMS8yMDA5LEFZKQ==&amp;WINDOW=FIRST_POPUP&amp;HEIGH","T=450&amp;WIDTH=450&amp;START_MAXIMIZED=FALSE&amp;VAR:CALENDAR=US&amp;VAR:SYMBOL=PPG&amp;VAR:INDEX=19"}</definedName>
    <definedName name="_3441__FDSAUDITLINK__" hidden="1">{"fdsup://directions/FAT Viewer?action=UPDATE&amp;creator=factset&amp;DYN_ARGS=TRUE&amp;DOC_NAME=FAT:FQL_AUDITING_CLIENT_TEMPLATE.FAT&amp;display_string=Audit&amp;VAR:KEY=GNMNETGRQH&amp;VAR:QUERY=Q1NGX0VCSVRfT1BFUihBTk4sMTIvMzEvMTk4MCwxMi8zMS8yMDA5LEFZKQ==&amp;WINDOW=FIRST_POPUP&amp;HEIGH","T=450&amp;WIDTH=450&amp;START_MAXIMIZED=FALSE&amp;VAR:CALENDAR=US&amp;VAR:SYMBOL=PPG&amp;VAR:INDEX=18"}</definedName>
    <definedName name="_3442__FDSAUDITLINK__" hidden="1">{"fdsup://directions/FAT Viewer?action=UPDATE&amp;creator=factset&amp;DYN_ARGS=TRUE&amp;DOC_NAME=FAT:FQL_AUDITING_CLIENT_TEMPLATE.FAT&amp;display_string=Audit&amp;VAR:KEY=GNMNETGRQH&amp;VAR:QUERY=Q1NGX0VCSVRfT1BFUihBTk4sMTIvMzEvMTk4MCwxMi8zMS8yMDA5LEFZKQ==&amp;WINDOW=FIRST_POPUP&amp;HEIGH","T=450&amp;WIDTH=450&amp;START_MAXIMIZED=FALSE&amp;VAR:CALENDAR=US&amp;VAR:SYMBOL=PPG&amp;VAR:INDEX=17"}</definedName>
    <definedName name="_3443__FDSAUDITLINK__" hidden="1">{"fdsup://directions/FAT Viewer?action=UPDATE&amp;creator=factset&amp;DYN_ARGS=TRUE&amp;DOC_NAME=FAT:FQL_AUDITING_CLIENT_TEMPLATE.FAT&amp;display_string=Audit&amp;VAR:KEY=GNMNETGRQH&amp;VAR:QUERY=Q1NGX0VCSVRfT1BFUihBTk4sMTIvMzEvMTk4MCwxMi8zMS8yMDA5LEFZKQ==&amp;WINDOW=FIRST_POPUP&amp;HEIGH","T=450&amp;WIDTH=450&amp;START_MAXIMIZED=FALSE&amp;VAR:CALENDAR=US&amp;VAR:SYMBOL=PPG&amp;VAR:INDEX=16"}</definedName>
    <definedName name="_3444__FDSAUDITLINK__" hidden="1">{"fdsup://directions/FAT Viewer?action=UPDATE&amp;creator=factset&amp;DYN_ARGS=TRUE&amp;DOC_NAME=FAT:FQL_AUDITING_CLIENT_TEMPLATE.FAT&amp;display_string=Audit&amp;VAR:KEY=GNMNETGRQH&amp;VAR:QUERY=Q1NGX0VCSVRfT1BFUihBTk4sMTIvMzEvMTk4MCwxMi8zMS8yMDA5LEFZKQ==&amp;WINDOW=FIRST_POPUP&amp;HEIGH","T=450&amp;WIDTH=450&amp;START_MAXIMIZED=FALSE&amp;VAR:CALENDAR=US&amp;VAR:SYMBOL=PPG&amp;VAR:INDEX=15"}</definedName>
    <definedName name="_3445__FDSAUDITLINK__" hidden="1">{"fdsup://directions/FAT Viewer?action=UPDATE&amp;creator=factset&amp;DYN_ARGS=TRUE&amp;DOC_NAME=FAT:FQL_AUDITING_CLIENT_TEMPLATE.FAT&amp;display_string=Audit&amp;VAR:KEY=GNMNETGRQH&amp;VAR:QUERY=Q1NGX0VCSVRfT1BFUihBTk4sMTIvMzEvMTk4MCwxMi8zMS8yMDA5LEFZKQ==&amp;WINDOW=FIRST_POPUP&amp;HEIGH","T=450&amp;WIDTH=450&amp;START_MAXIMIZED=FALSE&amp;VAR:CALENDAR=US&amp;VAR:SYMBOL=PPG&amp;VAR:INDEX=14"}</definedName>
    <definedName name="_3446__FDSAUDITLINK__" hidden="1">{"fdsup://directions/FAT Viewer?action=UPDATE&amp;creator=factset&amp;DYN_ARGS=TRUE&amp;DOC_NAME=FAT:FQL_AUDITING_CLIENT_TEMPLATE.FAT&amp;display_string=Audit&amp;VAR:KEY=GNMNETGRQH&amp;VAR:QUERY=Q1NGX0VCSVRfT1BFUihBTk4sMTIvMzEvMTk4MCwxMi8zMS8yMDA5LEFZKQ==&amp;WINDOW=FIRST_POPUP&amp;HEIGH","T=450&amp;WIDTH=450&amp;START_MAXIMIZED=FALSE&amp;VAR:CALENDAR=US&amp;VAR:SYMBOL=PPG&amp;VAR:INDEX=13"}</definedName>
    <definedName name="_3447__FDSAUDITLINK__" hidden="1">{"fdsup://directions/FAT Viewer?action=UPDATE&amp;creator=factset&amp;DYN_ARGS=TRUE&amp;DOC_NAME=FAT:FQL_AUDITING_CLIENT_TEMPLATE.FAT&amp;display_string=Audit&amp;VAR:KEY=GNMNETGRQH&amp;VAR:QUERY=Q1NGX0VCSVRfT1BFUihBTk4sMTIvMzEvMTk4MCwxMi8zMS8yMDA5LEFZKQ==&amp;WINDOW=FIRST_POPUP&amp;HEIGH","T=450&amp;WIDTH=450&amp;START_MAXIMIZED=FALSE&amp;VAR:CALENDAR=US&amp;VAR:SYMBOL=PPG&amp;VAR:INDEX=12"}</definedName>
    <definedName name="_3448__FDSAUDITLINK__" hidden="1">{"fdsup://directions/FAT Viewer?action=UPDATE&amp;creator=factset&amp;DYN_ARGS=TRUE&amp;DOC_NAME=FAT:FQL_AUDITING_CLIENT_TEMPLATE.FAT&amp;display_string=Audit&amp;VAR:KEY=GNMNETGRQH&amp;VAR:QUERY=Q1NGX0VCSVRfT1BFUihBTk4sMTIvMzEvMTk4MCwxMi8zMS8yMDA5LEFZKQ==&amp;WINDOW=FIRST_POPUP&amp;HEIGH","T=450&amp;WIDTH=450&amp;START_MAXIMIZED=FALSE&amp;VAR:CALENDAR=US&amp;VAR:SYMBOL=PPG&amp;VAR:INDEX=11"}</definedName>
    <definedName name="_3449__FDSAUDITLINK__" hidden="1">{"fdsup://directions/FAT Viewer?action=UPDATE&amp;creator=factset&amp;DYN_ARGS=TRUE&amp;DOC_NAME=FAT:FQL_AUDITING_CLIENT_TEMPLATE.FAT&amp;display_string=Audit&amp;VAR:KEY=GNMNETGRQH&amp;VAR:QUERY=Q1NGX0VCSVRfT1BFUihBTk4sMTIvMzEvMTk4MCwxMi8zMS8yMDA5LEFZKQ==&amp;WINDOW=FIRST_POPUP&amp;HEIGH","T=450&amp;WIDTH=450&amp;START_MAXIMIZED=FALSE&amp;VAR:CALENDAR=US&amp;VAR:SYMBOL=PPG&amp;VAR:INDEX=10"}</definedName>
    <definedName name="_345__FDSAUDITLINK__" hidden="1">{"fdsup://directions/FAT Viewer?action=UPDATE&amp;creator=factset&amp;DYN_ARGS=TRUE&amp;DOC_NAME=FAT:FQL_AUDITING_CLIENT_TEMPLATE.FAT&amp;display_string=Audit&amp;VAR:KEY=INMFOFUZWN&amp;VAR:QUERY=Q1NGX0VCSVRfT1BFUihBTk4sMTIvMzEvODAsMCk=&amp;WINDOW=FIRST_POPUP&amp;HEIGHT=450&amp;WIDTH=450&amp;STAR","T_MAXIMIZED=FALSE&amp;VAR:CALENDAR=US&amp;VAR:SYMBOL=UK&amp;VAR:INDEX=9"}</definedName>
    <definedName name="_3450__FDSAUDITLINK__" hidden="1">{"fdsup://directions/FAT Viewer?action=UPDATE&amp;creator=factset&amp;DYN_ARGS=TRUE&amp;DOC_NAME=FAT:FQL_AUDITING_CLIENT_TEMPLATE.FAT&amp;display_string=Audit&amp;VAR:KEY=GNMNETGRQH&amp;VAR:QUERY=Q1NGX0VCSVRfT1BFUihBTk4sMTIvMzEvMTk4MCwxMi8zMS8yMDA5LEFZKQ==&amp;WINDOW=FIRST_POPUP&amp;HEIGH","T=450&amp;WIDTH=450&amp;START_MAXIMIZED=FALSE&amp;VAR:CALENDAR=US&amp;VAR:SYMBOL=PPG&amp;VAR:INDEX=9"}</definedName>
    <definedName name="_3451__FDSAUDITLINK__" hidden="1">{"fdsup://directions/FAT Viewer?action=UPDATE&amp;creator=factset&amp;DYN_ARGS=TRUE&amp;DOC_NAME=FAT:FQL_AUDITING_CLIENT_TEMPLATE.FAT&amp;display_string=Audit&amp;VAR:KEY=GNMNETGRQH&amp;VAR:QUERY=Q1NGX0VCSVRfT1BFUihBTk4sMTIvMzEvMTk4MCwxMi8zMS8yMDA5LEFZKQ==&amp;WINDOW=FIRST_POPUP&amp;HEIGH","T=450&amp;WIDTH=450&amp;START_MAXIMIZED=FALSE&amp;VAR:CALENDAR=US&amp;VAR:SYMBOL=PPG&amp;VAR:INDEX=8"}</definedName>
    <definedName name="_3452__FDSAUDITLINK__" hidden="1">{"fdsup://directions/FAT Viewer?action=UPDATE&amp;creator=factset&amp;DYN_ARGS=TRUE&amp;DOC_NAME=FAT:FQL_AUDITING_CLIENT_TEMPLATE.FAT&amp;display_string=Audit&amp;VAR:KEY=GNMNETGRQH&amp;VAR:QUERY=Q1NGX0VCSVRfT1BFUihBTk4sMTIvMzEvMTk4MCwxMi8zMS8yMDA5LEFZKQ==&amp;WINDOW=FIRST_POPUP&amp;HEIGH","T=450&amp;WIDTH=450&amp;START_MAXIMIZED=FALSE&amp;VAR:CALENDAR=US&amp;VAR:SYMBOL=PPG&amp;VAR:INDEX=7"}</definedName>
    <definedName name="_3453__FDSAUDITLINK__" hidden="1">{"fdsup://directions/FAT Viewer?action=UPDATE&amp;creator=factset&amp;DYN_ARGS=TRUE&amp;DOC_NAME=FAT:FQL_AUDITING_CLIENT_TEMPLATE.FAT&amp;display_string=Audit&amp;VAR:KEY=GNMNETGRQH&amp;VAR:QUERY=Q1NGX0VCSVRfT1BFUihBTk4sMTIvMzEvMTk4MCwxMi8zMS8yMDA5LEFZKQ==&amp;WINDOW=FIRST_POPUP&amp;HEIGH","T=450&amp;WIDTH=450&amp;START_MAXIMIZED=FALSE&amp;VAR:CALENDAR=US&amp;VAR:SYMBOL=PPG&amp;VAR:INDEX=6"}</definedName>
    <definedName name="_3454__FDSAUDITLINK__" hidden="1">{"fdsup://directions/FAT Viewer?action=UPDATE&amp;creator=factset&amp;DYN_ARGS=TRUE&amp;DOC_NAME=FAT:FQL_AUDITING_CLIENT_TEMPLATE.FAT&amp;display_string=Audit&amp;VAR:KEY=GNMNETGRQH&amp;VAR:QUERY=Q1NGX0VCSVRfT1BFUihBTk4sMTIvMzEvMTk4MCwxMi8zMS8yMDA5LEFZKQ==&amp;WINDOW=FIRST_POPUP&amp;HEIGH","T=450&amp;WIDTH=450&amp;START_MAXIMIZED=FALSE&amp;VAR:CALENDAR=US&amp;VAR:SYMBOL=PPG&amp;VAR:INDEX=5"}</definedName>
    <definedName name="_3455__FDSAUDITLINK__" hidden="1">{"fdsup://directions/FAT Viewer?action=UPDATE&amp;creator=factset&amp;DYN_ARGS=TRUE&amp;DOC_NAME=FAT:FQL_AUDITING_CLIENT_TEMPLATE.FAT&amp;display_string=Audit&amp;VAR:KEY=GNMNETGRQH&amp;VAR:QUERY=Q1NGX0VCSVRfT1BFUihBTk4sMTIvMzEvMTk4MCwxMi8zMS8yMDA5LEFZKQ==&amp;WINDOW=FIRST_POPUP&amp;HEIGH","T=450&amp;WIDTH=450&amp;START_MAXIMIZED=FALSE&amp;VAR:CALENDAR=US&amp;VAR:SYMBOL=PPG&amp;VAR:INDEX=4"}</definedName>
    <definedName name="_3456__FDSAUDITLINK__" hidden="1">{"fdsup://directions/FAT Viewer?action=UPDATE&amp;creator=factset&amp;DYN_ARGS=TRUE&amp;DOC_NAME=FAT:FQL_AUDITING_CLIENT_TEMPLATE.FAT&amp;display_string=Audit&amp;VAR:KEY=GNMNETGRQH&amp;VAR:QUERY=Q1NGX0VCSVRfT1BFUihBTk4sMTIvMzEvMTk4MCwxMi8zMS8yMDA5LEFZKQ==&amp;WINDOW=FIRST_POPUP&amp;HEIGH","T=450&amp;WIDTH=450&amp;START_MAXIMIZED=FALSE&amp;VAR:CALENDAR=US&amp;VAR:SYMBOL=PPG&amp;VAR:INDEX=3"}</definedName>
    <definedName name="_3457__FDSAUDITLINK__" hidden="1">{"fdsup://directions/FAT Viewer?action=UPDATE&amp;creator=factset&amp;DYN_ARGS=TRUE&amp;DOC_NAME=FAT:FQL_AUDITING_CLIENT_TEMPLATE.FAT&amp;display_string=Audit&amp;VAR:KEY=GNMNETGRQH&amp;VAR:QUERY=Q1NGX0VCSVRfT1BFUihBTk4sMTIvMzEvMTk4MCwxMi8zMS8yMDA5LEFZKQ==&amp;WINDOW=FIRST_POPUP&amp;HEIGH","T=450&amp;WIDTH=450&amp;START_MAXIMIZED=FALSE&amp;VAR:CALENDAR=US&amp;VAR:SYMBOL=PPG&amp;VAR:INDEX=2"}</definedName>
    <definedName name="_3458__FDSAUDITLINK__" hidden="1">{"fdsup://directions/FAT Viewer?action=UPDATE&amp;creator=factset&amp;DYN_ARGS=TRUE&amp;DOC_NAME=FAT:FQL_AUDITING_CLIENT_TEMPLATE.FAT&amp;display_string=Audit&amp;VAR:KEY=GNMNETGRQH&amp;VAR:QUERY=Q1NGX0VCSVRfT1BFUihBTk4sMTIvMzEvMTk4MCwxMi8zMS8yMDA5LEFZKQ==&amp;WINDOW=FIRST_POPUP&amp;HEIGH","T=450&amp;WIDTH=450&amp;START_MAXIMIZED=FALSE&amp;VAR:CALENDAR=US&amp;VAR:SYMBOL=PPG&amp;VAR:INDEX=1"}</definedName>
    <definedName name="_3459__FDSAUDITLINK__" hidden="1">{"fdsup://directions/FAT Viewer?action=UPDATE&amp;creator=factset&amp;DYN_ARGS=TRUE&amp;DOC_NAME=FAT:FQL_AUDITING_CLIENT_TEMPLATE.FAT&amp;display_string=Audit&amp;VAR:KEY=GNMNETGRQH&amp;VAR:QUERY=Q1NGX0VCSVRfT1BFUihBTk4sMTIvMzEvMTk4MCwxMi8zMS8yMDA5LEFZKQ==&amp;WINDOW=FIRST_POPUP&amp;HEIGH","T=450&amp;WIDTH=450&amp;START_MAXIMIZED=FALSE&amp;VAR:CALENDAR=US&amp;VAR:SYMBOL=PPG&amp;VAR:INDEX=0"}</definedName>
    <definedName name="_346__FDSAUDITLINK__" hidden="1">{"fdsup://directions/FAT Viewer?action=UPDATE&amp;creator=factset&amp;DYN_ARGS=TRUE&amp;DOC_NAME=FAT:FQL_AUDITING_CLIENT_TEMPLATE.FAT&amp;display_string=Audit&amp;VAR:KEY=INMFOFUZWN&amp;VAR:QUERY=Q1NGX0VCSVRfT1BFUihBTk4sMTIvMzEvODAsMCk=&amp;WINDOW=FIRST_POPUP&amp;HEIGHT=450&amp;WIDTH=450&amp;STAR","T_MAXIMIZED=FALSE&amp;VAR:CALENDAR=US&amp;VAR:SYMBOL=UK&amp;VAR:INDEX=8"}</definedName>
    <definedName name="_3460__FDSAUDITLINK__" hidden="1">{"fdsup://directions/FAT Viewer?action=UPDATE&amp;creator=factset&amp;DYN_ARGS=TRUE&amp;DOC_NAME=FAT:FQL_AUDITING_CLIENT_TEMPLATE.FAT&amp;display_string=Audit&amp;VAR:KEY=GNYJMNCVAV&amp;VAR:QUERY=Q1NGX0VCSVRfT1BFUihBTk4sMTIvMzEvMjAwNywxMi8zMS8yMDA5LEFZKQ==&amp;WINDOW=FIRST_POPUP&amp;HEIGH","T=450&amp;WIDTH=450&amp;START_MAXIMIZED=FALSE&amp;VAR:CALENDAR=US&amp;VAR:SYMBOL=LYB&amp;VAR:INDEX=2"}</definedName>
    <definedName name="_3461__FDSAUDITLINK__" hidden="1">{"fdsup://directions/FAT Viewer?action=UPDATE&amp;creator=factset&amp;DYN_ARGS=TRUE&amp;DOC_NAME=FAT:FQL_AUDITING_CLIENT_TEMPLATE.FAT&amp;display_string=Audit&amp;VAR:KEY=GNYJMNCVAV&amp;VAR:QUERY=Q1NGX0VCSVRfT1BFUihBTk4sMTIvMzEvMjAwNywxMi8zMS8yMDA5LEFZKQ==&amp;WINDOW=FIRST_POPUP&amp;HEIGH","T=450&amp;WIDTH=450&amp;START_MAXIMIZED=FALSE&amp;VAR:CALENDAR=US&amp;VAR:SYMBOL=LYB&amp;VAR:INDEX=1"}</definedName>
    <definedName name="_3462__FDSAUDITLINK__" hidden="1">{"fdsup://directions/FAT Viewer?action=UPDATE&amp;creator=factset&amp;DYN_ARGS=TRUE&amp;DOC_NAME=FAT:FQL_AUDITING_CLIENT_TEMPLATE.FAT&amp;display_string=Audit&amp;VAR:KEY=GNYJMNCVAV&amp;VAR:QUERY=Q1NGX0VCSVRfT1BFUihBTk4sMTIvMzEvMjAwNywxMi8zMS8yMDA5LEFZKQ==&amp;WINDOW=FIRST_POPUP&amp;HEIGH","T=450&amp;WIDTH=450&amp;START_MAXIMIZED=FALSE&amp;VAR:CALENDAR=US&amp;VAR:SYMBOL=LYB&amp;VAR:INDEX=0"}</definedName>
    <definedName name="_3463__FDSAUDITLINK__" hidden="1">{"fdsup://directions/FAT Viewer?action=UPDATE&amp;creator=factset&amp;DYN_ARGS=TRUE&amp;DOC_NAME=FAT:FQL_AUDITING_CLIENT_TEMPLATE.FAT&amp;display_string=Audit&amp;VAR:KEY=GBIRADETKH&amp;VAR:QUERY=Q1NGX0VCSVRfT1BFUihBTk4sMTIvMzEvMTk4MCwxMi8zMS8yMDA2LEFZKQ==&amp;WINDOW=FIRST_POPUP&amp;HEIGH","T=450&amp;WIDTH=450&amp;START_MAXIMIZED=FALSE&amp;VAR:CALENDAR=US&amp;VAR:SYMBOL=LYO&amp;VAR:INDEX=26"}</definedName>
    <definedName name="_3464__FDSAUDITLINK__" hidden="1">{"fdsup://directions/FAT Viewer?action=UPDATE&amp;creator=factset&amp;DYN_ARGS=TRUE&amp;DOC_NAME=FAT:FQL_AUDITING_CLIENT_TEMPLATE.FAT&amp;display_string=Audit&amp;VAR:KEY=GBIRADETKH&amp;VAR:QUERY=Q1NGX0VCSVRfT1BFUihBTk4sMTIvMzEvMTk4MCwxMi8zMS8yMDA2LEFZKQ==&amp;WINDOW=FIRST_POPUP&amp;HEIGH","T=450&amp;WIDTH=450&amp;START_MAXIMIZED=FALSE&amp;VAR:CALENDAR=US&amp;VAR:SYMBOL=LYO&amp;VAR:INDEX=25"}</definedName>
    <definedName name="_3465__FDSAUDITLINK__" hidden="1">{"fdsup://directions/FAT Viewer?action=UPDATE&amp;creator=factset&amp;DYN_ARGS=TRUE&amp;DOC_NAME=FAT:FQL_AUDITING_CLIENT_TEMPLATE.FAT&amp;display_string=Audit&amp;VAR:KEY=GBIRADETKH&amp;VAR:QUERY=Q1NGX0VCSVRfT1BFUihBTk4sMTIvMzEvMTk4MCwxMi8zMS8yMDA2LEFZKQ==&amp;WINDOW=FIRST_POPUP&amp;HEIGH","T=450&amp;WIDTH=450&amp;START_MAXIMIZED=FALSE&amp;VAR:CALENDAR=US&amp;VAR:SYMBOL=LYO&amp;VAR:INDEX=24"}</definedName>
    <definedName name="_3466__FDSAUDITLINK__" hidden="1">{"fdsup://directions/FAT Viewer?action=UPDATE&amp;creator=factset&amp;DYN_ARGS=TRUE&amp;DOC_NAME=FAT:FQL_AUDITING_CLIENT_TEMPLATE.FAT&amp;display_string=Audit&amp;VAR:KEY=GBIRADETKH&amp;VAR:QUERY=Q1NGX0VCSVRfT1BFUihBTk4sMTIvMzEvMTk4MCwxMi8zMS8yMDA2LEFZKQ==&amp;WINDOW=FIRST_POPUP&amp;HEIGH","T=450&amp;WIDTH=450&amp;START_MAXIMIZED=FALSE&amp;VAR:CALENDAR=US&amp;VAR:SYMBOL=LYO&amp;VAR:INDEX=23"}</definedName>
    <definedName name="_3467__FDSAUDITLINK__" hidden="1">{"fdsup://directions/FAT Viewer?action=UPDATE&amp;creator=factset&amp;DYN_ARGS=TRUE&amp;DOC_NAME=FAT:FQL_AUDITING_CLIENT_TEMPLATE.FAT&amp;display_string=Audit&amp;VAR:KEY=GBIRADETKH&amp;VAR:QUERY=Q1NGX0VCSVRfT1BFUihBTk4sMTIvMzEvMTk4MCwxMi8zMS8yMDA2LEFZKQ==&amp;WINDOW=FIRST_POPUP&amp;HEIGH","T=450&amp;WIDTH=450&amp;START_MAXIMIZED=FALSE&amp;VAR:CALENDAR=US&amp;VAR:SYMBOL=LYO&amp;VAR:INDEX=22"}</definedName>
    <definedName name="_3468__FDSAUDITLINK__" hidden="1">{"fdsup://directions/FAT Viewer?action=UPDATE&amp;creator=factset&amp;DYN_ARGS=TRUE&amp;DOC_NAME=FAT:FQL_AUDITING_CLIENT_TEMPLATE.FAT&amp;display_string=Audit&amp;VAR:KEY=GBIRADETKH&amp;VAR:QUERY=Q1NGX0VCSVRfT1BFUihBTk4sMTIvMzEvMTk4MCwxMi8zMS8yMDA2LEFZKQ==&amp;WINDOW=FIRST_POPUP&amp;HEIGH","T=450&amp;WIDTH=450&amp;START_MAXIMIZED=FALSE&amp;VAR:CALENDAR=US&amp;VAR:SYMBOL=LYO&amp;VAR:INDEX=21"}</definedName>
    <definedName name="_3469__FDSAUDITLINK__" hidden="1">{"fdsup://directions/FAT Viewer?action=UPDATE&amp;creator=factset&amp;DYN_ARGS=TRUE&amp;DOC_NAME=FAT:FQL_AUDITING_CLIENT_TEMPLATE.FAT&amp;display_string=Audit&amp;VAR:KEY=GBIRADETKH&amp;VAR:QUERY=Q1NGX0VCSVRfT1BFUihBTk4sMTIvMzEvMTk4MCwxMi8zMS8yMDA2LEFZKQ==&amp;WINDOW=FIRST_POPUP&amp;HEIGH","T=450&amp;WIDTH=450&amp;START_MAXIMIZED=FALSE&amp;VAR:CALENDAR=US&amp;VAR:SYMBOL=LYO&amp;VAR:INDEX=20"}</definedName>
    <definedName name="_347__FDSAUDITLINK__" hidden="1">{"fdsup://directions/FAT Viewer?action=UPDATE&amp;creator=factset&amp;DYN_ARGS=TRUE&amp;DOC_NAME=FAT:FQL_AUDITING_CLIENT_TEMPLATE.FAT&amp;display_string=Audit&amp;VAR:KEY=INMFOFUZWN&amp;VAR:QUERY=Q1NGX0VCSVRfT1BFUihBTk4sMTIvMzEvODAsMCk=&amp;WINDOW=FIRST_POPUP&amp;HEIGHT=450&amp;WIDTH=450&amp;STAR","T_MAXIMIZED=FALSE&amp;VAR:CALENDAR=US&amp;VAR:SYMBOL=UK&amp;VAR:INDEX=7"}</definedName>
    <definedName name="_3470__FDSAUDITLINK__" hidden="1">{"fdsup://directions/FAT Viewer?action=UPDATE&amp;creator=factset&amp;DYN_ARGS=TRUE&amp;DOC_NAME=FAT:FQL_AUDITING_CLIENT_TEMPLATE.FAT&amp;display_string=Audit&amp;VAR:KEY=GBIRADETKH&amp;VAR:QUERY=Q1NGX0VCSVRfT1BFUihBTk4sMTIvMzEvMTk4MCwxMi8zMS8yMDA2LEFZKQ==&amp;WINDOW=FIRST_POPUP&amp;HEIGH","T=450&amp;WIDTH=450&amp;START_MAXIMIZED=FALSE&amp;VAR:CALENDAR=US&amp;VAR:SYMBOL=LYO&amp;VAR:INDEX=19"}</definedName>
    <definedName name="_3471__FDSAUDITLINK__" hidden="1">{"fdsup://directions/FAT Viewer?action=UPDATE&amp;creator=factset&amp;DYN_ARGS=TRUE&amp;DOC_NAME=FAT:FQL_AUDITING_CLIENT_TEMPLATE.FAT&amp;display_string=Audit&amp;VAR:KEY=GBIRADETKH&amp;VAR:QUERY=Q1NGX0VCSVRfT1BFUihBTk4sMTIvMzEvMTk4MCwxMi8zMS8yMDA2LEFZKQ==&amp;WINDOW=FIRST_POPUP&amp;HEIGH","T=450&amp;WIDTH=450&amp;START_MAXIMIZED=FALSE&amp;VAR:CALENDAR=US&amp;VAR:SYMBOL=LYO&amp;VAR:INDEX=18"}</definedName>
    <definedName name="_3472__FDSAUDITLINK__" hidden="1">{"fdsup://directions/FAT Viewer?action=UPDATE&amp;creator=factset&amp;DYN_ARGS=TRUE&amp;DOC_NAME=FAT:FQL_AUDITING_CLIENT_TEMPLATE.FAT&amp;display_string=Audit&amp;VAR:KEY=GBIRADETKH&amp;VAR:QUERY=Q1NGX0VCSVRfT1BFUihBTk4sMTIvMzEvMTk4MCwxMi8zMS8yMDA2LEFZKQ==&amp;WINDOW=FIRST_POPUP&amp;HEIGH","T=450&amp;WIDTH=450&amp;START_MAXIMIZED=FALSE&amp;VAR:CALENDAR=US&amp;VAR:SYMBOL=LYO&amp;VAR:INDEX=17"}</definedName>
    <definedName name="_3473__FDSAUDITLINK__" hidden="1">{"fdsup://directions/FAT Viewer?action=UPDATE&amp;creator=factset&amp;DYN_ARGS=TRUE&amp;DOC_NAME=FAT:FQL_AUDITING_CLIENT_TEMPLATE.FAT&amp;display_string=Audit&amp;VAR:KEY=GBIRADETKH&amp;VAR:QUERY=Q1NGX0VCSVRfT1BFUihBTk4sMTIvMzEvMTk4MCwxMi8zMS8yMDA2LEFZKQ==&amp;WINDOW=FIRST_POPUP&amp;HEIGH","T=450&amp;WIDTH=450&amp;START_MAXIMIZED=FALSE&amp;VAR:CALENDAR=US&amp;VAR:SYMBOL=LYO&amp;VAR:INDEX=16"}</definedName>
    <definedName name="_3474__FDSAUDITLINK__" hidden="1">{"fdsup://directions/FAT Viewer?action=UPDATE&amp;creator=factset&amp;DYN_ARGS=TRUE&amp;DOC_NAME=FAT:FQL_AUDITING_CLIENT_TEMPLATE.FAT&amp;display_string=Audit&amp;VAR:KEY=GBIRADETKH&amp;VAR:QUERY=Q1NGX0VCSVRfT1BFUihBTk4sMTIvMzEvMTk4MCwxMi8zMS8yMDA2LEFZKQ==&amp;WINDOW=FIRST_POPUP&amp;HEIGH","T=450&amp;WIDTH=450&amp;START_MAXIMIZED=FALSE&amp;VAR:CALENDAR=US&amp;VAR:SYMBOL=LYO&amp;VAR:INDEX=15"}</definedName>
    <definedName name="_3475__FDSAUDITLINK__" hidden="1">{"fdsup://directions/FAT Viewer?action=UPDATE&amp;creator=factset&amp;DYN_ARGS=TRUE&amp;DOC_NAME=FAT:FQL_AUDITING_CLIENT_TEMPLATE.FAT&amp;display_string=Audit&amp;VAR:KEY=GBIRADETKH&amp;VAR:QUERY=Q1NGX0VCSVRfT1BFUihBTk4sMTIvMzEvMTk4MCwxMi8zMS8yMDA2LEFZKQ==&amp;WINDOW=FIRST_POPUP&amp;HEIGH","T=450&amp;WIDTH=450&amp;START_MAXIMIZED=FALSE&amp;VAR:CALENDAR=US&amp;VAR:SYMBOL=LYO&amp;VAR:INDEX=14"}</definedName>
    <definedName name="_3476__FDSAUDITLINK__" hidden="1">{"fdsup://directions/FAT Viewer?action=UPDATE&amp;creator=factset&amp;DYN_ARGS=TRUE&amp;DOC_NAME=FAT:FQL_AUDITING_CLIENT_TEMPLATE.FAT&amp;display_string=Audit&amp;VAR:KEY=GBIRADETKH&amp;VAR:QUERY=Q1NGX0VCSVRfT1BFUihBTk4sMTIvMzEvMTk4MCwxMi8zMS8yMDA2LEFZKQ==&amp;WINDOW=FIRST_POPUP&amp;HEIGH","T=450&amp;WIDTH=450&amp;START_MAXIMIZED=FALSE&amp;VAR:CALENDAR=US&amp;VAR:SYMBOL=LYO&amp;VAR:INDEX=13"}</definedName>
    <definedName name="_3477__FDSAUDITLINK__" hidden="1">{"fdsup://directions/FAT Viewer?action=UPDATE&amp;creator=factset&amp;DYN_ARGS=TRUE&amp;DOC_NAME=FAT:FQL_AUDITING_CLIENT_TEMPLATE.FAT&amp;display_string=Audit&amp;VAR:KEY=GBIRADETKH&amp;VAR:QUERY=Q1NGX0VCSVRfT1BFUihBTk4sMTIvMzEvMTk4MCwxMi8zMS8yMDA2LEFZKQ==&amp;WINDOW=FIRST_POPUP&amp;HEIGH","T=450&amp;WIDTH=450&amp;START_MAXIMIZED=FALSE&amp;VAR:CALENDAR=US&amp;VAR:SYMBOL=LYO&amp;VAR:INDEX=12"}</definedName>
    <definedName name="_3478__FDSAUDITLINK__" hidden="1">{"fdsup://directions/FAT Viewer?action=UPDATE&amp;creator=factset&amp;DYN_ARGS=TRUE&amp;DOC_NAME=FAT:FQL_AUDITING_CLIENT_TEMPLATE.FAT&amp;display_string=Audit&amp;VAR:KEY=GBIRADETKH&amp;VAR:QUERY=Q1NGX0VCSVRfT1BFUihBTk4sMTIvMzEvMTk4MCwxMi8zMS8yMDA2LEFZKQ==&amp;WINDOW=FIRST_POPUP&amp;HEIGH","T=450&amp;WIDTH=450&amp;START_MAXIMIZED=FALSE&amp;VAR:CALENDAR=US&amp;VAR:SYMBOL=LYO&amp;VAR:INDEX=11"}</definedName>
    <definedName name="_3479__FDSAUDITLINK__" hidden="1">{"fdsup://directions/FAT Viewer?action=UPDATE&amp;creator=factset&amp;DYN_ARGS=TRUE&amp;DOC_NAME=FAT:FQL_AUDITING_CLIENT_TEMPLATE.FAT&amp;display_string=Audit&amp;VAR:KEY=GBIRADETKH&amp;VAR:QUERY=Q1NGX0VCSVRfT1BFUihBTk4sMTIvMzEvMTk4MCwxMi8zMS8yMDA2LEFZKQ==&amp;WINDOW=FIRST_POPUP&amp;HEIGH","T=450&amp;WIDTH=450&amp;START_MAXIMIZED=FALSE&amp;VAR:CALENDAR=US&amp;VAR:SYMBOL=LYO&amp;VAR:INDEX=10"}</definedName>
    <definedName name="_348__FDSAUDITLINK__" hidden="1">{"fdsup://directions/FAT Viewer?action=UPDATE&amp;creator=factset&amp;DYN_ARGS=TRUE&amp;DOC_NAME=FAT:FQL_AUDITING_CLIENT_TEMPLATE.FAT&amp;display_string=Audit&amp;VAR:KEY=INMFOFUZWN&amp;VAR:QUERY=Q1NGX0VCSVRfT1BFUihBTk4sMTIvMzEvODAsMCk=&amp;WINDOW=FIRST_POPUP&amp;HEIGHT=450&amp;WIDTH=450&amp;STAR","T_MAXIMIZED=FALSE&amp;VAR:CALENDAR=US&amp;VAR:SYMBOL=UK&amp;VAR:INDEX=6"}</definedName>
    <definedName name="_3480__FDSAUDITLINK__" hidden="1">{"fdsup://directions/FAT Viewer?action=UPDATE&amp;creator=factset&amp;DYN_ARGS=TRUE&amp;DOC_NAME=FAT:FQL_AUDITING_CLIENT_TEMPLATE.FAT&amp;display_string=Audit&amp;VAR:KEY=GBIRADETKH&amp;VAR:QUERY=Q1NGX0VCSVRfT1BFUihBTk4sMTIvMzEvMTk4MCwxMi8zMS8yMDA2LEFZKQ==&amp;WINDOW=FIRST_POPUP&amp;HEIGH","T=450&amp;WIDTH=450&amp;START_MAXIMIZED=FALSE&amp;VAR:CALENDAR=US&amp;VAR:SYMBOL=LYO&amp;VAR:INDEX=9"}</definedName>
    <definedName name="_3481__FDSAUDITLINK__" hidden="1">{"fdsup://directions/FAT Viewer?action=UPDATE&amp;creator=factset&amp;DYN_ARGS=TRUE&amp;DOC_NAME=FAT:FQL_AUDITING_CLIENT_TEMPLATE.FAT&amp;display_string=Audit&amp;VAR:KEY=GBIRADETKH&amp;VAR:QUERY=Q1NGX0VCSVRfT1BFUihBTk4sMTIvMzEvMTk4MCwxMi8zMS8yMDA2LEFZKQ==&amp;WINDOW=FIRST_POPUP&amp;HEIGH","T=450&amp;WIDTH=450&amp;START_MAXIMIZED=FALSE&amp;VAR:CALENDAR=US&amp;VAR:SYMBOL=LYO&amp;VAR:INDEX=8"}</definedName>
    <definedName name="_3482__FDSAUDITLINK__" hidden="1">{"fdsup://directions/FAT Viewer?action=UPDATE&amp;creator=factset&amp;DYN_ARGS=TRUE&amp;DOC_NAME=FAT:FQL_AUDITING_CLIENT_TEMPLATE.FAT&amp;display_string=Audit&amp;VAR:KEY=GBIRADETKH&amp;VAR:QUERY=Q1NGX0VCSVRfT1BFUihBTk4sMTIvMzEvMTk4MCwxMi8zMS8yMDA2LEFZKQ==&amp;WINDOW=FIRST_POPUP&amp;HEIGH","T=450&amp;WIDTH=450&amp;START_MAXIMIZED=FALSE&amp;VAR:CALENDAR=US&amp;VAR:SYMBOL=LYO&amp;VAR:INDEX=7"}</definedName>
    <definedName name="_3483__FDSAUDITLINK__" hidden="1">{"fdsup://directions/FAT Viewer?action=UPDATE&amp;creator=factset&amp;DYN_ARGS=TRUE&amp;DOC_NAME=FAT:FQL_AUDITING_CLIENT_TEMPLATE.FAT&amp;display_string=Audit&amp;VAR:KEY=GBIRADETKH&amp;VAR:QUERY=Q1NGX0VCSVRfT1BFUihBTk4sMTIvMzEvMTk4MCwxMi8zMS8yMDA2LEFZKQ==&amp;WINDOW=FIRST_POPUP&amp;HEIGH","T=450&amp;WIDTH=450&amp;START_MAXIMIZED=FALSE&amp;VAR:CALENDAR=US&amp;VAR:SYMBOL=LYO&amp;VAR:INDEX=6"}</definedName>
    <definedName name="_3484__FDSAUDITLINK__" hidden="1">{"fdsup://directions/FAT Viewer?action=UPDATE&amp;creator=factset&amp;DYN_ARGS=TRUE&amp;DOC_NAME=FAT:FQL_AUDITING_CLIENT_TEMPLATE.FAT&amp;display_string=Audit&amp;VAR:KEY=GBIRADETKH&amp;VAR:QUERY=Q1NGX0VCSVRfT1BFUihBTk4sMTIvMzEvMTk4MCwxMi8zMS8yMDA2LEFZKQ==&amp;WINDOW=FIRST_POPUP&amp;HEIGH","T=450&amp;WIDTH=450&amp;START_MAXIMIZED=FALSE&amp;VAR:CALENDAR=US&amp;VAR:SYMBOL=LYO&amp;VAR:INDEX=5"}</definedName>
    <definedName name="_3485__FDSAUDITLINK__" hidden="1">{"fdsup://directions/FAT Viewer?action=UPDATE&amp;creator=factset&amp;DYN_ARGS=TRUE&amp;DOC_NAME=FAT:FQL_AUDITING_CLIENT_TEMPLATE.FAT&amp;display_string=Audit&amp;VAR:KEY=GBIRADETKH&amp;VAR:QUERY=Q1NGX0VCSVRfT1BFUihBTk4sMTIvMzEvMTk4MCwxMi8zMS8yMDA2LEFZKQ==&amp;WINDOW=FIRST_POPUP&amp;HEIGH","T=450&amp;WIDTH=450&amp;START_MAXIMIZED=FALSE&amp;VAR:CALENDAR=US&amp;VAR:SYMBOL=LYO&amp;VAR:INDEX=4"}</definedName>
    <definedName name="_3486__FDSAUDITLINK__" hidden="1">{"fdsup://directions/FAT Viewer?action=UPDATE&amp;creator=factset&amp;DYN_ARGS=TRUE&amp;DOC_NAME=FAT:FQL_AUDITING_CLIENT_TEMPLATE.FAT&amp;display_string=Audit&amp;VAR:KEY=GBIRADETKH&amp;VAR:QUERY=Q1NGX0VCSVRfT1BFUihBTk4sMTIvMzEvMTk4MCwxMi8zMS8yMDA2LEFZKQ==&amp;WINDOW=FIRST_POPUP&amp;HEIGH","T=450&amp;WIDTH=450&amp;START_MAXIMIZED=FALSE&amp;VAR:CALENDAR=US&amp;VAR:SYMBOL=LYO&amp;VAR:INDEX=3"}</definedName>
    <definedName name="_3487__FDSAUDITLINK__" hidden="1">{"fdsup://directions/FAT Viewer?action=UPDATE&amp;creator=factset&amp;DYN_ARGS=TRUE&amp;DOC_NAME=FAT:FQL_AUDITING_CLIENT_TEMPLATE.FAT&amp;display_string=Audit&amp;VAR:KEY=GBIRADETKH&amp;VAR:QUERY=Q1NGX0VCSVRfT1BFUihBTk4sMTIvMzEvMTk4MCwxMi8zMS8yMDA2LEFZKQ==&amp;WINDOW=FIRST_POPUP&amp;HEIGH","T=450&amp;WIDTH=450&amp;START_MAXIMIZED=FALSE&amp;VAR:CALENDAR=US&amp;VAR:SYMBOL=LYO&amp;VAR:INDEX=2"}</definedName>
    <definedName name="_3488__FDSAUDITLINK__" hidden="1">{"fdsup://directions/FAT Viewer?action=UPDATE&amp;creator=factset&amp;DYN_ARGS=TRUE&amp;DOC_NAME=FAT:FQL_AUDITING_CLIENT_TEMPLATE.FAT&amp;display_string=Audit&amp;VAR:KEY=GBIRADETKH&amp;VAR:QUERY=Q1NGX0VCSVRfT1BFUihBTk4sMTIvMzEvMTk4MCwxMi8zMS8yMDA2LEFZKQ==&amp;WINDOW=FIRST_POPUP&amp;HEIGH","T=450&amp;WIDTH=450&amp;START_MAXIMIZED=FALSE&amp;VAR:CALENDAR=US&amp;VAR:SYMBOL=LYO&amp;VAR:INDEX=1"}</definedName>
    <definedName name="_3489__FDSAUDITLINK__" hidden="1">{"fdsup://directions/FAT Viewer?action=UPDATE&amp;creator=factset&amp;DYN_ARGS=TRUE&amp;DOC_NAME=FAT:FQL_AUDITING_CLIENT_TEMPLATE.FAT&amp;display_string=Audit&amp;VAR:KEY=GBIRADETKH&amp;VAR:QUERY=Q1NGX0VCSVRfT1BFUihBTk4sMTIvMzEvMTk4MCwxMi8zMS8yMDA2LEFZKQ==&amp;WINDOW=FIRST_POPUP&amp;HEIGH","T=450&amp;WIDTH=450&amp;START_MAXIMIZED=FALSE&amp;VAR:CALENDAR=US&amp;VAR:SYMBOL=LYO&amp;VAR:INDEX=0"}</definedName>
    <definedName name="_349__FDSAUDITLINK__" hidden="1">{"fdsup://directions/FAT Viewer?action=UPDATE&amp;creator=factset&amp;DYN_ARGS=TRUE&amp;DOC_NAME=FAT:FQL_AUDITING_CLIENT_TEMPLATE.FAT&amp;display_string=Audit&amp;VAR:KEY=INMFOFUZWN&amp;VAR:QUERY=Q1NGX0VCSVRfT1BFUihBTk4sMTIvMzEvODAsMCk=&amp;WINDOW=FIRST_POPUP&amp;HEIGHT=450&amp;WIDTH=450&amp;STAR","T_MAXIMIZED=FALSE&amp;VAR:CALENDAR=US&amp;VAR:SYMBOL=UK&amp;VAR:INDEX=5"}</definedName>
    <definedName name="_3490__FDSAUDITLINK__" hidden="1">{"fdsup://directions/FAT Viewer?action=UPDATE&amp;creator=factset&amp;DYN_ARGS=TRUE&amp;DOC_NAME=FAT:FQL_AUDITING_CLIENT_TEMPLATE.FAT&amp;display_string=Audit&amp;VAR:KEY=PGJABUTCNE&amp;VAR:QUERY=Q1NGX0VCSVRfT1BFUihMVE1fUiwwKQ==&amp;WINDOW=FIRST_POPUP&amp;HEIGHT=450&amp;WIDTH=450&amp;START_MAXIMI","ZED=FALSE&amp;VAR:CALENDAR=US&amp;VAR:SYMBOL=DD&amp;VAR:INDEX=0"}</definedName>
    <definedName name="_3491__FDSAUDITLINK__" hidden="1">{"fdsup://directions/FAT Viewer?action=UPDATE&amp;creator=factset&amp;DYN_ARGS=TRUE&amp;DOC_NAME=FAT:FQL_AUDITING_CLIENT_TEMPLATE.FAT&amp;display_string=Audit&amp;VAR:KEY=CTWDOPAPEP&amp;VAR:QUERY=Q1NGX0VCSVRfT1BFUihBTk4sMTIvMzEvMTk4MCwxMi8zMS8yMDA5LEFZKQ==&amp;WINDOW=FIRST_POPUP&amp;HEIGH","T=450&amp;WIDTH=450&amp;START_MAXIMIZED=FALSE&amp;VAR:CALENDAR=US&amp;VAR:SYMBOL=DD&amp;VAR:INDEX=29"}</definedName>
    <definedName name="_3492__FDSAUDITLINK__" hidden="1">{"fdsup://directions/FAT Viewer?action=UPDATE&amp;creator=factset&amp;DYN_ARGS=TRUE&amp;DOC_NAME=FAT:FQL_AUDITING_CLIENT_TEMPLATE.FAT&amp;display_string=Audit&amp;VAR:KEY=CTWDOPAPEP&amp;VAR:QUERY=Q1NGX0VCSVRfT1BFUihBTk4sMTIvMzEvMTk4MCwxMi8zMS8yMDA5LEFZKQ==&amp;WINDOW=FIRST_POPUP&amp;HEIGH","T=450&amp;WIDTH=450&amp;START_MAXIMIZED=FALSE&amp;VAR:CALENDAR=US&amp;VAR:SYMBOL=DD&amp;VAR:INDEX=28"}</definedName>
    <definedName name="_3493__FDSAUDITLINK__" hidden="1">{"fdsup://directions/FAT Viewer?action=UPDATE&amp;creator=factset&amp;DYN_ARGS=TRUE&amp;DOC_NAME=FAT:FQL_AUDITING_CLIENT_TEMPLATE.FAT&amp;display_string=Audit&amp;VAR:KEY=CTWDOPAPEP&amp;VAR:QUERY=Q1NGX0VCSVRfT1BFUihBTk4sMTIvMzEvMTk4MCwxMi8zMS8yMDA5LEFZKQ==&amp;WINDOW=FIRST_POPUP&amp;HEIGH","T=450&amp;WIDTH=450&amp;START_MAXIMIZED=FALSE&amp;VAR:CALENDAR=US&amp;VAR:SYMBOL=DD&amp;VAR:INDEX=27"}</definedName>
    <definedName name="_3494__FDSAUDITLINK__" hidden="1">{"fdsup://directions/FAT Viewer?action=UPDATE&amp;creator=factset&amp;DYN_ARGS=TRUE&amp;DOC_NAME=FAT:FQL_AUDITING_CLIENT_TEMPLATE.FAT&amp;display_string=Audit&amp;VAR:KEY=CTWDOPAPEP&amp;VAR:QUERY=Q1NGX0VCSVRfT1BFUihBTk4sMTIvMzEvMTk4MCwxMi8zMS8yMDA5LEFZKQ==&amp;WINDOW=FIRST_POPUP&amp;HEIGH","T=450&amp;WIDTH=450&amp;START_MAXIMIZED=FALSE&amp;VAR:CALENDAR=US&amp;VAR:SYMBOL=DD&amp;VAR:INDEX=26"}</definedName>
    <definedName name="_3495__FDSAUDITLINK__" hidden="1">{"fdsup://directions/FAT Viewer?action=UPDATE&amp;creator=factset&amp;DYN_ARGS=TRUE&amp;DOC_NAME=FAT:FQL_AUDITING_CLIENT_TEMPLATE.FAT&amp;display_string=Audit&amp;VAR:KEY=CTWDOPAPEP&amp;VAR:QUERY=Q1NGX0VCSVRfT1BFUihBTk4sMTIvMzEvMTk4MCwxMi8zMS8yMDA5LEFZKQ==&amp;WINDOW=FIRST_POPUP&amp;HEIGH","T=450&amp;WIDTH=450&amp;START_MAXIMIZED=FALSE&amp;VAR:CALENDAR=US&amp;VAR:SYMBOL=DD&amp;VAR:INDEX=25"}</definedName>
    <definedName name="_3496__FDSAUDITLINK__" hidden="1">{"fdsup://directions/FAT Viewer?action=UPDATE&amp;creator=factset&amp;DYN_ARGS=TRUE&amp;DOC_NAME=FAT:FQL_AUDITING_CLIENT_TEMPLATE.FAT&amp;display_string=Audit&amp;VAR:KEY=CTWDOPAPEP&amp;VAR:QUERY=Q1NGX0VCSVRfT1BFUihBTk4sMTIvMzEvMTk4MCwxMi8zMS8yMDA5LEFZKQ==&amp;WINDOW=FIRST_POPUP&amp;HEIGH","T=450&amp;WIDTH=450&amp;START_MAXIMIZED=FALSE&amp;VAR:CALENDAR=US&amp;VAR:SYMBOL=DD&amp;VAR:INDEX=24"}</definedName>
    <definedName name="_3497__FDSAUDITLINK__" hidden="1">{"fdsup://directions/FAT Viewer?action=UPDATE&amp;creator=factset&amp;DYN_ARGS=TRUE&amp;DOC_NAME=FAT:FQL_AUDITING_CLIENT_TEMPLATE.FAT&amp;display_string=Audit&amp;VAR:KEY=CTWDOPAPEP&amp;VAR:QUERY=Q1NGX0VCSVRfT1BFUihBTk4sMTIvMzEvMTk4MCwxMi8zMS8yMDA5LEFZKQ==&amp;WINDOW=FIRST_POPUP&amp;HEIGH","T=450&amp;WIDTH=450&amp;START_MAXIMIZED=FALSE&amp;VAR:CALENDAR=US&amp;VAR:SYMBOL=DD&amp;VAR:INDEX=23"}</definedName>
    <definedName name="_3498__FDSAUDITLINK__" hidden="1">{"fdsup://directions/FAT Viewer?action=UPDATE&amp;creator=factset&amp;DYN_ARGS=TRUE&amp;DOC_NAME=FAT:FQL_AUDITING_CLIENT_TEMPLATE.FAT&amp;display_string=Audit&amp;VAR:KEY=CTWDOPAPEP&amp;VAR:QUERY=Q1NGX0VCSVRfT1BFUihBTk4sMTIvMzEvMTk4MCwxMi8zMS8yMDA5LEFZKQ==&amp;WINDOW=FIRST_POPUP&amp;HEIGH","T=450&amp;WIDTH=450&amp;START_MAXIMIZED=FALSE&amp;VAR:CALENDAR=US&amp;VAR:SYMBOL=DD&amp;VAR:INDEX=22"}</definedName>
    <definedName name="_3499__FDSAUDITLINK__" hidden="1">{"fdsup://directions/FAT Viewer?action=UPDATE&amp;creator=factset&amp;DYN_ARGS=TRUE&amp;DOC_NAME=FAT:FQL_AUDITING_CLIENT_TEMPLATE.FAT&amp;display_string=Audit&amp;VAR:KEY=CTWDOPAPEP&amp;VAR:QUERY=Q1NGX0VCSVRfT1BFUihBTk4sMTIvMzEvMTk4MCwxMi8zMS8yMDA5LEFZKQ==&amp;WINDOW=FIRST_POPUP&amp;HEIGH","T=450&amp;WIDTH=450&amp;START_MAXIMIZED=FALSE&amp;VAR:CALENDAR=US&amp;VAR:SYMBOL=DD&amp;VAR:INDEX=21"}</definedName>
    <definedName name="_35__FDSAUDITLINK__" hidden="1">{"fdsup://directions/FAT Viewer?action=UPDATE&amp;creator=factset&amp;DYN_ARGS=TRUE&amp;DOC_NAME=FAT:FQL_AUDITING_CLIENT_TEMPLATE.FAT&amp;display_string=Audit&amp;VAR:KEY=OPCTWNULSL&amp;VAR:QUERY=Q1NGX0dST1NTX0lOQyhRVFJfUiwtM0FZLDAsRlEp&amp;WINDOW=FIRST_POPUP&amp;HEIGHT=450&amp;WIDTH=450&amp;STAR","T_MAXIMIZED=FALSE&amp;VAR:CALENDAR=US&amp;VAR:SYMBOL=PPG&amp;VAR:INDEX=4"}</definedName>
    <definedName name="_350__FDSAUDITLINK__" hidden="1">{"fdsup://directions/FAT Viewer?action=UPDATE&amp;creator=factset&amp;DYN_ARGS=TRUE&amp;DOC_NAME=FAT:FQL_AUDITING_CLIENT_TEMPLATE.FAT&amp;display_string=Audit&amp;VAR:KEY=INMFOFUZWN&amp;VAR:QUERY=Q1NGX0VCSVRfT1BFUihBTk4sMTIvMzEvODAsMCk=&amp;WINDOW=FIRST_POPUP&amp;HEIGHT=450&amp;WIDTH=450&amp;STAR","T_MAXIMIZED=FALSE&amp;VAR:CALENDAR=US&amp;VAR:SYMBOL=UK&amp;VAR:INDEX=4"}</definedName>
    <definedName name="_3500__FDSAUDITLINK__" hidden="1">{"fdsup://directions/FAT Viewer?action=UPDATE&amp;creator=factset&amp;DYN_ARGS=TRUE&amp;DOC_NAME=FAT:FQL_AUDITING_CLIENT_TEMPLATE.FAT&amp;display_string=Audit&amp;VAR:KEY=CTWDOPAPEP&amp;VAR:QUERY=Q1NGX0VCSVRfT1BFUihBTk4sMTIvMzEvMTk4MCwxMi8zMS8yMDA5LEFZKQ==&amp;WINDOW=FIRST_POPUP&amp;HEIGH","T=450&amp;WIDTH=450&amp;START_MAXIMIZED=FALSE&amp;VAR:CALENDAR=US&amp;VAR:SYMBOL=DD&amp;VAR:INDEX=20"}</definedName>
    <definedName name="_3501__FDSAUDITLINK__" hidden="1">{"fdsup://directions/FAT Viewer?action=UPDATE&amp;creator=factset&amp;DYN_ARGS=TRUE&amp;DOC_NAME=FAT:FQL_AUDITING_CLIENT_TEMPLATE.FAT&amp;display_string=Audit&amp;VAR:KEY=CTWDOPAPEP&amp;VAR:QUERY=Q1NGX0VCSVRfT1BFUihBTk4sMTIvMzEvMTk4MCwxMi8zMS8yMDA5LEFZKQ==&amp;WINDOW=FIRST_POPUP&amp;HEIGH","T=450&amp;WIDTH=450&amp;START_MAXIMIZED=FALSE&amp;VAR:CALENDAR=US&amp;VAR:SYMBOL=DD&amp;VAR:INDEX=19"}</definedName>
    <definedName name="_3502__FDSAUDITLINK__" hidden="1">{"fdsup://directions/FAT Viewer?action=UPDATE&amp;creator=factset&amp;DYN_ARGS=TRUE&amp;DOC_NAME=FAT:FQL_AUDITING_CLIENT_TEMPLATE.FAT&amp;display_string=Audit&amp;VAR:KEY=CTWDOPAPEP&amp;VAR:QUERY=Q1NGX0VCSVRfT1BFUihBTk4sMTIvMzEvMTk4MCwxMi8zMS8yMDA5LEFZKQ==&amp;WINDOW=FIRST_POPUP&amp;HEIGH","T=450&amp;WIDTH=450&amp;START_MAXIMIZED=FALSE&amp;VAR:CALENDAR=US&amp;VAR:SYMBOL=DD&amp;VAR:INDEX=18"}</definedName>
    <definedName name="_3503__FDSAUDITLINK__" hidden="1">{"fdsup://directions/FAT Viewer?action=UPDATE&amp;creator=factset&amp;DYN_ARGS=TRUE&amp;DOC_NAME=FAT:FQL_AUDITING_CLIENT_TEMPLATE.FAT&amp;display_string=Audit&amp;VAR:KEY=CTWDOPAPEP&amp;VAR:QUERY=Q1NGX0VCSVRfT1BFUihBTk4sMTIvMzEvMTk4MCwxMi8zMS8yMDA5LEFZKQ==&amp;WINDOW=FIRST_POPUP&amp;HEIGH","T=450&amp;WIDTH=450&amp;START_MAXIMIZED=FALSE&amp;VAR:CALENDAR=US&amp;VAR:SYMBOL=DD&amp;VAR:INDEX=17"}</definedName>
    <definedName name="_3504__FDSAUDITLINK__" hidden="1">{"fdsup://directions/FAT Viewer?action=UPDATE&amp;creator=factset&amp;DYN_ARGS=TRUE&amp;DOC_NAME=FAT:FQL_AUDITING_CLIENT_TEMPLATE.FAT&amp;display_string=Audit&amp;VAR:KEY=CTWDOPAPEP&amp;VAR:QUERY=Q1NGX0VCSVRfT1BFUihBTk4sMTIvMzEvMTk4MCwxMi8zMS8yMDA5LEFZKQ==&amp;WINDOW=FIRST_POPUP&amp;HEIGH","T=450&amp;WIDTH=450&amp;START_MAXIMIZED=FALSE&amp;VAR:CALENDAR=US&amp;VAR:SYMBOL=DD&amp;VAR:INDEX=16"}</definedName>
    <definedName name="_3505__FDSAUDITLINK__" hidden="1">{"fdsup://directions/FAT Viewer?action=UPDATE&amp;creator=factset&amp;DYN_ARGS=TRUE&amp;DOC_NAME=FAT:FQL_AUDITING_CLIENT_TEMPLATE.FAT&amp;display_string=Audit&amp;VAR:KEY=CTWDOPAPEP&amp;VAR:QUERY=Q1NGX0VCSVRfT1BFUihBTk4sMTIvMzEvMTk4MCwxMi8zMS8yMDA5LEFZKQ==&amp;WINDOW=FIRST_POPUP&amp;HEIGH","T=450&amp;WIDTH=450&amp;START_MAXIMIZED=FALSE&amp;VAR:CALENDAR=US&amp;VAR:SYMBOL=DD&amp;VAR:INDEX=15"}</definedName>
    <definedName name="_3506__FDSAUDITLINK__" hidden="1">{"fdsup://directions/FAT Viewer?action=UPDATE&amp;creator=factset&amp;DYN_ARGS=TRUE&amp;DOC_NAME=FAT:FQL_AUDITING_CLIENT_TEMPLATE.FAT&amp;display_string=Audit&amp;VAR:KEY=CTWDOPAPEP&amp;VAR:QUERY=Q1NGX0VCSVRfT1BFUihBTk4sMTIvMzEvMTk4MCwxMi8zMS8yMDA5LEFZKQ==&amp;WINDOW=FIRST_POPUP&amp;HEIGH","T=450&amp;WIDTH=450&amp;START_MAXIMIZED=FALSE&amp;VAR:CALENDAR=US&amp;VAR:SYMBOL=DD&amp;VAR:INDEX=14"}</definedName>
    <definedName name="_3507__FDSAUDITLINK__" hidden="1">{"fdsup://directions/FAT Viewer?action=UPDATE&amp;creator=factset&amp;DYN_ARGS=TRUE&amp;DOC_NAME=FAT:FQL_AUDITING_CLIENT_TEMPLATE.FAT&amp;display_string=Audit&amp;VAR:KEY=CTWDOPAPEP&amp;VAR:QUERY=Q1NGX0VCSVRfT1BFUihBTk4sMTIvMzEvMTk4MCwxMi8zMS8yMDA5LEFZKQ==&amp;WINDOW=FIRST_POPUP&amp;HEIGH","T=450&amp;WIDTH=450&amp;START_MAXIMIZED=FALSE&amp;VAR:CALENDAR=US&amp;VAR:SYMBOL=DD&amp;VAR:INDEX=13"}</definedName>
    <definedName name="_3508__FDSAUDITLINK__" hidden="1">{"fdsup://directions/FAT Viewer?action=UPDATE&amp;creator=factset&amp;DYN_ARGS=TRUE&amp;DOC_NAME=FAT:FQL_AUDITING_CLIENT_TEMPLATE.FAT&amp;display_string=Audit&amp;VAR:KEY=CTWDOPAPEP&amp;VAR:QUERY=Q1NGX0VCSVRfT1BFUihBTk4sMTIvMzEvMTk4MCwxMi8zMS8yMDA5LEFZKQ==&amp;WINDOW=FIRST_POPUP&amp;HEIGH","T=450&amp;WIDTH=450&amp;START_MAXIMIZED=FALSE&amp;VAR:CALENDAR=US&amp;VAR:SYMBOL=DD&amp;VAR:INDEX=12"}</definedName>
    <definedName name="_3509__FDSAUDITLINK__" hidden="1">{"fdsup://directions/FAT Viewer?action=UPDATE&amp;creator=factset&amp;DYN_ARGS=TRUE&amp;DOC_NAME=FAT:FQL_AUDITING_CLIENT_TEMPLATE.FAT&amp;display_string=Audit&amp;VAR:KEY=CTWDOPAPEP&amp;VAR:QUERY=Q1NGX0VCSVRfT1BFUihBTk4sMTIvMzEvMTk4MCwxMi8zMS8yMDA5LEFZKQ==&amp;WINDOW=FIRST_POPUP&amp;HEIGH","T=450&amp;WIDTH=450&amp;START_MAXIMIZED=FALSE&amp;VAR:CALENDAR=US&amp;VAR:SYMBOL=DD&amp;VAR:INDEX=11"}</definedName>
    <definedName name="_351__FDSAUDITLINK__" hidden="1">{"fdsup://directions/FAT Viewer?action=UPDATE&amp;creator=factset&amp;DYN_ARGS=TRUE&amp;DOC_NAME=FAT:FQL_AUDITING_CLIENT_TEMPLATE.FAT&amp;display_string=Audit&amp;VAR:KEY=INMFOFUZWN&amp;VAR:QUERY=Q1NGX0VCSVRfT1BFUihBTk4sMTIvMzEvODAsMCk=&amp;WINDOW=FIRST_POPUP&amp;HEIGHT=450&amp;WIDTH=450&amp;STAR","T_MAXIMIZED=FALSE&amp;VAR:CALENDAR=US&amp;VAR:SYMBOL=UK&amp;VAR:INDEX=3"}</definedName>
    <definedName name="_3510__FDSAUDITLINK__" hidden="1">{"fdsup://directions/FAT Viewer?action=UPDATE&amp;creator=factset&amp;DYN_ARGS=TRUE&amp;DOC_NAME=FAT:FQL_AUDITING_CLIENT_TEMPLATE.FAT&amp;display_string=Audit&amp;VAR:KEY=CTWDOPAPEP&amp;VAR:QUERY=Q1NGX0VCSVRfT1BFUihBTk4sMTIvMzEvMTk4MCwxMi8zMS8yMDA5LEFZKQ==&amp;WINDOW=FIRST_POPUP&amp;HEIGH","T=450&amp;WIDTH=450&amp;START_MAXIMIZED=FALSE&amp;VAR:CALENDAR=US&amp;VAR:SYMBOL=DD&amp;VAR:INDEX=10"}</definedName>
    <definedName name="_3511__FDSAUDITLINK__" hidden="1">{"fdsup://directions/FAT Viewer?action=UPDATE&amp;creator=factset&amp;DYN_ARGS=TRUE&amp;DOC_NAME=FAT:FQL_AUDITING_CLIENT_TEMPLATE.FAT&amp;display_string=Audit&amp;VAR:KEY=CTWDOPAPEP&amp;VAR:QUERY=Q1NGX0VCSVRfT1BFUihBTk4sMTIvMzEvMTk4MCwxMi8zMS8yMDA5LEFZKQ==&amp;WINDOW=FIRST_POPUP&amp;HEIGH","T=450&amp;WIDTH=450&amp;START_MAXIMIZED=FALSE&amp;VAR:CALENDAR=US&amp;VAR:SYMBOL=DD&amp;VAR:INDEX=9"}</definedName>
    <definedName name="_3512__FDSAUDITLINK__" hidden="1">{"fdsup://directions/FAT Viewer?action=UPDATE&amp;creator=factset&amp;DYN_ARGS=TRUE&amp;DOC_NAME=FAT:FQL_AUDITING_CLIENT_TEMPLATE.FAT&amp;display_string=Audit&amp;VAR:KEY=CTWDOPAPEP&amp;VAR:QUERY=Q1NGX0VCSVRfT1BFUihBTk4sMTIvMzEvMTk4MCwxMi8zMS8yMDA5LEFZKQ==&amp;WINDOW=FIRST_POPUP&amp;HEIGH","T=450&amp;WIDTH=450&amp;START_MAXIMIZED=FALSE&amp;VAR:CALENDAR=US&amp;VAR:SYMBOL=DD&amp;VAR:INDEX=8"}</definedName>
    <definedName name="_3513__FDSAUDITLINK__" hidden="1">{"fdsup://directions/FAT Viewer?action=UPDATE&amp;creator=factset&amp;DYN_ARGS=TRUE&amp;DOC_NAME=FAT:FQL_AUDITING_CLIENT_TEMPLATE.FAT&amp;display_string=Audit&amp;VAR:KEY=CTWDOPAPEP&amp;VAR:QUERY=Q1NGX0VCSVRfT1BFUihBTk4sMTIvMzEvMTk4MCwxMi8zMS8yMDA5LEFZKQ==&amp;WINDOW=FIRST_POPUP&amp;HEIGH","T=450&amp;WIDTH=450&amp;START_MAXIMIZED=FALSE&amp;VAR:CALENDAR=US&amp;VAR:SYMBOL=DD&amp;VAR:INDEX=7"}</definedName>
    <definedName name="_3514__FDSAUDITLINK__" hidden="1">{"fdsup://directions/FAT Viewer?action=UPDATE&amp;creator=factset&amp;DYN_ARGS=TRUE&amp;DOC_NAME=FAT:FQL_AUDITING_CLIENT_TEMPLATE.FAT&amp;display_string=Audit&amp;VAR:KEY=CTWDOPAPEP&amp;VAR:QUERY=Q1NGX0VCSVRfT1BFUihBTk4sMTIvMzEvMTk4MCwxMi8zMS8yMDA5LEFZKQ==&amp;WINDOW=FIRST_POPUP&amp;HEIGH","T=450&amp;WIDTH=450&amp;START_MAXIMIZED=FALSE&amp;VAR:CALENDAR=US&amp;VAR:SYMBOL=DD&amp;VAR:INDEX=6"}</definedName>
    <definedName name="_3515__FDSAUDITLINK__" hidden="1">{"fdsup://directions/FAT Viewer?action=UPDATE&amp;creator=factset&amp;DYN_ARGS=TRUE&amp;DOC_NAME=FAT:FQL_AUDITING_CLIENT_TEMPLATE.FAT&amp;display_string=Audit&amp;VAR:KEY=CTWDOPAPEP&amp;VAR:QUERY=Q1NGX0VCSVRfT1BFUihBTk4sMTIvMzEvMTk4MCwxMi8zMS8yMDA5LEFZKQ==&amp;WINDOW=FIRST_POPUP&amp;HEIGH","T=450&amp;WIDTH=450&amp;START_MAXIMIZED=FALSE&amp;VAR:CALENDAR=US&amp;VAR:SYMBOL=DD&amp;VAR:INDEX=5"}</definedName>
    <definedName name="_3516__FDSAUDITLINK__" hidden="1">{"fdsup://directions/FAT Viewer?action=UPDATE&amp;creator=factset&amp;DYN_ARGS=TRUE&amp;DOC_NAME=FAT:FQL_AUDITING_CLIENT_TEMPLATE.FAT&amp;display_string=Audit&amp;VAR:KEY=CTWDOPAPEP&amp;VAR:QUERY=Q1NGX0VCSVRfT1BFUihBTk4sMTIvMzEvMTk4MCwxMi8zMS8yMDA5LEFZKQ==&amp;WINDOW=FIRST_POPUP&amp;HEIGH","T=450&amp;WIDTH=450&amp;START_MAXIMIZED=FALSE&amp;VAR:CALENDAR=US&amp;VAR:SYMBOL=DD&amp;VAR:INDEX=4"}</definedName>
    <definedName name="_3517__FDSAUDITLINK__" hidden="1">{"fdsup://directions/FAT Viewer?action=UPDATE&amp;creator=factset&amp;DYN_ARGS=TRUE&amp;DOC_NAME=FAT:FQL_AUDITING_CLIENT_TEMPLATE.FAT&amp;display_string=Audit&amp;VAR:KEY=CTWDOPAPEP&amp;VAR:QUERY=Q1NGX0VCSVRfT1BFUihBTk4sMTIvMzEvMTk4MCwxMi8zMS8yMDA5LEFZKQ==&amp;WINDOW=FIRST_POPUP&amp;HEIGH","T=450&amp;WIDTH=450&amp;START_MAXIMIZED=FALSE&amp;VAR:CALENDAR=US&amp;VAR:SYMBOL=DD&amp;VAR:INDEX=3"}</definedName>
    <definedName name="_3518__FDSAUDITLINK__" hidden="1">{"fdsup://directions/FAT Viewer?action=UPDATE&amp;creator=factset&amp;DYN_ARGS=TRUE&amp;DOC_NAME=FAT:FQL_AUDITING_CLIENT_TEMPLATE.FAT&amp;display_string=Audit&amp;VAR:KEY=CTWDOPAPEP&amp;VAR:QUERY=Q1NGX0VCSVRfT1BFUihBTk4sMTIvMzEvMTk4MCwxMi8zMS8yMDA5LEFZKQ==&amp;WINDOW=FIRST_POPUP&amp;HEIGH","T=450&amp;WIDTH=450&amp;START_MAXIMIZED=FALSE&amp;VAR:CALENDAR=US&amp;VAR:SYMBOL=DD&amp;VAR:INDEX=2"}</definedName>
    <definedName name="_3519__FDSAUDITLINK__" hidden="1">{"fdsup://directions/FAT Viewer?action=UPDATE&amp;creator=factset&amp;DYN_ARGS=TRUE&amp;DOC_NAME=FAT:FQL_AUDITING_CLIENT_TEMPLATE.FAT&amp;display_string=Audit&amp;VAR:KEY=CTWDOPAPEP&amp;VAR:QUERY=Q1NGX0VCSVRfT1BFUihBTk4sMTIvMzEvMTk4MCwxMi8zMS8yMDA5LEFZKQ==&amp;WINDOW=FIRST_POPUP&amp;HEIGH","T=450&amp;WIDTH=450&amp;START_MAXIMIZED=FALSE&amp;VAR:CALENDAR=US&amp;VAR:SYMBOL=DD&amp;VAR:INDEX=1"}</definedName>
    <definedName name="_352__FDSAUDITLINK__" hidden="1">{"fdsup://directions/FAT Viewer?action=UPDATE&amp;creator=factset&amp;DYN_ARGS=TRUE&amp;DOC_NAME=FAT:FQL_AUDITING_CLIENT_TEMPLATE.FAT&amp;display_string=Audit&amp;VAR:KEY=INMFOFUZWN&amp;VAR:QUERY=Q1NGX0VCSVRfT1BFUihBTk4sMTIvMzEvODAsMCk=&amp;WINDOW=FIRST_POPUP&amp;HEIGHT=450&amp;WIDTH=450&amp;STAR","T_MAXIMIZED=FALSE&amp;VAR:CALENDAR=US&amp;VAR:SYMBOL=UK&amp;VAR:INDEX=2"}</definedName>
    <definedName name="_3520__FDSAUDITLINK__" hidden="1">{"fdsup://directions/FAT Viewer?action=UPDATE&amp;creator=factset&amp;DYN_ARGS=TRUE&amp;DOC_NAME=FAT:FQL_AUDITING_CLIENT_TEMPLATE.FAT&amp;display_string=Audit&amp;VAR:KEY=CTWDOPAPEP&amp;VAR:QUERY=Q1NGX0VCSVRfT1BFUihBTk4sMTIvMzEvMTk4MCwxMi8zMS8yMDA5LEFZKQ==&amp;WINDOW=FIRST_POPUP&amp;HEIGH","T=450&amp;WIDTH=450&amp;START_MAXIMIZED=FALSE&amp;VAR:CALENDAR=US&amp;VAR:SYMBOL=DD&amp;VAR:INDEX=0"}</definedName>
    <definedName name="_3521__FDSAUDITLINK__" hidden="1">{"fdsup://directions/FAT Viewer?action=UPDATE&amp;creator=factset&amp;DYN_ARGS=TRUE&amp;DOC_NAME=FAT:FQL_AUDITING_CLIENT_TEMPLATE.FAT&amp;display_string=Audit&amp;VAR:KEY=NEBCVALSFI&amp;VAR:QUERY=Q1NGX0VCSVRfT1BFUihMVE1fUiwwKQ==&amp;WINDOW=FIRST_POPUP&amp;HEIGHT=450&amp;WIDTH=450&amp;START_MAXIMI","ZED=FALSE&amp;VAR:CALENDAR=US&amp;VAR:SYMBOL=DOW&amp;VAR:INDEX=0"}</definedName>
    <definedName name="_3522__FDSAUDITLINK__" hidden="1">{"fdsup://directions/FAT Viewer?action=UPDATE&amp;creator=factset&amp;DYN_ARGS=TRUE&amp;DOC_NAME=FAT:FQL_AUDITING_CLIENT_TEMPLATE.FAT&amp;display_string=Audit&amp;VAR:KEY=MFMXWFCFUL&amp;VAR:QUERY=Q1NGX0VCSVRfT1BFUihBTk4sMTIvMzEvMTk4MCwxMi8zMS8yMDA5LEFZKQ==&amp;WINDOW=FIRST_POPUP&amp;HEIGH","T=450&amp;WIDTH=450&amp;START_MAXIMIZED=FALSE&amp;VAR:CALENDAR=US&amp;VAR:SYMBOL=DOW&amp;VAR:INDEX=29"}</definedName>
    <definedName name="_3523__FDSAUDITLINK__" hidden="1">{"fdsup://directions/FAT Viewer?action=UPDATE&amp;creator=factset&amp;DYN_ARGS=TRUE&amp;DOC_NAME=FAT:FQL_AUDITING_CLIENT_TEMPLATE.FAT&amp;display_string=Audit&amp;VAR:KEY=MFMXWFCFUL&amp;VAR:QUERY=Q1NGX0VCSVRfT1BFUihBTk4sMTIvMzEvMTk4MCwxMi8zMS8yMDA5LEFZKQ==&amp;WINDOW=FIRST_POPUP&amp;HEIGH","T=450&amp;WIDTH=450&amp;START_MAXIMIZED=FALSE&amp;VAR:CALENDAR=US&amp;VAR:SYMBOL=DOW&amp;VAR:INDEX=28"}</definedName>
    <definedName name="_3524__FDSAUDITLINK__" hidden="1">{"fdsup://directions/FAT Viewer?action=UPDATE&amp;creator=factset&amp;DYN_ARGS=TRUE&amp;DOC_NAME=FAT:FQL_AUDITING_CLIENT_TEMPLATE.FAT&amp;display_string=Audit&amp;VAR:KEY=MFMXWFCFUL&amp;VAR:QUERY=Q1NGX0VCSVRfT1BFUihBTk4sMTIvMzEvMTk4MCwxMi8zMS8yMDA5LEFZKQ==&amp;WINDOW=FIRST_POPUP&amp;HEIGH","T=450&amp;WIDTH=450&amp;START_MAXIMIZED=FALSE&amp;VAR:CALENDAR=US&amp;VAR:SYMBOL=DOW&amp;VAR:INDEX=27"}</definedName>
    <definedName name="_3525__FDSAUDITLINK__" hidden="1">{"fdsup://directions/FAT Viewer?action=UPDATE&amp;creator=factset&amp;DYN_ARGS=TRUE&amp;DOC_NAME=FAT:FQL_AUDITING_CLIENT_TEMPLATE.FAT&amp;display_string=Audit&amp;VAR:KEY=MFMXWFCFUL&amp;VAR:QUERY=Q1NGX0VCSVRfT1BFUihBTk4sMTIvMzEvMTk4MCwxMi8zMS8yMDA5LEFZKQ==&amp;WINDOW=FIRST_POPUP&amp;HEIGH","T=450&amp;WIDTH=450&amp;START_MAXIMIZED=FALSE&amp;VAR:CALENDAR=US&amp;VAR:SYMBOL=DOW&amp;VAR:INDEX=26"}</definedName>
    <definedName name="_3526__FDSAUDITLINK__" hidden="1">{"fdsup://directions/FAT Viewer?action=UPDATE&amp;creator=factset&amp;DYN_ARGS=TRUE&amp;DOC_NAME=FAT:FQL_AUDITING_CLIENT_TEMPLATE.FAT&amp;display_string=Audit&amp;VAR:KEY=MFMXWFCFUL&amp;VAR:QUERY=Q1NGX0VCSVRfT1BFUihBTk4sMTIvMzEvMTk4MCwxMi8zMS8yMDA5LEFZKQ==&amp;WINDOW=FIRST_POPUP&amp;HEIGH","T=450&amp;WIDTH=450&amp;START_MAXIMIZED=FALSE&amp;VAR:CALENDAR=US&amp;VAR:SYMBOL=DOW&amp;VAR:INDEX=25"}</definedName>
    <definedName name="_3527__FDSAUDITLINK__" hidden="1">{"fdsup://directions/FAT Viewer?action=UPDATE&amp;creator=factset&amp;DYN_ARGS=TRUE&amp;DOC_NAME=FAT:FQL_AUDITING_CLIENT_TEMPLATE.FAT&amp;display_string=Audit&amp;VAR:KEY=MFMXWFCFUL&amp;VAR:QUERY=Q1NGX0VCSVRfT1BFUihBTk4sMTIvMzEvMTk4MCwxMi8zMS8yMDA5LEFZKQ==&amp;WINDOW=FIRST_POPUP&amp;HEIGH","T=450&amp;WIDTH=450&amp;START_MAXIMIZED=FALSE&amp;VAR:CALENDAR=US&amp;VAR:SYMBOL=DOW&amp;VAR:INDEX=24"}</definedName>
    <definedName name="_3528__FDSAUDITLINK__" hidden="1">{"fdsup://directions/FAT Viewer?action=UPDATE&amp;creator=factset&amp;DYN_ARGS=TRUE&amp;DOC_NAME=FAT:FQL_AUDITING_CLIENT_TEMPLATE.FAT&amp;display_string=Audit&amp;VAR:KEY=MFMXWFCFUL&amp;VAR:QUERY=Q1NGX0VCSVRfT1BFUihBTk4sMTIvMzEvMTk4MCwxMi8zMS8yMDA5LEFZKQ==&amp;WINDOW=FIRST_POPUP&amp;HEIGH","T=450&amp;WIDTH=450&amp;START_MAXIMIZED=FALSE&amp;VAR:CALENDAR=US&amp;VAR:SYMBOL=DOW&amp;VAR:INDEX=23"}</definedName>
    <definedName name="_3529__FDSAUDITLINK__" hidden="1">{"fdsup://directions/FAT Viewer?action=UPDATE&amp;creator=factset&amp;DYN_ARGS=TRUE&amp;DOC_NAME=FAT:FQL_AUDITING_CLIENT_TEMPLATE.FAT&amp;display_string=Audit&amp;VAR:KEY=MFMXWFCFUL&amp;VAR:QUERY=Q1NGX0VCSVRfT1BFUihBTk4sMTIvMzEvMTk4MCwxMi8zMS8yMDA5LEFZKQ==&amp;WINDOW=FIRST_POPUP&amp;HEIGH","T=450&amp;WIDTH=450&amp;START_MAXIMIZED=FALSE&amp;VAR:CALENDAR=US&amp;VAR:SYMBOL=DOW&amp;VAR:INDEX=22"}</definedName>
    <definedName name="_353__FDSAUDITLINK__" hidden="1">{"fdsup://directions/FAT Viewer?action=UPDATE&amp;creator=factset&amp;DYN_ARGS=TRUE&amp;DOC_NAME=FAT:FQL_AUDITING_CLIENT_TEMPLATE.FAT&amp;display_string=Audit&amp;VAR:KEY=INMFOFUZWN&amp;VAR:QUERY=Q1NGX0VCSVRfT1BFUihBTk4sMTIvMzEvODAsMCk=&amp;WINDOW=FIRST_POPUP&amp;HEIGHT=450&amp;WIDTH=450&amp;STAR","T_MAXIMIZED=FALSE&amp;VAR:CALENDAR=US&amp;VAR:SYMBOL=UK&amp;VAR:INDEX=1"}</definedName>
    <definedName name="_3530__FDSAUDITLINK__" hidden="1">{"fdsup://directions/FAT Viewer?action=UPDATE&amp;creator=factset&amp;DYN_ARGS=TRUE&amp;DOC_NAME=FAT:FQL_AUDITING_CLIENT_TEMPLATE.FAT&amp;display_string=Audit&amp;VAR:KEY=MFMXWFCFUL&amp;VAR:QUERY=Q1NGX0VCSVRfT1BFUihBTk4sMTIvMzEvMTk4MCwxMi8zMS8yMDA5LEFZKQ==&amp;WINDOW=FIRST_POPUP&amp;HEIGH","T=450&amp;WIDTH=450&amp;START_MAXIMIZED=FALSE&amp;VAR:CALENDAR=US&amp;VAR:SYMBOL=DOW&amp;VAR:INDEX=21"}</definedName>
    <definedName name="_3531__FDSAUDITLINK__" hidden="1">{"fdsup://directions/FAT Viewer?action=UPDATE&amp;creator=factset&amp;DYN_ARGS=TRUE&amp;DOC_NAME=FAT:FQL_AUDITING_CLIENT_TEMPLATE.FAT&amp;display_string=Audit&amp;VAR:KEY=MFMXWFCFUL&amp;VAR:QUERY=Q1NGX0VCSVRfT1BFUihBTk4sMTIvMzEvMTk4MCwxMi8zMS8yMDA5LEFZKQ==&amp;WINDOW=FIRST_POPUP&amp;HEIGH","T=450&amp;WIDTH=450&amp;START_MAXIMIZED=FALSE&amp;VAR:CALENDAR=US&amp;VAR:SYMBOL=DOW&amp;VAR:INDEX=20"}</definedName>
    <definedName name="_3532__FDSAUDITLINK__" hidden="1">{"fdsup://directions/FAT Viewer?action=UPDATE&amp;creator=factset&amp;DYN_ARGS=TRUE&amp;DOC_NAME=FAT:FQL_AUDITING_CLIENT_TEMPLATE.FAT&amp;display_string=Audit&amp;VAR:KEY=MFMXWFCFUL&amp;VAR:QUERY=Q1NGX0VCSVRfT1BFUihBTk4sMTIvMzEvMTk4MCwxMi8zMS8yMDA5LEFZKQ==&amp;WINDOW=FIRST_POPUP&amp;HEIGH","T=450&amp;WIDTH=450&amp;START_MAXIMIZED=FALSE&amp;VAR:CALENDAR=US&amp;VAR:SYMBOL=DOW&amp;VAR:INDEX=19"}</definedName>
    <definedName name="_3533__FDSAUDITLINK__" hidden="1">{"fdsup://directions/FAT Viewer?action=UPDATE&amp;creator=factset&amp;DYN_ARGS=TRUE&amp;DOC_NAME=FAT:FQL_AUDITING_CLIENT_TEMPLATE.FAT&amp;display_string=Audit&amp;VAR:KEY=MFMXWFCFUL&amp;VAR:QUERY=Q1NGX0VCSVRfT1BFUihBTk4sMTIvMzEvMTk4MCwxMi8zMS8yMDA5LEFZKQ==&amp;WINDOW=FIRST_POPUP&amp;HEIGH","T=450&amp;WIDTH=450&amp;START_MAXIMIZED=FALSE&amp;VAR:CALENDAR=US&amp;VAR:SYMBOL=DOW&amp;VAR:INDEX=18"}</definedName>
    <definedName name="_3534__FDSAUDITLINK__" hidden="1">{"fdsup://directions/FAT Viewer?action=UPDATE&amp;creator=factset&amp;DYN_ARGS=TRUE&amp;DOC_NAME=FAT:FQL_AUDITING_CLIENT_TEMPLATE.FAT&amp;display_string=Audit&amp;VAR:KEY=MFMXWFCFUL&amp;VAR:QUERY=Q1NGX0VCSVRfT1BFUihBTk4sMTIvMzEvMTk4MCwxMi8zMS8yMDA5LEFZKQ==&amp;WINDOW=FIRST_POPUP&amp;HEIGH","T=450&amp;WIDTH=450&amp;START_MAXIMIZED=FALSE&amp;VAR:CALENDAR=US&amp;VAR:SYMBOL=DOW&amp;VAR:INDEX=17"}</definedName>
    <definedName name="_3535__FDSAUDITLINK__" hidden="1">{"fdsup://directions/FAT Viewer?action=UPDATE&amp;creator=factset&amp;DYN_ARGS=TRUE&amp;DOC_NAME=FAT:FQL_AUDITING_CLIENT_TEMPLATE.FAT&amp;display_string=Audit&amp;VAR:KEY=MFMXWFCFUL&amp;VAR:QUERY=Q1NGX0VCSVRfT1BFUihBTk4sMTIvMzEvMTk4MCwxMi8zMS8yMDA5LEFZKQ==&amp;WINDOW=FIRST_POPUP&amp;HEIGH","T=450&amp;WIDTH=450&amp;START_MAXIMIZED=FALSE&amp;VAR:CALENDAR=US&amp;VAR:SYMBOL=DOW&amp;VAR:INDEX=16"}</definedName>
    <definedName name="_3536__FDSAUDITLINK__" hidden="1">{"fdsup://directions/FAT Viewer?action=UPDATE&amp;creator=factset&amp;DYN_ARGS=TRUE&amp;DOC_NAME=FAT:FQL_AUDITING_CLIENT_TEMPLATE.FAT&amp;display_string=Audit&amp;VAR:KEY=MFMXWFCFUL&amp;VAR:QUERY=Q1NGX0VCSVRfT1BFUihBTk4sMTIvMzEvMTk4MCwxMi8zMS8yMDA5LEFZKQ==&amp;WINDOW=FIRST_POPUP&amp;HEIGH","T=450&amp;WIDTH=450&amp;START_MAXIMIZED=FALSE&amp;VAR:CALENDAR=US&amp;VAR:SYMBOL=DOW&amp;VAR:INDEX=15"}</definedName>
    <definedName name="_3537__FDSAUDITLINK__" hidden="1">{"fdsup://directions/FAT Viewer?action=UPDATE&amp;creator=factset&amp;DYN_ARGS=TRUE&amp;DOC_NAME=FAT:FQL_AUDITING_CLIENT_TEMPLATE.FAT&amp;display_string=Audit&amp;VAR:KEY=MFMXWFCFUL&amp;VAR:QUERY=Q1NGX0VCSVRfT1BFUihBTk4sMTIvMzEvMTk4MCwxMi8zMS8yMDA5LEFZKQ==&amp;WINDOW=FIRST_POPUP&amp;HEIGH","T=450&amp;WIDTH=450&amp;START_MAXIMIZED=FALSE&amp;VAR:CALENDAR=US&amp;VAR:SYMBOL=DOW&amp;VAR:INDEX=14"}</definedName>
    <definedName name="_3538__FDSAUDITLINK__" hidden="1">{"fdsup://directions/FAT Viewer?action=UPDATE&amp;creator=factset&amp;DYN_ARGS=TRUE&amp;DOC_NAME=FAT:FQL_AUDITING_CLIENT_TEMPLATE.FAT&amp;display_string=Audit&amp;VAR:KEY=MFMXWFCFUL&amp;VAR:QUERY=Q1NGX0VCSVRfT1BFUihBTk4sMTIvMzEvMTk4MCwxMi8zMS8yMDA5LEFZKQ==&amp;WINDOW=FIRST_POPUP&amp;HEIGH","T=450&amp;WIDTH=450&amp;START_MAXIMIZED=FALSE&amp;VAR:CALENDAR=US&amp;VAR:SYMBOL=DOW&amp;VAR:INDEX=13"}</definedName>
    <definedName name="_3539__FDSAUDITLINK__" hidden="1">{"fdsup://directions/FAT Viewer?action=UPDATE&amp;creator=factset&amp;DYN_ARGS=TRUE&amp;DOC_NAME=FAT:FQL_AUDITING_CLIENT_TEMPLATE.FAT&amp;display_string=Audit&amp;VAR:KEY=MFMXWFCFUL&amp;VAR:QUERY=Q1NGX0VCSVRfT1BFUihBTk4sMTIvMzEvMTk4MCwxMi8zMS8yMDA5LEFZKQ==&amp;WINDOW=FIRST_POPUP&amp;HEIGH","T=450&amp;WIDTH=450&amp;START_MAXIMIZED=FALSE&amp;VAR:CALENDAR=US&amp;VAR:SYMBOL=DOW&amp;VAR:INDEX=12"}</definedName>
    <definedName name="_354__FDSAUDITLINK__" hidden="1">{"fdsup://directions/FAT Viewer?action=UPDATE&amp;creator=factset&amp;DYN_ARGS=TRUE&amp;DOC_NAME=FAT:FQL_AUDITING_CLIENT_TEMPLATE.FAT&amp;display_string=Audit&amp;VAR:KEY=INMFOFUZWN&amp;VAR:QUERY=Q1NGX0VCSVRfT1BFUihBTk4sMTIvMzEvODAsMCk=&amp;WINDOW=FIRST_POPUP&amp;HEIGHT=450&amp;WIDTH=450&amp;STAR","T_MAXIMIZED=FALSE&amp;VAR:CALENDAR=US&amp;VAR:SYMBOL=UK&amp;VAR:INDEX=0"}</definedName>
    <definedName name="_3540__FDSAUDITLINK__" hidden="1">{"fdsup://directions/FAT Viewer?action=UPDATE&amp;creator=factset&amp;DYN_ARGS=TRUE&amp;DOC_NAME=FAT:FQL_AUDITING_CLIENT_TEMPLATE.FAT&amp;display_string=Audit&amp;VAR:KEY=MFMXWFCFUL&amp;VAR:QUERY=Q1NGX0VCSVRfT1BFUihBTk4sMTIvMzEvMTk4MCwxMi8zMS8yMDA5LEFZKQ==&amp;WINDOW=FIRST_POPUP&amp;HEIGH","T=450&amp;WIDTH=450&amp;START_MAXIMIZED=FALSE&amp;VAR:CALENDAR=US&amp;VAR:SYMBOL=DOW&amp;VAR:INDEX=11"}</definedName>
    <definedName name="_3541__FDSAUDITLINK__" hidden="1">{"fdsup://directions/FAT Viewer?action=UPDATE&amp;creator=factset&amp;DYN_ARGS=TRUE&amp;DOC_NAME=FAT:FQL_AUDITING_CLIENT_TEMPLATE.FAT&amp;display_string=Audit&amp;VAR:KEY=MFMXWFCFUL&amp;VAR:QUERY=Q1NGX0VCSVRfT1BFUihBTk4sMTIvMzEvMTk4MCwxMi8zMS8yMDA5LEFZKQ==&amp;WINDOW=FIRST_POPUP&amp;HEIGH","T=450&amp;WIDTH=450&amp;START_MAXIMIZED=FALSE&amp;VAR:CALENDAR=US&amp;VAR:SYMBOL=DOW&amp;VAR:INDEX=10"}</definedName>
    <definedName name="_3542__FDSAUDITLINK__" hidden="1">{"fdsup://directions/FAT Viewer?action=UPDATE&amp;creator=factset&amp;DYN_ARGS=TRUE&amp;DOC_NAME=FAT:FQL_AUDITING_CLIENT_TEMPLATE.FAT&amp;display_string=Audit&amp;VAR:KEY=MFMXWFCFUL&amp;VAR:QUERY=Q1NGX0VCSVRfT1BFUihBTk4sMTIvMzEvMTk4MCwxMi8zMS8yMDA5LEFZKQ==&amp;WINDOW=FIRST_POPUP&amp;HEIGH","T=450&amp;WIDTH=450&amp;START_MAXIMIZED=FALSE&amp;VAR:CALENDAR=US&amp;VAR:SYMBOL=DOW&amp;VAR:INDEX=9"}</definedName>
    <definedName name="_3543__FDSAUDITLINK__" hidden="1">{"fdsup://directions/FAT Viewer?action=UPDATE&amp;creator=factset&amp;DYN_ARGS=TRUE&amp;DOC_NAME=FAT:FQL_AUDITING_CLIENT_TEMPLATE.FAT&amp;display_string=Audit&amp;VAR:KEY=MFMXWFCFUL&amp;VAR:QUERY=Q1NGX0VCSVRfT1BFUihBTk4sMTIvMzEvMTk4MCwxMi8zMS8yMDA5LEFZKQ==&amp;WINDOW=FIRST_POPUP&amp;HEIGH","T=450&amp;WIDTH=450&amp;START_MAXIMIZED=FALSE&amp;VAR:CALENDAR=US&amp;VAR:SYMBOL=DOW&amp;VAR:INDEX=8"}</definedName>
    <definedName name="_3544__FDSAUDITLINK__" hidden="1">{"fdsup://directions/FAT Viewer?action=UPDATE&amp;creator=factset&amp;DYN_ARGS=TRUE&amp;DOC_NAME=FAT:FQL_AUDITING_CLIENT_TEMPLATE.FAT&amp;display_string=Audit&amp;VAR:KEY=MFMXWFCFUL&amp;VAR:QUERY=Q1NGX0VCSVRfT1BFUihBTk4sMTIvMzEvMTk4MCwxMi8zMS8yMDA5LEFZKQ==&amp;WINDOW=FIRST_POPUP&amp;HEIGH","T=450&amp;WIDTH=450&amp;START_MAXIMIZED=FALSE&amp;VAR:CALENDAR=US&amp;VAR:SYMBOL=DOW&amp;VAR:INDEX=7"}</definedName>
    <definedName name="_3545__FDSAUDITLINK__" hidden="1">{"fdsup://directions/FAT Viewer?action=UPDATE&amp;creator=factset&amp;DYN_ARGS=TRUE&amp;DOC_NAME=FAT:FQL_AUDITING_CLIENT_TEMPLATE.FAT&amp;display_string=Audit&amp;VAR:KEY=MFMXWFCFUL&amp;VAR:QUERY=Q1NGX0VCSVRfT1BFUihBTk4sMTIvMzEvMTk4MCwxMi8zMS8yMDA5LEFZKQ==&amp;WINDOW=FIRST_POPUP&amp;HEIGH","T=450&amp;WIDTH=450&amp;START_MAXIMIZED=FALSE&amp;VAR:CALENDAR=US&amp;VAR:SYMBOL=DOW&amp;VAR:INDEX=6"}</definedName>
    <definedName name="_3546__FDSAUDITLINK__" hidden="1">{"fdsup://directions/FAT Viewer?action=UPDATE&amp;creator=factset&amp;DYN_ARGS=TRUE&amp;DOC_NAME=FAT:FQL_AUDITING_CLIENT_TEMPLATE.FAT&amp;display_string=Audit&amp;VAR:KEY=MFMXWFCFUL&amp;VAR:QUERY=Q1NGX0VCSVRfT1BFUihBTk4sMTIvMzEvMTk4MCwxMi8zMS8yMDA5LEFZKQ==&amp;WINDOW=FIRST_POPUP&amp;HEIGH","T=450&amp;WIDTH=450&amp;START_MAXIMIZED=FALSE&amp;VAR:CALENDAR=US&amp;VAR:SYMBOL=DOW&amp;VAR:INDEX=5"}</definedName>
    <definedName name="_3547__FDSAUDITLINK__" hidden="1">{"fdsup://directions/FAT Viewer?action=UPDATE&amp;creator=factset&amp;DYN_ARGS=TRUE&amp;DOC_NAME=FAT:FQL_AUDITING_CLIENT_TEMPLATE.FAT&amp;display_string=Audit&amp;VAR:KEY=MFMXWFCFUL&amp;VAR:QUERY=Q1NGX0VCSVRfT1BFUihBTk4sMTIvMzEvMTk4MCwxMi8zMS8yMDA5LEFZKQ==&amp;WINDOW=FIRST_POPUP&amp;HEIGH","T=450&amp;WIDTH=450&amp;START_MAXIMIZED=FALSE&amp;VAR:CALENDAR=US&amp;VAR:SYMBOL=DOW&amp;VAR:INDEX=4"}</definedName>
    <definedName name="_3548__FDSAUDITLINK__" hidden="1">{"fdsup://directions/FAT Viewer?action=UPDATE&amp;creator=factset&amp;DYN_ARGS=TRUE&amp;DOC_NAME=FAT:FQL_AUDITING_CLIENT_TEMPLATE.FAT&amp;display_string=Audit&amp;VAR:KEY=MFMXWFCFUL&amp;VAR:QUERY=Q1NGX0VCSVRfT1BFUihBTk4sMTIvMzEvMTk4MCwxMi8zMS8yMDA5LEFZKQ==&amp;WINDOW=FIRST_POPUP&amp;HEIGH","T=450&amp;WIDTH=450&amp;START_MAXIMIZED=FALSE&amp;VAR:CALENDAR=US&amp;VAR:SYMBOL=DOW&amp;VAR:INDEX=3"}</definedName>
    <definedName name="_3549__FDSAUDITLINK__" hidden="1">{"fdsup://directions/FAT Viewer?action=UPDATE&amp;creator=factset&amp;DYN_ARGS=TRUE&amp;DOC_NAME=FAT:FQL_AUDITING_CLIENT_TEMPLATE.FAT&amp;display_string=Audit&amp;VAR:KEY=MFMXWFCFUL&amp;VAR:QUERY=Q1NGX0VCSVRfT1BFUihBTk4sMTIvMzEvMTk4MCwxMi8zMS8yMDA5LEFZKQ==&amp;WINDOW=FIRST_POPUP&amp;HEIGH","T=450&amp;WIDTH=450&amp;START_MAXIMIZED=FALSE&amp;VAR:CALENDAR=US&amp;VAR:SYMBOL=DOW&amp;VAR:INDEX=2"}</definedName>
    <definedName name="_355__FDSAUDITLINK__" hidden="1">{"fdsup://directions/FAT Viewer?action=UPDATE&amp;creator=factset&amp;DYN_ARGS=TRUE&amp;DOC_NAME=FAT:FQL_AUDITING_CLIENT_TEMPLATE.FAT&amp;display_string=Audit&amp;VAR:KEY=SNUVEDYVYF&amp;VAR:QUERY=Q1NGX0VCSVRfT1BFUihMVE1fUiwwKQ==&amp;WINDOW=FIRST_POPUP&amp;HEIGHT=450&amp;WIDTH=450&amp;START_MAXIMI","ZED=FALSE&amp;VAR:CALENDAR=US&amp;VAR:SYMBOL=SOA&amp;VAR:INDEX=0"}</definedName>
    <definedName name="_3550__FDSAUDITLINK__" hidden="1">{"fdsup://directions/FAT Viewer?action=UPDATE&amp;creator=factset&amp;DYN_ARGS=TRUE&amp;DOC_NAME=FAT:FQL_AUDITING_CLIENT_TEMPLATE.FAT&amp;display_string=Audit&amp;VAR:KEY=MFMXWFCFUL&amp;VAR:QUERY=Q1NGX0VCSVRfT1BFUihBTk4sMTIvMzEvMTk4MCwxMi8zMS8yMDA5LEFZKQ==&amp;WINDOW=FIRST_POPUP&amp;HEIGH","T=450&amp;WIDTH=450&amp;START_MAXIMIZED=FALSE&amp;VAR:CALENDAR=US&amp;VAR:SYMBOL=DOW&amp;VAR:INDEX=1"}</definedName>
    <definedName name="_3551__FDSAUDITLINK__" hidden="1">{"fdsup://directions/FAT Viewer?action=UPDATE&amp;creator=factset&amp;DYN_ARGS=TRUE&amp;DOC_NAME=FAT:FQL_AUDITING_CLIENT_TEMPLATE.FAT&amp;display_string=Audit&amp;VAR:KEY=MFMXWFCFUL&amp;VAR:QUERY=Q1NGX0VCSVRfT1BFUihBTk4sMTIvMzEvMTk4MCwxMi8zMS8yMDA5LEFZKQ==&amp;WINDOW=FIRST_POPUP&amp;HEIGH","T=450&amp;WIDTH=450&amp;START_MAXIMIZED=FALSE&amp;VAR:CALENDAR=US&amp;VAR:SYMBOL=DOW&amp;VAR:INDEX=0"}</definedName>
    <definedName name="_3552__FDSAUDITLINK__" hidden="1">{"fdsup://directions/FAT Viewer?action=UPDATE&amp;creator=factset&amp;DYN_ARGS=TRUE&amp;DOC_NAME=FAT:FQL_AUDITING_CLIENT_TEMPLATE.FAT&amp;display_string=Audit&amp;VAR:KEY=OHOZQBUNUJ&amp;VAR:QUERY=Q1NGX0NPTV9TSFNfT1VUKEFOTiwxOTgwLDIwMDAsQVkp&amp;WINDOW=FIRST_POPUP&amp;HEIGHT=450&amp;WIDTH=450&amp;","START_MAXIMIZED=FALSE&amp;VAR:CALENDAR=US&amp;VAR:SYMBOL=PENX&amp;VAR:INDEX=20"}</definedName>
    <definedName name="_3553__FDSAUDITLINK__" hidden="1">{"fdsup://directions/FAT Viewer?action=UPDATE&amp;creator=factset&amp;DYN_ARGS=TRUE&amp;DOC_NAME=FAT:FQL_AUDITING_CLIENT_TEMPLATE.FAT&amp;display_string=Audit&amp;VAR:KEY=OHOZQBUNUJ&amp;VAR:QUERY=Q1NGX0NPTV9TSFNfT1VUKEFOTiwxOTgwLDIwMDAsQVkp&amp;WINDOW=FIRST_POPUP&amp;HEIGHT=450&amp;WIDTH=450&amp;","START_MAXIMIZED=FALSE&amp;VAR:CALENDAR=US&amp;VAR:SYMBOL=PENX&amp;VAR:INDEX=19"}</definedName>
    <definedName name="_3554__FDSAUDITLINK__" hidden="1">{"fdsup://directions/FAT Viewer?action=UPDATE&amp;creator=factset&amp;DYN_ARGS=TRUE&amp;DOC_NAME=FAT:FQL_AUDITING_CLIENT_TEMPLATE.FAT&amp;display_string=Audit&amp;VAR:KEY=OHOZQBUNUJ&amp;VAR:QUERY=Q1NGX0NPTV9TSFNfT1VUKEFOTiwxOTgwLDIwMDAsQVkp&amp;WINDOW=FIRST_POPUP&amp;HEIGHT=450&amp;WIDTH=450&amp;","START_MAXIMIZED=FALSE&amp;VAR:CALENDAR=US&amp;VAR:SYMBOL=PENX&amp;VAR:INDEX=18"}</definedName>
    <definedName name="_3555__FDSAUDITLINK__" hidden="1">{"fdsup://directions/FAT Viewer?action=UPDATE&amp;creator=factset&amp;DYN_ARGS=TRUE&amp;DOC_NAME=FAT:FQL_AUDITING_CLIENT_TEMPLATE.FAT&amp;display_string=Audit&amp;VAR:KEY=OHOZQBUNUJ&amp;VAR:QUERY=Q1NGX0NPTV9TSFNfT1VUKEFOTiwxOTgwLDIwMDAsQVkp&amp;WINDOW=FIRST_POPUP&amp;HEIGHT=450&amp;WIDTH=450&amp;","START_MAXIMIZED=FALSE&amp;VAR:CALENDAR=US&amp;VAR:SYMBOL=PENX&amp;VAR:INDEX=17"}</definedName>
    <definedName name="_3556__FDSAUDITLINK__" hidden="1">{"fdsup://directions/FAT Viewer?action=UPDATE&amp;creator=factset&amp;DYN_ARGS=TRUE&amp;DOC_NAME=FAT:FQL_AUDITING_CLIENT_TEMPLATE.FAT&amp;display_string=Audit&amp;VAR:KEY=OHOZQBUNUJ&amp;VAR:QUERY=Q1NGX0NPTV9TSFNfT1VUKEFOTiwxOTgwLDIwMDAsQVkp&amp;WINDOW=FIRST_POPUP&amp;HEIGHT=450&amp;WIDTH=450&amp;","START_MAXIMIZED=FALSE&amp;VAR:CALENDAR=US&amp;VAR:SYMBOL=PENX&amp;VAR:INDEX=16"}</definedName>
    <definedName name="_3557__FDSAUDITLINK__" hidden="1">{"fdsup://directions/FAT Viewer?action=UPDATE&amp;creator=factset&amp;DYN_ARGS=TRUE&amp;DOC_NAME=FAT:FQL_AUDITING_CLIENT_TEMPLATE.FAT&amp;display_string=Audit&amp;VAR:KEY=OHOZQBUNUJ&amp;VAR:QUERY=Q1NGX0NPTV9TSFNfT1VUKEFOTiwxOTgwLDIwMDAsQVkp&amp;WINDOW=FIRST_POPUP&amp;HEIGHT=450&amp;WIDTH=450&amp;","START_MAXIMIZED=FALSE&amp;VAR:CALENDAR=US&amp;VAR:SYMBOL=PENX&amp;VAR:INDEX=15"}</definedName>
    <definedName name="_3558__FDSAUDITLINK__" hidden="1">{"fdsup://directions/FAT Viewer?action=UPDATE&amp;creator=factset&amp;DYN_ARGS=TRUE&amp;DOC_NAME=FAT:FQL_AUDITING_CLIENT_TEMPLATE.FAT&amp;display_string=Audit&amp;VAR:KEY=OHOZQBUNUJ&amp;VAR:QUERY=Q1NGX0NPTV9TSFNfT1VUKEFOTiwxOTgwLDIwMDAsQVkp&amp;WINDOW=FIRST_POPUP&amp;HEIGHT=450&amp;WIDTH=450&amp;","START_MAXIMIZED=FALSE&amp;VAR:CALENDAR=US&amp;VAR:SYMBOL=PENX&amp;VAR:INDEX=14"}</definedName>
    <definedName name="_3559__FDSAUDITLINK__" hidden="1">{"fdsup://directions/FAT Viewer?action=UPDATE&amp;creator=factset&amp;DYN_ARGS=TRUE&amp;DOC_NAME=FAT:FQL_AUDITING_CLIENT_TEMPLATE.FAT&amp;display_string=Audit&amp;VAR:KEY=OHOZQBUNUJ&amp;VAR:QUERY=Q1NGX0NPTV9TSFNfT1VUKEFOTiwxOTgwLDIwMDAsQVkp&amp;WINDOW=FIRST_POPUP&amp;HEIGHT=450&amp;WIDTH=450&amp;","START_MAXIMIZED=FALSE&amp;VAR:CALENDAR=US&amp;VAR:SYMBOL=PENX&amp;VAR:INDEX=13"}</definedName>
    <definedName name="_356__FDSAUDITLINK__" hidden="1">{"fdsup://directions/FAT Viewer?action=UPDATE&amp;creator=factset&amp;DYN_ARGS=TRUE&amp;DOC_NAME=FAT:FQL_AUDITING_CLIENT_TEMPLATE.FAT&amp;display_string=Audit&amp;VAR:KEY=CNKXYVWFWF&amp;VAR:QUERY=Q1NGX0VCSVRfT1BFUihBTk4sMTIvMzEvODAsMCk=&amp;WINDOW=FIRST_POPUP&amp;HEIGHT=450&amp;WIDTH=450&amp;STAR","T_MAXIMIZED=FALSE&amp;VAR:CALENDAR=US&amp;VAR:SYMBOL=SOA&amp;VAR:INDEX=29"}</definedName>
    <definedName name="_3560__FDSAUDITLINK__" hidden="1">{"fdsup://directions/FAT Viewer?action=UPDATE&amp;creator=factset&amp;DYN_ARGS=TRUE&amp;DOC_NAME=FAT:FQL_AUDITING_CLIENT_TEMPLATE.FAT&amp;display_string=Audit&amp;VAR:KEY=OHOZQBUNUJ&amp;VAR:QUERY=Q1NGX0NPTV9TSFNfT1VUKEFOTiwxOTgwLDIwMDAsQVkp&amp;WINDOW=FIRST_POPUP&amp;HEIGHT=450&amp;WIDTH=450&amp;","START_MAXIMIZED=FALSE&amp;VAR:CALENDAR=US&amp;VAR:SYMBOL=PENX&amp;VAR:INDEX=12"}</definedName>
    <definedName name="_3561__FDSAUDITLINK__" hidden="1">{"fdsup://directions/FAT Viewer?action=UPDATE&amp;creator=factset&amp;DYN_ARGS=TRUE&amp;DOC_NAME=FAT:FQL_AUDITING_CLIENT_TEMPLATE.FAT&amp;display_string=Audit&amp;VAR:KEY=OHOZQBUNUJ&amp;VAR:QUERY=Q1NGX0NPTV9TSFNfT1VUKEFOTiwxOTgwLDIwMDAsQVkp&amp;WINDOW=FIRST_POPUP&amp;HEIGHT=450&amp;WIDTH=450&amp;","START_MAXIMIZED=FALSE&amp;VAR:CALENDAR=US&amp;VAR:SYMBOL=PENX&amp;VAR:INDEX=11"}</definedName>
    <definedName name="_3562__FDSAUDITLINK__" hidden="1">{"fdsup://directions/FAT Viewer?action=UPDATE&amp;creator=factset&amp;DYN_ARGS=TRUE&amp;DOC_NAME=FAT:FQL_AUDITING_CLIENT_TEMPLATE.FAT&amp;display_string=Audit&amp;VAR:KEY=OHOZQBUNUJ&amp;VAR:QUERY=Q1NGX0NPTV9TSFNfT1VUKEFOTiwxOTgwLDIwMDAsQVkp&amp;WINDOW=FIRST_POPUP&amp;HEIGHT=450&amp;WIDTH=450&amp;","START_MAXIMIZED=FALSE&amp;VAR:CALENDAR=US&amp;VAR:SYMBOL=PENX&amp;VAR:INDEX=10"}</definedName>
    <definedName name="_3563__FDSAUDITLINK__" hidden="1">{"fdsup://directions/FAT Viewer?action=UPDATE&amp;creator=factset&amp;DYN_ARGS=TRUE&amp;DOC_NAME=FAT:FQL_AUDITING_CLIENT_TEMPLATE.FAT&amp;display_string=Audit&amp;VAR:KEY=OHOZQBUNUJ&amp;VAR:QUERY=Q1NGX0NPTV9TSFNfT1VUKEFOTiwxOTgwLDIwMDAsQVkp&amp;WINDOW=FIRST_POPUP&amp;HEIGHT=450&amp;WIDTH=450&amp;","START_MAXIMIZED=FALSE&amp;VAR:CALENDAR=US&amp;VAR:SYMBOL=PENX&amp;VAR:INDEX=9"}</definedName>
    <definedName name="_3564__FDSAUDITLINK__" hidden="1">{"fdsup://directions/FAT Viewer?action=UPDATE&amp;creator=factset&amp;DYN_ARGS=TRUE&amp;DOC_NAME=FAT:FQL_AUDITING_CLIENT_TEMPLATE.FAT&amp;display_string=Audit&amp;VAR:KEY=OHOZQBUNUJ&amp;VAR:QUERY=Q1NGX0NPTV9TSFNfT1VUKEFOTiwxOTgwLDIwMDAsQVkp&amp;WINDOW=FIRST_POPUP&amp;HEIGHT=450&amp;WIDTH=450&amp;","START_MAXIMIZED=FALSE&amp;VAR:CALENDAR=US&amp;VAR:SYMBOL=PENX&amp;VAR:INDEX=8"}</definedName>
    <definedName name="_3565__FDSAUDITLINK__" hidden="1">{"fdsup://directions/FAT Viewer?action=UPDATE&amp;creator=factset&amp;DYN_ARGS=TRUE&amp;DOC_NAME=FAT:FQL_AUDITING_CLIENT_TEMPLATE.FAT&amp;display_string=Audit&amp;VAR:KEY=OHOZQBUNUJ&amp;VAR:QUERY=Q1NGX0NPTV9TSFNfT1VUKEFOTiwxOTgwLDIwMDAsQVkp&amp;WINDOW=FIRST_POPUP&amp;HEIGHT=450&amp;WIDTH=450&amp;","START_MAXIMIZED=FALSE&amp;VAR:CALENDAR=US&amp;VAR:SYMBOL=PENX&amp;VAR:INDEX=7"}</definedName>
    <definedName name="_3566__FDSAUDITLINK__" hidden="1">{"fdsup://directions/FAT Viewer?action=UPDATE&amp;creator=factset&amp;DYN_ARGS=TRUE&amp;DOC_NAME=FAT:FQL_AUDITING_CLIENT_TEMPLATE.FAT&amp;display_string=Audit&amp;VAR:KEY=OHOZQBUNUJ&amp;VAR:QUERY=Q1NGX0NPTV9TSFNfT1VUKEFOTiwxOTgwLDIwMDAsQVkp&amp;WINDOW=FIRST_POPUP&amp;HEIGHT=450&amp;WIDTH=450&amp;","START_MAXIMIZED=FALSE&amp;VAR:CALENDAR=US&amp;VAR:SYMBOL=PENX&amp;VAR:INDEX=6"}</definedName>
    <definedName name="_3567__FDSAUDITLINK__" hidden="1">{"fdsup://directions/FAT Viewer?action=UPDATE&amp;creator=factset&amp;DYN_ARGS=TRUE&amp;DOC_NAME=FAT:FQL_AUDITING_CLIENT_TEMPLATE.FAT&amp;display_string=Audit&amp;VAR:KEY=OHOZQBUNUJ&amp;VAR:QUERY=Q1NGX0NPTV9TSFNfT1VUKEFOTiwxOTgwLDIwMDAsQVkp&amp;WINDOW=FIRST_POPUP&amp;HEIGHT=450&amp;WIDTH=450&amp;","START_MAXIMIZED=FALSE&amp;VAR:CALENDAR=US&amp;VAR:SYMBOL=PENX&amp;VAR:INDEX=5"}</definedName>
    <definedName name="_3568__FDSAUDITLINK__" hidden="1">{"fdsup://directions/FAT Viewer?action=UPDATE&amp;creator=factset&amp;DYN_ARGS=TRUE&amp;DOC_NAME=FAT:FQL_AUDITING_CLIENT_TEMPLATE.FAT&amp;display_string=Audit&amp;VAR:KEY=OHOZQBUNUJ&amp;VAR:QUERY=Q1NGX0NPTV9TSFNfT1VUKEFOTiwxOTgwLDIwMDAsQVkp&amp;WINDOW=FIRST_POPUP&amp;HEIGHT=450&amp;WIDTH=450&amp;","START_MAXIMIZED=FALSE&amp;VAR:CALENDAR=US&amp;VAR:SYMBOL=PENX&amp;VAR:INDEX=4"}</definedName>
    <definedName name="_3569__FDSAUDITLINK__" hidden="1">{"fdsup://directions/FAT Viewer?action=UPDATE&amp;creator=factset&amp;DYN_ARGS=TRUE&amp;DOC_NAME=FAT:FQL_AUDITING_CLIENT_TEMPLATE.FAT&amp;display_string=Audit&amp;VAR:KEY=OHOZQBUNUJ&amp;VAR:QUERY=Q1NGX0NPTV9TSFNfT1VUKEFOTiwxOTgwLDIwMDAsQVkp&amp;WINDOW=FIRST_POPUP&amp;HEIGHT=450&amp;WIDTH=450&amp;","START_MAXIMIZED=FALSE&amp;VAR:CALENDAR=US&amp;VAR:SYMBOL=PENX&amp;VAR:INDEX=3"}</definedName>
    <definedName name="_357__FDSAUDITLINK__" hidden="1">{"fdsup://directions/FAT Viewer?action=UPDATE&amp;creator=factset&amp;DYN_ARGS=TRUE&amp;DOC_NAME=FAT:FQL_AUDITING_CLIENT_TEMPLATE.FAT&amp;display_string=Audit&amp;VAR:KEY=CNKXYVWFWF&amp;VAR:QUERY=Q1NGX0VCSVRfT1BFUihBTk4sMTIvMzEvODAsMCk=&amp;WINDOW=FIRST_POPUP&amp;HEIGHT=450&amp;WIDTH=450&amp;STAR","T_MAXIMIZED=FALSE&amp;VAR:CALENDAR=US&amp;VAR:SYMBOL=SOA&amp;VAR:INDEX=28"}</definedName>
    <definedName name="_3570__FDSAUDITLINK__" hidden="1">{"fdsup://directions/FAT Viewer?action=UPDATE&amp;creator=factset&amp;DYN_ARGS=TRUE&amp;DOC_NAME=FAT:FQL_AUDITING_CLIENT_TEMPLATE.FAT&amp;display_string=Audit&amp;VAR:KEY=OHOZQBUNUJ&amp;VAR:QUERY=Q1NGX0NPTV9TSFNfT1VUKEFOTiwxOTgwLDIwMDAsQVkp&amp;WINDOW=FIRST_POPUP&amp;HEIGHT=450&amp;WIDTH=450&amp;","START_MAXIMIZED=FALSE&amp;VAR:CALENDAR=US&amp;VAR:SYMBOL=PENX&amp;VAR:INDEX=2"}</definedName>
    <definedName name="_3571__FDSAUDITLINK__" hidden="1">{"fdsup://directions/FAT Viewer?action=UPDATE&amp;creator=factset&amp;DYN_ARGS=TRUE&amp;DOC_NAME=FAT:FQL_AUDITING_CLIENT_TEMPLATE.FAT&amp;display_string=Audit&amp;VAR:KEY=OHOZQBUNUJ&amp;VAR:QUERY=Q1NGX0NPTV9TSFNfT1VUKEFOTiwxOTgwLDIwMDAsQVkp&amp;WINDOW=FIRST_POPUP&amp;HEIGHT=450&amp;WIDTH=450&amp;","START_MAXIMIZED=FALSE&amp;VAR:CALENDAR=US&amp;VAR:SYMBOL=PENX&amp;VAR:INDEX=1"}</definedName>
    <definedName name="_3572__FDSAUDITLINK__" hidden="1">{"fdsup://directions/FAT Viewer?action=UPDATE&amp;creator=factset&amp;DYN_ARGS=TRUE&amp;DOC_NAME=FAT:FQL_AUDITING_CLIENT_TEMPLATE.FAT&amp;display_string=Audit&amp;VAR:KEY=OHOZQBUNUJ&amp;VAR:QUERY=Q1NGX0NPTV9TSFNfT1VUKEFOTiwxOTgwLDIwMDAsQVkp&amp;WINDOW=FIRST_POPUP&amp;HEIGHT=450&amp;WIDTH=450&amp;","START_MAXIMIZED=FALSE&amp;VAR:CALENDAR=US&amp;VAR:SYMBOL=PENX&amp;VAR:INDEX=0"}</definedName>
    <definedName name="_3573__FDSAUDITLINK__" hidden="1">{"fdsup://directions/FAT Viewer?action=UPDATE&amp;creator=factset&amp;DYN_ARGS=TRUE&amp;DOC_NAME=FAT:FQL_AUDITING_CLIENT_TEMPLATE.FAT&amp;display_string=Audit&amp;VAR:KEY=ERINQNCPKP&amp;VAR:QUERY=Q1NGX0NPTV9TSFNfT1VUKEFOTiwxOTgwLDE5OTcsQVkp&amp;WINDOW=FIRST_POPUP&amp;HEIGHT=450&amp;WIDTH=450&amp;","START_MAXIMIZED=FALSE&amp;VAR:CALENDAR=US&amp;VAR:SYMBOL=CCC&amp;VAR:INDEX=17"}</definedName>
    <definedName name="_3574__FDSAUDITLINK__" hidden="1">{"fdsup://directions/FAT Viewer?action=UPDATE&amp;creator=factset&amp;DYN_ARGS=TRUE&amp;DOC_NAME=FAT:FQL_AUDITING_CLIENT_TEMPLATE.FAT&amp;display_string=Audit&amp;VAR:KEY=ERINQNCPKP&amp;VAR:QUERY=Q1NGX0NPTV9TSFNfT1VUKEFOTiwxOTgwLDE5OTcsQVkp&amp;WINDOW=FIRST_POPUP&amp;HEIGHT=450&amp;WIDTH=450&amp;","START_MAXIMIZED=FALSE&amp;VAR:CALENDAR=US&amp;VAR:SYMBOL=CCC&amp;VAR:INDEX=16"}</definedName>
    <definedName name="_3575__FDSAUDITLINK__" hidden="1">{"fdsup://directions/FAT Viewer?action=UPDATE&amp;creator=factset&amp;DYN_ARGS=TRUE&amp;DOC_NAME=FAT:FQL_AUDITING_CLIENT_TEMPLATE.FAT&amp;display_string=Audit&amp;VAR:KEY=ERINQNCPKP&amp;VAR:QUERY=Q1NGX0NPTV9TSFNfT1VUKEFOTiwxOTgwLDE5OTcsQVkp&amp;WINDOW=FIRST_POPUP&amp;HEIGHT=450&amp;WIDTH=450&amp;","START_MAXIMIZED=FALSE&amp;VAR:CALENDAR=US&amp;VAR:SYMBOL=CCC&amp;VAR:INDEX=15"}</definedName>
    <definedName name="_3576__FDSAUDITLINK__" hidden="1">{"fdsup://directions/FAT Viewer?action=UPDATE&amp;creator=factset&amp;DYN_ARGS=TRUE&amp;DOC_NAME=FAT:FQL_AUDITING_CLIENT_TEMPLATE.FAT&amp;display_string=Audit&amp;VAR:KEY=ERINQNCPKP&amp;VAR:QUERY=Q1NGX0NPTV9TSFNfT1VUKEFOTiwxOTgwLDE5OTcsQVkp&amp;WINDOW=FIRST_POPUP&amp;HEIGHT=450&amp;WIDTH=450&amp;","START_MAXIMIZED=FALSE&amp;VAR:CALENDAR=US&amp;VAR:SYMBOL=CCC&amp;VAR:INDEX=14"}</definedName>
    <definedName name="_3577__FDSAUDITLINK__" hidden="1">{"fdsup://directions/FAT Viewer?action=UPDATE&amp;creator=factset&amp;DYN_ARGS=TRUE&amp;DOC_NAME=FAT:FQL_AUDITING_CLIENT_TEMPLATE.FAT&amp;display_string=Audit&amp;VAR:KEY=ERINQNCPKP&amp;VAR:QUERY=Q1NGX0NPTV9TSFNfT1VUKEFOTiwxOTgwLDE5OTcsQVkp&amp;WINDOW=FIRST_POPUP&amp;HEIGHT=450&amp;WIDTH=450&amp;","START_MAXIMIZED=FALSE&amp;VAR:CALENDAR=US&amp;VAR:SYMBOL=CCC&amp;VAR:INDEX=13"}</definedName>
    <definedName name="_3578__FDSAUDITLINK__" hidden="1">{"fdsup://directions/FAT Viewer?action=UPDATE&amp;creator=factset&amp;DYN_ARGS=TRUE&amp;DOC_NAME=FAT:FQL_AUDITING_CLIENT_TEMPLATE.FAT&amp;display_string=Audit&amp;VAR:KEY=ERINQNCPKP&amp;VAR:QUERY=Q1NGX0NPTV9TSFNfT1VUKEFOTiwxOTgwLDE5OTcsQVkp&amp;WINDOW=FIRST_POPUP&amp;HEIGHT=450&amp;WIDTH=450&amp;","START_MAXIMIZED=FALSE&amp;VAR:CALENDAR=US&amp;VAR:SYMBOL=CCC&amp;VAR:INDEX=12"}</definedName>
    <definedName name="_3579__FDSAUDITLINK__" hidden="1">{"fdsup://directions/FAT Viewer?action=UPDATE&amp;creator=factset&amp;DYN_ARGS=TRUE&amp;DOC_NAME=FAT:FQL_AUDITING_CLIENT_TEMPLATE.FAT&amp;display_string=Audit&amp;VAR:KEY=ERINQNCPKP&amp;VAR:QUERY=Q1NGX0NPTV9TSFNfT1VUKEFOTiwxOTgwLDE5OTcsQVkp&amp;WINDOW=FIRST_POPUP&amp;HEIGHT=450&amp;WIDTH=450&amp;","START_MAXIMIZED=FALSE&amp;VAR:CALENDAR=US&amp;VAR:SYMBOL=CCC&amp;VAR:INDEX=11"}</definedName>
    <definedName name="_358__FDSAUDITLINK__" hidden="1">{"fdsup://directions/FAT Viewer?action=UPDATE&amp;creator=factset&amp;DYN_ARGS=TRUE&amp;DOC_NAME=FAT:FQL_AUDITING_CLIENT_TEMPLATE.FAT&amp;display_string=Audit&amp;VAR:KEY=CNKXYVWFWF&amp;VAR:QUERY=Q1NGX0VCSVRfT1BFUihBTk4sMTIvMzEvODAsMCk=&amp;WINDOW=FIRST_POPUP&amp;HEIGHT=450&amp;WIDTH=450&amp;STAR","T_MAXIMIZED=FALSE&amp;VAR:CALENDAR=US&amp;VAR:SYMBOL=SOA&amp;VAR:INDEX=27"}</definedName>
    <definedName name="_3580__FDSAUDITLINK__" hidden="1">{"fdsup://directions/FAT Viewer?action=UPDATE&amp;creator=factset&amp;DYN_ARGS=TRUE&amp;DOC_NAME=FAT:FQL_AUDITING_CLIENT_TEMPLATE.FAT&amp;display_string=Audit&amp;VAR:KEY=ERINQNCPKP&amp;VAR:QUERY=Q1NGX0NPTV9TSFNfT1VUKEFOTiwxOTgwLDE5OTcsQVkp&amp;WINDOW=FIRST_POPUP&amp;HEIGHT=450&amp;WIDTH=450&amp;","START_MAXIMIZED=FALSE&amp;VAR:CALENDAR=US&amp;VAR:SYMBOL=CCC&amp;VAR:INDEX=10"}</definedName>
    <definedName name="_3581__FDSAUDITLINK__" hidden="1">{"fdsup://directions/FAT Viewer?action=UPDATE&amp;creator=factset&amp;DYN_ARGS=TRUE&amp;DOC_NAME=FAT:FQL_AUDITING_CLIENT_TEMPLATE.FAT&amp;display_string=Audit&amp;VAR:KEY=ERINQNCPKP&amp;VAR:QUERY=Q1NGX0NPTV9TSFNfT1VUKEFOTiwxOTgwLDE5OTcsQVkp&amp;WINDOW=FIRST_POPUP&amp;HEIGHT=450&amp;WIDTH=450&amp;","START_MAXIMIZED=FALSE&amp;VAR:CALENDAR=US&amp;VAR:SYMBOL=CCC&amp;VAR:INDEX=9"}</definedName>
    <definedName name="_3582__FDSAUDITLINK__" hidden="1">{"fdsup://directions/FAT Viewer?action=UPDATE&amp;creator=factset&amp;DYN_ARGS=TRUE&amp;DOC_NAME=FAT:FQL_AUDITING_CLIENT_TEMPLATE.FAT&amp;display_string=Audit&amp;VAR:KEY=ERINQNCPKP&amp;VAR:QUERY=Q1NGX0NPTV9TSFNfT1VUKEFOTiwxOTgwLDE5OTcsQVkp&amp;WINDOW=FIRST_POPUP&amp;HEIGHT=450&amp;WIDTH=450&amp;","START_MAXIMIZED=FALSE&amp;VAR:CALENDAR=US&amp;VAR:SYMBOL=CCC&amp;VAR:INDEX=8"}</definedName>
    <definedName name="_3583__FDSAUDITLINK__" hidden="1">{"fdsup://directions/FAT Viewer?action=UPDATE&amp;creator=factset&amp;DYN_ARGS=TRUE&amp;DOC_NAME=FAT:FQL_AUDITING_CLIENT_TEMPLATE.FAT&amp;display_string=Audit&amp;VAR:KEY=ERINQNCPKP&amp;VAR:QUERY=Q1NGX0NPTV9TSFNfT1VUKEFOTiwxOTgwLDE5OTcsQVkp&amp;WINDOW=FIRST_POPUP&amp;HEIGHT=450&amp;WIDTH=450&amp;","START_MAXIMIZED=FALSE&amp;VAR:CALENDAR=US&amp;VAR:SYMBOL=CCC&amp;VAR:INDEX=7"}</definedName>
    <definedName name="_3584__FDSAUDITLINK__" hidden="1">{"fdsup://directions/FAT Viewer?action=UPDATE&amp;creator=factset&amp;DYN_ARGS=TRUE&amp;DOC_NAME=FAT:FQL_AUDITING_CLIENT_TEMPLATE.FAT&amp;display_string=Audit&amp;VAR:KEY=ERINQNCPKP&amp;VAR:QUERY=Q1NGX0NPTV9TSFNfT1VUKEFOTiwxOTgwLDE5OTcsQVkp&amp;WINDOW=FIRST_POPUP&amp;HEIGHT=450&amp;WIDTH=450&amp;","START_MAXIMIZED=FALSE&amp;VAR:CALENDAR=US&amp;VAR:SYMBOL=CCC&amp;VAR:INDEX=6"}</definedName>
    <definedName name="_3585__FDSAUDITLINK__" hidden="1">{"fdsup://directions/FAT Viewer?action=UPDATE&amp;creator=factset&amp;DYN_ARGS=TRUE&amp;DOC_NAME=FAT:FQL_AUDITING_CLIENT_TEMPLATE.FAT&amp;display_string=Audit&amp;VAR:KEY=ERINQNCPKP&amp;VAR:QUERY=Q1NGX0NPTV9TSFNfT1VUKEFOTiwxOTgwLDE5OTcsQVkp&amp;WINDOW=FIRST_POPUP&amp;HEIGHT=450&amp;WIDTH=450&amp;","START_MAXIMIZED=FALSE&amp;VAR:CALENDAR=US&amp;VAR:SYMBOL=CCC&amp;VAR:INDEX=5"}</definedName>
    <definedName name="_3586__FDSAUDITLINK__" hidden="1">{"fdsup://directions/FAT Viewer?action=UPDATE&amp;creator=factset&amp;DYN_ARGS=TRUE&amp;DOC_NAME=FAT:FQL_AUDITING_CLIENT_TEMPLATE.FAT&amp;display_string=Audit&amp;VAR:KEY=ERINQNCPKP&amp;VAR:QUERY=Q1NGX0NPTV9TSFNfT1VUKEFOTiwxOTgwLDE5OTcsQVkp&amp;WINDOW=FIRST_POPUP&amp;HEIGHT=450&amp;WIDTH=450&amp;","START_MAXIMIZED=FALSE&amp;VAR:CALENDAR=US&amp;VAR:SYMBOL=CCC&amp;VAR:INDEX=4"}</definedName>
    <definedName name="_3587__FDSAUDITLINK__" hidden="1">{"fdsup://directions/FAT Viewer?action=UPDATE&amp;creator=factset&amp;DYN_ARGS=TRUE&amp;DOC_NAME=FAT:FQL_AUDITING_CLIENT_TEMPLATE.FAT&amp;display_string=Audit&amp;VAR:KEY=ERINQNCPKP&amp;VAR:QUERY=Q1NGX0NPTV9TSFNfT1VUKEFOTiwxOTgwLDE5OTcsQVkp&amp;WINDOW=FIRST_POPUP&amp;HEIGHT=450&amp;WIDTH=450&amp;","START_MAXIMIZED=FALSE&amp;VAR:CALENDAR=US&amp;VAR:SYMBOL=CCC&amp;VAR:INDEX=3"}</definedName>
    <definedName name="_3588__FDSAUDITLINK__" hidden="1">{"fdsup://directions/FAT Viewer?action=UPDATE&amp;creator=factset&amp;DYN_ARGS=TRUE&amp;DOC_NAME=FAT:FQL_AUDITING_CLIENT_TEMPLATE.FAT&amp;display_string=Audit&amp;VAR:KEY=ERINQNCPKP&amp;VAR:QUERY=Q1NGX0NPTV9TSFNfT1VUKEFOTiwxOTgwLDE5OTcsQVkp&amp;WINDOW=FIRST_POPUP&amp;HEIGHT=450&amp;WIDTH=450&amp;","START_MAXIMIZED=FALSE&amp;VAR:CALENDAR=US&amp;VAR:SYMBOL=CCC&amp;VAR:INDEX=2"}</definedName>
    <definedName name="_3589__FDSAUDITLINK__" hidden="1">{"fdsup://directions/FAT Viewer?action=UPDATE&amp;creator=factset&amp;DYN_ARGS=TRUE&amp;DOC_NAME=FAT:FQL_AUDITING_CLIENT_TEMPLATE.FAT&amp;display_string=Audit&amp;VAR:KEY=ERINQNCPKP&amp;VAR:QUERY=Q1NGX0NPTV9TSFNfT1VUKEFOTiwxOTgwLDE5OTcsQVkp&amp;WINDOW=FIRST_POPUP&amp;HEIGHT=450&amp;WIDTH=450&amp;","START_MAXIMIZED=FALSE&amp;VAR:CALENDAR=US&amp;VAR:SYMBOL=CCC&amp;VAR:INDEX=1"}</definedName>
    <definedName name="_359__FDSAUDITLINK__" hidden="1">{"fdsup://directions/FAT Viewer?action=UPDATE&amp;creator=factset&amp;DYN_ARGS=TRUE&amp;DOC_NAME=FAT:FQL_AUDITING_CLIENT_TEMPLATE.FAT&amp;display_string=Audit&amp;VAR:KEY=CNKXYVWFWF&amp;VAR:QUERY=Q1NGX0VCSVRfT1BFUihBTk4sMTIvMzEvODAsMCk=&amp;WINDOW=FIRST_POPUP&amp;HEIGHT=450&amp;WIDTH=450&amp;STAR","T_MAXIMIZED=FALSE&amp;VAR:CALENDAR=US&amp;VAR:SYMBOL=SOA&amp;VAR:INDEX=26"}</definedName>
    <definedName name="_3590__FDSAUDITLINK__" hidden="1">{"fdsup://directions/FAT Viewer?action=UPDATE&amp;creator=factset&amp;DYN_ARGS=TRUE&amp;DOC_NAME=FAT:FQL_AUDITING_CLIENT_TEMPLATE.FAT&amp;display_string=Audit&amp;VAR:KEY=ERINQNCPKP&amp;VAR:QUERY=Q1NGX0NPTV9TSFNfT1VUKEFOTiwxOTgwLDE5OTcsQVkp&amp;WINDOW=FIRST_POPUP&amp;HEIGHT=450&amp;WIDTH=450&amp;","START_MAXIMIZED=FALSE&amp;VAR:CALENDAR=US&amp;VAR:SYMBOL=CCC&amp;VAR:INDEX=0"}</definedName>
    <definedName name="_3591__FDSAUDITLINK__" hidden="1">{"fdsup://directions/FAT Viewer?action=UPDATE&amp;creator=factset&amp;DYN_ARGS=TRUE&amp;DOC_NAME=FAT:FQL_AUDITING_CLIENT_TEMPLATE.FAT&amp;display_string=Audit&amp;VAR:KEY=SLUZOXUDSD&amp;VAR:QUERY=Q1NGX0RFQlQoQU5OLDEyLzMxLzIwMDUsMTIvMzEvMjAwOSxBWSk=&amp;WINDOW=FIRST_POPUP&amp;HEIGHT=450&amp;WI","DTH=450&amp;START_MAXIMIZED=FALSE&amp;VAR:CALENDAR=US&amp;VAR:SYMBOL=ZEP&amp;VAR:INDEX=4"}</definedName>
    <definedName name="_3592__FDSAUDITLINK__" hidden="1">{"fdsup://directions/FAT Viewer?action=UPDATE&amp;creator=factset&amp;DYN_ARGS=TRUE&amp;DOC_NAME=FAT:FQL_AUDITING_CLIENT_TEMPLATE.FAT&amp;display_string=Audit&amp;VAR:KEY=SLUZOXUDSD&amp;VAR:QUERY=Q1NGX0RFQlQoQU5OLDEyLzMxLzIwMDUsMTIvMzEvMjAwOSxBWSk=&amp;WINDOW=FIRST_POPUP&amp;HEIGHT=450&amp;WI","DTH=450&amp;START_MAXIMIZED=FALSE&amp;VAR:CALENDAR=US&amp;VAR:SYMBOL=ZEP&amp;VAR:INDEX=3"}</definedName>
    <definedName name="_3593__FDSAUDITLINK__" hidden="1">{"fdsup://directions/FAT Viewer?action=UPDATE&amp;creator=factset&amp;DYN_ARGS=TRUE&amp;DOC_NAME=FAT:FQL_AUDITING_CLIENT_TEMPLATE.FAT&amp;display_string=Audit&amp;VAR:KEY=SLUZOXUDSD&amp;VAR:QUERY=Q1NGX0RFQlQoQU5OLDEyLzMxLzIwMDUsMTIvMzEvMjAwOSxBWSk=&amp;WINDOW=FIRST_POPUP&amp;HEIGHT=450&amp;WI","DTH=450&amp;START_MAXIMIZED=FALSE&amp;VAR:CALENDAR=US&amp;VAR:SYMBOL=ZEP&amp;VAR:INDEX=2"}</definedName>
    <definedName name="_3594__FDSAUDITLINK__" hidden="1">{"fdsup://directions/FAT Viewer?action=UPDATE&amp;creator=factset&amp;DYN_ARGS=TRUE&amp;DOC_NAME=FAT:FQL_AUDITING_CLIENT_TEMPLATE.FAT&amp;display_string=Audit&amp;VAR:KEY=SLUZOXUDSD&amp;VAR:QUERY=Q1NGX0RFQlQoQU5OLDEyLzMxLzIwMDUsMTIvMzEvMjAwOSxBWSk=&amp;WINDOW=FIRST_POPUP&amp;HEIGHT=450&amp;WI","DTH=450&amp;START_MAXIMIZED=FALSE&amp;VAR:CALENDAR=US&amp;VAR:SYMBOL=ZEP&amp;VAR:INDEX=1"}</definedName>
    <definedName name="_3595__FDSAUDITLINK__" hidden="1">{"fdsup://directions/FAT Viewer?action=UPDATE&amp;creator=factset&amp;DYN_ARGS=TRUE&amp;DOC_NAME=FAT:FQL_AUDITING_CLIENT_TEMPLATE.FAT&amp;display_string=Audit&amp;VAR:KEY=SLUZOXUDSD&amp;VAR:QUERY=Q1NGX0RFQlQoQU5OLDEyLzMxLzIwMDUsMTIvMzEvMjAwOSxBWSk=&amp;WINDOW=FIRST_POPUP&amp;HEIGHT=450&amp;WI","DTH=450&amp;START_MAXIMIZED=FALSE&amp;VAR:CALENDAR=US&amp;VAR:SYMBOL=ZEP&amp;VAR:INDEX=0"}</definedName>
    <definedName name="_3596__FDSAUDITLINK__" hidden="1">{"fdsup://directions/FAT Viewer?action=UPDATE&amp;creator=factset&amp;DYN_ARGS=TRUE&amp;DOC_NAME=FAT:FQL_AUDITING_CLIENT_TEMPLATE.FAT&amp;display_string=Audit&amp;VAR:KEY=GZURKJKLQJ&amp;VAR:QUERY=Q1NGX0RFQlQoQU5OLDEyLzMxLzE5ODAsMTIvMzEvMjAwOSxBWSk=&amp;WINDOW=FIRST_POPUP&amp;HEIGHT=450&amp;WI","DTH=450&amp;START_MAXIMIZED=FALSE&amp;VAR:CALENDAR=US&amp;VAR:SYMBOL=SXT&amp;VAR:INDEX=29"}</definedName>
    <definedName name="_3597__FDSAUDITLINK__" hidden="1">{"fdsup://directions/FAT Viewer?action=UPDATE&amp;creator=factset&amp;DYN_ARGS=TRUE&amp;DOC_NAME=FAT:FQL_AUDITING_CLIENT_TEMPLATE.FAT&amp;display_string=Audit&amp;VAR:KEY=GZURKJKLQJ&amp;VAR:QUERY=Q1NGX0RFQlQoQU5OLDEyLzMxLzE5ODAsMTIvMzEvMjAwOSxBWSk=&amp;WINDOW=FIRST_POPUP&amp;HEIGHT=450&amp;WI","DTH=450&amp;START_MAXIMIZED=FALSE&amp;VAR:CALENDAR=US&amp;VAR:SYMBOL=SXT&amp;VAR:INDEX=28"}</definedName>
    <definedName name="_3598__FDSAUDITLINK__" hidden="1">{"fdsup://directions/FAT Viewer?action=UPDATE&amp;creator=factset&amp;DYN_ARGS=TRUE&amp;DOC_NAME=FAT:FQL_AUDITING_CLIENT_TEMPLATE.FAT&amp;display_string=Audit&amp;VAR:KEY=GZURKJKLQJ&amp;VAR:QUERY=Q1NGX0RFQlQoQU5OLDEyLzMxLzE5ODAsMTIvMzEvMjAwOSxBWSk=&amp;WINDOW=FIRST_POPUP&amp;HEIGHT=450&amp;WI","DTH=450&amp;START_MAXIMIZED=FALSE&amp;VAR:CALENDAR=US&amp;VAR:SYMBOL=SXT&amp;VAR:INDEX=27"}</definedName>
    <definedName name="_3599__FDSAUDITLINK__" hidden="1">{"fdsup://directions/FAT Viewer?action=UPDATE&amp;creator=factset&amp;DYN_ARGS=TRUE&amp;DOC_NAME=FAT:FQL_AUDITING_CLIENT_TEMPLATE.FAT&amp;display_string=Audit&amp;VAR:KEY=GZURKJKLQJ&amp;VAR:QUERY=Q1NGX0RFQlQoQU5OLDEyLzMxLzE5ODAsMTIvMzEvMjAwOSxBWSk=&amp;WINDOW=FIRST_POPUP&amp;HEIGHT=450&amp;WI","DTH=450&amp;START_MAXIMIZED=FALSE&amp;VAR:CALENDAR=US&amp;VAR:SYMBOL=SXT&amp;VAR:INDEX=26"}</definedName>
    <definedName name="_36__FDSAUDITLINK__" hidden="1">{"fdsup://directions/FAT Viewer?action=UPDATE&amp;creator=factset&amp;DYN_ARGS=TRUE&amp;DOC_NAME=FAT:FQL_AUDITING_CLIENT_TEMPLATE.FAT&amp;display_string=Audit&amp;VAR:KEY=SRQHWDCNGV&amp;VAR:QUERY=Q1NGX0VCSVREQV9PUEVSKEFOTiwtMSk=&amp;WINDOW=FIRST_POPUP&amp;HEIGHT=450&amp;WIDTH=450&amp;START_MAXIMI","ZED=FALSE&amp;VAR:CALENDAR=US&amp;VAR:SYMBOL=OLN&amp;VAR:INDEX=0"}</definedName>
    <definedName name="_360__FDSAUDITLINK__" hidden="1">{"fdsup://directions/FAT Viewer?action=UPDATE&amp;creator=factset&amp;DYN_ARGS=TRUE&amp;DOC_NAME=FAT:FQL_AUDITING_CLIENT_TEMPLATE.FAT&amp;display_string=Audit&amp;VAR:KEY=CNKXYVWFWF&amp;VAR:QUERY=Q1NGX0VCSVRfT1BFUihBTk4sMTIvMzEvODAsMCk=&amp;WINDOW=FIRST_POPUP&amp;HEIGHT=450&amp;WIDTH=450&amp;STAR","T_MAXIMIZED=FALSE&amp;VAR:CALENDAR=US&amp;VAR:SYMBOL=SOA&amp;VAR:INDEX=25"}</definedName>
    <definedName name="_3600__FDSAUDITLINK__" hidden="1">{"fdsup://directions/FAT Viewer?action=UPDATE&amp;creator=factset&amp;DYN_ARGS=TRUE&amp;DOC_NAME=FAT:FQL_AUDITING_CLIENT_TEMPLATE.FAT&amp;display_string=Audit&amp;VAR:KEY=GZURKJKLQJ&amp;VAR:QUERY=Q1NGX0RFQlQoQU5OLDEyLzMxLzE5ODAsMTIvMzEvMjAwOSxBWSk=&amp;WINDOW=FIRST_POPUP&amp;HEIGHT=450&amp;WI","DTH=450&amp;START_MAXIMIZED=FALSE&amp;VAR:CALENDAR=US&amp;VAR:SYMBOL=SXT&amp;VAR:INDEX=25"}</definedName>
    <definedName name="_3601__FDSAUDITLINK__" hidden="1">{"fdsup://directions/FAT Viewer?action=UPDATE&amp;creator=factset&amp;DYN_ARGS=TRUE&amp;DOC_NAME=FAT:FQL_AUDITING_CLIENT_TEMPLATE.FAT&amp;display_string=Audit&amp;VAR:KEY=GZURKJKLQJ&amp;VAR:QUERY=Q1NGX0RFQlQoQU5OLDEyLzMxLzE5ODAsMTIvMzEvMjAwOSxBWSk=&amp;WINDOW=FIRST_POPUP&amp;HEIGHT=450&amp;WI","DTH=450&amp;START_MAXIMIZED=FALSE&amp;VAR:CALENDAR=US&amp;VAR:SYMBOL=SXT&amp;VAR:INDEX=24"}</definedName>
    <definedName name="_3602__FDSAUDITLINK__" hidden="1">{"fdsup://directions/FAT Viewer?action=UPDATE&amp;creator=factset&amp;DYN_ARGS=TRUE&amp;DOC_NAME=FAT:FQL_AUDITING_CLIENT_TEMPLATE.FAT&amp;display_string=Audit&amp;VAR:KEY=GZURKJKLQJ&amp;VAR:QUERY=Q1NGX0RFQlQoQU5OLDEyLzMxLzE5ODAsMTIvMzEvMjAwOSxBWSk=&amp;WINDOW=FIRST_POPUP&amp;HEIGHT=450&amp;WI","DTH=450&amp;START_MAXIMIZED=FALSE&amp;VAR:CALENDAR=US&amp;VAR:SYMBOL=SXT&amp;VAR:INDEX=23"}</definedName>
    <definedName name="_3603__FDSAUDITLINK__" hidden="1">{"fdsup://directions/FAT Viewer?action=UPDATE&amp;creator=factset&amp;DYN_ARGS=TRUE&amp;DOC_NAME=FAT:FQL_AUDITING_CLIENT_TEMPLATE.FAT&amp;display_string=Audit&amp;VAR:KEY=GZURKJKLQJ&amp;VAR:QUERY=Q1NGX0RFQlQoQU5OLDEyLzMxLzE5ODAsMTIvMzEvMjAwOSxBWSk=&amp;WINDOW=FIRST_POPUP&amp;HEIGHT=450&amp;WI","DTH=450&amp;START_MAXIMIZED=FALSE&amp;VAR:CALENDAR=US&amp;VAR:SYMBOL=SXT&amp;VAR:INDEX=22"}</definedName>
    <definedName name="_3604__FDSAUDITLINK__" hidden="1">{"fdsup://directions/FAT Viewer?action=UPDATE&amp;creator=factset&amp;DYN_ARGS=TRUE&amp;DOC_NAME=FAT:FQL_AUDITING_CLIENT_TEMPLATE.FAT&amp;display_string=Audit&amp;VAR:KEY=GZURKJKLQJ&amp;VAR:QUERY=Q1NGX0RFQlQoQU5OLDEyLzMxLzE5ODAsMTIvMzEvMjAwOSxBWSk=&amp;WINDOW=FIRST_POPUP&amp;HEIGHT=450&amp;WI","DTH=450&amp;START_MAXIMIZED=FALSE&amp;VAR:CALENDAR=US&amp;VAR:SYMBOL=SXT&amp;VAR:INDEX=21"}</definedName>
    <definedName name="_3605__FDSAUDITLINK__" hidden="1">{"fdsup://directions/FAT Viewer?action=UPDATE&amp;creator=factset&amp;DYN_ARGS=TRUE&amp;DOC_NAME=FAT:FQL_AUDITING_CLIENT_TEMPLATE.FAT&amp;display_string=Audit&amp;VAR:KEY=GZURKJKLQJ&amp;VAR:QUERY=Q1NGX0RFQlQoQU5OLDEyLzMxLzE5ODAsMTIvMzEvMjAwOSxBWSk=&amp;WINDOW=FIRST_POPUP&amp;HEIGHT=450&amp;WI","DTH=450&amp;START_MAXIMIZED=FALSE&amp;VAR:CALENDAR=US&amp;VAR:SYMBOL=SXT&amp;VAR:INDEX=20"}</definedName>
    <definedName name="_3606__FDSAUDITLINK__" hidden="1">{"fdsup://directions/FAT Viewer?action=UPDATE&amp;creator=factset&amp;DYN_ARGS=TRUE&amp;DOC_NAME=FAT:FQL_AUDITING_CLIENT_TEMPLATE.FAT&amp;display_string=Audit&amp;VAR:KEY=GZURKJKLQJ&amp;VAR:QUERY=Q1NGX0RFQlQoQU5OLDEyLzMxLzE5ODAsMTIvMzEvMjAwOSxBWSk=&amp;WINDOW=FIRST_POPUP&amp;HEIGHT=450&amp;WI","DTH=450&amp;START_MAXIMIZED=FALSE&amp;VAR:CALENDAR=US&amp;VAR:SYMBOL=SXT&amp;VAR:INDEX=19"}</definedName>
    <definedName name="_3607__FDSAUDITLINK__" hidden="1">{"fdsup://directions/FAT Viewer?action=UPDATE&amp;creator=factset&amp;DYN_ARGS=TRUE&amp;DOC_NAME=FAT:FQL_AUDITING_CLIENT_TEMPLATE.FAT&amp;display_string=Audit&amp;VAR:KEY=GZURKJKLQJ&amp;VAR:QUERY=Q1NGX0RFQlQoQU5OLDEyLzMxLzE5ODAsMTIvMzEvMjAwOSxBWSk=&amp;WINDOW=FIRST_POPUP&amp;HEIGHT=450&amp;WI","DTH=450&amp;START_MAXIMIZED=FALSE&amp;VAR:CALENDAR=US&amp;VAR:SYMBOL=SXT&amp;VAR:INDEX=18"}</definedName>
    <definedName name="_3608__FDSAUDITLINK__" hidden="1">{"fdsup://directions/FAT Viewer?action=UPDATE&amp;creator=factset&amp;DYN_ARGS=TRUE&amp;DOC_NAME=FAT:FQL_AUDITING_CLIENT_TEMPLATE.FAT&amp;display_string=Audit&amp;VAR:KEY=GZURKJKLQJ&amp;VAR:QUERY=Q1NGX0RFQlQoQU5OLDEyLzMxLzE5ODAsMTIvMzEvMjAwOSxBWSk=&amp;WINDOW=FIRST_POPUP&amp;HEIGHT=450&amp;WI","DTH=450&amp;START_MAXIMIZED=FALSE&amp;VAR:CALENDAR=US&amp;VAR:SYMBOL=SXT&amp;VAR:INDEX=17"}</definedName>
    <definedName name="_3609__FDSAUDITLINK__" hidden="1">{"fdsup://directions/FAT Viewer?action=UPDATE&amp;creator=factset&amp;DYN_ARGS=TRUE&amp;DOC_NAME=FAT:FQL_AUDITING_CLIENT_TEMPLATE.FAT&amp;display_string=Audit&amp;VAR:KEY=GZURKJKLQJ&amp;VAR:QUERY=Q1NGX0RFQlQoQU5OLDEyLzMxLzE5ODAsMTIvMzEvMjAwOSxBWSk=&amp;WINDOW=FIRST_POPUP&amp;HEIGHT=450&amp;WI","DTH=450&amp;START_MAXIMIZED=FALSE&amp;VAR:CALENDAR=US&amp;VAR:SYMBOL=SXT&amp;VAR:INDEX=16"}</definedName>
    <definedName name="_361__FDSAUDITLINK__" hidden="1">{"fdsup://directions/FAT Viewer?action=UPDATE&amp;creator=factset&amp;DYN_ARGS=TRUE&amp;DOC_NAME=FAT:FQL_AUDITING_CLIENT_TEMPLATE.FAT&amp;display_string=Audit&amp;VAR:KEY=CNKXYVWFWF&amp;VAR:QUERY=Q1NGX0VCSVRfT1BFUihBTk4sMTIvMzEvODAsMCk=&amp;WINDOW=FIRST_POPUP&amp;HEIGHT=450&amp;WIDTH=450&amp;STAR","T_MAXIMIZED=FALSE&amp;VAR:CALENDAR=US&amp;VAR:SYMBOL=SOA&amp;VAR:INDEX=24"}</definedName>
    <definedName name="_3610__FDSAUDITLINK__" hidden="1">{"fdsup://directions/FAT Viewer?action=UPDATE&amp;creator=factset&amp;DYN_ARGS=TRUE&amp;DOC_NAME=FAT:FQL_AUDITING_CLIENT_TEMPLATE.FAT&amp;display_string=Audit&amp;VAR:KEY=GZURKJKLQJ&amp;VAR:QUERY=Q1NGX0RFQlQoQU5OLDEyLzMxLzE5ODAsMTIvMzEvMjAwOSxBWSk=&amp;WINDOW=FIRST_POPUP&amp;HEIGHT=450&amp;WI","DTH=450&amp;START_MAXIMIZED=FALSE&amp;VAR:CALENDAR=US&amp;VAR:SYMBOL=SXT&amp;VAR:INDEX=15"}</definedName>
    <definedName name="_3611__FDSAUDITLINK__" hidden="1">{"fdsup://directions/FAT Viewer?action=UPDATE&amp;creator=factset&amp;DYN_ARGS=TRUE&amp;DOC_NAME=FAT:FQL_AUDITING_CLIENT_TEMPLATE.FAT&amp;display_string=Audit&amp;VAR:KEY=GZURKJKLQJ&amp;VAR:QUERY=Q1NGX0RFQlQoQU5OLDEyLzMxLzE5ODAsMTIvMzEvMjAwOSxBWSk=&amp;WINDOW=FIRST_POPUP&amp;HEIGHT=450&amp;WI","DTH=450&amp;START_MAXIMIZED=FALSE&amp;VAR:CALENDAR=US&amp;VAR:SYMBOL=SXT&amp;VAR:INDEX=14"}</definedName>
    <definedName name="_3612__FDSAUDITLINK__" hidden="1">{"fdsup://directions/FAT Viewer?action=UPDATE&amp;creator=factset&amp;DYN_ARGS=TRUE&amp;DOC_NAME=FAT:FQL_AUDITING_CLIENT_TEMPLATE.FAT&amp;display_string=Audit&amp;VAR:KEY=GZURKJKLQJ&amp;VAR:QUERY=Q1NGX0RFQlQoQU5OLDEyLzMxLzE5ODAsMTIvMzEvMjAwOSxBWSk=&amp;WINDOW=FIRST_POPUP&amp;HEIGHT=450&amp;WI","DTH=450&amp;START_MAXIMIZED=FALSE&amp;VAR:CALENDAR=US&amp;VAR:SYMBOL=SXT&amp;VAR:INDEX=13"}</definedName>
    <definedName name="_3613__FDSAUDITLINK__" hidden="1">{"fdsup://directions/FAT Viewer?action=UPDATE&amp;creator=factset&amp;DYN_ARGS=TRUE&amp;DOC_NAME=FAT:FQL_AUDITING_CLIENT_TEMPLATE.FAT&amp;display_string=Audit&amp;VAR:KEY=GZURKJKLQJ&amp;VAR:QUERY=Q1NGX0RFQlQoQU5OLDEyLzMxLzE5ODAsMTIvMzEvMjAwOSxBWSk=&amp;WINDOW=FIRST_POPUP&amp;HEIGHT=450&amp;WI","DTH=450&amp;START_MAXIMIZED=FALSE&amp;VAR:CALENDAR=US&amp;VAR:SYMBOL=SXT&amp;VAR:INDEX=12"}</definedName>
    <definedName name="_3614__FDSAUDITLINK__" hidden="1">{"fdsup://directions/FAT Viewer?action=UPDATE&amp;creator=factset&amp;DYN_ARGS=TRUE&amp;DOC_NAME=FAT:FQL_AUDITING_CLIENT_TEMPLATE.FAT&amp;display_string=Audit&amp;VAR:KEY=GZURKJKLQJ&amp;VAR:QUERY=Q1NGX0RFQlQoQU5OLDEyLzMxLzE5ODAsMTIvMzEvMjAwOSxBWSk=&amp;WINDOW=FIRST_POPUP&amp;HEIGHT=450&amp;WI","DTH=450&amp;START_MAXIMIZED=FALSE&amp;VAR:CALENDAR=US&amp;VAR:SYMBOL=SXT&amp;VAR:INDEX=11"}</definedName>
    <definedName name="_3615__FDSAUDITLINK__" hidden="1">{"fdsup://directions/FAT Viewer?action=UPDATE&amp;creator=factset&amp;DYN_ARGS=TRUE&amp;DOC_NAME=FAT:FQL_AUDITING_CLIENT_TEMPLATE.FAT&amp;display_string=Audit&amp;VAR:KEY=GZURKJKLQJ&amp;VAR:QUERY=Q1NGX0RFQlQoQU5OLDEyLzMxLzE5ODAsMTIvMzEvMjAwOSxBWSk=&amp;WINDOW=FIRST_POPUP&amp;HEIGHT=450&amp;WI","DTH=450&amp;START_MAXIMIZED=FALSE&amp;VAR:CALENDAR=US&amp;VAR:SYMBOL=SXT&amp;VAR:INDEX=10"}</definedName>
    <definedName name="_3616__FDSAUDITLINK__" hidden="1">{"fdsup://directions/FAT Viewer?action=UPDATE&amp;creator=factset&amp;DYN_ARGS=TRUE&amp;DOC_NAME=FAT:FQL_AUDITING_CLIENT_TEMPLATE.FAT&amp;display_string=Audit&amp;VAR:KEY=GZURKJKLQJ&amp;VAR:QUERY=Q1NGX0RFQlQoQU5OLDEyLzMxLzE5ODAsMTIvMzEvMjAwOSxBWSk=&amp;WINDOW=FIRST_POPUP&amp;HEIGHT=450&amp;WI","DTH=450&amp;START_MAXIMIZED=FALSE&amp;VAR:CALENDAR=US&amp;VAR:SYMBOL=SXT&amp;VAR:INDEX=9"}</definedName>
    <definedName name="_3617__FDSAUDITLINK__" hidden="1">{"fdsup://directions/FAT Viewer?action=UPDATE&amp;creator=factset&amp;DYN_ARGS=TRUE&amp;DOC_NAME=FAT:FQL_AUDITING_CLIENT_TEMPLATE.FAT&amp;display_string=Audit&amp;VAR:KEY=GZURKJKLQJ&amp;VAR:QUERY=Q1NGX0RFQlQoQU5OLDEyLzMxLzE5ODAsMTIvMzEvMjAwOSxBWSk=&amp;WINDOW=FIRST_POPUP&amp;HEIGHT=450&amp;WI","DTH=450&amp;START_MAXIMIZED=FALSE&amp;VAR:CALENDAR=US&amp;VAR:SYMBOL=SXT&amp;VAR:INDEX=8"}</definedName>
    <definedName name="_3618__FDSAUDITLINK__" hidden="1">{"fdsup://directions/FAT Viewer?action=UPDATE&amp;creator=factset&amp;DYN_ARGS=TRUE&amp;DOC_NAME=FAT:FQL_AUDITING_CLIENT_TEMPLATE.FAT&amp;display_string=Audit&amp;VAR:KEY=GZURKJKLQJ&amp;VAR:QUERY=Q1NGX0RFQlQoQU5OLDEyLzMxLzE5ODAsMTIvMzEvMjAwOSxBWSk=&amp;WINDOW=FIRST_POPUP&amp;HEIGHT=450&amp;WI","DTH=450&amp;START_MAXIMIZED=FALSE&amp;VAR:CALENDAR=US&amp;VAR:SYMBOL=SXT&amp;VAR:INDEX=7"}</definedName>
    <definedName name="_3619__FDSAUDITLINK__" hidden="1">{"fdsup://directions/FAT Viewer?action=UPDATE&amp;creator=factset&amp;DYN_ARGS=TRUE&amp;DOC_NAME=FAT:FQL_AUDITING_CLIENT_TEMPLATE.FAT&amp;display_string=Audit&amp;VAR:KEY=GZURKJKLQJ&amp;VAR:QUERY=Q1NGX0RFQlQoQU5OLDEyLzMxLzE5ODAsMTIvMzEvMjAwOSxBWSk=&amp;WINDOW=FIRST_POPUP&amp;HEIGHT=450&amp;WI","DTH=450&amp;START_MAXIMIZED=FALSE&amp;VAR:CALENDAR=US&amp;VAR:SYMBOL=SXT&amp;VAR:INDEX=6"}</definedName>
    <definedName name="_362__FDSAUDITLINK__" hidden="1">{"fdsup://directions/FAT Viewer?action=UPDATE&amp;creator=factset&amp;DYN_ARGS=TRUE&amp;DOC_NAME=FAT:FQL_AUDITING_CLIENT_TEMPLATE.FAT&amp;display_string=Audit&amp;VAR:KEY=CNKXYVWFWF&amp;VAR:QUERY=Q1NGX0VCSVRfT1BFUihBTk4sMTIvMzEvODAsMCk=&amp;WINDOW=FIRST_POPUP&amp;HEIGHT=450&amp;WIDTH=450&amp;STAR","T_MAXIMIZED=FALSE&amp;VAR:CALENDAR=US&amp;VAR:SYMBOL=SOA&amp;VAR:INDEX=23"}</definedName>
    <definedName name="_3620__FDSAUDITLINK__" hidden="1">{"fdsup://directions/FAT Viewer?action=UPDATE&amp;creator=factset&amp;DYN_ARGS=TRUE&amp;DOC_NAME=FAT:FQL_AUDITING_CLIENT_TEMPLATE.FAT&amp;display_string=Audit&amp;VAR:KEY=GZURKJKLQJ&amp;VAR:QUERY=Q1NGX0RFQlQoQU5OLDEyLzMxLzE5ODAsMTIvMzEvMjAwOSxBWSk=&amp;WINDOW=FIRST_POPUP&amp;HEIGHT=450&amp;WI","DTH=450&amp;START_MAXIMIZED=FALSE&amp;VAR:CALENDAR=US&amp;VAR:SYMBOL=SXT&amp;VAR:INDEX=5"}</definedName>
    <definedName name="_3621__FDSAUDITLINK__" hidden="1">{"fdsup://directions/FAT Viewer?action=UPDATE&amp;creator=factset&amp;DYN_ARGS=TRUE&amp;DOC_NAME=FAT:FQL_AUDITING_CLIENT_TEMPLATE.FAT&amp;display_string=Audit&amp;VAR:KEY=GZURKJKLQJ&amp;VAR:QUERY=Q1NGX0RFQlQoQU5OLDEyLzMxLzE5ODAsMTIvMzEvMjAwOSxBWSk=&amp;WINDOW=FIRST_POPUP&amp;HEIGHT=450&amp;WI","DTH=450&amp;START_MAXIMIZED=FALSE&amp;VAR:CALENDAR=US&amp;VAR:SYMBOL=SXT&amp;VAR:INDEX=4"}</definedName>
    <definedName name="_3622__FDSAUDITLINK__" hidden="1">{"fdsup://directions/FAT Viewer?action=UPDATE&amp;creator=factset&amp;DYN_ARGS=TRUE&amp;DOC_NAME=FAT:FQL_AUDITING_CLIENT_TEMPLATE.FAT&amp;display_string=Audit&amp;VAR:KEY=GZURKJKLQJ&amp;VAR:QUERY=Q1NGX0RFQlQoQU5OLDEyLzMxLzE5ODAsMTIvMzEvMjAwOSxBWSk=&amp;WINDOW=FIRST_POPUP&amp;HEIGHT=450&amp;WI","DTH=450&amp;START_MAXIMIZED=FALSE&amp;VAR:CALENDAR=US&amp;VAR:SYMBOL=SXT&amp;VAR:INDEX=3"}</definedName>
    <definedName name="_3623__FDSAUDITLINK__" hidden="1">{"fdsup://directions/FAT Viewer?action=UPDATE&amp;creator=factset&amp;DYN_ARGS=TRUE&amp;DOC_NAME=FAT:FQL_AUDITING_CLIENT_TEMPLATE.FAT&amp;display_string=Audit&amp;VAR:KEY=GZURKJKLQJ&amp;VAR:QUERY=Q1NGX0RFQlQoQU5OLDEyLzMxLzE5ODAsMTIvMzEvMjAwOSxBWSk=&amp;WINDOW=FIRST_POPUP&amp;HEIGHT=450&amp;WI","DTH=450&amp;START_MAXIMIZED=FALSE&amp;VAR:CALENDAR=US&amp;VAR:SYMBOL=SXT&amp;VAR:INDEX=2"}</definedName>
    <definedName name="_3624__FDSAUDITLINK__" hidden="1">{"fdsup://directions/FAT Viewer?action=UPDATE&amp;creator=factset&amp;DYN_ARGS=TRUE&amp;DOC_NAME=FAT:FQL_AUDITING_CLIENT_TEMPLATE.FAT&amp;display_string=Audit&amp;VAR:KEY=GZURKJKLQJ&amp;VAR:QUERY=Q1NGX0RFQlQoQU5OLDEyLzMxLzE5ODAsMTIvMzEvMjAwOSxBWSk=&amp;WINDOW=FIRST_POPUP&amp;HEIGHT=450&amp;WI","DTH=450&amp;START_MAXIMIZED=FALSE&amp;VAR:CALENDAR=US&amp;VAR:SYMBOL=SXT&amp;VAR:INDEX=1"}</definedName>
    <definedName name="_3625__FDSAUDITLINK__" hidden="1">{"fdsup://directions/FAT Viewer?action=UPDATE&amp;creator=factset&amp;DYN_ARGS=TRUE&amp;DOC_NAME=FAT:FQL_AUDITING_CLIENT_TEMPLATE.FAT&amp;display_string=Audit&amp;VAR:KEY=GZURKJKLQJ&amp;VAR:QUERY=Q1NGX0RFQlQoQU5OLDEyLzMxLzE5ODAsMTIvMzEvMjAwOSxBWSk=&amp;WINDOW=FIRST_POPUP&amp;HEIGHT=450&amp;WI","DTH=450&amp;START_MAXIMIZED=FALSE&amp;VAR:CALENDAR=US&amp;VAR:SYMBOL=SXT&amp;VAR:INDEX=0"}</definedName>
    <definedName name="_3626__FDSAUDITLINK__" hidden="1">{"fdsup://directions/FAT Viewer?action=UPDATE&amp;creator=factset&amp;DYN_ARGS=TRUE&amp;DOC_NAME=FAT:FQL_AUDITING_CLIENT_TEMPLATE.FAT&amp;display_string=Audit&amp;VAR:KEY=WBEPGDMVOF&amp;VAR:QUERY=Q1NGX0RFQlQoQU5OLDEyLzMxLzE5ODAsMTIvMzEvMjAwOSxBWSk=&amp;WINDOW=FIRST_POPUP&amp;HEIGHT=450&amp;WI","DTH=450&amp;START_MAXIMIZED=FALSE&amp;VAR:CALENDAR=US&amp;VAR:SYMBOL=SCL&amp;VAR:INDEX=29"}</definedName>
    <definedName name="_3627__FDSAUDITLINK__" hidden="1">{"fdsup://directions/FAT Viewer?action=UPDATE&amp;creator=factset&amp;DYN_ARGS=TRUE&amp;DOC_NAME=FAT:FQL_AUDITING_CLIENT_TEMPLATE.FAT&amp;display_string=Audit&amp;VAR:KEY=WBEPGDMVOF&amp;VAR:QUERY=Q1NGX0RFQlQoQU5OLDEyLzMxLzE5ODAsMTIvMzEvMjAwOSxBWSk=&amp;WINDOW=FIRST_POPUP&amp;HEIGHT=450&amp;WI","DTH=450&amp;START_MAXIMIZED=FALSE&amp;VAR:CALENDAR=US&amp;VAR:SYMBOL=SCL&amp;VAR:INDEX=28"}</definedName>
    <definedName name="_3628__FDSAUDITLINK__" hidden="1">{"fdsup://directions/FAT Viewer?action=UPDATE&amp;creator=factset&amp;DYN_ARGS=TRUE&amp;DOC_NAME=FAT:FQL_AUDITING_CLIENT_TEMPLATE.FAT&amp;display_string=Audit&amp;VAR:KEY=WBEPGDMVOF&amp;VAR:QUERY=Q1NGX0RFQlQoQU5OLDEyLzMxLzE5ODAsMTIvMzEvMjAwOSxBWSk=&amp;WINDOW=FIRST_POPUP&amp;HEIGHT=450&amp;WI","DTH=450&amp;START_MAXIMIZED=FALSE&amp;VAR:CALENDAR=US&amp;VAR:SYMBOL=SCL&amp;VAR:INDEX=27"}</definedName>
    <definedName name="_3629__FDSAUDITLINK__" hidden="1">{"fdsup://directions/FAT Viewer?action=UPDATE&amp;creator=factset&amp;DYN_ARGS=TRUE&amp;DOC_NAME=FAT:FQL_AUDITING_CLIENT_TEMPLATE.FAT&amp;display_string=Audit&amp;VAR:KEY=WBEPGDMVOF&amp;VAR:QUERY=Q1NGX0RFQlQoQU5OLDEyLzMxLzE5ODAsMTIvMzEvMjAwOSxBWSk=&amp;WINDOW=FIRST_POPUP&amp;HEIGHT=450&amp;WI","DTH=450&amp;START_MAXIMIZED=FALSE&amp;VAR:CALENDAR=US&amp;VAR:SYMBOL=SCL&amp;VAR:INDEX=26"}</definedName>
    <definedName name="_363__FDSAUDITLINK__" hidden="1">{"fdsup://directions/FAT Viewer?action=UPDATE&amp;creator=factset&amp;DYN_ARGS=TRUE&amp;DOC_NAME=FAT:FQL_AUDITING_CLIENT_TEMPLATE.FAT&amp;display_string=Audit&amp;VAR:KEY=CNKXYVWFWF&amp;VAR:QUERY=Q1NGX0VCSVRfT1BFUihBTk4sMTIvMzEvODAsMCk=&amp;WINDOW=FIRST_POPUP&amp;HEIGHT=450&amp;WIDTH=450&amp;STAR","T_MAXIMIZED=FALSE&amp;VAR:CALENDAR=US&amp;VAR:SYMBOL=SOA&amp;VAR:INDEX=22"}</definedName>
    <definedName name="_3630__FDSAUDITLINK__" hidden="1">{"fdsup://directions/FAT Viewer?action=UPDATE&amp;creator=factset&amp;DYN_ARGS=TRUE&amp;DOC_NAME=FAT:FQL_AUDITING_CLIENT_TEMPLATE.FAT&amp;display_string=Audit&amp;VAR:KEY=WBEPGDMVOF&amp;VAR:QUERY=Q1NGX0RFQlQoQU5OLDEyLzMxLzE5ODAsMTIvMzEvMjAwOSxBWSk=&amp;WINDOW=FIRST_POPUP&amp;HEIGHT=450&amp;WI","DTH=450&amp;START_MAXIMIZED=FALSE&amp;VAR:CALENDAR=US&amp;VAR:SYMBOL=SCL&amp;VAR:INDEX=25"}</definedName>
    <definedName name="_3631__FDSAUDITLINK__" hidden="1">{"fdsup://directions/FAT Viewer?action=UPDATE&amp;creator=factset&amp;DYN_ARGS=TRUE&amp;DOC_NAME=FAT:FQL_AUDITING_CLIENT_TEMPLATE.FAT&amp;display_string=Audit&amp;VAR:KEY=WBEPGDMVOF&amp;VAR:QUERY=Q1NGX0RFQlQoQU5OLDEyLzMxLzE5ODAsMTIvMzEvMjAwOSxBWSk=&amp;WINDOW=FIRST_POPUP&amp;HEIGHT=450&amp;WI","DTH=450&amp;START_MAXIMIZED=FALSE&amp;VAR:CALENDAR=US&amp;VAR:SYMBOL=SCL&amp;VAR:INDEX=24"}</definedName>
    <definedName name="_3632__FDSAUDITLINK__" hidden="1">{"fdsup://directions/FAT Viewer?action=UPDATE&amp;creator=factset&amp;DYN_ARGS=TRUE&amp;DOC_NAME=FAT:FQL_AUDITING_CLIENT_TEMPLATE.FAT&amp;display_string=Audit&amp;VAR:KEY=WBEPGDMVOF&amp;VAR:QUERY=Q1NGX0RFQlQoQU5OLDEyLzMxLzE5ODAsMTIvMzEvMjAwOSxBWSk=&amp;WINDOW=FIRST_POPUP&amp;HEIGHT=450&amp;WI","DTH=450&amp;START_MAXIMIZED=FALSE&amp;VAR:CALENDAR=US&amp;VAR:SYMBOL=SCL&amp;VAR:INDEX=23"}</definedName>
    <definedName name="_3633__FDSAUDITLINK__" hidden="1">{"fdsup://directions/FAT Viewer?action=UPDATE&amp;creator=factset&amp;DYN_ARGS=TRUE&amp;DOC_NAME=FAT:FQL_AUDITING_CLIENT_TEMPLATE.FAT&amp;display_string=Audit&amp;VAR:KEY=WBEPGDMVOF&amp;VAR:QUERY=Q1NGX0RFQlQoQU5OLDEyLzMxLzE5ODAsMTIvMzEvMjAwOSxBWSk=&amp;WINDOW=FIRST_POPUP&amp;HEIGHT=450&amp;WI","DTH=450&amp;START_MAXIMIZED=FALSE&amp;VAR:CALENDAR=US&amp;VAR:SYMBOL=SCL&amp;VAR:INDEX=22"}</definedName>
    <definedName name="_3634__FDSAUDITLINK__" hidden="1">{"fdsup://directions/FAT Viewer?action=UPDATE&amp;creator=factset&amp;DYN_ARGS=TRUE&amp;DOC_NAME=FAT:FQL_AUDITING_CLIENT_TEMPLATE.FAT&amp;display_string=Audit&amp;VAR:KEY=WBEPGDMVOF&amp;VAR:QUERY=Q1NGX0RFQlQoQU5OLDEyLzMxLzE5ODAsMTIvMzEvMjAwOSxBWSk=&amp;WINDOW=FIRST_POPUP&amp;HEIGHT=450&amp;WI","DTH=450&amp;START_MAXIMIZED=FALSE&amp;VAR:CALENDAR=US&amp;VAR:SYMBOL=SCL&amp;VAR:INDEX=21"}</definedName>
    <definedName name="_3635__FDSAUDITLINK__" hidden="1">{"fdsup://directions/FAT Viewer?action=UPDATE&amp;creator=factset&amp;DYN_ARGS=TRUE&amp;DOC_NAME=FAT:FQL_AUDITING_CLIENT_TEMPLATE.FAT&amp;display_string=Audit&amp;VAR:KEY=WBEPGDMVOF&amp;VAR:QUERY=Q1NGX0RFQlQoQU5OLDEyLzMxLzE5ODAsMTIvMzEvMjAwOSxBWSk=&amp;WINDOW=FIRST_POPUP&amp;HEIGHT=450&amp;WI","DTH=450&amp;START_MAXIMIZED=FALSE&amp;VAR:CALENDAR=US&amp;VAR:SYMBOL=SCL&amp;VAR:INDEX=20"}</definedName>
    <definedName name="_3636__FDSAUDITLINK__" hidden="1">{"fdsup://directions/FAT Viewer?action=UPDATE&amp;creator=factset&amp;DYN_ARGS=TRUE&amp;DOC_NAME=FAT:FQL_AUDITING_CLIENT_TEMPLATE.FAT&amp;display_string=Audit&amp;VAR:KEY=WBEPGDMVOF&amp;VAR:QUERY=Q1NGX0RFQlQoQU5OLDEyLzMxLzE5ODAsMTIvMzEvMjAwOSxBWSk=&amp;WINDOW=FIRST_POPUP&amp;HEIGHT=450&amp;WI","DTH=450&amp;START_MAXIMIZED=FALSE&amp;VAR:CALENDAR=US&amp;VAR:SYMBOL=SCL&amp;VAR:INDEX=19"}</definedName>
    <definedName name="_3637__FDSAUDITLINK__" hidden="1">{"fdsup://directions/FAT Viewer?action=UPDATE&amp;creator=factset&amp;DYN_ARGS=TRUE&amp;DOC_NAME=FAT:FQL_AUDITING_CLIENT_TEMPLATE.FAT&amp;display_string=Audit&amp;VAR:KEY=WBEPGDMVOF&amp;VAR:QUERY=Q1NGX0RFQlQoQU5OLDEyLzMxLzE5ODAsMTIvMzEvMjAwOSxBWSk=&amp;WINDOW=FIRST_POPUP&amp;HEIGHT=450&amp;WI","DTH=450&amp;START_MAXIMIZED=FALSE&amp;VAR:CALENDAR=US&amp;VAR:SYMBOL=SCL&amp;VAR:INDEX=18"}</definedName>
    <definedName name="_3638__FDSAUDITLINK__" hidden="1">{"fdsup://directions/FAT Viewer?action=UPDATE&amp;creator=factset&amp;DYN_ARGS=TRUE&amp;DOC_NAME=FAT:FQL_AUDITING_CLIENT_TEMPLATE.FAT&amp;display_string=Audit&amp;VAR:KEY=WBEPGDMVOF&amp;VAR:QUERY=Q1NGX0RFQlQoQU5OLDEyLzMxLzE5ODAsMTIvMzEvMjAwOSxBWSk=&amp;WINDOW=FIRST_POPUP&amp;HEIGHT=450&amp;WI","DTH=450&amp;START_MAXIMIZED=FALSE&amp;VAR:CALENDAR=US&amp;VAR:SYMBOL=SCL&amp;VAR:INDEX=17"}</definedName>
    <definedName name="_3639__FDSAUDITLINK__" hidden="1">{"fdsup://directions/FAT Viewer?action=UPDATE&amp;creator=factset&amp;DYN_ARGS=TRUE&amp;DOC_NAME=FAT:FQL_AUDITING_CLIENT_TEMPLATE.FAT&amp;display_string=Audit&amp;VAR:KEY=WBEPGDMVOF&amp;VAR:QUERY=Q1NGX0RFQlQoQU5OLDEyLzMxLzE5ODAsMTIvMzEvMjAwOSxBWSk=&amp;WINDOW=FIRST_POPUP&amp;HEIGHT=450&amp;WI","DTH=450&amp;START_MAXIMIZED=FALSE&amp;VAR:CALENDAR=US&amp;VAR:SYMBOL=SCL&amp;VAR:INDEX=16"}</definedName>
    <definedName name="_364__FDSAUDITLINK__" hidden="1">{"fdsup://directions/FAT Viewer?action=UPDATE&amp;creator=factset&amp;DYN_ARGS=TRUE&amp;DOC_NAME=FAT:FQL_AUDITING_CLIENT_TEMPLATE.FAT&amp;display_string=Audit&amp;VAR:KEY=CNKXYVWFWF&amp;VAR:QUERY=Q1NGX0VCSVRfT1BFUihBTk4sMTIvMzEvODAsMCk=&amp;WINDOW=FIRST_POPUP&amp;HEIGHT=450&amp;WIDTH=450&amp;STAR","T_MAXIMIZED=FALSE&amp;VAR:CALENDAR=US&amp;VAR:SYMBOL=SOA&amp;VAR:INDEX=21"}</definedName>
    <definedName name="_3640__FDSAUDITLINK__" hidden="1">{"fdsup://directions/FAT Viewer?action=UPDATE&amp;creator=factset&amp;DYN_ARGS=TRUE&amp;DOC_NAME=FAT:FQL_AUDITING_CLIENT_TEMPLATE.FAT&amp;display_string=Audit&amp;VAR:KEY=WBEPGDMVOF&amp;VAR:QUERY=Q1NGX0RFQlQoQU5OLDEyLzMxLzE5ODAsMTIvMzEvMjAwOSxBWSk=&amp;WINDOW=FIRST_POPUP&amp;HEIGHT=450&amp;WI","DTH=450&amp;START_MAXIMIZED=FALSE&amp;VAR:CALENDAR=US&amp;VAR:SYMBOL=SCL&amp;VAR:INDEX=15"}</definedName>
    <definedName name="_3641__FDSAUDITLINK__" hidden="1">{"fdsup://directions/FAT Viewer?action=UPDATE&amp;creator=factset&amp;DYN_ARGS=TRUE&amp;DOC_NAME=FAT:FQL_AUDITING_CLIENT_TEMPLATE.FAT&amp;display_string=Audit&amp;VAR:KEY=WBEPGDMVOF&amp;VAR:QUERY=Q1NGX0RFQlQoQU5OLDEyLzMxLzE5ODAsMTIvMzEvMjAwOSxBWSk=&amp;WINDOW=FIRST_POPUP&amp;HEIGHT=450&amp;WI","DTH=450&amp;START_MAXIMIZED=FALSE&amp;VAR:CALENDAR=US&amp;VAR:SYMBOL=SCL&amp;VAR:INDEX=14"}</definedName>
    <definedName name="_3642__FDSAUDITLINK__" hidden="1">{"fdsup://directions/FAT Viewer?action=UPDATE&amp;creator=factset&amp;DYN_ARGS=TRUE&amp;DOC_NAME=FAT:FQL_AUDITING_CLIENT_TEMPLATE.FAT&amp;display_string=Audit&amp;VAR:KEY=WBEPGDMVOF&amp;VAR:QUERY=Q1NGX0RFQlQoQU5OLDEyLzMxLzE5ODAsMTIvMzEvMjAwOSxBWSk=&amp;WINDOW=FIRST_POPUP&amp;HEIGHT=450&amp;WI","DTH=450&amp;START_MAXIMIZED=FALSE&amp;VAR:CALENDAR=US&amp;VAR:SYMBOL=SCL&amp;VAR:INDEX=13"}</definedName>
    <definedName name="_3643__FDSAUDITLINK__" hidden="1">{"fdsup://directions/FAT Viewer?action=UPDATE&amp;creator=factset&amp;DYN_ARGS=TRUE&amp;DOC_NAME=FAT:FQL_AUDITING_CLIENT_TEMPLATE.FAT&amp;display_string=Audit&amp;VAR:KEY=WBEPGDMVOF&amp;VAR:QUERY=Q1NGX0RFQlQoQU5OLDEyLzMxLzE5ODAsMTIvMzEvMjAwOSxBWSk=&amp;WINDOW=FIRST_POPUP&amp;HEIGHT=450&amp;WI","DTH=450&amp;START_MAXIMIZED=FALSE&amp;VAR:CALENDAR=US&amp;VAR:SYMBOL=SCL&amp;VAR:INDEX=12"}</definedName>
    <definedName name="_3644__FDSAUDITLINK__" hidden="1">{"fdsup://directions/FAT Viewer?action=UPDATE&amp;creator=factset&amp;DYN_ARGS=TRUE&amp;DOC_NAME=FAT:FQL_AUDITING_CLIENT_TEMPLATE.FAT&amp;display_string=Audit&amp;VAR:KEY=WBEPGDMVOF&amp;VAR:QUERY=Q1NGX0RFQlQoQU5OLDEyLzMxLzE5ODAsMTIvMzEvMjAwOSxBWSk=&amp;WINDOW=FIRST_POPUP&amp;HEIGHT=450&amp;WI","DTH=450&amp;START_MAXIMIZED=FALSE&amp;VAR:CALENDAR=US&amp;VAR:SYMBOL=SCL&amp;VAR:INDEX=11"}</definedName>
    <definedName name="_3645__FDSAUDITLINK__" hidden="1">{"fdsup://directions/FAT Viewer?action=UPDATE&amp;creator=factset&amp;DYN_ARGS=TRUE&amp;DOC_NAME=FAT:FQL_AUDITING_CLIENT_TEMPLATE.FAT&amp;display_string=Audit&amp;VAR:KEY=WBEPGDMVOF&amp;VAR:QUERY=Q1NGX0RFQlQoQU5OLDEyLzMxLzE5ODAsMTIvMzEvMjAwOSxBWSk=&amp;WINDOW=FIRST_POPUP&amp;HEIGHT=450&amp;WI","DTH=450&amp;START_MAXIMIZED=FALSE&amp;VAR:CALENDAR=US&amp;VAR:SYMBOL=SCL&amp;VAR:INDEX=10"}</definedName>
    <definedName name="_3646__FDSAUDITLINK__" hidden="1">{"fdsup://directions/FAT Viewer?action=UPDATE&amp;creator=factset&amp;DYN_ARGS=TRUE&amp;DOC_NAME=FAT:FQL_AUDITING_CLIENT_TEMPLATE.FAT&amp;display_string=Audit&amp;VAR:KEY=WBEPGDMVOF&amp;VAR:QUERY=Q1NGX0RFQlQoQU5OLDEyLzMxLzE5ODAsMTIvMzEvMjAwOSxBWSk=&amp;WINDOW=FIRST_POPUP&amp;HEIGHT=450&amp;WI","DTH=450&amp;START_MAXIMIZED=FALSE&amp;VAR:CALENDAR=US&amp;VAR:SYMBOL=SCL&amp;VAR:INDEX=9"}</definedName>
    <definedName name="_3647__FDSAUDITLINK__" hidden="1">{"fdsup://directions/FAT Viewer?action=UPDATE&amp;creator=factset&amp;DYN_ARGS=TRUE&amp;DOC_NAME=FAT:FQL_AUDITING_CLIENT_TEMPLATE.FAT&amp;display_string=Audit&amp;VAR:KEY=WBEPGDMVOF&amp;VAR:QUERY=Q1NGX0RFQlQoQU5OLDEyLzMxLzE5ODAsMTIvMzEvMjAwOSxBWSk=&amp;WINDOW=FIRST_POPUP&amp;HEIGHT=450&amp;WI","DTH=450&amp;START_MAXIMIZED=FALSE&amp;VAR:CALENDAR=US&amp;VAR:SYMBOL=SCL&amp;VAR:INDEX=8"}</definedName>
    <definedName name="_3648__FDSAUDITLINK__" hidden="1">{"fdsup://directions/FAT Viewer?action=UPDATE&amp;creator=factset&amp;DYN_ARGS=TRUE&amp;DOC_NAME=FAT:FQL_AUDITING_CLIENT_TEMPLATE.FAT&amp;display_string=Audit&amp;VAR:KEY=WBEPGDMVOF&amp;VAR:QUERY=Q1NGX0RFQlQoQU5OLDEyLzMxLzE5ODAsMTIvMzEvMjAwOSxBWSk=&amp;WINDOW=FIRST_POPUP&amp;HEIGHT=450&amp;WI","DTH=450&amp;START_MAXIMIZED=FALSE&amp;VAR:CALENDAR=US&amp;VAR:SYMBOL=SCL&amp;VAR:INDEX=7"}</definedName>
    <definedName name="_3649__FDSAUDITLINK__" hidden="1">{"fdsup://directions/FAT Viewer?action=UPDATE&amp;creator=factset&amp;DYN_ARGS=TRUE&amp;DOC_NAME=FAT:FQL_AUDITING_CLIENT_TEMPLATE.FAT&amp;display_string=Audit&amp;VAR:KEY=WBEPGDMVOF&amp;VAR:QUERY=Q1NGX0RFQlQoQU5OLDEyLzMxLzE5ODAsMTIvMzEvMjAwOSxBWSk=&amp;WINDOW=FIRST_POPUP&amp;HEIGHT=450&amp;WI","DTH=450&amp;START_MAXIMIZED=FALSE&amp;VAR:CALENDAR=US&amp;VAR:SYMBOL=SCL&amp;VAR:INDEX=6"}</definedName>
    <definedName name="_365__FDSAUDITLINK__" hidden="1">{"fdsup://directions/FAT Viewer?action=UPDATE&amp;creator=factset&amp;DYN_ARGS=TRUE&amp;DOC_NAME=FAT:FQL_AUDITING_CLIENT_TEMPLATE.FAT&amp;display_string=Audit&amp;VAR:KEY=CNKXYVWFWF&amp;VAR:QUERY=Q1NGX0VCSVRfT1BFUihBTk4sMTIvMzEvODAsMCk=&amp;WINDOW=FIRST_POPUP&amp;HEIGHT=450&amp;WIDTH=450&amp;STAR","T_MAXIMIZED=FALSE&amp;VAR:CALENDAR=US&amp;VAR:SYMBOL=SOA&amp;VAR:INDEX=20"}</definedName>
    <definedName name="_3650__FDSAUDITLINK__" hidden="1">{"fdsup://directions/FAT Viewer?action=UPDATE&amp;creator=factset&amp;DYN_ARGS=TRUE&amp;DOC_NAME=FAT:FQL_AUDITING_CLIENT_TEMPLATE.FAT&amp;display_string=Audit&amp;VAR:KEY=WBEPGDMVOF&amp;VAR:QUERY=Q1NGX0RFQlQoQU5OLDEyLzMxLzE5ODAsMTIvMzEvMjAwOSxBWSk=&amp;WINDOW=FIRST_POPUP&amp;HEIGHT=450&amp;WI","DTH=450&amp;START_MAXIMIZED=FALSE&amp;VAR:CALENDAR=US&amp;VAR:SYMBOL=SCL&amp;VAR:INDEX=5"}</definedName>
    <definedName name="_3651__FDSAUDITLINK__" hidden="1">{"fdsup://directions/FAT Viewer?action=UPDATE&amp;creator=factset&amp;DYN_ARGS=TRUE&amp;DOC_NAME=FAT:FQL_AUDITING_CLIENT_TEMPLATE.FAT&amp;display_string=Audit&amp;VAR:KEY=WBEPGDMVOF&amp;VAR:QUERY=Q1NGX0RFQlQoQU5OLDEyLzMxLzE5ODAsMTIvMzEvMjAwOSxBWSk=&amp;WINDOW=FIRST_POPUP&amp;HEIGHT=450&amp;WI","DTH=450&amp;START_MAXIMIZED=FALSE&amp;VAR:CALENDAR=US&amp;VAR:SYMBOL=SCL&amp;VAR:INDEX=4"}</definedName>
    <definedName name="_3652__FDSAUDITLINK__" hidden="1">{"fdsup://directions/FAT Viewer?action=UPDATE&amp;creator=factset&amp;DYN_ARGS=TRUE&amp;DOC_NAME=FAT:FQL_AUDITING_CLIENT_TEMPLATE.FAT&amp;display_string=Audit&amp;VAR:KEY=WBEPGDMVOF&amp;VAR:QUERY=Q1NGX0RFQlQoQU5OLDEyLzMxLzE5ODAsMTIvMzEvMjAwOSxBWSk=&amp;WINDOW=FIRST_POPUP&amp;HEIGHT=450&amp;WI","DTH=450&amp;START_MAXIMIZED=FALSE&amp;VAR:CALENDAR=US&amp;VAR:SYMBOL=SCL&amp;VAR:INDEX=3"}</definedName>
    <definedName name="_3653__FDSAUDITLINK__" hidden="1">{"fdsup://directions/FAT Viewer?action=UPDATE&amp;creator=factset&amp;DYN_ARGS=TRUE&amp;DOC_NAME=FAT:FQL_AUDITING_CLIENT_TEMPLATE.FAT&amp;display_string=Audit&amp;VAR:KEY=WBEPGDMVOF&amp;VAR:QUERY=Q1NGX0RFQlQoQU5OLDEyLzMxLzE5ODAsMTIvMzEvMjAwOSxBWSk=&amp;WINDOW=FIRST_POPUP&amp;HEIGHT=450&amp;WI","DTH=450&amp;START_MAXIMIZED=FALSE&amp;VAR:CALENDAR=US&amp;VAR:SYMBOL=SCL&amp;VAR:INDEX=2"}</definedName>
    <definedName name="_3654__FDSAUDITLINK__" hidden="1">{"fdsup://directions/FAT Viewer?action=UPDATE&amp;creator=factset&amp;DYN_ARGS=TRUE&amp;DOC_NAME=FAT:FQL_AUDITING_CLIENT_TEMPLATE.FAT&amp;display_string=Audit&amp;VAR:KEY=WBEPGDMVOF&amp;VAR:QUERY=Q1NGX0RFQlQoQU5OLDEyLzMxLzE5ODAsMTIvMzEvMjAwOSxBWSk=&amp;WINDOW=FIRST_POPUP&amp;HEIGHT=450&amp;WI","DTH=450&amp;START_MAXIMIZED=FALSE&amp;VAR:CALENDAR=US&amp;VAR:SYMBOL=SCL&amp;VAR:INDEX=1"}</definedName>
    <definedName name="_3655__FDSAUDITLINK__" hidden="1">{"fdsup://directions/FAT Viewer?action=UPDATE&amp;creator=factset&amp;DYN_ARGS=TRUE&amp;DOC_NAME=FAT:FQL_AUDITING_CLIENT_TEMPLATE.FAT&amp;display_string=Audit&amp;VAR:KEY=WBEPGDMVOF&amp;VAR:QUERY=Q1NGX0RFQlQoQU5OLDEyLzMxLzE5ODAsMTIvMzEvMjAwOSxBWSk=&amp;WINDOW=FIRST_POPUP&amp;HEIGHT=450&amp;WI","DTH=450&amp;START_MAXIMIZED=FALSE&amp;VAR:CALENDAR=US&amp;VAR:SYMBOL=SCL&amp;VAR:INDEX=0"}</definedName>
    <definedName name="_3656__FDSAUDITLINK__" hidden="1">{"fdsup://directions/FAT Viewer?action=UPDATE&amp;creator=factset&amp;DYN_ARGS=TRUE&amp;DOC_NAME=FAT:FQL_AUDITING_CLIENT_TEMPLATE.FAT&amp;display_string=Audit&amp;VAR:KEY=GXKTMVGLEJ&amp;VAR:QUERY=Q1NGX0RFQlQoQU5OLDEyLzMxLzE5ODAsMTIvMzEvMjAwOSxBWSk=&amp;WINDOW=FIRST_POPUP&amp;HEIGHT=450&amp;WI","DTH=450&amp;START_MAXIMIZED=FALSE&amp;VAR:CALENDAR=US&amp;VAR:SYMBOL=SIAL&amp;VAR:INDEX=29"}</definedName>
    <definedName name="_3657__FDSAUDITLINK__" hidden="1">{"fdsup://directions/FAT Viewer?action=UPDATE&amp;creator=factset&amp;DYN_ARGS=TRUE&amp;DOC_NAME=FAT:FQL_AUDITING_CLIENT_TEMPLATE.FAT&amp;display_string=Audit&amp;VAR:KEY=GXKTMVGLEJ&amp;VAR:QUERY=Q1NGX0RFQlQoQU5OLDEyLzMxLzE5ODAsMTIvMzEvMjAwOSxBWSk=&amp;WINDOW=FIRST_POPUP&amp;HEIGHT=450&amp;WI","DTH=450&amp;START_MAXIMIZED=FALSE&amp;VAR:CALENDAR=US&amp;VAR:SYMBOL=SIAL&amp;VAR:INDEX=28"}</definedName>
    <definedName name="_3658__FDSAUDITLINK__" hidden="1">{"fdsup://directions/FAT Viewer?action=UPDATE&amp;creator=factset&amp;DYN_ARGS=TRUE&amp;DOC_NAME=FAT:FQL_AUDITING_CLIENT_TEMPLATE.FAT&amp;display_string=Audit&amp;VAR:KEY=GXKTMVGLEJ&amp;VAR:QUERY=Q1NGX0RFQlQoQU5OLDEyLzMxLzE5ODAsMTIvMzEvMjAwOSxBWSk=&amp;WINDOW=FIRST_POPUP&amp;HEIGHT=450&amp;WI","DTH=450&amp;START_MAXIMIZED=FALSE&amp;VAR:CALENDAR=US&amp;VAR:SYMBOL=SIAL&amp;VAR:INDEX=27"}</definedName>
    <definedName name="_3659__FDSAUDITLINK__" hidden="1">{"fdsup://directions/FAT Viewer?action=UPDATE&amp;creator=factset&amp;DYN_ARGS=TRUE&amp;DOC_NAME=FAT:FQL_AUDITING_CLIENT_TEMPLATE.FAT&amp;display_string=Audit&amp;VAR:KEY=GXKTMVGLEJ&amp;VAR:QUERY=Q1NGX0RFQlQoQU5OLDEyLzMxLzE5ODAsMTIvMzEvMjAwOSxBWSk=&amp;WINDOW=FIRST_POPUP&amp;HEIGHT=450&amp;WI","DTH=450&amp;START_MAXIMIZED=FALSE&amp;VAR:CALENDAR=US&amp;VAR:SYMBOL=SIAL&amp;VAR:INDEX=26"}</definedName>
    <definedName name="_366__FDSAUDITLINK__" hidden="1">{"fdsup://directions/FAT Viewer?action=UPDATE&amp;creator=factset&amp;DYN_ARGS=TRUE&amp;DOC_NAME=FAT:FQL_AUDITING_CLIENT_TEMPLATE.FAT&amp;display_string=Audit&amp;VAR:KEY=CNKXYVWFWF&amp;VAR:QUERY=Q1NGX0VCSVRfT1BFUihBTk4sMTIvMzEvODAsMCk=&amp;WINDOW=FIRST_POPUP&amp;HEIGHT=450&amp;WIDTH=450&amp;STAR","T_MAXIMIZED=FALSE&amp;VAR:CALENDAR=US&amp;VAR:SYMBOL=SOA&amp;VAR:INDEX=19"}</definedName>
    <definedName name="_3660__FDSAUDITLINK__" hidden="1">{"fdsup://directions/FAT Viewer?action=UPDATE&amp;creator=factset&amp;DYN_ARGS=TRUE&amp;DOC_NAME=FAT:FQL_AUDITING_CLIENT_TEMPLATE.FAT&amp;display_string=Audit&amp;VAR:KEY=GXKTMVGLEJ&amp;VAR:QUERY=Q1NGX0RFQlQoQU5OLDEyLzMxLzE5ODAsMTIvMzEvMjAwOSxBWSk=&amp;WINDOW=FIRST_POPUP&amp;HEIGHT=450&amp;WI","DTH=450&amp;START_MAXIMIZED=FALSE&amp;VAR:CALENDAR=US&amp;VAR:SYMBOL=SIAL&amp;VAR:INDEX=25"}</definedName>
    <definedName name="_3661__FDSAUDITLINK__" hidden="1">{"fdsup://directions/FAT Viewer?action=UPDATE&amp;creator=factset&amp;DYN_ARGS=TRUE&amp;DOC_NAME=FAT:FQL_AUDITING_CLIENT_TEMPLATE.FAT&amp;display_string=Audit&amp;VAR:KEY=GXKTMVGLEJ&amp;VAR:QUERY=Q1NGX0RFQlQoQU5OLDEyLzMxLzE5ODAsMTIvMzEvMjAwOSxBWSk=&amp;WINDOW=FIRST_POPUP&amp;HEIGHT=450&amp;WI","DTH=450&amp;START_MAXIMIZED=FALSE&amp;VAR:CALENDAR=US&amp;VAR:SYMBOL=SIAL&amp;VAR:INDEX=24"}</definedName>
    <definedName name="_3662__FDSAUDITLINK__" hidden="1">{"fdsup://directions/FAT Viewer?action=UPDATE&amp;creator=factset&amp;DYN_ARGS=TRUE&amp;DOC_NAME=FAT:FQL_AUDITING_CLIENT_TEMPLATE.FAT&amp;display_string=Audit&amp;VAR:KEY=GXKTMVGLEJ&amp;VAR:QUERY=Q1NGX0RFQlQoQU5OLDEyLzMxLzE5ODAsMTIvMzEvMjAwOSxBWSk=&amp;WINDOW=FIRST_POPUP&amp;HEIGHT=450&amp;WI","DTH=450&amp;START_MAXIMIZED=FALSE&amp;VAR:CALENDAR=US&amp;VAR:SYMBOL=SIAL&amp;VAR:INDEX=23"}</definedName>
    <definedName name="_3663__FDSAUDITLINK__" hidden="1">{"fdsup://directions/FAT Viewer?action=UPDATE&amp;creator=factset&amp;DYN_ARGS=TRUE&amp;DOC_NAME=FAT:FQL_AUDITING_CLIENT_TEMPLATE.FAT&amp;display_string=Audit&amp;VAR:KEY=GXKTMVGLEJ&amp;VAR:QUERY=Q1NGX0RFQlQoQU5OLDEyLzMxLzE5ODAsMTIvMzEvMjAwOSxBWSk=&amp;WINDOW=FIRST_POPUP&amp;HEIGHT=450&amp;WI","DTH=450&amp;START_MAXIMIZED=FALSE&amp;VAR:CALENDAR=US&amp;VAR:SYMBOL=SIAL&amp;VAR:INDEX=22"}</definedName>
    <definedName name="_3664__FDSAUDITLINK__" hidden="1">{"fdsup://directions/FAT Viewer?action=UPDATE&amp;creator=factset&amp;DYN_ARGS=TRUE&amp;DOC_NAME=FAT:FQL_AUDITING_CLIENT_TEMPLATE.FAT&amp;display_string=Audit&amp;VAR:KEY=GXKTMVGLEJ&amp;VAR:QUERY=Q1NGX0RFQlQoQU5OLDEyLzMxLzE5ODAsMTIvMzEvMjAwOSxBWSk=&amp;WINDOW=FIRST_POPUP&amp;HEIGHT=450&amp;WI","DTH=450&amp;START_MAXIMIZED=FALSE&amp;VAR:CALENDAR=US&amp;VAR:SYMBOL=SIAL&amp;VAR:INDEX=21"}</definedName>
    <definedName name="_3665__FDSAUDITLINK__" hidden="1">{"fdsup://directions/FAT Viewer?action=UPDATE&amp;creator=factset&amp;DYN_ARGS=TRUE&amp;DOC_NAME=FAT:FQL_AUDITING_CLIENT_TEMPLATE.FAT&amp;display_string=Audit&amp;VAR:KEY=GXKTMVGLEJ&amp;VAR:QUERY=Q1NGX0RFQlQoQU5OLDEyLzMxLzE5ODAsMTIvMzEvMjAwOSxBWSk=&amp;WINDOW=FIRST_POPUP&amp;HEIGHT=450&amp;WI","DTH=450&amp;START_MAXIMIZED=FALSE&amp;VAR:CALENDAR=US&amp;VAR:SYMBOL=SIAL&amp;VAR:INDEX=20"}</definedName>
    <definedName name="_3666__FDSAUDITLINK__" hidden="1">{"fdsup://directions/FAT Viewer?action=UPDATE&amp;creator=factset&amp;DYN_ARGS=TRUE&amp;DOC_NAME=FAT:FQL_AUDITING_CLIENT_TEMPLATE.FAT&amp;display_string=Audit&amp;VAR:KEY=GXKTMVGLEJ&amp;VAR:QUERY=Q1NGX0RFQlQoQU5OLDEyLzMxLzE5ODAsMTIvMzEvMjAwOSxBWSk=&amp;WINDOW=FIRST_POPUP&amp;HEIGHT=450&amp;WI","DTH=450&amp;START_MAXIMIZED=FALSE&amp;VAR:CALENDAR=US&amp;VAR:SYMBOL=SIAL&amp;VAR:INDEX=19"}</definedName>
    <definedName name="_3667__FDSAUDITLINK__" hidden="1">{"fdsup://directions/FAT Viewer?action=UPDATE&amp;creator=factset&amp;DYN_ARGS=TRUE&amp;DOC_NAME=FAT:FQL_AUDITING_CLIENT_TEMPLATE.FAT&amp;display_string=Audit&amp;VAR:KEY=GXKTMVGLEJ&amp;VAR:QUERY=Q1NGX0RFQlQoQU5OLDEyLzMxLzE5ODAsMTIvMzEvMjAwOSxBWSk=&amp;WINDOW=FIRST_POPUP&amp;HEIGHT=450&amp;WI","DTH=450&amp;START_MAXIMIZED=FALSE&amp;VAR:CALENDAR=US&amp;VAR:SYMBOL=SIAL&amp;VAR:INDEX=18"}</definedName>
    <definedName name="_3668__FDSAUDITLINK__" hidden="1">{"fdsup://directions/FAT Viewer?action=UPDATE&amp;creator=factset&amp;DYN_ARGS=TRUE&amp;DOC_NAME=FAT:FQL_AUDITING_CLIENT_TEMPLATE.FAT&amp;display_string=Audit&amp;VAR:KEY=GXKTMVGLEJ&amp;VAR:QUERY=Q1NGX0RFQlQoQU5OLDEyLzMxLzE5ODAsMTIvMzEvMjAwOSxBWSk=&amp;WINDOW=FIRST_POPUP&amp;HEIGHT=450&amp;WI","DTH=450&amp;START_MAXIMIZED=FALSE&amp;VAR:CALENDAR=US&amp;VAR:SYMBOL=SIAL&amp;VAR:INDEX=17"}</definedName>
    <definedName name="_3669__FDSAUDITLINK__" hidden="1">{"fdsup://directions/FAT Viewer?action=UPDATE&amp;creator=factset&amp;DYN_ARGS=TRUE&amp;DOC_NAME=FAT:FQL_AUDITING_CLIENT_TEMPLATE.FAT&amp;display_string=Audit&amp;VAR:KEY=GXKTMVGLEJ&amp;VAR:QUERY=Q1NGX0RFQlQoQU5OLDEyLzMxLzE5ODAsMTIvMzEvMjAwOSxBWSk=&amp;WINDOW=FIRST_POPUP&amp;HEIGHT=450&amp;WI","DTH=450&amp;START_MAXIMIZED=FALSE&amp;VAR:CALENDAR=US&amp;VAR:SYMBOL=SIAL&amp;VAR:INDEX=16"}</definedName>
    <definedName name="_367__FDSAUDITLINK__" hidden="1">{"fdsup://directions/FAT Viewer?action=UPDATE&amp;creator=factset&amp;DYN_ARGS=TRUE&amp;DOC_NAME=FAT:FQL_AUDITING_CLIENT_TEMPLATE.FAT&amp;display_string=Audit&amp;VAR:KEY=CNKXYVWFWF&amp;VAR:QUERY=Q1NGX0VCSVRfT1BFUihBTk4sMTIvMzEvODAsMCk=&amp;WINDOW=FIRST_POPUP&amp;HEIGHT=450&amp;WIDTH=450&amp;STAR","T_MAXIMIZED=FALSE&amp;VAR:CALENDAR=US&amp;VAR:SYMBOL=SOA&amp;VAR:INDEX=18"}</definedName>
    <definedName name="_3670__FDSAUDITLINK__" hidden="1">{"fdsup://directions/FAT Viewer?action=UPDATE&amp;creator=factset&amp;DYN_ARGS=TRUE&amp;DOC_NAME=FAT:FQL_AUDITING_CLIENT_TEMPLATE.FAT&amp;display_string=Audit&amp;VAR:KEY=GXKTMVGLEJ&amp;VAR:QUERY=Q1NGX0RFQlQoQU5OLDEyLzMxLzE5ODAsMTIvMzEvMjAwOSxBWSk=&amp;WINDOW=FIRST_POPUP&amp;HEIGHT=450&amp;WI","DTH=450&amp;START_MAXIMIZED=FALSE&amp;VAR:CALENDAR=US&amp;VAR:SYMBOL=SIAL&amp;VAR:INDEX=15"}</definedName>
    <definedName name="_3671__FDSAUDITLINK__" hidden="1">{"fdsup://directions/FAT Viewer?action=UPDATE&amp;creator=factset&amp;DYN_ARGS=TRUE&amp;DOC_NAME=FAT:FQL_AUDITING_CLIENT_TEMPLATE.FAT&amp;display_string=Audit&amp;VAR:KEY=GXKTMVGLEJ&amp;VAR:QUERY=Q1NGX0RFQlQoQU5OLDEyLzMxLzE5ODAsMTIvMzEvMjAwOSxBWSk=&amp;WINDOW=FIRST_POPUP&amp;HEIGHT=450&amp;WI","DTH=450&amp;START_MAXIMIZED=FALSE&amp;VAR:CALENDAR=US&amp;VAR:SYMBOL=SIAL&amp;VAR:INDEX=14"}</definedName>
    <definedName name="_3672__FDSAUDITLINK__" hidden="1">{"fdsup://directions/FAT Viewer?action=UPDATE&amp;creator=factset&amp;DYN_ARGS=TRUE&amp;DOC_NAME=FAT:FQL_AUDITING_CLIENT_TEMPLATE.FAT&amp;display_string=Audit&amp;VAR:KEY=GXKTMVGLEJ&amp;VAR:QUERY=Q1NGX0RFQlQoQU5OLDEyLzMxLzE5ODAsMTIvMzEvMjAwOSxBWSk=&amp;WINDOW=FIRST_POPUP&amp;HEIGHT=450&amp;WI","DTH=450&amp;START_MAXIMIZED=FALSE&amp;VAR:CALENDAR=US&amp;VAR:SYMBOL=SIAL&amp;VAR:INDEX=13"}</definedName>
    <definedName name="_3673__FDSAUDITLINK__" hidden="1">{"fdsup://directions/FAT Viewer?action=UPDATE&amp;creator=factset&amp;DYN_ARGS=TRUE&amp;DOC_NAME=FAT:FQL_AUDITING_CLIENT_TEMPLATE.FAT&amp;display_string=Audit&amp;VAR:KEY=GXKTMVGLEJ&amp;VAR:QUERY=Q1NGX0RFQlQoQU5OLDEyLzMxLzE5ODAsMTIvMzEvMjAwOSxBWSk=&amp;WINDOW=FIRST_POPUP&amp;HEIGHT=450&amp;WI","DTH=450&amp;START_MAXIMIZED=FALSE&amp;VAR:CALENDAR=US&amp;VAR:SYMBOL=SIAL&amp;VAR:INDEX=12"}</definedName>
    <definedName name="_3674__FDSAUDITLINK__" hidden="1">{"fdsup://directions/FAT Viewer?action=UPDATE&amp;creator=factset&amp;DYN_ARGS=TRUE&amp;DOC_NAME=FAT:FQL_AUDITING_CLIENT_TEMPLATE.FAT&amp;display_string=Audit&amp;VAR:KEY=GXKTMVGLEJ&amp;VAR:QUERY=Q1NGX0RFQlQoQU5OLDEyLzMxLzE5ODAsMTIvMzEvMjAwOSxBWSk=&amp;WINDOW=FIRST_POPUP&amp;HEIGHT=450&amp;WI","DTH=450&amp;START_MAXIMIZED=FALSE&amp;VAR:CALENDAR=US&amp;VAR:SYMBOL=SIAL&amp;VAR:INDEX=11"}</definedName>
    <definedName name="_3675__FDSAUDITLINK__" hidden="1">{"fdsup://directions/FAT Viewer?action=UPDATE&amp;creator=factset&amp;DYN_ARGS=TRUE&amp;DOC_NAME=FAT:FQL_AUDITING_CLIENT_TEMPLATE.FAT&amp;display_string=Audit&amp;VAR:KEY=GXKTMVGLEJ&amp;VAR:QUERY=Q1NGX0RFQlQoQU5OLDEyLzMxLzE5ODAsMTIvMzEvMjAwOSxBWSk=&amp;WINDOW=FIRST_POPUP&amp;HEIGHT=450&amp;WI","DTH=450&amp;START_MAXIMIZED=FALSE&amp;VAR:CALENDAR=US&amp;VAR:SYMBOL=SIAL&amp;VAR:INDEX=10"}</definedName>
    <definedName name="_3676__FDSAUDITLINK__" hidden="1">{"fdsup://directions/FAT Viewer?action=UPDATE&amp;creator=factset&amp;DYN_ARGS=TRUE&amp;DOC_NAME=FAT:FQL_AUDITING_CLIENT_TEMPLATE.FAT&amp;display_string=Audit&amp;VAR:KEY=GXKTMVGLEJ&amp;VAR:QUERY=Q1NGX0RFQlQoQU5OLDEyLzMxLzE5ODAsMTIvMzEvMjAwOSxBWSk=&amp;WINDOW=FIRST_POPUP&amp;HEIGHT=450&amp;WI","DTH=450&amp;START_MAXIMIZED=FALSE&amp;VAR:CALENDAR=US&amp;VAR:SYMBOL=SIAL&amp;VAR:INDEX=9"}</definedName>
    <definedName name="_3677__FDSAUDITLINK__" hidden="1">{"fdsup://directions/FAT Viewer?action=UPDATE&amp;creator=factset&amp;DYN_ARGS=TRUE&amp;DOC_NAME=FAT:FQL_AUDITING_CLIENT_TEMPLATE.FAT&amp;display_string=Audit&amp;VAR:KEY=GXKTMVGLEJ&amp;VAR:QUERY=Q1NGX0RFQlQoQU5OLDEyLzMxLzE5ODAsMTIvMzEvMjAwOSxBWSk=&amp;WINDOW=FIRST_POPUP&amp;HEIGHT=450&amp;WI","DTH=450&amp;START_MAXIMIZED=FALSE&amp;VAR:CALENDAR=US&amp;VAR:SYMBOL=SIAL&amp;VAR:INDEX=8"}</definedName>
    <definedName name="_3678__FDSAUDITLINK__" hidden="1">{"fdsup://directions/FAT Viewer?action=UPDATE&amp;creator=factset&amp;DYN_ARGS=TRUE&amp;DOC_NAME=FAT:FQL_AUDITING_CLIENT_TEMPLATE.FAT&amp;display_string=Audit&amp;VAR:KEY=GXKTMVGLEJ&amp;VAR:QUERY=Q1NGX0RFQlQoQU5OLDEyLzMxLzE5ODAsMTIvMzEvMjAwOSxBWSk=&amp;WINDOW=FIRST_POPUP&amp;HEIGHT=450&amp;WI","DTH=450&amp;START_MAXIMIZED=FALSE&amp;VAR:CALENDAR=US&amp;VAR:SYMBOL=SIAL&amp;VAR:INDEX=7"}</definedName>
    <definedName name="_3679__FDSAUDITLINK__" hidden="1">{"fdsup://directions/FAT Viewer?action=UPDATE&amp;creator=factset&amp;DYN_ARGS=TRUE&amp;DOC_NAME=FAT:FQL_AUDITING_CLIENT_TEMPLATE.FAT&amp;display_string=Audit&amp;VAR:KEY=GXKTMVGLEJ&amp;VAR:QUERY=Q1NGX0RFQlQoQU5OLDEyLzMxLzE5ODAsMTIvMzEvMjAwOSxBWSk=&amp;WINDOW=FIRST_POPUP&amp;HEIGHT=450&amp;WI","DTH=450&amp;START_MAXIMIZED=FALSE&amp;VAR:CALENDAR=US&amp;VAR:SYMBOL=SIAL&amp;VAR:INDEX=6"}</definedName>
    <definedName name="_368__FDSAUDITLINK__" hidden="1">{"fdsup://directions/FAT Viewer?action=UPDATE&amp;creator=factset&amp;DYN_ARGS=TRUE&amp;DOC_NAME=FAT:FQL_AUDITING_CLIENT_TEMPLATE.FAT&amp;display_string=Audit&amp;VAR:KEY=CNKXYVWFWF&amp;VAR:QUERY=Q1NGX0VCSVRfT1BFUihBTk4sMTIvMzEvODAsMCk=&amp;WINDOW=FIRST_POPUP&amp;HEIGHT=450&amp;WIDTH=450&amp;STAR","T_MAXIMIZED=FALSE&amp;VAR:CALENDAR=US&amp;VAR:SYMBOL=SOA&amp;VAR:INDEX=17"}</definedName>
    <definedName name="_3680__FDSAUDITLINK__" hidden="1">{"fdsup://directions/FAT Viewer?action=UPDATE&amp;creator=factset&amp;DYN_ARGS=TRUE&amp;DOC_NAME=FAT:FQL_AUDITING_CLIENT_TEMPLATE.FAT&amp;display_string=Audit&amp;VAR:KEY=GXKTMVGLEJ&amp;VAR:QUERY=Q1NGX0RFQlQoQU5OLDEyLzMxLzE5ODAsMTIvMzEvMjAwOSxBWSk=&amp;WINDOW=FIRST_POPUP&amp;HEIGHT=450&amp;WI","DTH=450&amp;START_MAXIMIZED=FALSE&amp;VAR:CALENDAR=US&amp;VAR:SYMBOL=SIAL&amp;VAR:INDEX=5"}</definedName>
    <definedName name="_3681__FDSAUDITLINK__" hidden="1">{"fdsup://directions/FAT Viewer?action=UPDATE&amp;creator=factset&amp;DYN_ARGS=TRUE&amp;DOC_NAME=FAT:FQL_AUDITING_CLIENT_TEMPLATE.FAT&amp;display_string=Audit&amp;VAR:KEY=GXKTMVGLEJ&amp;VAR:QUERY=Q1NGX0RFQlQoQU5OLDEyLzMxLzE5ODAsMTIvMzEvMjAwOSxBWSk=&amp;WINDOW=FIRST_POPUP&amp;HEIGHT=450&amp;WI","DTH=450&amp;START_MAXIMIZED=FALSE&amp;VAR:CALENDAR=US&amp;VAR:SYMBOL=SIAL&amp;VAR:INDEX=4"}</definedName>
    <definedName name="_3682__FDSAUDITLINK__" hidden="1">{"fdsup://directions/FAT Viewer?action=UPDATE&amp;creator=factset&amp;DYN_ARGS=TRUE&amp;DOC_NAME=FAT:FQL_AUDITING_CLIENT_TEMPLATE.FAT&amp;display_string=Audit&amp;VAR:KEY=GXKTMVGLEJ&amp;VAR:QUERY=Q1NGX0RFQlQoQU5OLDEyLzMxLzE5ODAsMTIvMzEvMjAwOSxBWSk=&amp;WINDOW=FIRST_POPUP&amp;HEIGHT=450&amp;WI","DTH=450&amp;START_MAXIMIZED=FALSE&amp;VAR:CALENDAR=US&amp;VAR:SYMBOL=SIAL&amp;VAR:INDEX=3"}</definedName>
    <definedName name="_3683__FDSAUDITLINK__" hidden="1">{"fdsup://directions/FAT Viewer?action=UPDATE&amp;creator=factset&amp;DYN_ARGS=TRUE&amp;DOC_NAME=FAT:FQL_AUDITING_CLIENT_TEMPLATE.FAT&amp;display_string=Audit&amp;VAR:KEY=GXKTMVGLEJ&amp;VAR:QUERY=Q1NGX0RFQlQoQU5OLDEyLzMxLzE5ODAsMTIvMzEvMjAwOSxBWSk=&amp;WINDOW=FIRST_POPUP&amp;HEIGHT=450&amp;WI","DTH=450&amp;START_MAXIMIZED=FALSE&amp;VAR:CALENDAR=US&amp;VAR:SYMBOL=SIAL&amp;VAR:INDEX=2"}</definedName>
    <definedName name="_3684__FDSAUDITLINK__" hidden="1">{"fdsup://directions/FAT Viewer?action=UPDATE&amp;creator=factset&amp;DYN_ARGS=TRUE&amp;DOC_NAME=FAT:FQL_AUDITING_CLIENT_TEMPLATE.FAT&amp;display_string=Audit&amp;VAR:KEY=GXKTMVGLEJ&amp;VAR:QUERY=Q1NGX0RFQlQoQU5OLDEyLzMxLzE5ODAsMTIvMzEvMjAwOSxBWSk=&amp;WINDOW=FIRST_POPUP&amp;HEIGHT=450&amp;WI","DTH=450&amp;START_MAXIMIZED=FALSE&amp;VAR:CALENDAR=US&amp;VAR:SYMBOL=SIAL&amp;VAR:INDEX=1"}</definedName>
    <definedName name="_3685__FDSAUDITLINK__" hidden="1">{"fdsup://directions/FAT Viewer?action=UPDATE&amp;creator=factset&amp;DYN_ARGS=TRUE&amp;DOC_NAME=FAT:FQL_AUDITING_CLIENT_TEMPLATE.FAT&amp;display_string=Audit&amp;VAR:KEY=GXKTMVGLEJ&amp;VAR:QUERY=Q1NGX0RFQlQoQU5OLDEyLzMxLzE5ODAsMTIvMzEvMjAwOSxBWSk=&amp;WINDOW=FIRST_POPUP&amp;HEIGHT=450&amp;WI","DTH=450&amp;START_MAXIMIZED=FALSE&amp;VAR:CALENDAR=US&amp;VAR:SYMBOL=SIAL&amp;VAR:INDEX=0"}</definedName>
    <definedName name="_3686__FDSAUDITLINK__" hidden="1">{"fdsup://directions/FAT Viewer?action=UPDATE&amp;creator=factset&amp;DYN_ARGS=TRUE&amp;DOC_NAME=FAT:FQL_AUDITING_CLIENT_TEMPLATE.FAT&amp;display_string=Audit&amp;VAR:KEY=YPGVIJUNYV&amp;VAR:QUERY=Q1NGX0RFQlQoQU5OLDEyLzMxLzE5OTAsMTIvMzEvMjAwOSxBWSk=&amp;WINDOW=FIRST_POPUP&amp;HEIGHT=450&amp;WI","DTH=450&amp;START_MAXIMIZED=FALSE&amp;VAR:CALENDAR=US&amp;VAR:SYMBOL=SMG&amp;VAR:INDEX=19"}</definedName>
    <definedName name="_3687__FDSAUDITLINK__" hidden="1">{"fdsup://directions/FAT Viewer?action=UPDATE&amp;creator=factset&amp;DYN_ARGS=TRUE&amp;DOC_NAME=FAT:FQL_AUDITING_CLIENT_TEMPLATE.FAT&amp;display_string=Audit&amp;VAR:KEY=YPGVIJUNYV&amp;VAR:QUERY=Q1NGX0RFQlQoQU5OLDEyLzMxLzE5OTAsMTIvMzEvMjAwOSxBWSk=&amp;WINDOW=FIRST_POPUP&amp;HEIGHT=450&amp;WI","DTH=450&amp;START_MAXIMIZED=FALSE&amp;VAR:CALENDAR=US&amp;VAR:SYMBOL=SMG&amp;VAR:INDEX=18"}</definedName>
    <definedName name="_3688__FDSAUDITLINK__" hidden="1">{"fdsup://directions/FAT Viewer?action=UPDATE&amp;creator=factset&amp;DYN_ARGS=TRUE&amp;DOC_NAME=FAT:FQL_AUDITING_CLIENT_TEMPLATE.FAT&amp;display_string=Audit&amp;VAR:KEY=YPGVIJUNYV&amp;VAR:QUERY=Q1NGX0RFQlQoQU5OLDEyLzMxLzE5OTAsMTIvMzEvMjAwOSxBWSk=&amp;WINDOW=FIRST_POPUP&amp;HEIGHT=450&amp;WI","DTH=450&amp;START_MAXIMIZED=FALSE&amp;VAR:CALENDAR=US&amp;VAR:SYMBOL=SMG&amp;VAR:INDEX=17"}</definedName>
    <definedName name="_3689__FDSAUDITLINK__" hidden="1">{"fdsup://directions/FAT Viewer?action=UPDATE&amp;creator=factset&amp;DYN_ARGS=TRUE&amp;DOC_NAME=FAT:FQL_AUDITING_CLIENT_TEMPLATE.FAT&amp;display_string=Audit&amp;VAR:KEY=YPGVIJUNYV&amp;VAR:QUERY=Q1NGX0RFQlQoQU5OLDEyLzMxLzE5OTAsMTIvMzEvMjAwOSxBWSk=&amp;WINDOW=FIRST_POPUP&amp;HEIGHT=450&amp;WI","DTH=450&amp;START_MAXIMIZED=FALSE&amp;VAR:CALENDAR=US&amp;VAR:SYMBOL=SMG&amp;VAR:INDEX=16"}</definedName>
    <definedName name="_369__FDSAUDITLINK__" hidden="1">{"fdsup://directions/FAT Viewer?action=UPDATE&amp;creator=factset&amp;DYN_ARGS=TRUE&amp;DOC_NAME=FAT:FQL_AUDITING_CLIENT_TEMPLATE.FAT&amp;display_string=Audit&amp;VAR:KEY=CNKXYVWFWF&amp;VAR:QUERY=Q1NGX0VCSVRfT1BFUihBTk4sMTIvMzEvODAsMCk=&amp;WINDOW=FIRST_POPUP&amp;HEIGHT=450&amp;WIDTH=450&amp;STAR","T_MAXIMIZED=FALSE&amp;VAR:CALENDAR=US&amp;VAR:SYMBOL=SOA&amp;VAR:INDEX=16"}</definedName>
    <definedName name="_3690__FDSAUDITLINK__" hidden="1">{"fdsup://directions/FAT Viewer?action=UPDATE&amp;creator=factset&amp;DYN_ARGS=TRUE&amp;DOC_NAME=FAT:FQL_AUDITING_CLIENT_TEMPLATE.FAT&amp;display_string=Audit&amp;VAR:KEY=YPGVIJUNYV&amp;VAR:QUERY=Q1NGX0RFQlQoQU5OLDEyLzMxLzE5OTAsMTIvMzEvMjAwOSxBWSk=&amp;WINDOW=FIRST_POPUP&amp;HEIGHT=450&amp;WI","DTH=450&amp;START_MAXIMIZED=FALSE&amp;VAR:CALENDAR=US&amp;VAR:SYMBOL=SMG&amp;VAR:INDEX=15"}</definedName>
    <definedName name="_3691__FDSAUDITLINK__" hidden="1">{"fdsup://directions/FAT Viewer?action=UPDATE&amp;creator=factset&amp;DYN_ARGS=TRUE&amp;DOC_NAME=FAT:FQL_AUDITING_CLIENT_TEMPLATE.FAT&amp;display_string=Audit&amp;VAR:KEY=YPGVIJUNYV&amp;VAR:QUERY=Q1NGX0RFQlQoQU5OLDEyLzMxLzE5OTAsMTIvMzEvMjAwOSxBWSk=&amp;WINDOW=FIRST_POPUP&amp;HEIGHT=450&amp;WI","DTH=450&amp;START_MAXIMIZED=FALSE&amp;VAR:CALENDAR=US&amp;VAR:SYMBOL=SMG&amp;VAR:INDEX=14"}</definedName>
    <definedName name="_3692__FDSAUDITLINK__" hidden="1">{"fdsup://directions/FAT Viewer?action=UPDATE&amp;creator=factset&amp;DYN_ARGS=TRUE&amp;DOC_NAME=FAT:FQL_AUDITING_CLIENT_TEMPLATE.FAT&amp;display_string=Audit&amp;VAR:KEY=YPGVIJUNYV&amp;VAR:QUERY=Q1NGX0RFQlQoQU5OLDEyLzMxLzE5OTAsMTIvMzEvMjAwOSxBWSk=&amp;WINDOW=FIRST_POPUP&amp;HEIGHT=450&amp;WI","DTH=450&amp;START_MAXIMIZED=FALSE&amp;VAR:CALENDAR=US&amp;VAR:SYMBOL=SMG&amp;VAR:INDEX=13"}</definedName>
    <definedName name="_3693__FDSAUDITLINK__" hidden="1">{"fdsup://directions/FAT Viewer?action=UPDATE&amp;creator=factset&amp;DYN_ARGS=TRUE&amp;DOC_NAME=FAT:FQL_AUDITING_CLIENT_TEMPLATE.FAT&amp;display_string=Audit&amp;VAR:KEY=YPGVIJUNYV&amp;VAR:QUERY=Q1NGX0RFQlQoQU5OLDEyLzMxLzE5OTAsMTIvMzEvMjAwOSxBWSk=&amp;WINDOW=FIRST_POPUP&amp;HEIGHT=450&amp;WI","DTH=450&amp;START_MAXIMIZED=FALSE&amp;VAR:CALENDAR=US&amp;VAR:SYMBOL=SMG&amp;VAR:INDEX=12"}</definedName>
    <definedName name="_3694__FDSAUDITLINK__" hidden="1">{"fdsup://directions/FAT Viewer?action=UPDATE&amp;creator=factset&amp;DYN_ARGS=TRUE&amp;DOC_NAME=FAT:FQL_AUDITING_CLIENT_TEMPLATE.FAT&amp;display_string=Audit&amp;VAR:KEY=YPGVIJUNYV&amp;VAR:QUERY=Q1NGX0RFQlQoQU5OLDEyLzMxLzE5OTAsMTIvMzEvMjAwOSxBWSk=&amp;WINDOW=FIRST_POPUP&amp;HEIGHT=450&amp;WI","DTH=450&amp;START_MAXIMIZED=FALSE&amp;VAR:CALENDAR=US&amp;VAR:SYMBOL=SMG&amp;VAR:INDEX=11"}</definedName>
    <definedName name="_3695__FDSAUDITLINK__" hidden="1">{"fdsup://directions/FAT Viewer?action=UPDATE&amp;creator=factset&amp;DYN_ARGS=TRUE&amp;DOC_NAME=FAT:FQL_AUDITING_CLIENT_TEMPLATE.FAT&amp;display_string=Audit&amp;VAR:KEY=YPGVIJUNYV&amp;VAR:QUERY=Q1NGX0RFQlQoQU5OLDEyLzMxLzE5OTAsMTIvMzEvMjAwOSxBWSk=&amp;WINDOW=FIRST_POPUP&amp;HEIGHT=450&amp;WI","DTH=450&amp;START_MAXIMIZED=FALSE&amp;VAR:CALENDAR=US&amp;VAR:SYMBOL=SMG&amp;VAR:INDEX=10"}</definedName>
    <definedName name="_3696__FDSAUDITLINK__" hidden="1">{"fdsup://directions/FAT Viewer?action=UPDATE&amp;creator=factset&amp;DYN_ARGS=TRUE&amp;DOC_NAME=FAT:FQL_AUDITING_CLIENT_TEMPLATE.FAT&amp;display_string=Audit&amp;VAR:KEY=YPGVIJUNYV&amp;VAR:QUERY=Q1NGX0RFQlQoQU5OLDEyLzMxLzE5OTAsMTIvMzEvMjAwOSxBWSk=&amp;WINDOW=FIRST_POPUP&amp;HEIGHT=450&amp;WI","DTH=450&amp;START_MAXIMIZED=FALSE&amp;VAR:CALENDAR=US&amp;VAR:SYMBOL=SMG&amp;VAR:INDEX=9"}</definedName>
    <definedName name="_3697__FDSAUDITLINK__" hidden="1">{"fdsup://directions/FAT Viewer?action=UPDATE&amp;creator=factset&amp;DYN_ARGS=TRUE&amp;DOC_NAME=FAT:FQL_AUDITING_CLIENT_TEMPLATE.FAT&amp;display_string=Audit&amp;VAR:KEY=YPGVIJUNYV&amp;VAR:QUERY=Q1NGX0RFQlQoQU5OLDEyLzMxLzE5OTAsMTIvMzEvMjAwOSxBWSk=&amp;WINDOW=FIRST_POPUP&amp;HEIGHT=450&amp;WI","DTH=450&amp;START_MAXIMIZED=FALSE&amp;VAR:CALENDAR=US&amp;VAR:SYMBOL=SMG&amp;VAR:INDEX=8"}</definedName>
    <definedName name="_3698__FDSAUDITLINK__" hidden="1">{"fdsup://directions/FAT Viewer?action=UPDATE&amp;creator=factset&amp;DYN_ARGS=TRUE&amp;DOC_NAME=FAT:FQL_AUDITING_CLIENT_TEMPLATE.FAT&amp;display_string=Audit&amp;VAR:KEY=YPGVIJUNYV&amp;VAR:QUERY=Q1NGX0RFQlQoQU5OLDEyLzMxLzE5OTAsMTIvMzEvMjAwOSxBWSk=&amp;WINDOW=FIRST_POPUP&amp;HEIGHT=450&amp;WI","DTH=450&amp;START_MAXIMIZED=FALSE&amp;VAR:CALENDAR=US&amp;VAR:SYMBOL=SMG&amp;VAR:INDEX=7"}</definedName>
    <definedName name="_3699__FDSAUDITLINK__" hidden="1">{"fdsup://directions/FAT Viewer?action=UPDATE&amp;creator=factset&amp;DYN_ARGS=TRUE&amp;DOC_NAME=FAT:FQL_AUDITING_CLIENT_TEMPLATE.FAT&amp;display_string=Audit&amp;VAR:KEY=YPGVIJUNYV&amp;VAR:QUERY=Q1NGX0RFQlQoQU5OLDEyLzMxLzE5OTAsMTIvMzEvMjAwOSxBWSk=&amp;WINDOW=FIRST_POPUP&amp;HEIGHT=450&amp;WI","DTH=450&amp;START_MAXIMIZED=FALSE&amp;VAR:CALENDAR=US&amp;VAR:SYMBOL=SMG&amp;VAR:INDEX=6"}</definedName>
    <definedName name="_37__FDSAUDITLINK__" hidden="1">{"fdsup://directions/FAT Viewer?action=UPDATE&amp;creator=factset&amp;DYN_ARGS=TRUE&amp;DOC_NAME=FAT:FQL_AUDITING_CLIENT_TEMPLATE.FAT&amp;display_string=Audit&amp;VAR:KEY=OPCTWNULSL&amp;VAR:QUERY=Q1NGX0dST1NTX0lOQyhRVFJfUiwtM0FZLDAsRlEp&amp;WINDOW=FIRST_POPUP&amp;HEIGHT=450&amp;WIDTH=450&amp;STAR","T_MAXIMIZED=FALSE&amp;VAR:CALENDAR=US&amp;VAR:SYMBOL=PPG&amp;VAR:INDEX=2"}</definedName>
    <definedName name="_370__FDSAUDITLINK__" hidden="1">{"fdsup://directions/FAT Viewer?action=UPDATE&amp;creator=factset&amp;DYN_ARGS=TRUE&amp;DOC_NAME=FAT:FQL_AUDITING_CLIENT_TEMPLATE.FAT&amp;display_string=Audit&amp;VAR:KEY=CNKXYVWFWF&amp;VAR:QUERY=Q1NGX0VCSVRfT1BFUihBTk4sMTIvMzEvODAsMCk=&amp;WINDOW=FIRST_POPUP&amp;HEIGHT=450&amp;WIDTH=450&amp;STAR","T_MAXIMIZED=FALSE&amp;VAR:CALENDAR=US&amp;VAR:SYMBOL=SOA&amp;VAR:INDEX=15"}</definedName>
    <definedName name="_3700__FDSAUDITLINK__" hidden="1">{"fdsup://directions/FAT Viewer?action=UPDATE&amp;creator=factset&amp;DYN_ARGS=TRUE&amp;DOC_NAME=FAT:FQL_AUDITING_CLIENT_TEMPLATE.FAT&amp;display_string=Audit&amp;VAR:KEY=YPGVIJUNYV&amp;VAR:QUERY=Q1NGX0RFQlQoQU5OLDEyLzMxLzE5OTAsMTIvMzEvMjAwOSxBWSk=&amp;WINDOW=FIRST_POPUP&amp;HEIGHT=450&amp;WI","DTH=450&amp;START_MAXIMIZED=FALSE&amp;VAR:CALENDAR=US&amp;VAR:SYMBOL=SMG&amp;VAR:INDEX=5"}</definedName>
    <definedName name="_3701__FDSAUDITLINK__" hidden="1">{"fdsup://directions/FAT Viewer?action=UPDATE&amp;creator=factset&amp;DYN_ARGS=TRUE&amp;DOC_NAME=FAT:FQL_AUDITING_CLIENT_TEMPLATE.FAT&amp;display_string=Audit&amp;VAR:KEY=YPGVIJUNYV&amp;VAR:QUERY=Q1NGX0RFQlQoQU5OLDEyLzMxLzE5OTAsMTIvMzEvMjAwOSxBWSk=&amp;WINDOW=FIRST_POPUP&amp;HEIGHT=450&amp;WI","DTH=450&amp;START_MAXIMIZED=FALSE&amp;VAR:CALENDAR=US&amp;VAR:SYMBOL=SMG&amp;VAR:INDEX=4"}</definedName>
    <definedName name="_3702__FDSAUDITLINK__" hidden="1">{"fdsup://directions/FAT Viewer?action=UPDATE&amp;creator=factset&amp;DYN_ARGS=TRUE&amp;DOC_NAME=FAT:FQL_AUDITING_CLIENT_TEMPLATE.FAT&amp;display_string=Audit&amp;VAR:KEY=YPGVIJUNYV&amp;VAR:QUERY=Q1NGX0RFQlQoQU5OLDEyLzMxLzE5OTAsMTIvMzEvMjAwOSxBWSk=&amp;WINDOW=FIRST_POPUP&amp;HEIGHT=450&amp;WI","DTH=450&amp;START_MAXIMIZED=FALSE&amp;VAR:CALENDAR=US&amp;VAR:SYMBOL=SMG&amp;VAR:INDEX=3"}</definedName>
    <definedName name="_3703__FDSAUDITLINK__" hidden="1">{"fdsup://directions/FAT Viewer?action=UPDATE&amp;creator=factset&amp;DYN_ARGS=TRUE&amp;DOC_NAME=FAT:FQL_AUDITING_CLIENT_TEMPLATE.FAT&amp;display_string=Audit&amp;VAR:KEY=YPGVIJUNYV&amp;VAR:QUERY=Q1NGX0RFQlQoQU5OLDEyLzMxLzE5OTAsMTIvMzEvMjAwOSxBWSk=&amp;WINDOW=FIRST_POPUP&amp;HEIGHT=450&amp;WI","DTH=450&amp;START_MAXIMIZED=FALSE&amp;VAR:CALENDAR=US&amp;VAR:SYMBOL=SMG&amp;VAR:INDEX=2"}</definedName>
    <definedName name="_3704__FDSAUDITLINK__" hidden="1">{"fdsup://directions/FAT Viewer?action=UPDATE&amp;creator=factset&amp;DYN_ARGS=TRUE&amp;DOC_NAME=FAT:FQL_AUDITING_CLIENT_TEMPLATE.FAT&amp;display_string=Audit&amp;VAR:KEY=YPGVIJUNYV&amp;VAR:QUERY=Q1NGX0RFQlQoQU5OLDEyLzMxLzE5OTAsMTIvMzEvMjAwOSxBWSk=&amp;WINDOW=FIRST_POPUP&amp;HEIGHT=450&amp;WI","DTH=450&amp;START_MAXIMIZED=FALSE&amp;VAR:CALENDAR=US&amp;VAR:SYMBOL=SMG&amp;VAR:INDEX=1"}</definedName>
    <definedName name="_3705__FDSAUDITLINK__" hidden="1">{"fdsup://directions/FAT Viewer?action=UPDATE&amp;creator=factset&amp;DYN_ARGS=TRUE&amp;DOC_NAME=FAT:FQL_AUDITING_CLIENT_TEMPLATE.FAT&amp;display_string=Audit&amp;VAR:KEY=YPGVIJUNYV&amp;VAR:QUERY=Q1NGX0RFQlQoQU5OLDEyLzMxLzE5OTAsMTIvMzEvMjAwOSxBWSk=&amp;WINDOW=FIRST_POPUP&amp;HEIGHT=450&amp;WI","DTH=450&amp;START_MAXIMIZED=FALSE&amp;VAR:CALENDAR=US&amp;VAR:SYMBOL=SMG&amp;VAR:INDEX=0"}</definedName>
    <definedName name="_3706__FDSAUDITLINK__" hidden="1">{"fdsup://directions/FAT Viewer?action=UPDATE&amp;creator=factset&amp;DYN_ARGS=TRUE&amp;DOC_NAME=FAT:FQL_AUDITING_CLIENT_TEMPLATE.FAT&amp;display_string=Audit&amp;VAR:KEY=GXYFITWBEX&amp;VAR:QUERY=Q1NGX0RFQlQoQU5OLDEyLzMxLzE5ODAsMTIvMzEvMjAwOSxBWSk=&amp;WINDOW=FIRST_POPUP&amp;HEIGHT=450&amp;WI","DTH=450&amp;START_MAXIMIZED=FALSE&amp;VAR:CALENDAR=US&amp;VAR:SYMBOL=SHLM&amp;VAR:INDEX=29"}</definedName>
    <definedName name="_3707__FDSAUDITLINK__" hidden="1">{"fdsup://directions/FAT Viewer?action=UPDATE&amp;creator=factset&amp;DYN_ARGS=TRUE&amp;DOC_NAME=FAT:FQL_AUDITING_CLIENT_TEMPLATE.FAT&amp;display_string=Audit&amp;VAR:KEY=GXYFITWBEX&amp;VAR:QUERY=Q1NGX0RFQlQoQU5OLDEyLzMxLzE5ODAsMTIvMzEvMjAwOSxBWSk=&amp;WINDOW=FIRST_POPUP&amp;HEIGHT=450&amp;WI","DTH=450&amp;START_MAXIMIZED=FALSE&amp;VAR:CALENDAR=US&amp;VAR:SYMBOL=SHLM&amp;VAR:INDEX=28"}</definedName>
    <definedName name="_3708__FDSAUDITLINK__" hidden="1">{"fdsup://directions/FAT Viewer?action=UPDATE&amp;creator=factset&amp;DYN_ARGS=TRUE&amp;DOC_NAME=FAT:FQL_AUDITING_CLIENT_TEMPLATE.FAT&amp;display_string=Audit&amp;VAR:KEY=GXYFITWBEX&amp;VAR:QUERY=Q1NGX0RFQlQoQU5OLDEyLzMxLzE5ODAsMTIvMzEvMjAwOSxBWSk=&amp;WINDOW=FIRST_POPUP&amp;HEIGHT=450&amp;WI","DTH=450&amp;START_MAXIMIZED=FALSE&amp;VAR:CALENDAR=US&amp;VAR:SYMBOL=SHLM&amp;VAR:INDEX=27"}</definedName>
    <definedName name="_3709__FDSAUDITLINK__" hidden="1">{"fdsup://directions/FAT Viewer?action=UPDATE&amp;creator=factset&amp;DYN_ARGS=TRUE&amp;DOC_NAME=FAT:FQL_AUDITING_CLIENT_TEMPLATE.FAT&amp;display_string=Audit&amp;VAR:KEY=GXYFITWBEX&amp;VAR:QUERY=Q1NGX0RFQlQoQU5OLDEyLzMxLzE5ODAsMTIvMzEvMjAwOSxBWSk=&amp;WINDOW=FIRST_POPUP&amp;HEIGHT=450&amp;WI","DTH=450&amp;START_MAXIMIZED=FALSE&amp;VAR:CALENDAR=US&amp;VAR:SYMBOL=SHLM&amp;VAR:INDEX=26"}</definedName>
    <definedName name="_371__FDSAUDITLINK__" hidden="1">{"fdsup://directions/FAT Viewer?action=UPDATE&amp;creator=factset&amp;DYN_ARGS=TRUE&amp;DOC_NAME=FAT:FQL_AUDITING_CLIENT_TEMPLATE.FAT&amp;display_string=Audit&amp;VAR:KEY=CNKXYVWFWF&amp;VAR:QUERY=Q1NGX0VCSVRfT1BFUihBTk4sMTIvMzEvODAsMCk=&amp;WINDOW=FIRST_POPUP&amp;HEIGHT=450&amp;WIDTH=450&amp;STAR","T_MAXIMIZED=FALSE&amp;VAR:CALENDAR=US&amp;VAR:SYMBOL=SOA&amp;VAR:INDEX=14"}</definedName>
    <definedName name="_3710__FDSAUDITLINK__" hidden="1">{"fdsup://directions/FAT Viewer?action=UPDATE&amp;creator=factset&amp;DYN_ARGS=TRUE&amp;DOC_NAME=FAT:FQL_AUDITING_CLIENT_TEMPLATE.FAT&amp;display_string=Audit&amp;VAR:KEY=GXYFITWBEX&amp;VAR:QUERY=Q1NGX0RFQlQoQU5OLDEyLzMxLzE5ODAsMTIvMzEvMjAwOSxBWSk=&amp;WINDOW=FIRST_POPUP&amp;HEIGHT=450&amp;WI","DTH=450&amp;START_MAXIMIZED=FALSE&amp;VAR:CALENDAR=US&amp;VAR:SYMBOL=SHLM&amp;VAR:INDEX=25"}</definedName>
    <definedName name="_3711__FDSAUDITLINK__" hidden="1">{"fdsup://directions/FAT Viewer?action=UPDATE&amp;creator=factset&amp;DYN_ARGS=TRUE&amp;DOC_NAME=FAT:FQL_AUDITING_CLIENT_TEMPLATE.FAT&amp;display_string=Audit&amp;VAR:KEY=GXYFITWBEX&amp;VAR:QUERY=Q1NGX0RFQlQoQU5OLDEyLzMxLzE5ODAsMTIvMzEvMjAwOSxBWSk=&amp;WINDOW=FIRST_POPUP&amp;HEIGHT=450&amp;WI","DTH=450&amp;START_MAXIMIZED=FALSE&amp;VAR:CALENDAR=US&amp;VAR:SYMBOL=SHLM&amp;VAR:INDEX=24"}</definedName>
    <definedName name="_3712__FDSAUDITLINK__" hidden="1">{"fdsup://directions/FAT Viewer?action=UPDATE&amp;creator=factset&amp;DYN_ARGS=TRUE&amp;DOC_NAME=FAT:FQL_AUDITING_CLIENT_TEMPLATE.FAT&amp;display_string=Audit&amp;VAR:KEY=GXYFITWBEX&amp;VAR:QUERY=Q1NGX0RFQlQoQU5OLDEyLzMxLzE5ODAsMTIvMzEvMjAwOSxBWSk=&amp;WINDOW=FIRST_POPUP&amp;HEIGHT=450&amp;WI","DTH=450&amp;START_MAXIMIZED=FALSE&amp;VAR:CALENDAR=US&amp;VAR:SYMBOL=SHLM&amp;VAR:INDEX=23"}</definedName>
    <definedName name="_3713__FDSAUDITLINK__" hidden="1">{"fdsup://directions/FAT Viewer?action=UPDATE&amp;creator=factset&amp;DYN_ARGS=TRUE&amp;DOC_NAME=FAT:FQL_AUDITING_CLIENT_TEMPLATE.FAT&amp;display_string=Audit&amp;VAR:KEY=GXYFITWBEX&amp;VAR:QUERY=Q1NGX0RFQlQoQU5OLDEyLzMxLzE5ODAsMTIvMzEvMjAwOSxBWSk=&amp;WINDOW=FIRST_POPUP&amp;HEIGHT=450&amp;WI","DTH=450&amp;START_MAXIMIZED=FALSE&amp;VAR:CALENDAR=US&amp;VAR:SYMBOL=SHLM&amp;VAR:INDEX=22"}</definedName>
    <definedName name="_3714__FDSAUDITLINK__" hidden="1">{"fdsup://directions/FAT Viewer?action=UPDATE&amp;creator=factset&amp;DYN_ARGS=TRUE&amp;DOC_NAME=FAT:FQL_AUDITING_CLIENT_TEMPLATE.FAT&amp;display_string=Audit&amp;VAR:KEY=GXYFITWBEX&amp;VAR:QUERY=Q1NGX0RFQlQoQU5OLDEyLzMxLzE5ODAsMTIvMzEvMjAwOSxBWSk=&amp;WINDOW=FIRST_POPUP&amp;HEIGHT=450&amp;WI","DTH=450&amp;START_MAXIMIZED=FALSE&amp;VAR:CALENDAR=US&amp;VAR:SYMBOL=SHLM&amp;VAR:INDEX=21"}</definedName>
    <definedName name="_3715__FDSAUDITLINK__" hidden="1">{"fdsup://directions/FAT Viewer?action=UPDATE&amp;creator=factset&amp;DYN_ARGS=TRUE&amp;DOC_NAME=FAT:FQL_AUDITING_CLIENT_TEMPLATE.FAT&amp;display_string=Audit&amp;VAR:KEY=GXYFITWBEX&amp;VAR:QUERY=Q1NGX0RFQlQoQU5OLDEyLzMxLzE5ODAsMTIvMzEvMjAwOSxBWSk=&amp;WINDOW=FIRST_POPUP&amp;HEIGHT=450&amp;WI","DTH=450&amp;START_MAXIMIZED=FALSE&amp;VAR:CALENDAR=US&amp;VAR:SYMBOL=SHLM&amp;VAR:INDEX=20"}</definedName>
    <definedName name="_3716__FDSAUDITLINK__" hidden="1">{"fdsup://directions/FAT Viewer?action=UPDATE&amp;creator=factset&amp;DYN_ARGS=TRUE&amp;DOC_NAME=FAT:FQL_AUDITING_CLIENT_TEMPLATE.FAT&amp;display_string=Audit&amp;VAR:KEY=GXYFITWBEX&amp;VAR:QUERY=Q1NGX0RFQlQoQU5OLDEyLzMxLzE5ODAsMTIvMzEvMjAwOSxBWSk=&amp;WINDOW=FIRST_POPUP&amp;HEIGHT=450&amp;WI","DTH=450&amp;START_MAXIMIZED=FALSE&amp;VAR:CALENDAR=US&amp;VAR:SYMBOL=SHLM&amp;VAR:INDEX=19"}</definedName>
    <definedName name="_3717__FDSAUDITLINK__" hidden="1">{"fdsup://directions/FAT Viewer?action=UPDATE&amp;creator=factset&amp;DYN_ARGS=TRUE&amp;DOC_NAME=FAT:FQL_AUDITING_CLIENT_TEMPLATE.FAT&amp;display_string=Audit&amp;VAR:KEY=GXYFITWBEX&amp;VAR:QUERY=Q1NGX0RFQlQoQU5OLDEyLzMxLzE5ODAsMTIvMzEvMjAwOSxBWSk=&amp;WINDOW=FIRST_POPUP&amp;HEIGHT=450&amp;WI","DTH=450&amp;START_MAXIMIZED=FALSE&amp;VAR:CALENDAR=US&amp;VAR:SYMBOL=SHLM&amp;VAR:INDEX=18"}</definedName>
    <definedName name="_3718__FDSAUDITLINK__" hidden="1">{"fdsup://directions/FAT Viewer?action=UPDATE&amp;creator=factset&amp;DYN_ARGS=TRUE&amp;DOC_NAME=FAT:FQL_AUDITING_CLIENT_TEMPLATE.FAT&amp;display_string=Audit&amp;VAR:KEY=GXYFITWBEX&amp;VAR:QUERY=Q1NGX0RFQlQoQU5OLDEyLzMxLzE5ODAsMTIvMzEvMjAwOSxBWSk=&amp;WINDOW=FIRST_POPUP&amp;HEIGHT=450&amp;WI","DTH=450&amp;START_MAXIMIZED=FALSE&amp;VAR:CALENDAR=US&amp;VAR:SYMBOL=SHLM&amp;VAR:INDEX=17"}</definedName>
    <definedName name="_3719__FDSAUDITLINK__" hidden="1">{"fdsup://directions/FAT Viewer?action=UPDATE&amp;creator=factset&amp;DYN_ARGS=TRUE&amp;DOC_NAME=FAT:FQL_AUDITING_CLIENT_TEMPLATE.FAT&amp;display_string=Audit&amp;VAR:KEY=GXYFITWBEX&amp;VAR:QUERY=Q1NGX0RFQlQoQU5OLDEyLzMxLzE5ODAsMTIvMzEvMjAwOSxBWSk=&amp;WINDOW=FIRST_POPUP&amp;HEIGHT=450&amp;WI","DTH=450&amp;START_MAXIMIZED=FALSE&amp;VAR:CALENDAR=US&amp;VAR:SYMBOL=SHLM&amp;VAR:INDEX=16"}</definedName>
    <definedName name="_372__FDSAUDITLINK__" hidden="1">{"fdsup://directions/FAT Viewer?action=UPDATE&amp;creator=factset&amp;DYN_ARGS=TRUE&amp;DOC_NAME=FAT:FQL_AUDITING_CLIENT_TEMPLATE.FAT&amp;display_string=Audit&amp;VAR:KEY=CNKXYVWFWF&amp;VAR:QUERY=Q1NGX0VCSVRfT1BFUihBTk4sMTIvMzEvODAsMCk=&amp;WINDOW=FIRST_POPUP&amp;HEIGHT=450&amp;WIDTH=450&amp;STAR","T_MAXIMIZED=FALSE&amp;VAR:CALENDAR=US&amp;VAR:SYMBOL=SOA&amp;VAR:INDEX=13"}</definedName>
    <definedName name="_3720__FDSAUDITLINK__" hidden="1">{"fdsup://directions/FAT Viewer?action=UPDATE&amp;creator=factset&amp;DYN_ARGS=TRUE&amp;DOC_NAME=FAT:FQL_AUDITING_CLIENT_TEMPLATE.FAT&amp;display_string=Audit&amp;VAR:KEY=GXYFITWBEX&amp;VAR:QUERY=Q1NGX0RFQlQoQU5OLDEyLzMxLzE5ODAsMTIvMzEvMjAwOSxBWSk=&amp;WINDOW=FIRST_POPUP&amp;HEIGHT=450&amp;WI","DTH=450&amp;START_MAXIMIZED=FALSE&amp;VAR:CALENDAR=US&amp;VAR:SYMBOL=SHLM&amp;VAR:INDEX=15"}</definedName>
    <definedName name="_3721__FDSAUDITLINK__" hidden="1">{"fdsup://directions/FAT Viewer?action=UPDATE&amp;creator=factset&amp;DYN_ARGS=TRUE&amp;DOC_NAME=FAT:FQL_AUDITING_CLIENT_TEMPLATE.FAT&amp;display_string=Audit&amp;VAR:KEY=GXYFITWBEX&amp;VAR:QUERY=Q1NGX0RFQlQoQU5OLDEyLzMxLzE5ODAsMTIvMzEvMjAwOSxBWSk=&amp;WINDOW=FIRST_POPUP&amp;HEIGHT=450&amp;WI","DTH=450&amp;START_MAXIMIZED=FALSE&amp;VAR:CALENDAR=US&amp;VAR:SYMBOL=SHLM&amp;VAR:INDEX=14"}</definedName>
    <definedName name="_3722__FDSAUDITLINK__" hidden="1">{"fdsup://directions/FAT Viewer?action=UPDATE&amp;creator=factset&amp;DYN_ARGS=TRUE&amp;DOC_NAME=FAT:FQL_AUDITING_CLIENT_TEMPLATE.FAT&amp;display_string=Audit&amp;VAR:KEY=GXYFITWBEX&amp;VAR:QUERY=Q1NGX0RFQlQoQU5OLDEyLzMxLzE5ODAsMTIvMzEvMjAwOSxBWSk=&amp;WINDOW=FIRST_POPUP&amp;HEIGHT=450&amp;WI","DTH=450&amp;START_MAXIMIZED=FALSE&amp;VAR:CALENDAR=US&amp;VAR:SYMBOL=SHLM&amp;VAR:INDEX=13"}</definedName>
    <definedName name="_3723__FDSAUDITLINK__" hidden="1">{"fdsup://directions/FAT Viewer?action=UPDATE&amp;creator=factset&amp;DYN_ARGS=TRUE&amp;DOC_NAME=FAT:FQL_AUDITING_CLIENT_TEMPLATE.FAT&amp;display_string=Audit&amp;VAR:KEY=GXYFITWBEX&amp;VAR:QUERY=Q1NGX0RFQlQoQU5OLDEyLzMxLzE5ODAsMTIvMzEvMjAwOSxBWSk=&amp;WINDOW=FIRST_POPUP&amp;HEIGHT=450&amp;WI","DTH=450&amp;START_MAXIMIZED=FALSE&amp;VAR:CALENDAR=US&amp;VAR:SYMBOL=SHLM&amp;VAR:INDEX=12"}</definedName>
    <definedName name="_3724__FDSAUDITLINK__" hidden="1">{"fdsup://directions/FAT Viewer?action=UPDATE&amp;creator=factset&amp;DYN_ARGS=TRUE&amp;DOC_NAME=FAT:FQL_AUDITING_CLIENT_TEMPLATE.FAT&amp;display_string=Audit&amp;VAR:KEY=GXYFITWBEX&amp;VAR:QUERY=Q1NGX0RFQlQoQU5OLDEyLzMxLzE5ODAsMTIvMzEvMjAwOSxBWSk=&amp;WINDOW=FIRST_POPUP&amp;HEIGHT=450&amp;WI","DTH=450&amp;START_MAXIMIZED=FALSE&amp;VAR:CALENDAR=US&amp;VAR:SYMBOL=SHLM&amp;VAR:INDEX=11"}</definedName>
    <definedName name="_3725__FDSAUDITLINK__" hidden="1">{"fdsup://directions/FAT Viewer?action=UPDATE&amp;creator=factset&amp;DYN_ARGS=TRUE&amp;DOC_NAME=FAT:FQL_AUDITING_CLIENT_TEMPLATE.FAT&amp;display_string=Audit&amp;VAR:KEY=GXYFITWBEX&amp;VAR:QUERY=Q1NGX0RFQlQoQU5OLDEyLzMxLzE5ODAsMTIvMzEvMjAwOSxBWSk=&amp;WINDOW=FIRST_POPUP&amp;HEIGHT=450&amp;WI","DTH=450&amp;START_MAXIMIZED=FALSE&amp;VAR:CALENDAR=US&amp;VAR:SYMBOL=SHLM&amp;VAR:INDEX=10"}</definedName>
    <definedName name="_3726__FDSAUDITLINK__" hidden="1">{"fdsup://directions/FAT Viewer?action=UPDATE&amp;creator=factset&amp;DYN_ARGS=TRUE&amp;DOC_NAME=FAT:FQL_AUDITING_CLIENT_TEMPLATE.FAT&amp;display_string=Audit&amp;VAR:KEY=GXYFITWBEX&amp;VAR:QUERY=Q1NGX0RFQlQoQU5OLDEyLzMxLzE5ODAsMTIvMzEvMjAwOSxBWSk=&amp;WINDOW=FIRST_POPUP&amp;HEIGHT=450&amp;WI","DTH=450&amp;START_MAXIMIZED=FALSE&amp;VAR:CALENDAR=US&amp;VAR:SYMBOL=SHLM&amp;VAR:INDEX=9"}</definedName>
    <definedName name="_3727__FDSAUDITLINK__" hidden="1">{"fdsup://directions/FAT Viewer?action=UPDATE&amp;creator=factset&amp;DYN_ARGS=TRUE&amp;DOC_NAME=FAT:FQL_AUDITING_CLIENT_TEMPLATE.FAT&amp;display_string=Audit&amp;VAR:KEY=GXYFITWBEX&amp;VAR:QUERY=Q1NGX0RFQlQoQU5OLDEyLzMxLzE5ODAsMTIvMzEvMjAwOSxBWSk=&amp;WINDOW=FIRST_POPUP&amp;HEIGHT=450&amp;WI","DTH=450&amp;START_MAXIMIZED=FALSE&amp;VAR:CALENDAR=US&amp;VAR:SYMBOL=SHLM&amp;VAR:INDEX=8"}</definedName>
    <definedName name="_3728__FDSAUDITLINK__" hidden="1">{"fdsup://directions/FAT Viewer?action=UPDATE&amp;creator=factset&amp;DYN_ARGS=TRUE&amp;DOC_NAME=FAT:FQL_AUDITING_CLIENT_TEMPLATE.FAT&amp;display_string=Audit&amp;VAR:KEY=GXYFITWBEX&amp;VAR:QUERY=Q1NGX0RFQlQoQU5OLDEyLzMxLzE5ODAsMTIvMzEvMjAwOSxBWSk=&amp;WINDOW=FIRST_POPUP&amp;HEIGHT=450&amp;WI","DTH=450&amp;START_MAXIMIZED=FALSE&amp;VAR:CALENDAR=US&amp;VAR:SYMBOL=SHLM&amp;VAR:INDEX=7"}</definedName>
    <definedName name="_3729__FDSAUDITLINK__" hidden="1">{"fdsup://directions/FAT Viewer?action=UPDATE&amp;creator=factset&amp;DYN_ARGS=TRUE&amp;DOC_NAME=FAT:FQL_AUDITING_CLIENT_TEMPLATE.FAT&amp;display_string=Audit&amp;VAR:KEY=GXYFITWBEX&amp;VAR:QUERY=Q1NGX0RFQlQoQU5OLDEyLzMxLzE5ODAsMTIvMzEvMjAwOSxBWSk=&amp;WINDOW=FIRST_POPUP&amp;HEIGHT=450&amp;WI","DTH=450&amp;START_MAXIMIZED=FALSE&amp;VAR:CALENDAR=US&amp;VAR:SYMBOL=SHLM&amp;VAR:INDEX=6"}</definedName>
    <definedName name="_373__FDSAUDITLINK__" hidden="1">{"fdsup://directions/FAT Viewer?action=UPDATE&amp;creator=factset&amp;DYN_ARGS=TRUE&amp;DOC_NAME=FAT:FQL_AUDITING_CLIENT_TEMPLATE.FAT&amp;display_string=Audit&amp;VAR:KEY=CNKXYVWFWF&amp;VAR:QUERY=Q1NGX0VCSVRfT1BFUihBTk4sMTIvMzEvODAsMCk=&amp;WINDOW=FIRST_POPUP&amp;HEIGHT=450&amp;WIDTH=450&amp;STAR","T_MAXIMIZED=FALSE&amp;VAR:CALENDAR=US&amp;VAR:SYMBOL=SOA&amp;VAR:INDEX=12"}</definedName>
    <definedName name="_3730__FDSAUDITLINK__" hidden="1">{"fdsup://directions/FAT Viewer?action=UPDATE&amp;creator=factset&amp;DYN_ARGS=TRUE&amp;DOC_NAME=FAT:FQL_AUDITING_CLIENT_TEMPLATE.FAT&amp;display_string=Audit&amp;VAR:KEY=GXYFITWBEX&amp;VAR:QUERY=Q1NGX0RFQlQoQU5OLDEyLzMxLzE5ODAsMTIvMzEvMjAwOSxBWSk=&amp;WINDOW=FIRST_POPUP&amp;HEIGHT=450&amp;WI","DTH=450&amp;START_MAXIMIZED=FALSE&amp;VAR:CALENDAR=US&amp;VAR:SYMBOL=SHLM&amp;VAR:INDEX=5"}</definedName>
    <definedName name="_3731__FDSAUDITLINK__" hidden="1">{"fdsup://directions/FAT Viewer?action=UPDATE&amp;creator=factset&amp;DYN_ARGS=TRUE&amp;DOC_NAME=FAT:FQL_AUDITING_CLIENT_TEMPLATE.FAT&amp;display_string=Audit&amp;VAR:KEY=GXYFITWBEX&amp;VAR:QUERY=Q1NGX0RFQlQoQU5OLDEyLzMxLzE5ODAsMTIvMzEvMjAwOSxBWSk=&amp;WINDOW=FIRST_POPUP&amp;HEIGHT=450&amp;WI","DTH=450&amp;START_MAXIMIZED=FALSE&amp;VAR:CALENDAR=US&amp;VAR:SYMBOL=SHLM&amp;VAR:INDEX=4"}</definedName>
    <definedName name="_3732__FDSAUDITLINK__" hidden="1">{"fdsup://directions/FAT Viewer?action=UPDATE&amp;creator=factset&amp;DYN_ARGS=TRUE&amp;DOC_NAME=FAT:FQL_AUDITING_CLIENT_TEMPLATE.FAT&amp;display_string=Audit&amp;VAR:KEY=GXYFITWBEX&amp;VAR:QUERY=Q1NGX0RFQlQoQU5OLDEyLzMxLzE5ODAsMTIvMzEvMjAwOSxBWSk=&amp;WINDOW=FIRST_POPUP&amp;HEIGHT=450&amp;WI","DTH=450&amp;START_MAXIMIZED=FALSE&amp;VAR:CALENDAR=US&amp;VAR:SYMBOL=SHLM&amp;VAR:INDEX=3"}</definedName>
    <definedName name="_3733__FDSAUDITLINK__" hidden="1">{"fdsup://directions/FAT Viewer?action=UPDATE&amp;creator=factset&amp;DYN_ARGS=TRUE&amp;DOC_NAME=FAT:FQL_AUDITING_CLIENT_TEMPLATE.FAT&amp;display_string=Audit&amp;VAR:KEY=GXYFITWBEX&amp;VAR:QUERY=Q1NGX0RFQlQoQU5OLDEyLzMxLzE5ODAsMTIvMzEvMjAwOSxBWSk=&amp;WINDOW=FIRST_POPUP&amp;HEIGHT=450&amp;WI","DTH=450&amp;START_MAXIMIZED=FALSE&amp;VAR:CALENDAR=US&amp;VAR:SYMBOL=SHLM&amp;VAR:INDEX=2"}</definedName>
    <definedName name="_3734__FDSAUDITLINK__" hidden="1">{"fdsup://directions/FAT Viewer?action=UPDATE&amp;creator=factset&amp;DYN_ARGS=TRUE&amp;DOC_NAME=FAT:FQL_AUDITING_CLIENT_TEMPLATE.FAT&amp;display_string=Audit&amp;VAR:KEY=GXYFITWBEX&amp;VAR:QUERY=Q1NGX0RFQlQoQU5OLDEyLzMxLzE5ODAsMTIvMzEvMjAwOSxBWSk=&amp;WINDOW=FIRST_POPUP&amp;HEIGHT=450&amp;WI","DTH=450&amp;START_MAXIMIZED=FALSE&amp;VAR:CALENDAR=US&amp;VAR:SYMBOL=SHLM&amp;VAR:INDEX=1"}</definedName>
    <definedName name="_3735__FDSAUDITLINK__" hidden="1">{"fdsup://directions/FAT Viewer?action=UPDATE&amp;creator=factset&amp;DYN_ARGS=TRUE&amp;DOC_NAME=FAT:FQL_AUDITING_CLIENT_TEMPLATE.FAT&amp;display_string=Audit&amp;VAR:KEY=GXYFITWBEX&amp;VAR:QUERY=Q1NGX0RFQlQoQU5OLDEyLzMxLzE5ODAsMTIvMzEvMjAwOSxBWSk=&amp;WINDOW=FIRST_POPUP&amp;HEIGHT=450&amp;WI","DTH=450&amp;START_MAXIMIZED=FALSE&amp;VAR:CALENDAR=US&amp;VAR:SYMBOL=SHLM&amp;VAR:INDEX=0"}</definedName>
    <definedName name="_3736__FDSAUDITLINK__" hidden="1">{"fdsup://directions/FAT Viewer?action=UPDATE&amp;creator=factset&amp;DYN_ARGS=TRUE&amp;DOC_NAME=FAT:FQL_AUDITING_CLIENT_TEMPLATE.FAT&amp;display_string=Audit&amp;VAR:KEY=WJAVKDYBQR&amp;VAR:QUERY=Q1NGX0RFQlQoQU5OLDEyLzMxLzE5ODAsMTIvMzEvMjAwOSxBWSk=&amp;WINDOW=FIRST_POPUP&amp;HEIGHT=450&amp;WI","DTH=450&amp;START_MAXIMIZED=FALSE&amp;VAR:CALENDAR=US&amp;VAR:SYMBOL=KWR&amp;VAR:INDEX=29"}</definedName>
    <definedName name="_3737__FDSAUDITLINK__" hidden="1">{"fdsup://directions/FAT Viewer?action=UPDATE&amp;creator=factset&amp;DYN_ARGS=TRUE&amp;DOC_NAME=FAT:FQL_AUDITING_CLIENT_TEMPLATE.FAT&amp;display_string=Audit&amp;VAR:KEY=WJAVKDYBQR&amp;VAR:QUERY=Q1NGX0RFQlQoQU5OLDEyLzMxLzE5ODAsMTIvMzEvMjAwOSxBWSk=&amp;WINDOW=FIRST_POPUP&amp;HEIGHT=450&amp;WI","DTH=450&amp;START_MAXIMIZED=FALSE&amp;VAR:CALENDAR=US&amp;VAR:SYMBOL=KWR&amp;VAR:INDEX=28"}</definedName>
    <definedName name="_3738__FDSAUDITLINK__" hidden="1">{"fdsup://directions/FAT Viewer?action=UPDATE&amp;creator=factset&amp;DYN_ARGS=TRUE&amp;DOC_NAME=FAT:FQL_AUDITING_CLIENT_TEMPLATE.FAT&amp;display_string=Audit&amp;VAR:KEY=WJAVKDYBQR&amp;VAR:QUERY=Q1NGX0RFQlQoQU5OLDEyLzMxLzE5ODAsMTIvMzEvMjAwOSxBWSk=&amp;WINDOW=FIRST_POPUP&amp;HEIGHT=450&amp;WI","DTH=450&amp;START_MAXIMIZED=FALSE&amp;VAR:CALENDAR=US&amp;VAR:SYMBOL=KWR&amp;VAR:INDEX=27"}</definedName>
    <definedName name="_3739__FDSAUDITLINK__" hidden="1">{"fdsup://directions/FAT Viewer?action=UPDATE&amp;creator=factset&amp;DYN_ARGS=TRUE&amp;DOC_NAME=FAT:FQL_AUDITING_CLIENT_TEMPLATE.FAT&amp;display_string=Audit&amp;VAR:KEY=WJAVKDYBQR&amp;VAR:QUERY=Q1NGX0RFQlQoQU5OLDEyLzMxLzE5ODAsMTIvMzEvMjAwOSxBWSk=&amp;WINDOW=FIRST_POPUP&amp;HEIGHT=450&amp;WI","DTH=450&amp;START_MAXIMIZED=FALSE&amp;VAR:CALENDAR=US&amp;VAR:SYMBOL=KWR&amp;VAR:INDEX=26"}</definedName>
    <definedName name="_374__FDSAUDITLINK__" hidden="1">{"fdsup://directions/FAT Viewer?action=UPDATE&amp;creator=factset&amp;DYN_ARGS=TRUE&amp;DOC_NAME=FAT:FQL_AUDITING_CLIENT_TEMPLATE.FAT&amp;display_string=Audit&amp;VAR:KEY=CNKXYVWFWF&amp;VAR:QUERY=Q1NGX0VCSVRfT1BFUihBTk4sMTIvMzEvODAsMCk=&amp;WINDOW=FIRST_POPUP&amp;HEIGHT=450&amp;WIDTH=450&amp;STAR","T_MAXIMIZED=FALSE&amp;VAR:CALENDAR=US&amp;VAR:SYMBOL=SOA&amp;VAR:INDEX=11"}</definedName>
    <definedName name="_3740__FDSAUDITLINK__" hidden="1">{"fdsup://directions/FAT Viewer?action=UPDATE&amp;creator=factset&amp;DYN_ARGS=TRUE&amp;DOC_NAME=FAT:FQL_AUDITING_CLIENT_TEMPLATE.FAT&amp;display_string=Audit&amp;VAR:KEY=WJAVKDYBQR&amp;VAR:QUERY=Q1NGX0RFQlQoQU5OLDEyLzMxLzE5ODAsMTIvMzEvMjAwOSxBWSk=&amp;WINDOW=FIRST_POPUP&amp;HEIGHT=450&amp;WI","DTH=450&amp;START_MAXIMIZED=FALSE&amp;VAR:CALENDAR=US&amp;VAR:SYMBOL=KWR&amp;VAR:INDEX=25"}</definedName>
    <definedName name="_3741__FDSAUDITLINK__" hidden="1">{"fdsup://directions/FAT Viewer?action=UPDATE&amp;creator=factset&amp;DYN_ARGS=TRUE&amp;DOC_NAME=FAT:FQL_AUDITING_CLIENT_TEMPLATE.FAT&amp;display_string=Audit&amp;VAR:KEY=WJAVKDYBQR&amp;VAR:QUERY=Q1NGX0RFQlQoQU5OLDEyLzMxLzE5ODAsMTIvMzEvMjAwOSxBWSk=&amp;WINDOW=FIRST_POPUP&amp;HEIGHT=450&amp;WI","DTH=450&amp;START_MAXIMIZED=FALSE&amp;VAR:CALENDAR=US&amp;VAR:SYMBOL=KWR&amp;VAR:INDEX=24"}</definedName>
    <definedName name="_3742__FDSAUDITLINK__" hidden="1">{"fdsup://directions/FAT Viewer?action=UPDATE&amp;creator=factset&amp;DYN_ARGS=TRUE&amp;DOC_NAME=FAT:FQL_AUDITING_CLIENT_TEMPLATE.FAT&amp;display_string=Audit&amp;VAR:KEY=WJAVKDYBQR&amp;VAR:QUERY=Q1NGX0RFQlQoQU5OLDEyLzMxLzE5ODAsMTIvMzEvMjAwOSxBWSk=&amp;WINDOW=FIRST_POPUP&amp;HEIGHT=450&amp;WI","DTH=450&amp;START_MAXIMIZED=FALSE&amp;VAR:CALENDAR=US&amp;VAR:SYMBOL=KWR&amp;VAR:INDEX=23"}</definedName>
    <definedName name="_3743__FDSAUDITLINK__" hidden="1">{"fdsup://directions/FAT Viewer?action=UPDATE&amp;creator=factset&amp;DYN_ARGS=TRUE&amp;DOC_NAME=FAT:FQL_AUDITING_CLIENT_TEMPLATE.FAT&amp;display_string=Audit&amp;VAR:KEY=WJAVKDYBQR&amp;VAR:QUERY=Q1NGX0RFQlQoQU5OLDEyLzMxLzE5ODAsMTIvMzEvMjAwOSxBWSk=&amp;WINDOW=FIRST_POPUP&amp;HEIGHT=450&amp;WI","DTH=450&amp;START_MAXIMIZED=FALSE&amp;VAR:CALENDAR=US&amp;VAR:SYMBOL=KWR&amp;VAR:INDEX=22"}</definedName>
    <definedName name="_3744__FDSAUDITLINK__" hidden="1">{"fdsup://directions/FAT Viewer?action=UPDATE&amp;creator=factset&amp;DYN_ARGS=TRUE&amp;DOC_NAME=FAT:FQL_AUDITING_CLIENT_TEMPLATE.FAT&amp;display_string=Audit&amp;VAR:KEY=WJAVKDYBQR&amp;VAR:QUERY=Q1NGX0RFQlQoQU5OLDEyLzMxLzE5ODAsMTIvMzEvMjAwOSxBWSk=&amp;WINDOW=FIRST_POPUP&amp;HEIGHT=450&amp;WI","DTH=450&amp;START_MAXIMIZED=FALSE&amp;VAR:CALENDAR=US&amp;VAR:SYMBOL=KWR&amp;VAR:INDEX=21"}</definedName>
    <definedName name="_3745__FDSAUDITLINK__" hidden="1">{"fdsup://directions/FAT Viewer?action=UPDATE&amp;creator=factset&amp;DYN_ARGS=TRUE&amp;DOC_NAME=FAT:FQL_AUDITING_CLIENT_TEMPLATE.FAT&amp;display_string=Audit&amp;VAR:KEY=WJAVKDYBQR&amp;VAR:QUERY=Q1NGX0RFQlQoQU5OLDEyLzMxLzE5ODAsMTIvMzEvMjAwOSxBWSk=&amp;WINDOW=FIRST_POPUP&amp;HEIGHT=450&amp;WI","DTH=450&amp;START_MAXIMIZED=FALSE&amp;VAR:CALENDAR=US&amp;VAR:SYMBOL=KWR&amp;VAR:INDEX=20"}</definedName>
    <definedName name="_3746__FDSAUDITLINK__" hidden="1">{"fdsup://directions/FAT Viewer?action=UPDATE&amp;creator=factset&amp;DYN_ARGS=TRUE&amp;DOC_NAME=FAT:FQL_AUDITING_CLIENT_TEMPLATE.FAT&amp;display_string=Audit&amp;VAR:KEY=WJAVKDYBQR&amp;VAR:QUERY=Q1NGX0RFQlQoQU5OLDEyLzMxLzE5ODAsMTIvMzEvMjAwOSxBWSk=&amp;WINDOW=FIRST_POPUP&amp;HEIGHT=450&amp;WI","DTH=450&amp;START_MAXIMIZED=FALSE&amp;VAR:CALENDAR=US&amp;VAR:SYMBOL=KWR&amp;VAR:INDEX=19"}</definedName>
    <definedName name="_3747__FDSAUDITLINK__" hidden="1">{"fdsup://directions/FAT Viewer?action=UPDATE&amp;creator=factset&amp;DYN_ARGS=TRUE&amp;DOC_NAME=FAT:FQL_AUDITING_CLIENT_TEMPLATE.FAT&amp;display_string=Audit&amp;VAR:KEY=WJAVKDYBQR&amp;VAR:QUERY=Q1NGX0RFQlQoQU5OLDEyLzMxLzE5ODAsMTIvMzEvMjAwOSxBWSk=&amp;WINDOW=FIRST_POPUP&amp;HEIGHT=450&amp;WI","DTH=450&amp;START_MAXIMIZED=FALSE&amp;VAR:CALENDAR=US&amp;VAR:SYMBOL=KWR&amp;VAR:INDEX=18"}</definedName>
    <definedName name="_3748__FDSAUDITLINK__" hidden="1">{"fdsup://directions/FAT Viewer?action=UPDATE&amp;creator=factset&amp;DYN_ARGS=TRUE&amp;DOC_NAME=FAT:FQL_AUDITING_CLIENT_TEMPLATE.FAT&amp;display_string=Audit&amp;VAR:KEY=WJAVKDYBQR&amp;VAR:QUERY=Q1NGX0RFQlQoQU5OLDEyLzMxLzE5ODAsMTIvMzEvMjAwOSxBWSk=&amp;WINDOW=FIRST_POPUP&amp;HEIGHT=450&amp;WI","DTH=450&amp;START_MAXIMIZED=FALSE&amp;VAR:CALENDAR=US&amp;VAR:SYMBOL=KWR&amp;VAR:INDEX=17"}</definedName>
    <definedName name="_3749__FDSAUDITLINK__" hidden="1">{"fdsup://directions/FAT Viewer?action=UPDATE&amp;creator=factset&amp;DYN_ARGS=TRUE&amp;DOC_NAME=FAT:FQL_AUDITING_CLIENT_TEMPLATE.FAT&amp;display_string=Audit&amp;VAR:KEY=WJAVKDYBQR&amp;VAR:QUERY=Q1NGX0RFQlQoQU5OLDEyLzMxLzE5ODAsMTIvMzEvMjAwOSxBWSk=&amp;WINDOW=FIRST_POPUP&amp;HEIGHT=450&amp;WI","DTH=450&amp;START_MAXIMIZED=FALSE&amp;VAR:CALENDAR=US&amp;VAR:SYMBOL=KWR&amp;VAR:INDEX=16"}</definedName>
    <definedName name="_375__FDSAUDITLINK__" hidden="1">{"fdsup://directions/FAT Viewer?action=UPDATE&amp;creator=factset&amp;DYN_ARGS=TRUE&amp;DOC_NAME=FAT:FQL_AUDITING_CLIENT_TEMPLATE.FAT&amp;display_string=Audit&amp;VAR:KEY=CNKXYVWFWF&amp;VAR:QUERY=Q1NGX0VCSVRfT1BFUihBTk4sMTIvMzEvODAsMCk=&amp;WINDOW=FIRST_POPUP&amp;HEIGHT=450&amp;WIDTH=450&amp;STAR","T_MAXIMIZED=FALSE&amp;VAR:CALENDAR=US&amp;VAR:SYMBOL=SOA&amp;VAR:INDEX=10"}</definedName>
    <definedName name="_3750__FDSAUDITLINK__" hidden="1">{"fdsup://directions/FAT Viewer?action=UPDATE&amp;creator=factset&amp;DYN_ARGS=TRUE&amp;DOC_NAME=FAT:FQL_AUDITING_CLIENT_TEMPLATE.FAT&amp;display_string=Audit&amp;VAR:KEY=WJAVKDYBQR&amp;VAR:QUERY=Q1NGX0RFQlQoQU5OLDEyLzMxLzE5ODAsMTIvMzEvMjAwOSxBWSk=&amp;WINDOW=FIRST_POPUP&amp;HEIGHT=450&amp;WI","DTH=450&amp;START_MAXIMIZED=FALSE&amp;VAR:CALENDAR=US&amp;VAR:SYMBOL=KWR&amp;VAR:INDEX=15"}</definedName>
    <definedName name="_3751__FDSAUDITLINK__" hidden="1">{"fdsup://directions/FAT Viewer?action=UPDATE&amp;creator=factset&amp;DYN_ARGS=TRUE&amp;DOC_NAME=FAT:FQL_AUDITING_CLIENT_TEMPLATE.FAT&amp;display_string=Audit&amp;VAR:KEY=WJAVKDYBQR&amp;VAR:QUERY=Q1NGX0RFQlQoQU5OLDEyLzMxLzE5ODAsMTIvMzEvMjAwOSxBWSk=&amp;WINDOW=FIRST_POPUP&amp;HEIGHT=450&amp;WI","DTH=450&amp;START_MAXIMIZED=FALSE&amp;VAR:CALENDAR=US&amp;VAR:SYMBOL=KWR&amp;VAR:INDEX=14"}</definedName>
    <definedName name="_3752__FDSAUDITLINK__" hidden="1">{"fdsup://directions/FAT Viewer?action=UPDATE&amp;creator=factset&amp;DYN_ARGS=TRUE&amp;DOC_NAME=FAT:FQL_AUDITING_CLIENT_TEMPLATE.FAT&amp;display_string=Audit&amp;VAR:KEY=WJAVKDYBQR&amp;VAR:QUERY=Q1NGX0RFQlQoQU5OLDEyLzMxLzE5ODAsMTIvMzEvMjAwOSxBWSk=&amp;WINDOW=FIRST_POPUP&amp;HEIGHT=450&amp;WI","DTH=450&amp;START_MAXIMIZED=FALSE&amp;VAR:CALENDAR=US&amp;VAR:SYMBOL=KWR&amp;VAR:INDEX=13"}</definedName>
    <definedName name="_3753__FDSAUDITLINK__" hidden="1">{"fdsup://directions/FAT Viewer?action=UPDATE&amp;creator=factset&amp;DYN_ARGS=TRUE&amp;DOC_NAME=FAT:FQL_AUDITING_CLIENT_TEMPLATE.FAT&amp;display_string=Audit&amp;VAR:KEY=WJAVKDYBQR&amp;VAR:QUERY=Q1NGX0RFQlQoQU5OLDEyLzMxLzE5ODAsMTIvMzEvMjAwOSxBWSk=&amp;WINDOW=FIRST_POPUP&amp;HEIGHT=450&amp;WI","DTH=450&amp;START_MAXIMIZED=FALSE&amp;VAR:CALENDAR=US&amp;VAR:SYMBOL=KWR&amp;VAR:INDEX=12"}</definedName>
    <definedName name="_3754__FDSAUDITLINK__" hidden="1">{"fdsup://directions/FAT Viewer?action=UPDATE&amp;creator=factset&amp;DYN_ARGS=TRUE&amp;DOC_NAME=FAT:FQL_AUDITING_CLIENT_TEMPLATE.FAT&amp;display_string=Audit&amp;VAR:KEY=WJAVKDYBQR&amp;VAR:QUERY=Q1NGX0RFQlQoQU5OLDEyLzMxLzE5ODAsMTIvMzEvMjAwOSxBWSk=&amp;WINDOW=FIRST_POPUP&amp;HEIGHT=450&amp;WI","DTH=450&amp;START_MAXIMIZED=FALSE&amp;VAR:CALENDAR=US&amp;VAR:SYMBOL=KWR&amp;VAR:INDEX=11"}</definedName>
    <definedName name="_3755__FDSAUDITLINK__" hidden="1">{"fdsup://directions/FAT Viewer?action=UPDATE&amp;creator=factset&amp;DYN_ARGS=TRUE&amp;DOC_NAME=FAT:FQL_AUDITING_CLIENT_TEMPLATE.FAT&amp;display_string=Audit&amp;VAR:KEY=WJAVKDYBQR&amp;VAR:QUERY=Q1NGX0RFQlQoQU5OLDEyLzMxLzE5ODAsMTIvMzEvMjAwOSxBWSk=&amp;WINDOW=FIRST_POPUP&amp;HEIGHT=450&amp;WI","DTH=450&amp;START_MAXIMIZED=FALSE&amp;VAR:CALENDAR=US&amp;VAR:SYMBOL=KWR&amp;VAR:INDEX=10"}</definedName>
    <definedName name="_3756__FDSAUDITLINK__" hidden="1">{"fdsup://directions/FAT Viewer?action=UPDATE&amp;creator=factset&amp;DYN_ARGS=TRUE&amp;DOC_NAME=FAT:FQL_AUDITING_CLIENT_TEMPLATE.FAT&amp;display_string=Audit&amp;VAR:KEY=WJAVKDYBQR&amp;VAR:QUERY=Q1NGX0RFQlQoQU5OLDEyLzMxLzE5ODAsMTIvMzEvMjAwOSxBWSk=&amp;WINDOW=FIRST_POPUP&amp;HEIGHT=450&amp;WI","DTH=450&amp;START_MAXIMIZED=FALSE&amp;VAR:CALENDAR=US&amp;VAR:SYMBOL=KWR&amp;VAR:INDEX=9"}</definedName>
    <definedName name="_3757__FDSAUDITLINK__" hidden="1">{"fdsup://directions/FAT Viewer?action=UPDATE&amp;creator=factset&amp;DYN_ARGS=TRUE&amp;DOC_NAME=FAT:FQL_AUDITING_CLIENT_TEMPLATE.FAT&amp;display_string=Audit&amp;VAR:KEY=WJAVKDYBQR&amp;VAR:QUERY=Q1NGX0RFQlQoQU5OLDEyLzMxLzE5ODAsMTIvMzEvMjAwOSxBWSk=&amp;WINDOW=FIRST_POPUP&amp;HEIGHT=450&amp;WI","DTH=450&amp;START_MAXIMIZED=FALSE&amp;VAR:CALENDAR=US&amp;VAR:SYMBOL=KWR&amp;VAR:INDEX=8"}</definedName>
    <definedName name="_3758__FDSAUDITLINK__" hidden="1">{"fdsup://directions/FAT Viewer?action=UPDATE&amp;creator=factset&amp;DYN_ARGS=TRUE&amp;DOC_NAME=FAT:FQL_AUDITING_CLIENT_TEMPLATE.FAT&amp;display_string=Audit&amp;VAR:KEY=WJAVKDYBQR&amp;VAR:QUERY=Q1NGX0RFQlQoQU5OLDEyLzMxLzE5ODAsMTIvMzEvMjAwOSxBWSk=&amp;WINDOW=FIRST_POPUP&amp;HEIGHT=450&amp;WI","DTH=450&amp;START_MAXIMIZED=FALSE&amp;VAR:CALENDAR=US&amp;VAR:SYMBOL=KWR&amp;VAR:INDEX=7"}</definedName>
    <definedName name="_3759__FDSAUDITLINK__" hidden="1">{"fdsup://directions/FAT Viewer?action=UPDATE&amp;creator=factset&amp;DYN_ARGS=TRUE&amp;DOC_NAME=FAT:FQL_AUDITING_CLIENT_TEMPLATE.FAT&amp;display_string=Audit&amp;VAR:KEY=WJAVKDYBQR&amp;VAR:QUERY=Q1NGX0RFQlQoQU5OLDEyLzMxLzE5ODAsMTIvMzEvMjAwOSxBWSk=&amp;WINDOW=FIRST_POPUP&amp;HEIGHT=450&amp;WI","DTH=450&amp;START_MAXIMIZED=FALSE&amp;VAR:CALENDAR=US&amp;VAR:SYMBOL=KWR&amp;VAR:INDEX=6"}</definedName>
    <definedName name="_376__FDSAUDITLINK__" hidden="1">{"fdsup://directions/FAT Viewer?action=UPDATE&amp;creator=factset&amp;DYN_ARGS=TRUE&amp;DOC_NAME=FAT:FQL_AUDITING_CLIENT_TEMPLATE.FAT&amp;display_string=Audit&amp;VAR:KEY=CNKXYVWFWF&amp;VAR:QUERY=Q1NGX0VCSVRfT1BFUihBTk4sMTIvMzEvODAsMCk=&amp;WINDOW=FIRST_POPUP&amp;HEIGHT=450&amp;WIDTH=450&amp;STAR","T_MAXIMIZED=FALSE&amp;VAR:CALENDAR=US&amp;VAR:SYMBOL=SOA&amp;VAR:INDEX=9"}</definedName>
    <definedName name="_3760__FDSAUDITLINK__" hidden="1">{"fdsup://directions/FAT Viewer?action=UPDATE&amp;creator=factset&amp;DYN_ARGS=TRUE&amp;DOC_NAME=FAT:FQL_AUDITING_CLIENT_TEMPLATE.FAT&amp;display_string=Audit&amp;VAR:KEY=WJAVKDYBQR&amp;VAR:QUERY=Q1NGX0RFQlQoQU5OLDEyLzMxLzE5ODAsMTIvMzEvMjAwOSxBWSk=&amp;WINDOW=FIRST_POPUP&amp;HEIGHT=450&amp;WI","DTH=450&amp;START_MAXIMIZED=FALSE&amp;VAR:CALENDAR=US&amp;VAR:SYMBOL=KWR&amp;VAR:INDEX=5"}</definedName>
    <definedName name="_3761__FDSAUDITLINK__" hidden="1">{"fdsup://directions/FAT Viewer?action=UPDATE&amp;creator=factset&amp;DYN_ARGS=TRUE&amp;DOC_NAME=FAT:FQL_AUDITING_CLIENT_TEMPLATE.FAT&amp;display_string=Audit&amp;VAR:KEY=WJAVKDYBQR&amp;VAR:QUERY=Q1NGX0RFQlQoQU5OLDEyLzMxLzE5ODAsMTIvMzEvMjAwOSxBWSk=&amp;WINDOW=FIRST_POPUP&amp;HEIGHT=450&amp;WI","DTH=450&amp;START_MAXIMIZED=FALSE&amp;VAR:CALENDAR=US&amp;VAR:SYMBOL=KWR&amp;VAR:INDEX=4"}</definedName>
    <definedName name="_3762__FDSAUDITLINK__" hidden="1">{"fdsup://directions/FAT Viewer?action=UPDATE&amp;creator=factset&amp;DYN_ARGS=TRUE&amp;DOC_NAME=FAT:FQL_AUDITING_CLIENT_TEMPLATE.FAT&amp;display_string=Audit&amp;VAR:KEY=WJAVKDYBQR&amp;VAR:QUERY=Q1NGX0RFQlQoQU5OLDEyLzMxLzE5ODAsMTIvMzEvMjAwOSxBWSk=&amp;WINDOW=FIRST_POPUP&amp;HEIGHT=450&amp;WI","DTH=450&amp;START_MAXIMIZED=FALSE&amp;VAR:CALENDAR=US&amp;VAR:SYMBOL=KWR&amp;VAR:INDEX=3"}</definedName>
    <definedName name="_3763__FDSAUDITLINK__" hidden="1">{"fdsup://directions/FAT Viewer?action=UPDATE&amp;creator=factset&amp;DYN_ARGS=TRUE&amp;DOC_NAME=FAT:FQL_AUDITING_CLIENT_TEMPLATE.FAT&amp;display_string=Audit&amp;VAR:KEY=WJAVKDYBQR&amp;VAR:QUERY=Q1NGX0RFQlQoQU5OLDEyLzMxLzE5ODAsMTIvMzEvMjAwOSxBWSk=&amp;WINDOW=FIRST_POPUP&amp;HEIGHT=450&amp;WI","DTH=450&amp;START_MAXIMIZED=FALSE&amp;VAR:CALENDAR=US&amp;VAR:SYMBOL=KWR&amp;VAR:INDEX=2"}</definedName>
    <definedName name="_3764__FDSAUDITLINK__" hidden="1">{"fdsup://directions/FAT Viewer?action=UPDATE&amp;creator=factset&amp;DYN_ARGS=TRUE&amp;DOC_NAME=FAT:FQL_AUDITING_CLIENT_TEMPLATE.FAT&amp;display_string=Audit&amp;VAR:KEY=WJAVKDYBQR&amp;VAR:QUERY=Q1NGX0RFQlQoQU5OLDEyLzMxLzE5ODAsMTIvMzEvMjAwOSxBWSk=&amp;WINDOW=FIRST_POPUP&amp;HEIGHT=450&amp;WI","DTH=450&amp;START_MAXIMIZED=FALSE&amp;VAR:CALENDAR=US&amp;VAR:SYMBOL=KWR&amp;VAR:INDEX=1"}</definedName>
    <definedName name="_3765__FDSAUDITLINK__" hidden="1">{"fdsup://directions/FAT Viewer?action=UPDATE&amp;creator=factset&amp;DYN_ARGS=TRUE&amp;DOC_NAME=FAT:FQL_AUDITING_CLIENT_TEMPLATE.FAT&amp;display_string=Audit&amp;VAR:KEY=WJAVKDYBQR&amp;VAR:QUERY=Q1NGX0RFQlQoQU5OLDEyLzMxLzE5ODAsMTIvMzEvMjAwOSxBWSk=&amp;WINDOW=FIRST_POPUP&amp;HEIGHT=450&amp;WI","DTH=450&amp;START_MAXIMIZED=FALSE&amp;VAR:CALENDAR=US&amp;VAR:SYMBOL=KWR&amp;VAR:INDEX=0"}</definedName>
    <definedName name="_3766__FDSAUDITLINK__" hidden="1">{"fdsup://directions/FAT Viewer?action=UPDATE&amp;creator=factset&amp;DYN_ARGS=TRUE&amp;DOC_NAME=FAT:FQL_AUDITING_CLIENT_TEMPLATE.FAT&amp;display_string=Audit&amp;VAR:KEY=OFILWZUPIZ&amp;VAR:QUERY=Q1NGX0RFQlQoQU5OLDEyLzMxLzE5OTIsMTIvMzEvMjAwOSxBWSk=&amp;WINDOW=FIRST_POPUP&amp;HEIGHT=450&amp;WI","DTH=450&amp;START_MAXIMIZED=FALSE&amp;VAR:CALENDAR=US&amp;VAR:SYMBOL=POL&amp;VAR:INDEX=17"}</definedName>
    <definedName name="_3767__FDSAUDITLINK__" hidden="1">{"fdsup://directions/FAT Viewer?action=UPDATE&amp;creator=factset&amp;DYN_ARGS=TRUE&amp;DOC_NAME=FAT:FQL_AUDITING_CLIENT_TEMPLATE.FAT&amp;display_string=Audit&amp;VAR:KEY=OFILWZUPIZ&amp;VAR:QUERY=Q1NGX0RFQlQoQU5OLDEyLzMxLzE5OTIsMTIvMzEvMjAwOSxBWSk=&amp;WINDOW=FIRST_POPUP&amp;HEIGHT=450&amp;WI","DTH=450&amp;START_MAXIMIZED=FALSE&amp;VAR:CALENDAR=US&amp;VAR:SYMBOL=POL&amp;VAR:INDEX=16"}</definedName>
    <definedName name="_3768__FDSAUDITLINK__" hidden="1">{"fdsup://directions/FAT Viewer?action=UPDATE&amp;creator=factset&amp;DYN_ARGS=TRUE&amp;DOC_NAME=FAT:FQL_AUDITING_CLIENT_TEMPLATE.FAT&amp;display_string=Audit&amp;VAR:KEY=OFILWZUPIZ&amp;VAR:QUERY=Q1NGX0RFQlQoQU5OLDEyLzMxLzE5OTIsMTIvMzEvMjAwOSxBWSk=&amp;WINDOW=FIRST_POPUP&amp;HEIGHT=450&amp;WI","DTH=450&amp;START_MAXIMIZED=FALSE&amp;VAR:CALENDAR=US&amp;VAR:SYMBOL=POL&amp;VAR:INDEX=15"}</definedName>
    <definedName name="_3769__FDSAUDITLINK__" hidden="1">{"fdsup://directions/FAT Viewer?action=UPDATE&amp;creator=factset&amp;DYN_ARGS=TRUE&amp;DOC_NAME=FAT:FQL_AUDITING_CLIENT_TEMPLATE.FAT&amp;display_string=Audit&amp;VAR:KEY=OFILWZUPIZ&amp;VAR:QUERY=Q1NGX0RFQlQoQU5OLDEyLzMxLzE5OTIsMTIvMzEvMjAwOSxBWSk=&amp;WINDOW=FIRST_POPUP&amp;HEIGHT=450&amp;WI","DTH=450&amp;START_MAXIMIZED=FALSE&amp;VAR:CALENDAR=US&amp;VAR:SYMBOL=POL&amp;VAR:INDEX=14"}</definedName>
    <definedName name="_377__FDSAUDITLINK__" hidden="1">{"fdsup://directions/FAT Viewer?action=UPDATE&amp;creator=factset&amp;DYN_ARGS=TRUE&amp;DOC_NAME=FAT:FQL_AUDITING_CLIENT_TEMPLATE.FAT&amp;display_string=Audit&amp;VAR:KEY=CNKXYVWFWF&amp;VAR:QUERY=Q1NGX0VCSVRfT1BFUihBTk4sMTIvMzEvODAsMCk=&amp;WINDOW=FIRST_POPUP&amp;HEIGHT=450&amp;WIDTH=450&amp;STAR","T_MAXIMIZED=FALSE&amp;VAR:CALENDAR=US&amp;VAR:SYMBOL=SOA&amp;VAR:INDEX=8"}</definedName>
    <definedName name="_3770__FDSAUDITLINK__" hidden="1">{"fdsup://directions/FAT Viewer?action=UPDATE&amp;creator=factset&amp;DYN_ARGS=TRUE&amp;DOC_NAME=FAT:FQL_AUDITING_CLIENT_TEMPLATE.FAT&amp;display_string=Audit&amp;VAR:KEY=OFILWZUPIZ&amp;VAR:QUERY=Q1NGX0RFQlQoQU5OLDEyLzMxLzE5OTIsMTIvMzEvMjAwOSxBWSk=&amp;WINDOW=FIRST_POPUP&amp;HEIGHT=450&amp;WI","DTH=450&amp;START_MAXIMIZED=FALSE&amp;VAR:CALENDAR=US&amp;VAR:SYMBOL=POL&amp;VAR:INDEX=13"}</definedName>
    <definedName name="_3771__FDSAUDITLINK__" hidden="1">{"fdsup://directions/FAT Viewer?action=UPDATE&amp;creator=factset&amp;DYN_ARGS=TRUE&amp;DOC_NAME=FAT:FQL_AUDITING_CLIENT_TEMPLATE.FAT&amp;display_string=Audit&amp;VAR:KEY=OFILWZUPIZ&amp;VAR:QUERY=Q1NGX0RFQlQoQU5OLDEyLzMxLzE5OTIsMTIvMzEvMjAwOSxBWSk=&amp;WINDOW=FIRST_POPUP&amp;HEIGHT=450&amp;WI","DTH=450&amp;START_MAXIMIZED=FALSE&amp;VAR:CALENDAR=US&amp;VAR:SYMBOL=POL&amp;VAR:INDEX=12"}</definedName>
    <definedName name="_3772__FDSAUDITLINK__" hidden="1">{"fdsup://directions/FAT Viewer?action=UPDATE&amp;creator=factset&amp;DYN_ARGS=TRUE&amp;DOC_NAME=FAT:FQL_AUDITING_CLIENT_TEMPLATE.FAT&amp;display_string=Audit&amp;VAR:KEY=OFILWZUPIZ&amp;VAR:QUERY=Q1NGX0RFQlQoQU5OLDEyLzMxLzE5OTIsMTIvMzEvMjAwOSxBWSk=&amp;WINDOW=FIRST_POPUP&amp;HEIGHT=450&amp;WI","DTH=450&amp;START_MAXIMIZED=FALSE&amp;VAR:CALENDAR=US&amp;VAR:SYMBOL=POL&amp;VAR:INDEX=11"}</definedName>
    <definedName name="_3773__FDSAUDITLINK__" hidden="1">{"fdsup://directions/FAT Viewer?action=UPDATE&amp;creator=factset&amp;DYN_ARGS=TRUE&amp;DOC_NAME=FAT:FQL_AUDITING_CLIENT_TEMPLATE.FAT&amp;display_string=Audit&amp;VAR:KEY=OFILWZUPIZ&amp;VAR:QUERY=Q1NGX0RFQlQoQU5OLDEyLzMxLzE5OTIsMTIvMzEvMjAwOSxBWSk=&amp;WINDOW=FIRST_POPUP&amp;HEIGHT=450&amp;WI","DTH=450&amp;START_MAXIMIZED=FALSE&amp;VAR:CALENDAR=US&amp;VAR:SYMBOL=POL&amp;VAR:INDEX=10"}</definedName>
    <definedName name="_3774__FDSAUDITLINK__" hidden="1">{"fdsup://directions/FAT Viewer?action=UPDATE&amp;creator=factset&amp;DYN_ARGS=TRUE&amp;DOC_NAME=FAT:FQL_AUDITING_CLIENT_TEMPLATE.FAT&amp;display_string=Audit&amp;VAR:KEY=OFILWZUPIZ&amp;VAR:QUERY=Q1NGX0RFQlQoQU5OLDEyLzMxLzE5OTIsMTIvMzEvMjAwOSxBWSk=&amp;WINDOW=FIRST_POPUP&amp;HEIGHT=450&amp;WI","DTH=450&amp;START_MAXIMIZED=FALSE&amp;VAR:CALENDAR=US&amp;VAR:SYMBOL=POL&amp;VAR:INDEX=9"}</definedName>
    <definedName name="_3775__FDSAUDITLINK__" hidden="1">{"fdsup://directions/FAT Viewer?action=UPDATE&amp;creator=factset&amp;DYN_ARGS=TRUE&amp;DOC_NAME=FAT:FQL_AUDITING_CLIENT_TEMPLATE.FAT&amp;display_string=Audit&amp;VAR:KEY=OFILWZUPIZ&amp;VAR:QUERY=Q1NGX0RFQlQoQU5OLDEyLzMxLzE5OTIsMTIvMzEvMjAwOSxBWSk=&amp;WINDOW=FIRST_POPUP&amp;HEIGHT=450&amp;WI","DTH=450&amp;START_MAXIMIZED=FALSE&amp;VAR:CALENDAR=US&amp;VAR:SYMBOL=POL&amp;VAR:INDEX=8"}</definedName>
    <definedName name="_3776__FDSAUDITLINK__" hidden="1">{"fdsup://directions/FAT Viewer?action=UPDATE&amp;creator=factset&amp;DYN_ARGS=TRUE&amp;DOC_NAME=FAT:FQL_AUDITING_CLIENT_TEMPLATE.FAT&amp;display_string=Audit&amp;VAR:KEY=OFILWZUPIZ&amp;VAR:QUERY=Q1NGX0RFQlQoQU5OLDEyLzMxLzE5OTIsMTIvMzEvMjAwOSxBWSk=&amp;WINDOW=FIRST_POPUP&amp;HEIGHT=450&amp;WI","DTH=450&amp;START_MAXIMIZED=FALSE&amp;VAR:CALENDAR=US&amp;VAR:SYMBOL=POL&amp;VAR:INDEX=7"}</definedName>
    <definedName name="_3777__FDSAUDITLINK__" hidden="1">{"fdsup://directions/FAT Viewer?action=UPDATE&amp;creator=factset&amp;DYN_ARGS=TRUE&amp;DOC_NAME=FAT:FQL_AUDITING_CLIENT_TEMPLATE.FAT&amp;display_string=Audit&amp;VAR:KEY=OFILWZUPIZ&amp;VAR:QUERY=Q1NGX0RFQlQoQU5OLDEyLzMxLzE5OTIsMTIvMzEvMjAwOSxBWSk=&amp;WINDOW=FIRST_POPUP&amp;HEIGHT=450&amp;WI","DTH=450&amp;START_MAXIMIZED=FALSE&amp;VAR:CALENDAR=US&amp;VAR:SYMBOL=POL&amp;VAR:INDEX=6"}</definedName>
    <definedName name="_3778__FDSAUDITLINK__" hidden="1">{"fdsup://directions/FAT Viewer?action=UPDATE&amp;creator=factset&amp;DYN_ARGS=TRUE&amp;DOC_NAME=FAT:FQL_AUDITING_CLIENT_TEMPLATE.FAT&amp;display_string=Audit&amp;VAR:KEY=OFILWZUPIZ&amp;VAR:QUERY=Q1NGX0RFQlQoQU5OLDEyLzMxLzE5OTIsMTIvMzEvMjAwOSxBWSk=&amp;WINDOW=FIRST_POPUP&amp;HEIGHT=450&amp;WI","DTH=450&amp;START_MAXIMIZED=FALSE&amp;VAR:CALENDAR=US&amp;VAR:SYMBOL=POL&amp;VAR:INDEX=5"}</definedName>
    <definedName name="_3779__FDSAUDITLINK__" hidden="1">{"fdsup://directions/FAT Viewer?action=UPDATE&amp;creator=factset&amp;DYN_ARGS=TRUE&amp;DOC_NAME=FAT:FQL_AUDITING_CLIENT_TEMPLATE.FAT&amp;display_string=Audit&amp;VAR:KEY=OFILWZUPIZ&amp;VAR:QUERY=Q1NGX0RFQlQoQU5OLDEyLzMxLzE5OTIsMTIvMzEvMjAwOSxBWSk=&amp;WINDOW=FIRST_POPUP&amp;HEIGHT=450&amp;WI","DTH=450&amp;START_MAXIMIZED=FALSE&amp;VAR:CALENDAR=US&amp;VAR:SYMBOL=POL&amp;VAR:INDEX=4"}</definedName>
    <definedName name="_378__FDSAUDITLINK__" hidden="1">{"fdsup://directions/FAT Viewer?action=UPDATE&amp;creator=factset&amp;DYN_ARGS=TRUE&amp;DOC_NAME=FAT:FQL_AUDITING_CLIENT_TEMPLATE.FAT&amp;display_string=Audit&amp;VAR:KEY=CNKXYVWFWF&amp;VAR:QUERY=Q1NGX0VCSVRfT1BFUihBTk4sMTIvMzEvODAsMCk=&amp;WINDOW=FIRST_POPUP&amp;HEIGHT=450&amp;WIDTH=450&amp;STAR","T_MAXIMIZED=FALSE&amp;VAR:CALENDAR=US&amp;VAR:SYMBOL=SOA&amp;VAR:INDEX=7"}</definedName>
    <definedName name="_3780__FDSAUDITLINK__" hidden="1">{"fdsup://directions/FAT Viewer?action=UPDATE&amp;creator=factset&amp;DYN_ARGS=TRUE&amp;DOC_NAME=FAT:FQL_AUDITING_CLIENT_TEMPLATE.FAT&amp;display_string=Audit&amp;VAR:KEY=OFILWZUPIZ&amp;VAR:QUERY=Q1NGX0RFQlQoQU5OLDEyLzMxLzE5OTIsMTIvMzEvMjAwOSxBWSk=&amp;WINDOW=FIRST_POPUP&amp;HEIGHT=450&amp;WI","DTH=450&amp;START_MAXIMIZED=FALSE&amp;VAR:CALENDAR=US&amp;VAR:SYMBOL=POL&amp;VAR:INDEX=3"}</definedName>
    <definedName name="_3781__FDSAUDITLINK__" hidden="1">{"fdsup://directions/FAT Viewer?action=UPDATE&amp;creator=factset&amp;DYN_ARGS=TRUE&amp;DOC_NAME=FAT:FQL_AUDITING_CLIENT_TEMPLATE.FAT&amp;display_string=Audit&amp;VAR:KEY=OFILWZUPIZ&amp;VAR:QUERY=Q1NGX0RFQlQoQU5OLDEyLzMxLzE5OTIsMTIvMzEvMjAwOSxBWSk=&amp;WINDOW=FIRST_POPUP&amp;HEIGHT=450&amp;WI","DTH=450&amp;START_MAXIMIZED=FALSE&amp;VAR:CALENDAR=US&amp;VAR:SYMBOL=POL&amp;VAR:INDEX=2"}</definedName>
    <definedName name="_3782__FDSAUDITLINK__" hidden="1">{"fdsup://directions/FAT Viewer?action=UPDATE&amp;creator=factset&amp;DYN_ARGS=TRUE&amp;DOC_NAME=FAT:FQL_AUDITING_CLIENT_TEMPLATE.FAT&amp;display_string=Audit&amp;VAR:KEY=OFILWZUPIZ&amp;VAR:QUERY=Q1NGX0RFQlQoQU5OLDEyLzMxLzE5OTIsMTIvMzEvMjAwOSxBWSk=&amp;WINDOW=FIRST_POPUP&amp;HEIGHT=450&amp;WI","DTH=450&amp;START_MAXIMIZED=FALSE&amp;VAR:CALENDAR=US&amp;VAR:SYMBOL=POL&amp;VAR:INDEX=1"}</definedName>
    <definedName name="_3783__FDSAUDITLINK__" hidden="1">{"fdsup://directions/FAT Viewer?action=UPDATE&amp;creator=factset&amp;DYN_ARGS=TRUE&amp;DOC_NAME=FAT:FQL_AUDITING_CLIENT_TEMPLATE.FAT&amp;display_string=Audit&amp;VAR:KEY=OFILWZUPIZ&amp;VAR:QUERY=Q1NGX0RFQlQoQU5OLDEyLzMxLzE5OTIsMTIvMzEvMjAwOSxBWSk=&amp;WINDOW=FIRST_POPUP&amp;HEIGHT=450&amp;WI","DTH=450&amp;START_MAXIMIZED=FALSE&amp;VAR:CALENDAR=US&amp;VAR:SYMBOL=POL&amp;VAR:INDEX=0"}</definedName>
    <definedName name="_3784__FDSAUDITLINK__" hidden="1">{"fdsup://directions/FAT Viewer?action=UPDATE&amp;creator=factset&amp;DYN_ARGS=TRUE&amp;DOC_NAME=FAT:FQL_AUDITING_CLIENT_TEMPLATE.FAT&amp;display_string=Audit&amp;VAR:KEY=MTCJEXEBQN&amp;VAR:QUERY=Q1NGX0RFQlQoQU5OLDEyLzMxLzE5OTIsMTIvMzEvMjAwOSxBWSk=&amp;WINDOW=FIRST_POPUP&amp;HEIGHT=450&amp;WI","DTH=450&amp;START_MAXIMIZED=FALSE&amp;VAR:CALENDAR=US&amp;VAR:SYMBOL=OMG&amp;VAR:INDEX=17"}</definedName>
    <definedName name="_3785__FDSAUDITLINK__" hidden="1">{"fdsup://directions/FAT Viewer?action=UPDATE&amp;creator=factset&amp;DYN_ARGS=TRUE&amp;DOC_NAME=FAT:FQL_AUDITING_CLIENT_TEMPLATE.FAT&amp;display_string=Audit&amp;VAR:KEY=MTCJEXEBQN&amp;VAR:QUERY=Q1NGX0RFQlQoQU5OLDEyLzMxLzE5OTIsMTIvMzEvMjAwOSxBWSk=&amp;WINDOW=FIRST_POPUP&amp;HEIGHT=450&amp;WI","DTH=450&amp;START_MAXIMIZED=FALSE&amp;VAR:CALENDAR=US&amp;VAR:SYMBOL=OMG&amp;VAR:INDEX=16"}</definedName>
    <definedName name="_3786__FDSAUDITLINK__" hidden="1">{"fdsup://directions/FAT Viewer?action=UPDATE&amp;creator=factset&amp;DYN_ARGS=TRUE&amp;DOC_NAME=FAT:FQL_AUDITING_CLIENT_TEMPLATE.FAT&amp;display_string=Audit&amp;VAR:KEY=MTCJEXEBQN&amp;VAR:QUERY=Q1NGX0RFQlQoQU5OLDEyLzMxLzE5OTIsMTIvMzEvMjAwOSxBWSk=&amp;WINDOW=FIRST_POPUP&amp;HEIGHT=450&amp;WI","DTH=450&amp;START_MAXIMIZED=FALSE&amp;VAR:CALENDAR=US&amp;VAR:SYMBOL=OMG&amp;VAR:INDEX=15"}</definedName>
    <definedName name="_3787__FDSAUDITLINK__" hidden="1">{"fdsup://directions/FAT Viewer?action=UPDATE&amp;creator=factset&amp;DYN_ARGS=TRUE&amp;DOC_NAME=FAT:FQL_AUDITING_CLIENT_TEMPLATE.FAT&amp;display_string=Audit&amp;VAR:KEY=MTCJEXEBQN&amp;VAR:QUERY=Q1NGX0RFQlQoQU5OLDEyLzMxLzE5OTIsMTIvMzEvMjAwOSxBWSk=&amp;WINDOW=FIRST_POPUP&amp;HEIGHT=450&amp;WI","DTH=450&amp;START_MAXIMIZED=FALSE&amp;VAR:CALENDAR=US&amp;VAR:SYMBOL=OMG&amp;VAR:INDEX=14"}</definedName>
    <definedName name="_3788__FDSAUDITLINK__" hidden="1">{"fdsup://directions/FAT Viewer?action=UPDATE&amp;creator=factset&amp;DYN_ARGS=TRUE&amp;DOC_NAME=FAT:FQL_AUDITING_CLIENT_TEMPLATE.FAT&amp;display_string=Audit&amp;VAR:KEY=MTCJEXEBQN&amp;VAR:QUERY=Q1NGX0RFQlQoQU5OLDEyLzMxLzE5OTIsMTIvMzEvMjAwOSxBWSk=&amp;WINDOW=FIRST_POPUP&amp;HEIGHT=450&amp;WI","DTH=450&amp;START_MAXIMIZED=FALSE&amp;VAR:CALENDAR=US&amp;VAR:SYMBOL=OMG&amp;VAR:INDEX=13"}</definedName>
    <definedName name="_3789__FDSAUDITLINK__" hidden="1">{"fdsup://directions/FAT Viewer?action=UPDATE&amp;creator=factset&amp;DYN_ARGS=TRUE&amp;DOC_NAME=FAT:FQL_AUDITING_CLIENT_TEMPLATE.FAT&amp;display_string=Audit&amp;VAR:KEY=MTCJEXEBQN&amp;VAR:QUERY=Q1NGX0RFQlQoQU5OLDEyLzMxLzE5OTIsMTIvMzEvMjAwOSxBWSk=&amp;WINDOW=FIRST_POPUP&amp;HEIGHT=450&amp;WI","DTH=450&amp;START_MAXIMIZED=FALSE&amp;VAR:CALENDAR=US&amp;VAR:SYMBOL=OMG&amp;VAR:INDEX=12"}</definedName>
    <definedName name="_379__FDSAUDITLINK__" hidden="1">{"fdsup://directions/FAT Viewer?action=UPDATE&amp;creator=factset&amp;DYN_ARGS=TRUE&amp;DOC_NAME=FAT:FQL_AUDITING_CLIENT_TEMPLATE.FAT&amp;display_string=Audit&amp;VAR:KEY=CNKXYVWFWF&amp;VAR:QUERY=Q1NGX0VCSVRfT1BFUihBTk4sMTIvMzEvODAsMCk=&amp;WINDOW=FIRST_POPUP&amp;HEIGHT=450&amp;WIDTH=450&amp;STAR","T_MAXIMIZED=FALSE&amp;VAR:CALENDAR=US&amp;VAR:SYMBOL=SOA&amp;VAR:INDEX=6"}</definedName>
    <definedName name="_3790__FDSAUDITLINK__" hidden="1">{"fdsup://directions/FAT Viewer?action=UPDATE&amp;creator=factset&amp;DYN_ARGS=TRUE&amp;DOC_NAME=FAT:FQL_AUDITING_CLIENT_TEMPLATE.FAT&amp;display_string=Audit&amp;VAR:KEY=MTCJEXEBQN&amp;VAR:QUERY=Q1NGX0RFQlQoQU5OLDEyLzMxLzE5OTIsMTIvMzEvMjAwOSxBWSk=&amp;WINDOW=FIRST_POPUP&amp;HEIGHT=450&amp;WI","DTH=450&amp;START_MAXIMIZED=FALSE&amp;VAR:CALENDAR=US&amp;VAR:SYMBOL=OMG&amp;VAR:INDEX=11"}</definedName>
    <definedName name="_3791__FDSAUDITLINK__" hidden="1">{"fdsup://directions/FAT Viewer?action=UPDATE&amp;creator=factset&amp;DYN_ARGS=TRUE&amp;DOC_NAME=FAT:FQL_AUDITING_CLIENT_TEMPLATE.FAT&amp;display_string=Audit&amp;VAR:KEY=MTCJEXEBQN&amp;VAR:QUERY=Q1NGX0RFQlQoQU5OLDEyLzMxLzE5OTIsMTIvMzEvMjAwOSxBWSk=&amp;WINDOW=FIRST_POPUP&amp;HEIGHT=450&amp;WI","DTH=450&amp;START_MAXIMIZED=FALSE&amp;VAR:CALENDAR=US&amp;VAR:SYMBOL=OMG&amp;VAR:INDEX=10"}</definedName>
    <definedName name="_3792__FDSAUDITLINK__" hidden="1">{"fdsup://directions/FAT Viewer?action=UPDATE&amp;creator=factset&amp;DYN_ARGS=TRUE&amp;DOC_NAME=FAT:FQL_AUDITING_CLIENT_TEMPLATE.FAT&amp;display_string=Audit&amp;VAR:KEY=MTCJEXEBQN&amp;VAR:QUERY=Q1NGX0RFQlQoQU5OLDEyLzMxLzE5OTIsMTIvMzEvMjAwOSxBWSk=&amp;WINDOW=FIRST_POPUP&amp;HEIGHT=450&amp;WI","DTH=450&amp;START_MAXIMIZED=FALSE&amp;VAR:CALENDAR=US&amp;VAR:SYMBOL=OMG&amp;VAR:INDEX=9"}</definedName>
    <definedName name="_3793__FDSAUDITLINK__" hidden="1">{"fdsup://directions/FAT Viewer?action=UPDATE&amp;creator=factset&amp;DYN_ARGS=TRUE&amp;DOC_NAME=FAT:FQL_AUDITING_CLIENT_TEMPLATE.FAT&amp;display_string=Audit&amp;VAR:KEY=MTCJEXEBQN&amp;VAR:QUERY=Q1NGX0RFQlQoQU5OLDEyLzMxLzE5OTIsMTIvMzEvMjAwOSxBWSk=&amp;WINDOW=FIRST_POPUP&amp;HEIGHT=450&amp;WI","DTH=450&amp;START_MAXIMIZED=FALSE&amp;VAR:CALENDAR=US&amp;VAR:SYMBOL=OMG&amp;VAR:INDEX=8"}</definedName>
    <definedName name="_3794__FDSAUDITLINK__" hidden="1">{"fdsup://directions/FAT Viewer?action=UPDATE&amp;creator=factset&amp;DYN_ARGS=TRUE&amp;DOC_NAME=FAT:FQL_AUDITING_CLIENT_TEMPLATE.FAT&amp;display_string=Audit&amp;VAR:KEY=MTCJEXEBQN&amp;VAR:QUERY=Q1NGX0RFQlQoQU5OLDEyLzMxLzE5OTIsMTIvMzEvMjAwOSxBWSk=&amp;WINDOW=FIRST_POPUP&amp;HEIGHT=450&amp;WI","DTH=450&amp;START_MAXIMIZED=FALSE&amp;VAR:CALENDAR=US&amp;VAR:SYMBOL=OMG&amp;VAR:INDEX=7"}</definedName>
    <definedName name="_3795__FDSAUDITLINK__" hidden="1">{"fdsup://directions/FAT Viewer?action=UPDATE&amp;creator=factset&amp;DYN_ARGS=TRUE&amp;DOC_NAME=FAT:FQL_AUDITING_CLIENT_TEMPLATE.FAT&amp;display_string=Audit&amp;VAR:KEY=MTCJEXEBQN&amp;VAR:QUERY=Q1NGX0RFQlQoQU5OLDEyLzMxLzE5OTIsMTIvMzEvMjAwOSxBWSk=&amp;WINDOW=FIRST_POPUP&amp;HEIGHT=450&amp;WI","DTH=450&amp;START_MAXIMIZED=FALSE&amp;VAR:CALENDAR=US&amp;VAR:SYMBOL=OMG&amp;VAR:INDEX=6"}</definedName>
    <definedName name="_3796__FDSAUDITLINK__" hidden="1">{"fdsup://directions/FAT Viewer?action=UPDATE&amp;creator=factset&amp;DYN_ARGS=TRUE&amp;DOC_NAME=FAT:FQL_AUDITING_CLIENT_TEMPLATE.FAT&amp;display_string=Audit&amp;VAR:KEY=MTCJEXEBQN&amp;VAR:QUERY=Q1NGX0RFQlQoQU5OLDEyLzMxLzE5OTIsMTIvMzEvMjAwOSxBWSk=&amp;WINDOW=FIRST_POPUP&amp;HEIGHT=450&amp;WI","DTH=450&amp;START_MAXIMIZED=FALSE&amp;VAR:CALENDAR=US&amp;VAR:SYMBOL=OMG&amp;VAR:INDEX=5"}</definedName>
    <definedName name="_3797__FDSAUDITLINK__" hidden="1">{"fdsup://directions/FAT Viewer?action=UPDATE&amp;creator=factset&amp;DYN_ARGS=TRUE&amp;DOC_NAME=FAT:FQL_AUDITING_CLIENT_TEMPLATE.FAT&amp;display_string=Audit&amp;VAR:KEY=MTCJEXEBQN&amp;VAR:QUERY=Q1NGX0RFQlQoQU5OLDEyLzMxLzE5OTIsMTIvMzEvMjAwOSxBWSk=&amp;WINDOW=FIRST_POPUP&amp;HEIGHT=450&amp;WI","DTH=450&amp;START_MAXIMIZED=FALSE&amp;VAR:CALENDAR=US&amp;VAR:SYMBOL=OMG&amp;VAR:INDEX=4"}</definedName>
    <definedName name="_3798__FDSAUDITLINK__" hidden="1">{"fdsup://directions/FAT Viewer?action=UPDATE&amp;creator=factset&amp;DYN_ARGS=TRUE&amp;DOC_NAME=FAT:FQL_AUDITING_CLIENT_TEMPLATE.FAT&amp;display_string=Audit&amp;VAR:KEY=MTCJEXEBQN&amp;VAR:QUERY=Q1NGX0RFQlQoQU5OLDEyLzMxLzE5OTIsMTIvMzEvMjAwOSxBWSk=&amp;WINDOW=FIRST_POPUP&amp;HEIGHT=450&amp;WI","DTH=450&amp;START_MAXIMIZED=FALSE&amp;VAR:CALENDAR=US&amp;VAR:SYMBOL=OMG&amp;VAR:INDEX=3"}</definedName>
    <definedName name="_3799__FDSAUDITLINK__" hidden="1">{"fdsup://directions/FAT Viewer?action=UPDATE&amp;creator=factset&amp;DYN_ARGS=TRUE&amp;DOC_NAME=FAT:FQL_AUDITING_CLIENT_TEMPLATE.FAT&amp;display_string=Audit&amp;VAR:KEY=MTCJEXEBQN&amp;VAR:QUERY=Q1NGX0RFQlQoQU5OLDEyLzMxLzE5OTIsMTIvMzEvMjAwOSxBWSk=&amp;WINDOW=FIRST_POPUP&amp;HEIGHT=450&amp;WI","DTH=450&amp;START_MAXIMIZED=FALSE&amp;VAR:CALENDAR=US&amp;VAR:SYMBOL=OMG&amp;VAR:INDEX=2"}</definedName>
    <definedName name="_38__FDSAUDITLINK__" hidden="1">{"fdsup://directions/FAT Viewer?action=UPDATE&amp;creator=factset&amp;DYN_ARGS=TRUE&amp;DOC_NAME=FAT:FQL_AUDITING_CLIENT_TEMPLATE.FAT&amp;display_string=Audit&amp;VAR:KEY=SPOFOZEXEH&amp;VAR:QUERY=Q1NGX0RFQlQoUVRSX1IsMCk=&amp;WINDOW=FIRST_POPUP&amp;HEIGHT=450&amp;WIDTH=450&amp;START_MAXIMIZED=FALS","E&amp;VAR:CALENDAR=US&amp;VAR:SYMBOL=GGC&amp;VAR:INDEX=0"}</definedName>
    <definedName name="_380__FDSAUDITLINK__" hidden="1">{"fdsup://directions/FAT Viewer?action=UPDATE&amp;creator=factset&amp;DYN_ARGS=TRUE&amp;DOC_NAME=FAT:FQL_AUDITING_CLIENT_TEMPLATE.FAT&amp;display_string=Audit&amp;VAR:KEY=CNKXYVWFWF&amp;VAR:QUERY=Q1NGX0VCSVRfT1BFUihBTk4sMTIvMzEvODAsMCk=&amp;WINDOW=FIRST_POPUP&amp;HEIGHT=450&amp;WIDTH=450&amp;STAR","T_MAXIMIZED=FALSE&amp;VAR:CALENDAR=US&amp;VAR:SYMBOL=SOA&amp;VAR:INDEX=5"}</definedName>
    <definedName name="_3800__FDSAUDITLINK__" hidden="1">{"fdsup://directions/FAT Viewer?action=UPDATE&amp;creator=factset&amp;DYN_ARGS=TRUE&amp;DOC_NAME=FAT:FQL_AUDITING_CLIENT_TEMPLATE.FAT&amp;display_string=Audit&amp;VAR:KEY=MTCJEXEBQN&amp;VAR:QUERY=Q1NGX0RFQlQoQU5OLDEyLzMxLzE5OTIsMTIvMzEvMjAwOSxBWSk=&amp;WINDOW=FIRST_POPUP&amp;HEIGHT=450&amp;WI","DTH=450&amp;START_MAXIMIZED=FALSE&amp;VAR:CALENDAR=US&amp;VAR:SYMBOL=OMG&amp;VAR:INDEX=1"}</definedName>
    <definedName name="_3801__FDSAUDITLINK__" hidden="1">{"fdsup://directions/FAT Viewer?action=UPDATE&amp;creator=factset&amp;DYN_ARGS=TRUE&amp;DOC_NAME=FAT:FQL_AUDITING_CLIENT_TEMPLATE.FAT&amp;display_string=Audit&amp;VAR:KEY=MTCJEXEBQN&amp;VAR:QUERY=Q1NGX0RFQlQoQU5OLDEyLzMxLzE5OTIsMTIvMzEvMjAwOSxBWSk=&amp;WINDOW=FIRST_POPUP&amp;HEIGHT=450&amp;WI","DTH=450&amp;START_MAXIMIZED=FALSE&amp;VAR:CALENDAR=US&amp;VAR:SYMBOL=OMG&amp;VAR:INDEX=0"}</definedName>
    <definedName name="_3802__FDSAUDITLINK__" hidden="1">{"fdsup://directions/FAT Viewer?action=UPDATE&amp;creator=factset&amp;DYN_ARGS=TRUE&amp;DOC_NAME=FAT:FQL_AUDITING_CLIENT_TEMPLATE.FAT&amp;display_string=Audit&amp;VAR:KEY=SJAFALGHYX&amp;VAR:QUERY=Q1NGX0RFQlQoQU5OLDEyLzMxLzE5ODAsMTIvMzEvMjAwOSxBWSk=&amp;WINDOW=FIRST_POPUP&amp;HEIGHT=450&amp;WI","DTH=450&amp;START_MAXIMIZED=FALSE&amp;VAR:CALENDAR=US&amp;VAR:SYMBOL=LXU&amp;VAR:INDEX=29"}</definedName>
    <definedName name="_3803__FDSAUDITLINK__" hidden="1">{"fdsup://directions/FAT Viewer?action=UPDATE&amp;creator=factset&amp;DYN_ARGS=TRUE&amp;DOC_NAME=FAT:FQL_AUDITING_CLIENT_TEMPLATE.FAT&amp;display_string=Audit&amp;VAR:KEY=SJAFALGHYX&amp;VAR:QUERY=Q1NGX0RFQlQoQU5OLDEyLzMxLzE5ODAsMTIvMzEvMjAwOSxBWSk=&amp;WINDOW=FIRST_POPUP&amp;HEIGHT=450&amp;WI","DTH=450&amp;START_MAXIMIZED=FALSE&amp;VAR:CALENDAR=US&amp;VAR:SYMBOL=LXU&amp;VAR:INDEX=28"}</definedName>
    <definedName name="_3804__FDSAUDITLINK__" hidden="1">{"fdsup://directions/FAT Viewer?action=UPDATE&amp;creator=factset&amp;DYN_ARGS=TRUE&amp;DOC_NAME=FAT:FQL_AUDITING_CLIENT_TEMPLATE.FAT&amp;display_string=Audit&amp;VAR:KEY=SJAFALGHYX&amp;VAR:QUERY=Q1NGX0RFQlQoQU5OLDEyLzMxLzE5ODAsMTIvMzEvMjAwOSxBWSk=&amp;WINDOW=FIRST_POPUP&amp;HEIGHT=450&amp;WI","DTH=450&amp;START_MAXIMIZED=FALSE&amp;VAR:CALENDAR=US&amp;VAR:SYMBOL=LXU&amp;VAR:INDEX=27"}</definedName>
    <definedName name="_3805__FDSAUDITLINK__" hidden="1">{"fdsup://directions/FAT Viewer?action=UPDATE&amp;creator=factset&amp;DYN_ARGS=TRUE&amp;DOC_NAME=FAT:FQL_AUDITING_CLIENT_TEMPLATE.FAT&amp;display_string=Audit&amp;VAR:KEY=SJAFALGHYX&amp;VAR:QUERY=Q1NGX0RFQlQoQU5OLDEyLzMxLzE5ODAsMTIvMzEvMjAwOSxBWSk=&amp;WINDOW=FIRST_POPUP&amp;HEIGHT=450&amp;WI","DTH=450&amp;START_MAXIMIZED=FALSE&amp;VAR:CALENDAR=US&amp;VAR:SYMBOL=LXU&amp;VAR:INDEX=26"}</definedName>
    <definedName name="_3806__FDSAUDITLINK__" hidden="1">{"fdsup://directions/FAT Viewer?action=UPDATE&amp;creator=factset&amp;DYN_ARGS=TRUE&amp;DOC_NAME=FAT:FQL_AUDITING_CLIENT_TEMPLATE.FAT&amp;display_string=Audit&amp;VAR:KEY=SJAFALGHYX&amp;VAR:QUERY=Q1NGX0RFQlQoQU5OLDEyLzMxLzE5ODAsMTIvMzEvMjAwOSxBWSk=&amp;WINDOW=FIRST_POPUP&amp;HEIGHT=450&amp;WI","DTH=450&amp;START_MAXIMIZED=FALSE&amp;VAR:CALENDAR=US&amp;VAR:SYMBOL=LXU&amp;VAR:INDEX=25"}</definedName>
    <definedName name="_3807__FDSAUDITLINK__" hidden="1">{"fdsup://directions/FAT Viewer?action=UPDATE&amp;creator=factset&amp;DYN_ARGS=TRUE&amp;DOC_NAME=FAT:FQL_AUDITING_CLIENT_TEMPLATE.FAT&amp;display_string=Audit&amp;VAR:KEY=SJAFALGHYX&amp;VAR:QUERY=Q1NGX0RFQlQoQU5OLDEyLzMxLzE5ODAsMTIvMzEvMjAwOSxBWSk=&amp;WINDOW=FIRST_POPUP&amp;HEIGHT=450&amp;WI","DTH=450&amp;START_MAXIMIZED=FALSE&amp;VAR:CALENDAR=US&amp;VAR:SYMBOL=LXU&amp;VAR:INDEX=24"}</definedName>
    <definedName name="_3808__FDSAUDITLINK__" hidden="1">{"fdsup://directions/FAT Viewer?action=UPDATE&amp;creator=factset&amp;DYN_ARGS=TRUE&amp;DOC_NAME=FAT:FQL_AUDITING_CLIENT_TEMPLATE.FAT&amp;display_string=Audit&amp;VAR:KEY=SJAFALGHYX&amp;VAR:QUERY=Q1NGX0RFQlQoQU5OLDEyLzMxLzE5ODAsMTIvMzEvMjAwOSxBWSk=&amp;WINDOW=FIRST_POPUP&amp;HEIGHT=450&amp;WI","DTH=450&amp;START_MAXIMIZED=FALSE&amp;VAR:CALENDAR=US&amp;VAR:SYMBOL=LXU&amp;VAR:INDEX=23"}</definedName>
    <definedName name="_3809__FDSAUDITLINK__" hidden="1">{"fdsup://directions/FAT Viewer?action=UPDATE&amp;creator=factset&amp;DYN_ARGS=TRUE&amp;DOC_NAME=FAT:FQL_AUDITING_CLIENT_TEMPLATE.FAT&amp;display_string=Audit&amp;VAR:KEY=SJAFALGHYX&amp;VAR:QUERY=Q1NGX0RFQlQoQU5OLDEyLzMxLzE5ODAsMTIvMzEvMjAwOSxBWSk=&amp;WINDOW=FIRST_POPUP&amp;HEIGHT=450&amp;WI","DTH=450&amp;START_MAXIMIZED=FALSE&amp;VAR:CALENDAR=US&amp;VAR:SYMBOL=LXU&amp;VAR:INDEX=22"}</definedName>
    <definedName name="_381__FDSAUDITLINK__" hidden="1">{"fdsup://directions/FAT Viewer?action=UPDATE&amp;creator=factset&amp;DYN_ARGS=TRUE&amp;DOC_NAME=FAT:FQL_AUDITING_CLIENT_TEMPLATE.FAT&amp;display_string=Audit&amp;VAR:KEY=CNKXYVWFWF&amp;VAR:QUERY=Q1NGX0VCSVRfT1BFUihBTk4sMTIvMzEvODAsMCk=&amp;WINDOW=FIRST_POPUP&amp;HEIGHT=450&amp;WIDTH=450&amp;STAR","T_MAXIMIZED=FALSE&amp;VAR:CALENDAR=US&amp;VAR:SYMBOL=SOA&amp;VAR:INDEX=4"}</definedName>
    <definedName name="_3810__FDSAUDITLINK__" hidden="1">{"fdsup://directions/FAT Viewer?action=UPDATE&amp;creator=factset&amp;DYN_ARGS=TRUE&amp;DOC_NAME=FAT:FQL_AUDITING_CLIENT_TEMPLATE.FAT&amp;display_string=Audit&amp;VAR:KEY=SJAFALGHYX&amp;VAR:QUERY=Q1NGX0RFQlQoQU5OLDEyLzMxLzE5ODAsMTIvMzEvMjAwOSxBWSk=&amp;WINDOW=FIRST_POPUP&amp;HEIGHT=450&amp;WI","DTH=450&amp;START_MAXIMIZED=FALSE&amp;VAR:CALENDAR=US&amp;VAR:SYMBOL=LXU&amp;VAR:INDEX=21"}</definedName>
    <definedName name="_3811__FDSAUDITLINK__" hidden="1">{"fdsup://directions/FAT Viewer?action=UPDATE&amp;creator=factset&amp;DYN_ARGS=TRUE&amp;DOC_NAME=FAT:FQL_AUDITING_CLIENT_TEMPLATE.FAT&amp;display_string=Audit&amp;VAR:KEY=SJAFALGHYX&amp;VAR:QUERY=Q1NGX0RFQlQoQU5OLDEyLzMxLzE5ODAsMTIvMzEvMjAwOSxBWSk=&amp;WINDOW=FIRST_POPUP&amp;HEIGHT=450&amp;WI","DTH=450&amp;START_MAXIMIZED=FALSE&amp;VAR:CALENDAR=US&amp;VAR:SYMBOL=LXU&amp;VAR:INDEX=20"}</definedName>
    <definedName name="_3812__FDSAUDITLINK__" hidden="1">{"fdsup://directions/FAT Viewer?action=UPDATE&amp;creator=factset&amp;DYN_ARGS=TRUE&amp;DOC_NAME=FAT:FQL_AUDITING_CLIENT_TEMPLATE.FAT&amp;display_string=Audit&amp;VAR:KEY=SJAFALGHYX&amp;VAR:QUERY=Q1NGX0RFQlQoQU5OLDEyLzMxLzE5ODAsMTIvMzEvMjAwOSxBWSk=&amp;WINDOW=FIRST_POPUP&amp;HEIGHT=450&amp;WI","DTH=450&amp;START_MAXIMIZED=FALSE&amp;VAR:CALENDAR=US&amp;VAR:SYMBOL=LXU&amp;VAR:INDEX=19"}</definedName>
    <definedName name="_3813__FDSAUDITLINK__" hidden="1">{"fdsup://directions/FAT Viewer?action=UPDATE&amp;creator=factset&amp;DYN_ARGS=TRUE&amp;DOC_NAME=FAT:FQL_AUDITING_CLIENT_TEMPLATE.FAT&amp;display_string=Audit&amp;VAR:KEY=SJAFALGHYX&amp;VAR:QUERY=Q1NGX0RFQlQoQU5OLDEyLzMxLzE5ODAsMTIvMzEvMjAwOSxBWSk=&amp;WINDOW=FIRST_POPUP&amp;HEIGHT=450&amp;WI","DTH=450&amp;START_MAXIMIZED=FALSE&amp;VAR:CALENDAR=US&amp;VAR:SYMBOL=LXU&amp;VAR:INDEX=18"}</definedName>
    <definedName name="_3814__FDSAUDITLINK__" hidden="1">{"fdsup://directions/FAT Viewer?action=UPDATE&amp;creator=factset&amp;DYN_ARGS=TRUE&amp;DOC_NAME=FAT:FQL_AUDITING_CLIENT_TEMPLATE.FAT&amp;display_string=Audit&amp;VAR:KEY=SJAFALGHYX&amp;VAR:QUERY=Q1NGX0RFQlQoQU5OLDEyLzMxLzE5ODAsMTIvMzEvMjAwOSxBWSk=&amp;WINDOW=FIRST_POPUP&amp;HEIGHT=450&amp;WI","DTH=450&amp;START_MAXIMIZED=FALSE&amp;VAR:CALENDAR=US&amp;VAR:SYMBOL=LXU&amp;VAR:INDEX=17"}</definedName>
    <definedName name="_3815__FDSAUDITLINK__" hidden="1">{"fdsup://directions/FAT Viewer?action=UPDATE&amp;creator=factset&amp;DYN_ARGS=TRUE&amp;DOC_NAME=FAT:FQL_AUDITING_CLIENT_TEMPLATE.FAT&amp;display_string=Audit&amp;VAR:KEY=SJAFALGHYX&amp;VAR:QUERY=Q1NGX0RFQlQoQU5OLDEyLzMxLzE5ODAsMTIvMzEvMjAwOSxBWSk=&amp;WINDOW=FIRST_POPUP&amp;HEIGHT=450&amp;WI","DTH=450&amp;START_MAXIMIZED=FALSE&amp;VAR:CALENDAR=US&amp;VAR:SYMBOL=LXU&amp;VAR:INDEX=16"}</definedName>
    <definedName name="_3816__FDSAUDITLINK__" hidden="1">{"fdsup://directions/FAT Viewer?action=UPDATE&amp;creator=factset&amp;DYN_ARGS=TRUE&amp;DOC_NAME=FAT:FQL_AUDITING_CLIENT_TEMPLATE.FAT&amp;display_string=Audit&amp;VAR:KEY=SJAFALGHYX&amp;VAR:QUERY=Q1NGX0RFQlQoQU5OLDEyLzMxLzE5ODAsMTIvMzEvMjAwOSxBWSk=&amp;WINDOW=FIRST_POPUP&amp;HEIGHT=450&amp;WI","DTH=450&amp;START_MAXIMIZED=FALSE&amp;VAR:CALENDAR=US&amp;VAR:SYMBOL=LXU&amp;VAR:INDEX=15"}</definedName>
    <definedName name="_3817__FDSAUDITLINK__" hidden="1">{"fdsup://directions/FAT Viewer?action=UPDATE&amp;creator=factset&amp;DYN_ARGS=TRUE&amp;DOC_NAME=FAT:FQL_AUDITING_CLIENT_TEMPLATE.FAT&amp;display_string=Audit&amp;VAR:KEY=SJAFALGHYX&amp;VAR:QUERY=Q1NGX0RFQlQoQU5OLDEyLzMxLzE5ODAsMTIvMzEvMjAwOSxBWSk=&amp;WINDOW=FIRST_POPUP&amp;HEIGHT=450&amp;WI","DTH=450&amp;START_MAXIMIZED=FALSE&amp;VAR:CALENDAR=US&amp;VAR:SYMBOL=LXU&amp;VAR:INDEX=14"}</definedName>
    <definedName name="_3818__FDSAUDITLINK__" hidden="1">{"fdsup://directions/FAT Viewer?action=UPDATE&amp;creator=factset&amp;DYN_ARGS=TRUE&amp;DOC_NAME=FAT:FQL_AUDITING_CLIENT_TEMPLATE.FAT&amp;display_string=Audit&amp;VAR:KEY=SJAFALGHYX&amp;VAR:QUERY=Q1NGX0RFQlQoQU5OLDEyLzMxLzE5ODAsMTIvMzEvMjAwOSxBWSk=&amp;WINDOW=FIRST_POPUP&amp;HEIGHT=450&amp;WI","DTH=450&amp;START_MAXIMIZED=FALSE&amp;VAR:CALENDAR=US&amp;VAR:SYMBOL=LXU&amp;VAR:INDEX=13"}</definedName>
    <definedName name="_3819__FDSAUDITLINK__" hidden="1">{"fdsup://directions/FAT Viewer?action=UPDATE&amp;creator=factset&amp;DYN_ARGS=TRUE&amp;DOC_NAME=FAT:FQL_AUDITING_CLIENT_TEMPLATE.FAT&amp;display_string=Audit&amp;VAR:KEY=SJAFALGHYX&amp;VAR:QUERY=Q1NGX0RFQlQoQU5OLDEyLzMxLzE5ODAsMTIvMzEvMjAwOSxBWSk=&amp;WINDOW=FIRST_POPUP&amp;HEIGHT=450&amp;WI","DTH=450&amp;START_MAXIMIZED=FALSE&amp;VAR:CALENDAR=US&amp;VAR:SYMBOL=LXU&amp;VAR:INDEX=12"}</definedName>
    <definedName name="_382__FDSAUDITLINK__" hidden="1">{"fdsup://directions/FAT Viewer?action=UPDATE&amp;creator=factset&amp;DYN_ARGS=TRUE&amp;DOC_NAME=FAT:FQL_AUDITING_CLIENT_TEMPLATE.FAT&amp;display_string=Audit&amp;VAR:KEY=CNKXYVWFWF&amp;VAR:QUERY=Q1NGX0VCSVRfT1BFUihBTk4sMTIvMzEvODAsMCk=&amp;WINDOW=FIRST_POPUP&amp;HEIGHT=450&amp;WIDTH=450&amp;STAR","T_MAXIMIZED=FALSE&amp;VAR:CALENDAR=US&amp;VAR:SYMBOL=SOA&amp;VAR:INDEX=3"}</definedName>
    <definedName name="_3820__FDSAUDITLINK__" hidden="1">{"fdsup://directions/FAT Viewer?action=UPDATE&amp;creator=factset&amp;DYN_ARGS=TRUE&amp;DOC_NAME=FAT:FQL_AUDITING_CLIENT_TEMPLATE.FAT&amp;display_string=Audit&amp;VAR:KEY=SJAFALGHYX&amp;VAR:QUERY=Q1NGX0RFQlQoQU5OLDEyLzMxLzE5ODAsMTIvMzEvMjAwOSxBWSk=&amp;WINDOW=FIRST_POPUP&amp;HEIGHT=450&amp;WI","DTH=450&amp;START_MAXIMIZED=FALSE&amp;VAR:CALENDAR=US&amp;VAR:SYMBOL=LXU&amp;VAR:INDEX=11"}</definedName>
    <definedName name="_3821__FDSAUDITLINK__" hidden="1">{"fdsup://directions/FAT Viewer?action=UPDATE&amp;creator=factset&amp;DYN_ARGS=TRUE&amp;DOC_NAME=FAT:FQL_AUDITING_CLIENT_TEMPLATE.FAT&amp;display_string=Audit&amp;VAR:KEY=SJAFALGHYX&amp;VAR:QUERY=Q1NGX0RFQlQoQU5OLDEyLzMxLzE5ODAsMTIvMzEvMjAwOSxBWSk=&amp;WINDOW=FIRST_POPUP&amp;HEIGHT=450&amp;WI","DTH=450&amp;START_MAXIMIZED=FALSE&amp;VAR:CALENDAR=US&amp;VAR:SYMBOL=LXU&amp;VAR:INDEX=10"}</definedName>
    <definedName name="_3822__FDSAUDITLINK__" hidden="1">{"fdsup://directions/FAT Viewer?action=UPDATE&amp;creator=factset&amp;DYN_ARGS=TRUE&amp;DOC_NAME=FAT:FQL_AUDITING_CLIENT_TEMPLATE.FAT&amp;display_string=Audit&amp;VAR:KEY=SJAFALGHYX&amp;VAR:QUERY=Q1NGX0RFQlQoQU5OLDEyLzMxLzE5ODAsMTIvMzEvMjAwOSxBWSk=&amp;WINDOW=FIRST_POPUP&amp;HEIGHT=450&amp;WI","DTH=450&amp;START_MAXIMIZED=FALSE&amp;VAR:CALENDAR=US&amp;VAR:SYMBOL=LXU&amp;VAR:INDEX=9"}</definedName>
    <definedName name="_3823__FDSAUDITLINK__" hidden="1">{"fdsup://directions/FAT Viewer?action=UPDATE&amp;creator=factset&amp;DYN_ARGS=TRUE&amp;DOC_NAME=FAT:FQL_AUDITING_CLIENT_TEMPLATE.FAT&amp;display_string=Audit&amp;VAR:KEY=SJAFALGHYX&amp;VAR:QUERY=Q1NGX0RFQlQoQU5OLDEyLzMxLzE5ODAsMTIvMzEvMjAwOSxBWSk=&amp;WINDOW=FIRST_POPUP&amp;HEIGHT=450&amp;WI","DTH=450&amp;START_MAXIMIZED=FALSE&amp;VAR:CALENDAR=US&amp;VAR:SYMBOL=LXU&amp;VAR:INDEX=8"}</definedName>
    <definedName name="_3824__FDSAUDITLINK__" hidden="1">{"fdsup://directions/FAT Viewer?action=UPDATE&amp;creator=factset&amp;DYN_ARGS=TRUE&amp;DOC_NAME=FAT:FQL_AUDITING_CLIENT_TEMPLATE.FAT&amp;display_string=Audit&amp;VAR:KEY=SJAFALGHYX&amp;VAR:QUERY=Q1NGX0RFQlQoQU5OLDEyLzMxLzE5ODAsMTIvMzEvMjAwOSxBWSk=&amp;WINDOW=FIRST_POPUP&amp;HEIGHT=450&amp;WI","DTH=450&amp;START_MAXIMIZED=FALSE&amp;VAR:CALENDAR=US&amp;VAR:SYMBOL=LXU&amp;VAR:INDEX=7"}</definedName>
    <definedName name="_3825__FDSAUDITLINK__" hidden="1">{"fdsup://directions/FAT Viewer?action=UPDATE&amp;creator=factset&amp;DYN_ARGS=TRUE&amp;DOC_NAME=FAT:FQL_AUDITING_CLIENT_TEMPLATE.FAT&amp;display_string=Audit&amp;VAR:KEY=SJAFALGHYX&amp;VAR:QUERY=Q1NGX0RFQlQoQU5OLDEyLzMxLzE5ODAsMTIvMzEvMjAwOSxBWSk=&amp;WINDOW=FIRST_POPUP&amp;HEIGHT=450&amp;WI","DTH=450&amp;START_MAXIMIZED=FALSE&amp;VAR:CALENDAR=US&amp;VAR:SYMBOL=LXU&amp;VAR:INDEX=6"}</definedName>
    <definedName name="_3826__FDSAUDITLINK__" hidden="1">{"fdsup://directions/FAT Viewer?action=UPDATE&amp;creator=factset&amp;DYN_ARGS=TRUE&amp;DOC_NAME=FAT:FQL_AUDITING_CLIENT_TEMPLATE.FAT&amp;display_string=Audit&amp;VAR:KEY=SJAFALGHYX&amp;VAR:QUERY=Q1NGX0RFQlQoQU5OLDEyLzMxLzE5ODAsMTIvMzEvMjAwOSxBWSk=&amp;WINDOW=FIRST_POPUP&amp;HEIGHT=450&amp;WI","DTH=450&amp;START_MAXIMIZED=FALSE&amp;VAR:CALENDAR=US&amp;VAR:SYMBOL=LXU&amp;VAR:INDEX=5"}</definedName>
    <definedName name="_3827__FDSAUDITLINK__" hidden="1">{"fdsup://directions/FAT Viewer?action=UPDATE&amp;creator=factset&amp;DYN_ARGS=TRUE&amp;DOC_NAME=FAT:FQL_AUDITING_CLIENT_TEMPLATE.FAT&amp;display_string=Audit&amp;VAR:KEY=SJAFALGHYX&amp;VAR:QUERY=Q1NGX0RFQlQoQU5OLDEyLzMxLzE5ODAsMTIvMzEvMjAwOSxBWSk=&amp;WINDOW=FIRST_POPUP&amp;HEIGHT=450&amp;WI","DTH=450&amp;START_MAXIMIZED=FALSE&amp;VAR:CALENDAR=US&amp;VAR:SYMBOL=LXU&amp;VAR:INDEX=4"}</definedName>
    <definedName name="_3828__FDSAUDITLINK__" hidden="1">{"fdsup://directions/FAT Viewer?action=UPDATE&amp;creator=factset&amp;DYN_ARGS=TRUE&amp;DOC_NAME=FAT:FQL_AUDITING_CLIENT_TEMPLATE.FAT&amp;display_string=Audit&amp;VAR:KEY=SJAFALGHYX&amp;VAR:QUERY=Q1NGX0RFQlQoQU5OLDEyLzMxLzE5ODAsMTIvMzEvMjAwOSxBWSk=&amp;WINDOW=FIRST_POPUP&amp;HEIGHT=450&amp;WI","DTH=450&amp;START_MAXIMIZED=FALSE&amp;VAR:CALENDAR=US&amp;VAR:SYMBOL=LXU&amp;VAR:INDEX=3"}</definedName>
    <definedName name="_3829__FDSAUDITLINK__" hidden="1">{"fdsup://directions/FAT Viewer?action=UPDATE&amp;creator=factset&amp;DYN_ARGS=TRUE&amp;DOC_NAME=FAT:FQL_AUDITING_CLIENT_TEMPLATE.FAT&amp;display_string=Audit&amp;VAR:KEY=SJAFALGHYX&amp;VAR:QUERY=Q1NGX0RFQlQoQU5OLDEyLzMxLzE5ODAsMTIvMzEvMjAwOSxBWSk=&amp;WINDOW=FIRST_POPUP&amp;HEIGHT=450&amp;WI","DTH=450&amp;START_MAXIMIZED=FALSE&amp;VAR:CALENDAR=US&amp;VAR:SYMBOL=LXU&amp;VAR:INDEX=2"}</definedName>
    <definedName name="_383__FDSAUDITLINK__" hidden="1">{"fdsup://directions/FAT Viewer?action=UPDATE&amp;creator=factset&amp;DYN_ARGS=TRUE&amp;DOC_NAME=FAT:FQL_AUDITING_CLIENT_TEMPLATE.FAT&amp;display_string=Audit&amp;VAR:KEY=CNKXYVWFWF&amp;VAR:QUERY=Q1NGX0VCSVRfT1BFUihBTk4sMTIvMzEvODAsMCk=&amp;WINDOW=FIRST_POPUP&amp;HEIGHT=450&amp;WIDTH=450&amp;STAR","T_MAXIMIZED=FALSE&amp;VAR:CALENDAR=US&amp;VAR:SYMBOL=SOA&amp;VAR:INDEX=2"}</definedName>
    <definedName name="_3830__FDSAUDITLINK__" hidden="1">{"fdsup://directions/FAT Viewer?action=UPDATE&amp;creator=factset&amp;DYN_ARGS=TRUE&amp;DOC_NAME=FAT:FQL_AUDITING_CLIENT_TEMPLATE.FAT&amp;display_string=Audit&amp;VAR:KEY=SJAFALGHYX&amp;VAR:QUERY=Q1NGX0RFQlQoQU5OLDEyLzMxLzE5ODAsMTIvMzEvMjAwOSxBWSk=&amp;WINDOW=FIRST_POPUP&amp;HEIGHT=450&amp;WI","DTH=450&amp;START_MAXIMIZED=FALSE&amp;VAR:CALENDAR=US&amp;VAR:SYMBOL=LXU&amp;VAR:INDEX=1"}</definedName>
    <definedName name="_3831__FDSAUDITLINK__" hidden="1">{"fdsup://directions/FAT Viewer?action=UPDATE&amp;creator=factset&amp;DYN_ARGS=TRUE&amp;DOC_NAME=FAT:FQL_AUDITING_CLIENT_TEMPLATE.FAT&amp;display_string=Audit&amp;VAR:KEY=SJAFALGHYX&amp;VAR:QUERY=Q1NGX0RFQlQoQU5OLDEyLzMxLzE5ODAsMTIvMzEvMjAwOSxBWSk=&amp;WINDOW=FIRST_POPUP&amp;HEIGHT=450&amp;WI","DTH=450&amp;START_MAXIMIZED=FALSE&amp;VAR:CALENDAR=US&amp;VAR:SYMBOL=LXU&amp;VAR:INDEX=0"}</definedName>
    <definedName name="_3832__FDSAUDITLINK__" hidden="1">{"fdsup://directions/FAT Viewer?action=UPDATE&amp;creator=factset&amp;DYN_ARGS=TRUE&amp;DOC_NAME=FAT:FQL_AUDITING_CLIENT_TEMPLATE.FAT&amp;display_string=Audit&amp;VAR:KEY=SZYRAVYVMD&amp;VAR:QUERY=Q1NGX0RFQlQoQU5OLDEyLzMxLzE5ODAsMTIvMzEvMjAwOSxBWSk=&amp;WINDOW=FIRST_POPUP&amp;HEIGHT=450&amp;WI","DTH=450&amp;START_MAXIMIZED=FALSE&amp;VAR:CALENDAR=US&amp;VAR:SYMBOL=IFF&amp;VAR:INDEX=29"}</definedName>
    <definedName name="_3833__FDSAUDITLINK__" hidden="1">{"fdsup://directions/FAT Viewer?action=UPDATE&amp;creator=factset&amp;DYN_ARGS=TRUE&amp;DOC_NAME=FAT:FQL_AUDITING_CLIENT_TEMPLATE.FAT&amp;display_string=Audit&amp;VAR:KEY=SZYRAVYVMD&amp;VAR:QUERY=Q1NGX0RFQlQoQU5OLDEyLzMxLzE5ODAsMTIvMzEvMjAwOSxBWSk=&amp;WINDOW=FIRST_POPUP&amp;HEIGHT=450&amp;WI","DTH=450&amp;START_MAXIMIZED=FALSE&amp;VAR:CALENDAR=US&amp;VAR:SYMBOL=IFF&amp;VAR:INDEX=28"}</definedName>
    <definedName name="_3834__FDSAUDITLINK__" hidden="1">{"fdsup://directions/FAT Viewer?action=UPDATE&amp;creator=factset&amp;DYN_ARGS=TRUE&amp;DOC_NAME=FAT:FQL_AUDITING_CLIENT_TEMPLATE.FAT&amp;display_string=Audit&amp;VAR:KEY=SZYRAVYVMD&amp;VAR:QUERY=Q1NGX0RFQlQoQU5OLDEyLzMxLzE5ODAsMTIvMzEvMjAwOSxBWSk=&amp;WINDOW=FIRST_POPUP&amp;HEIGHT=450&amp;WI","DTH=450&amp;START_MAXIMIZED=FALSE&amp;VAR:CALENDAR=US&amp;VAR:SYMBOL=IFF&amp;VAR:INDEX=27"}</definedName>
    <definedName name="_3835__FDSAUDITLINK__" hidden="1">{"fdsup://directions/FAT Viewer?action=UPDATE&amp;creator=factset&amp;DYN_ARGS=TRUE&amp;DOC_NAME=FAT:FQL_AUDITING_CLIENT_TEMPLATE.FAT&amp;display_string=Audit&amp;VAR:KEY=SZYRAVYVMD&amp;VAR:QUERY=Q1NGX0RFQlQoQU5OLDEyLzMxLzE5ODAsMTIvMzEvMjAwOSxBWSk=&amp;WINDOW=FIRST_POPUP&amp;HEIGHT=450&amp;WI","DTH=450&amp;START_MAXIMIZED=FALSE&amp;VAR:CALENDAR=US&amp;VAR:SYMBOL=IFF&amp;VAR:INDEX=26"}</definedName>
    <definedName name="_3836__FDSAUDITLINK__" hidden="1">{"fdsup://directions/FAT Viewer?action=UPDATE&amp;creator=factset&amp;DYN_ARGS=TRUE&amp;DOC_NAME=FAT:FQL_AUDITING_CLIENT_TEMPLATE.FAT&amp;display_string=Audit&amp;VAR:KEY=SZYRAVYVMD&amp;VAR:QUERY=Q1NGX0RFQlQoQU5OLDEyLzMxLzE5ODAsMTIvMzEvMjAwOSxBWSk=&amp;WINDOW=FIRST_POPUP&amp;HEIGHT=450&amp;WI","DTH=450&amp;START_MAXIMIZED=FALSE&amp;VAR:CALENDAR=US&amp;VAR:SYMBOL=IFF&amp;VAR:INDEX=25"}</definedName>
    <definedName name="_3837__FDSAUDITLINK__" hidden="1">{"fdsup://directions/FAT Viewer?action=UPDATE&amp;creator=factset&amp;DYN_ARGS=TRUE&amp;DOC_NAME=FAT:FQL_AUDITING_CLIENT_TEMPLATE.FAT&amp;display_string=Audit&amp;VAR:KEY=SZYRAVYVMD&amp;VAR:QUERY=Q1NGX0RFQlQoQU5OLDEyLzMxLzE5ODAsMTIvMzEvMjAwOSxBWSk=&amp;WINDOW=FIRST_POPUP&amp;HEIGHT=450&amp;WI","DTH=450&amp;START_MAXIMIZED=FALSE&amp;VAR:CALENDAR=US&amp;VAR:SYMBOL=IFF&amp;VAR:INDEX=24"}</definedName>
    <definedName name="_3838__FDSAUDITLINK__" hidden="1">{"fdsup://directions/FAT Viewer?action=UPDATE&amp;creator=factset&amp;DYN_ARGS=TRUE&amp;DOC_NAME=FAT:FQL_AUDITING_CLIENT_TEMPLATE.FAT&amp;display_string=Audit&amp;VAR:KEY=SZYRAVYVMD&amp;VAR:QUERY=Q1NGX0RFQlQoQU5OLDEyLzMxLzE5ODAsMTIvMzEvMjAwOSxBWSk=&amp;WINDOW=FIRST_POPUP&amp;HEIGHT=450&amp;WI","DTH=450&amp;START_MAXIMIZED=FALSE&amp;VAR:CALENDAR=US&amp;VAR:SYMBOL=IFF&amp;VAR:INDEX=23"}</definedName>
    <definedName name="_3839__FDSAUDITLINK__" hidden="1">{"fdsup://directions/FAT Viewer?action=UPDATE&amp;creator=factset&amp;DYN_ARGS=TRUE&amp;DOC_NAME=FAT:FQL_AUDITING_CLIENT_TEMPLATE.FAT&amp;display_string=Audit&amp;VAR:KEY=SZYRAVYVMD&amp;VAR:QUERY=Q1NGX0RFQlQoQU5OLDEyLzMxLzE5ODAsMTIvMzEvMjAwOSxBWSk=&amp;WINDOW=FIRST_POPUP&amp;HEIGHT=450&amp;WI","DTH=450&amp;START_MAXIMIZED=FALSE&amp;VAR:CALENDAR=US&amp;VAR:SYMBOL=IFF&amp;VAR:INDEX=22"}</definedName>
    <definedName name="_384__FDSAUDITLINK__" hidden="1">{"fdsup://directions/FAT Viewer?action=UPDATE&amp;creator=factset&amp;DYN_ARGS=TRUE&amp;DOC_NAME=FAT:FQL_AUDITING_CLIENT_TEMPLATE.FAT&amp;display_string=Audit&amp;VAR:KEY=CNKXYVWFWF&amp;VAR:QUERY=Q1NGX0VCSVRfT1BFUihBTk4sMTIvMzEvODAsMCk=&amp;WINDOW=FIRST_POPUP&amp;HEIGHT=450&amp;WIDTH=450&amp;STAR","T_MAXIMIZED=FALSE&amp;VAR:CALENDAR=US&amp;VAR:SYMBOL=SOA&amp;VAR:INDEX=1"}</definedName>
    <definedName name="_3840__FDSAUDITLINK__" hidden="1">{"fdsup://directions/FAT Viewer?action=UPDATE&amp;creator=factset&amp;DYN_ARGS=TRUE&amp;DOC_NAME=FAT:FQL_AUDITING_CLIENT_TEMPLATE.FAT&amp;display_string=Audit&amp;VAR:KEY=SZYRAVYVMD&amp;VAR:QUERY=Q1NGX0RFQlQoQU5OLDEyLzMxLzE5ODAsMTIvMzEvMjAwOSxBWSk=&amp;WINDOW=FIRST_POPUP&amp;HEIGHT=450&amp;WI","DTH=450&amp;START_MAXIMIZED=FALSE&amp;VAR:CALENDAR=US&amp;VAR:SYMBOL=IFF&amp;VAR:INDEX=21"}</definedName>
    <definedName name="_3841__FDSAUDITLINK__" hidden="1">{"fdsup://directions/FAT Viewer?action=UPDATE&amp;creator=factset&amp;DYN_ARGS=TRUE&amp;DOC_NAME=FAT:FQL_AUDITING_CLIENT_TEMPLATE.FAT&amp;display_string=Audit&amp;VAR:KEY=SZYRAVYVMD&amp;VAR:QUERY=Q1NGX0RFQlQoQU5OLDEyLzMxLzE5ODAsMTIvMzEvMjAwOSxBWSk=&amp;WINDOW=FIRST_POPUP&amp;HEIGHT=450&amp;WI","DTH=450&amp;START_MAXIMIZED=FALSE&amp;VAR:CALENDAR=US&amp;VAR:SYMBOL=IFF&amp;VAR:INDEX=20"}</definedName>
    <definedName name="_3842__FDSAUDITLINK__" hidden="1">{"fdsup://directions/FAT Viewer?action=UPDATE&amp;creator=factset&amp;DYN_ARGS=TRUE&amp;DOC_NAME=FAT:FQL_AUDITING_CLIENT_TEMPLATE.FAT&amp;display_string=Audit&amp;VAR:KEY=SZYRAVYVMD&amp;VAR:QUERY=Q1NGX0RFQlQoQU5OLDEyLzMxLzE5ODAsMTIvMzEvMjAwOSxBWSk=&amp;WINDOW=FIRST_POPUP&amp;HEIGHT=450&amp;WI","DTH=450&amp;START_MAXIMIZED=FALSE&amp;VAR:CALENDAR=US&amp;VAR:SYMBOL=IFF&amp;VAR:INDEX=19"}</definedName>
    <definedName name="_3843__FDSAUDITLINK__" hidden="1">{"fdsup://directions/FAT Viewer?action=UPDATE&amp;creator=factset&amp;DYN_ARGS=TRUE&amp;DOC_NAME=FAT:FQL_AUDITING_CLIENT_TEMPLATE.FAT&amp;display_string=Audit&amp;VAR:KEY=SZYRAVYVMD&amp;VAR:QUERY=Q1NGX0RFQlQoQU5OLDEyLzMxLzE5ODAsMTIvMzEvMjAwOSxBWSk=&amp;WINDOW=FIRST_POPUP&amp;HEIGHT=450&amp;WI","DTH=450&amp;START_MAXIMIZED=FALSE&amp;VAR:CALENDAR=US&amp;VAR:SYMBOL=IFF&amp;VAR:INDEX=18"}</definedName>
    <definedName name="_3844__FDSAUDITLINK__" hidden="1">{"fdsup://directions/FAT Viewer?action=UPDATE&amp;creator=factset&amp;DYN_ARGS=TRUE&amp;DOC_NAME=FAT:FQL_AUDITING_CLIENT_TEMPLATE.FAT&amp;display_string=Audit&amp;VAR:KEY=SZYRAVYVMD&amp;VAR:QUERY=Q1NGX0RFQlQoQU5OLDEyLzMxLzE5ODAsMTIvMzEvMjAwOSxBWSk=&amp;WINDOW=FIRST_POPUP&amp;HEIGHT=450&amp;WI","DTH=450&amp;START_MAXIMIZED=FALSE&amp;VAR:CALENDAR=US&amp;VAR:SYMBOL=IFF&amp;VAR:INDEX=17"}</definedName>
    <definedName name="_3845__FDSAUDITLINK__" hidden="1">{"fdsup://directions/FAT Viewer?action=UPDATE&amp;creator=factset&amp;DYN_ARGS=TRUE&amp;DOC_NAME=FAT:FQL_AUDITING_CLIENT_TEMPLATE.FAT&amp;display_string=Audit&amp;VAR:KEY=SZYRAVYVMD&amp;VAR:QUERY=Q1NGX0RFQlQoQU5OLDEyLzMxLzE5ODAsMTIvMzEvMjAwOSxBWSk=&amp;WINDOW=FIRST_POPUP&amp;HEIGHT=450&amp;WI","DTH=450&amp;START_MAXIMIZED=FALSE&amp;VAR:CALENDAR=US&amp;VAR:SYMBOL=IFF&amp;VAR:INDEX=16"}</definedName>
    <definedName name="_3846__FDSAUDITLINK__" hidden="1">{"fdsup://directions/FAT Viewer?action=UPDATE&amp;creator=factset&amp;DYN_ARGS=TRUE&amp;DOC_NAME=FAT:FQL_AUDITING_CLIENT_TEMPLATE.FAT&amp;display_string=Audit&amp;VAR:KEY=SZYRAVYVMD&amp;VAR:QUERY=Q1NGX0RFQlQoQU5OLDEyLzMxLzE5ODAsMTIvMzEvMjAwOSxBWSk=&amp;WINDOW=FIRST_POPUP&amp;HEIGHT=450&amp;WI","DTH=450&amp;START_MAXIMIZED=FALSE&amp;VAR:CALENDAR=US&amp;VAR:SYMBOL=IFF&amp;VAR:INDEX=15"}</definedName>
    <definedName name="_3847__FDSAUDITLINK__" hidden="1">{"fdsup://directions/FAT Viewer?action=UPDATE&amp;creator=factset&amp;DYN_ARGS=TRUE&amp;DOC_NAME=FAT:FQL_AUDITING_CLIENT_TEMPLATE.FAT&amp;display_string=Audit&amp;VAR:KEY=SZYRAVYVMD&amp;VAR:QUERY=Q1NGX0RFQlQoQU5OLDEyLzMxLzE5ODAsMTIvMzEvMjAwOSxBWSk=&amp;WINDOW=FIRST_POPUP&amp;HEIGHT=450&amp;WI","DTH=450&amp;START_MAXIMIZED=FALSE&amp;VAR:CALENDAR=US&amp;VAR:SYMBOL=IFF&amp;VAR:INDEX=14"}</definedName>
    <definedName name="_3848__FDSAUDITLINK__" hidden="1">{"fdsup://directions/FAT Viewer?action=UPDATE&amp;creator=factset&amp;DYN_ARGS=TRUE&amp;DOC_NAME=FAT:FQL_AUDITING_CLIENT_TEMPLATE.FAT&amp;display_string=Audit&amp;VAR:KEY=SZYRAVYVMD&amp;VAR:QUERY=Q1NGX0RFQlQoQU5OLDEyLzMxLzE5ODAsMTIvMzEvMjAwOSxBWSk=&amp;WINDOW=FIRST_POPUP&amp;HEIGHT=450&amp;WI","DTH=450&amp;START_MAXIMIZED=FALSE&amp;VAR:CALENDAR=US&amp;VAR:SYMBOL=IFF&amp;VAR:INDEX=13"}</definedName>
    <definedName name="_3849__FDSAUDITLINK__" hidden="1">{"fdsup://directions/FAT Viewer?action=UPDATE&amp;creator=factset&amp;DYN_ARGS=TRUE&amp;DOC_NAME=FAT:FQL_AUDITING_CLIENT_TEMPLATE.FAT&amp;display_string=Audit&amp;VAR:KEY=SZYRAVYVMD&amp;VAR:QUERY=Q1NGX0RFQlQoQU5OLDEyLzMxLzE5ODAsMTIvMzEvMjAwOSxBWSk=&amp;WINDOW=FIRST_POPUP&amp;HEIGHT=450&amp;WI","DTH=450&amp;START_MAXIMIZED=FALSE&amp;VAR:CALENDAR=US&amp;VAR:SYMBOL=IFF&amp;VAR:INDEX=12"}</definedName>
    <definedName name="_385__FDSAUDITLINK__" hidden="1">{"fdsup://directions/FAT Viewer?action=UPDATE&amp;creator=factset&amp;DYN_ARGS=TRUE&amp;DOC_NAME=FAT:FQL_AUDITING_CLIENT_TEMPLATE.FAT&amp;display_string=Audit&amp;VAR:KEY=CNKXYVWFWF&amp;VAR:QUERY=Q1NGX0VCSVRfT1BFUihBTk4sMTIvMzEvODAsMCk=&amp;WINDOW=FIRST_POPUP&amp;HEIGHT=450&amp;WIDTH=450&amp;STAR","T_MAXIMIZED=FALSE&amp;VAR:CALENDAR=US&amp;VAR:SYMBOL=SOA&amp;VAR:INDEX=0"}</definedName>
    <definedName name="_3850__FDSAUDITLINK__" hidden="1">{"fdsup://directions/FAT Viewer?action=UPDATE&amp;creator=factset&amp;DYN_ARGS=TRUE&amp;DOC_NAME=FAT:FQL_AUDITING_CLIENT_TEMPLATE.FAT&amp;display_string=Audit&amp;VAR:KEY=SZYRAVYVMD&amp;VAR:QUERY=Q1NGX0RFQlQoQU5OLDEyLzMxLzE5ODAsMTIvMzEvMjAwOSxBWSk=&amp;WINDOW=FIRST_POPUP&amp;HEIGHT=450&amp;WI","DTH=450&amp;START_MAXIMIZED=FALSE&amp;VAR:CALENDAR=US&amp;VAR:SYMBOL=IFF&amp;VAR:INDEX=11"}</definedName>
    <definedName name="_3851__FDSAUDITLINK__" hidden="1">{"fdsup://directions/FAT Viewer?action=UPDATE&amp;creator=factset&amp;DYN_ARGS=TRUE&amp;DOC_NAME=FAT:FQL_AUDITING_CLIENT_TEMPLATE.FAT&amp;display_string=Audit&amp;VAR:KEY=SZYRAVYVMD&amp;VAR:QUERY=Q1NGX0RFQlQoQU5OLDEyLzMxLzE5ODAsMTIvMzEvMjAwOSxBWSk=&amp;WINDOW=FIRST_POPUP&amp;HEIGHT=450&amp;WI","DTH=450&amp;START_MAXIMIZED=FALSE&amp;VAR:CALENDAR=US&amp;VAR:SYMBOL=IFF&amp;VAR:INDEX=10"}</definedName>
    <definedName name="_3852__FDSAUDITLINK__" hidden="1">{"fdsup://directions/FAT Viewer?action=UPDATE&amp;creator=factset&amp;DYN_ARGS=TRUE&amp;DOC_NAME=FAT:FQL_AUDITING_CLIENT_TEMPLATE.FAT&amp;display_string=Audit&amp;VAR:KEY=SZYRAVYVMD&amp;VAR:QUERY=Q1NGX0RFQlQoQU5OLDEyLzMxLzE5ODAsMTIvMzEvMjAwOSxBWSk=&amp;WINDOW=FIRST_POPUP&amp;HEIGHT=450&amp;WI","DTH=450&amp;START_MAXIMIZED=FALSE&amp;VAR:CALENDAR=US&amp;VAR:SYMBOL=IFF&amp;VAR:INDEX=9"}</definedName>
    <definedName name="_3853__FDSAUDITLINK__" hidden="1">{"fdsup://directions/FAT Viewer?action=UPDATE&amp;creator=factset&amp;DYN_ARGS=TRUE&amp;DOC_NAME=FAT:FQL_AUDITING_CLIENT_TEMPLATE.FAT&amp;display_string=Audit&amp;VAR:KEY=SZYRAVYVMD&amp;VAR:QUERY=Q1NGX0RFQlQoQU5OLDEyLzMxLzE5ODAsMTIvMzEvMjAwOSxBWSk=&amp;WINDOW=FIRST_POPUP&amp;HEIGHT=450&amp;WI","DTH=450&amp;START_MAXIMIZED=FALSE&amp;VAR:CALENDAR=US&amp;VAR:SYMBOL=IFF&amp;VAR:INDEX=8"}</definedName>
    <definedName name="_3854__FDSAUDITLINK__" hidden="1">{"fdsup://directions/FAT Viewer?action=UPDATE&amp;creator=factset&amp;DYN_ARGS=TRUE&amp;DOC_NAME=FAT:FQL_AUDITING_CLIENT_TEMPLATE.FAT&amp;display_string=Audit&amp;VAR:KEY=SZYRAVYVMD&amp;VAR:QUERY=Q1NGX0RFQlQoQU5OLDEyLzMxLzE5ODAsMTIvMzEvMjAwOSxBWSk=&amp;WINDOW=FIRST_POPUP&amp;HEIGHT=450&amp;WI","DTH=450&amp;START_MAXIMIZED=FALSE&amp;VAR:CALENDAR=US&amp;VAR:SYMBOL=IFF&amp;VAR:INDEX=7"}</definedName>
    <definedName name="_3855__FDSAUDITLINK__" hidden="1">{"fdsup://directions/FAT Viewer?action=UPDATE&amp;creator=factset&amp;DYN_ARGS=TRUE&amp;DOC_NAME=FAT:FQL_AUDITING_CLIENT_TEMPLATE.FAT&amp;display_string=Audit&amp;VAR:KEY=SZYRAVYVMD&amp;VAR:QUERY=Q1NGX0RFQlQoQU5OLDEyLzMxLzE5ODAsMTIvMzEvMjAwOSxBWSk=&amp;WINDOW=FIRST_POPUP&amp;HEIGHT=450&amp;WI","DTH=450&amp;START_MAXIMIZED=FALSE&amp;VAR:CALENDAR=US&amp;VAR:SYMBOL=IFF&amp;VAR:INDEX=6"}</definedName>
    <definedName name="_3856__FDSAUDITLINK__" hidden="1">{"fdsup://directions/FAT Viewer?action=UPDATE&amp;creator=factset&amp;DYN_ARGS=TRUE&amp;DOC_NAME=FAT:FQL_AUDITING_CLIENT_TEMPLATE.FAT&amp;display_string=Audit&amp;VAR:KEY=SZYRAVYVMD&amp;VAR:QUERY=Q1NGX0RFQlQoQU5OLDEyLzMxLzE5ODAsMTIvMzEvMjAwOSxBWSk=&amp;WINDOW=FIRST_POPUP&amp;HEIGHT=450&amp;WI","DTH=450&amp;START_MAXIMIZED=FALSE&amp;VAR:CALENDAR=US&amp;VAR:SYMBOL=IFF&amp;VAR:INDEX=5"}</definedName>
    <definedName name="_3857__FDSAUDITLINK__" hidden="1">{"fdsup://directions/FAT Viewer?action=UPDATE&amp;creator=factset&amp;DYN_ARGS=TRUE&amp;DOC_NAME=FAT:FQL_AUDITING_CLIENT_TEMPLATE.FAT&amp;display_string=Audit&amp;VAR:KEY=SZYRAVYVMD&amp;VAR:QUERY=Q1NGX0RFQlQoQU5OLDEyLzMxLzE5ODAsMTIvMzEvMjAwOSxBWSk=&amp;WINDOW=FIRST_POPUP&amp;HEIGHT=450&amp;WI","DTH=450&amp;START_MAXIMIZED=FALSE&amp;VAR:CALENDAR=US&amp;VAR:SYMBOL=IFF&amp;VAR:INDEX=4"}</definedName>
    <definedName name="_3858__FDSAUDITLINK__" hidden="1">{"fdsup://directions/FAT Viewer?action=UPDATE&amp;creator=factset&amp;DYN_ARGS=TRUE&amp;DOC_NAME=FAT:FQL_AUDITING_CLIENT_TEMPLATE.FAT&amp;display_string=Audit&amp;VAR:KEY=SZYRAVYVMD&amp;VAR:QUERY=Q1NGX0RFQlQoQU5OLDEyLzMxLzE5ODAsMTIvMzEvMjAwOSxBWSk=&amp;WINDOW=FIRST_POPUP&amp;HEIGHT=450&amp;WI","DTH=450&amp;START_MAXIMIZED=FALSE&amp;VAR:CALENDAR=US&amp;VAR:SYMBOL=IFF&amp;VAR:INDEX=3"}</definedName>
    <definedName name="_3859__FDSAUDITLINK__" hidden="1">{"fdsup://directions/FAT Viewer?action=UPDATE&amp;creator=factset&amp;DYN_ARGS=TRUE&amp;DOC_NAME=FAT:FQL_AUDITING_CLIENT_TEMPLATE.FAT&amp;display_string=Audit&amp;VAR:KEY=SZYRAVYVMD&amp;VAR:QUERY=Q1NGX0RFQlQoQU5OLDEyLzMxLzE5ODAsMTIvMzEvMjAwOSxBWSk=&amp;WINDOW=FIRST_POPUP&amp;HEIGHT=450&amp;WI","DTH=450&amp;START_MAXIMIZED=FALSE&amp;VAR:CALENDAR=US&amp;VAR:SYMBOL=IFF&amp;VAR:INDEX=2"}</definedName>
    <definedName name="_386__FDSAUDITLINK__" hidden="1">{"fdsup://directions/FAT Viewer?action=UPDATE&amp;creator=factset&amp;DYN_ARGS=TRUE&amp;DOC_NAME=FAT:FQL_AUDITING_CLIENT_TEMPLATE.FAT&amp;display_string=Audit&amp;VAR:KEY=ODUNKBIBMP&amp;VAR:QUERY=Q1NGX0VCSVRfT1BFUihMVE1fUiwwKQ==&amp;WINDOW=FIRST_POPUP&amp;HEIGHT=450&amp;WIDTH=450&amp;START_MAXIMI","ZED=FALSE&amp;VAR:CALENDAR=US&amp;VAR:SYMBOL=PX&amp;VAR:INDEX=0"}</definedName>
    <definedName name="_3860__FDSAUDITLINK__" hidden="1">{"fdsup://directions/FAT Viewer?action=UPDATE&amp;creator=factset&amp;DYN_ARGS=TRUE&amp;DOC_NAME=FAT:FQL_AUDITING_CLIENT_TEMPLATE.FAT&amp;display_string=Audit&amp;VAR:KEY=SZYRAVYVMD&amp;VAR:QUERY=Q1NGX0RFQlQoQU5OLDEyLzMxLzE5ODAsMTIvMzEvMjAwOSxBWSk=&amp;WINDOW=FIRST_POPUP&amp;HEIGHT=450&amp;WI","DTH=450&amp;START_MAXIMIZED=FALSE&amp;VAR:CALENDAR=US&amp;VAR:SYMBOL=IFF&amp;VAR:INDEX=1"}</definedName>
    <definedName name="_3861__FDSAUDITLINK__" hidden="1">{"fdsup://directions/FAT Viewer?action=UPDATE&amp;creator=factset&amp;DYN_ARGS=TRUE&amp;DOC_NAME=FAT:FQL_AUDITING_CLIENT_TEMPLATE.FAT&amp;display_string=Audit&amp;VAR:KEY=SZYRAVYVMD&amp;VAR:QUERY=Q1NGX0RFQlQoQU5OLDEyLzMxLzE5ODAsMTIvMzEvMjAwOSxBWSk=&amp;WINDOW=FIRST_POPUP&amp;HEIGHT=450&amp;WI","DTH=450&amp;START_MAXIMIZED=FALSE&amp;VAR:CALENDAR=US&amp;VAR:SYMBOL=IFF&amp;VAR:INDEX=0"}</definedName>
    <definedName name="_3862__FDSAUDITLINK__" hidden="1">{"fdsup://directions/FAT Viewer?action=UPDATE&amp;creator=factset&amp;DYN_ARGS=TRUE&amp;DOC_NAME=FAT:FQL_AUDITING_CLIENT_TEMPLATE.FAT&amp;display_string=Audit&amp;VAR:KEY=EFSFWPIDIN&amp;VAR:QUERY=Q1NGX0RFQlQoQU5OLDEyLzMxLzE5ODAsMTIvMzEvMjAwOSxBWSk=&amp;WINDOW=FIRST_POPUP&amp;HEIGHT=450&amp;WI","DTH=450&amp;START_MAXIMIZED=FALSE&amp;VAR:CALENDAR=US&amp;VAR:SYMBOL=ECL&amp;VAR:INDEX=29"}</definedName>
    <definedName name="_3863__FDSAUDITLINK__" hidden="1">{"fdsup://directions/FAT Viewer?action=UPDATE&amp;creator=factset&amp;DYN_ARGS=TRUE&amp;DOC_NAME=FAT:FQL_AUDITING_CLIENT_TEMPLATE.FAT&amp;display_string=Audit&amp;VAR:KEY=EFSFWPIDIN&amp;VAR:QUERY=Q1NGX0RFQlQoQU5OLDEyLzMxLzE5ODAsMTIvMzEvMjAwOSxBWSk=&amp;WINDOW=FIRST_POPUP&amp;HEIGHT=450&amp;WI","DTH=450&amp;START_MAXIMIZED=FALSE&amp;VAR:CALENDAR=US&amp;VAR:SYMBOL=ECL&amp;VAR:INDEX=28"}</definedName>
    <definedName name="_3864__FDSAUDITLINK__" hidden="1">{"fdsup://directions/FAT Viewer?action=UPDATE&amp;creator=factset&amp;DYN_ARGS=TRUE&amp;DOC_NAME=FAT:FQL_AUDITING_CLIENT_TEMPLATE.FAT&amp;display_string=Audit&amp;VAR:KEY=EFSFWPIDIN&amp;VAR:QUERY=Q1NGX0RFQlQoQU5OLDEyLzMxLzE5ODAsMTIvMzEvMjAwOSxBWSk=&amp;WINDOW=FIRST_POPUP&amp;HEIGHT=450&amp;WI","DTH=450&amp;START_MAXIMIZED=FALSE&amp;VAR:CALENDAR=US&amp;VAR:SYMBOL=ECL&amp;VAR:INDEX=27"}</definedName>
    <definedName name="_3865__FDSAUDITLINK__" hidden="1">{"fdsup://directions/FAT Viewer?action=UPDATE&amp;creator=factset&amp;DYN_ARGS=TRUE&amp;DOC_NAME=FAT:FQL_AUDITING_CLIENT_TEMPLATE.FAT&amp;display_string=Audit&amp;VAR:KEY=EFSFWPIDIN&amp;VAR:QUERY=Q1NGX0RFQlQoQU5OLDEyLzMxLzE5ODAsMTIvMzEvMjAwOSxBWSk=&amp;WINDOW=FIRST_POPUP&amp;HEIGHT=450&amp;WI","DTH=450&amp;START_MAXIMIZED=FALSE&amp;VAR:CALENDAR=US&amp;VAR:SYMBOL=ECL&amp;VAR:INDEX=26"}</definedName>
    <definedName name="_3866__FDSAUDITLINK__" hidden="1">{"fdsup://directions/FAT Viewer?action=UPDATE&amp;creator=factset&amp;DYN_ARGS=TRUE&amp;DOC_NAME=FAT:FQL_AUDITING_CLIENT_TEMPLATE.FAT&amp;display_string=Audit&amp;VAR:KEY=EFSFWPIDIN&amp;VAR:QUERY=Q1NGX0RFQlQoQU5OLDEyLzMxLzE5ODAsMTIvMzEvMjAwOSxBWSk=&amp;WINDOW=FIRST_POPUP&amp;HEIGHT=450&amp;WI","DTH=450&amp;START_MAXIMIZED=FALSE&amp;VAR:CALENDAR=US&amp;VAR:SYMBOL=ECL&amp;VAR:INDEX=25"}</definedName>
    <definedName name="_3867__FDSAUDITLINK__" hidden="1">{"fdsup://directions/FAT Viewer?action=UPDATE&amp;creator=factset&amp;DYN_ARGS=TRUE&amp;DOC_NAME=FAT:FQL_AUDITING_CLIENT_TEMPLATE.FAT&amp;display_string=Audit&amp;VAR:KEY=EFSFWPIDIN&amp;VAR:QUERY=Q1NGX0RFQlQoQU5OLDEyLzMxLzE5ODAsMTIvMzEvMjAwOSxBWSk=&amp;WINDOW=FIRST_POPUP&amp;HEIGHT=450&amp;WI","DTH=450&amp;START_MAXIMIZED=FALSE&amp;VAR:CALENDAR=US&amp;VAR:SYMBOL=ECL&amp;VAR:INDEX=24"}</definedName>
    <definedName name="_3868__FDSAUDITLINK__" hidden="1">{"fdsup://directions/FAT Viewer?action=UPDATE&amp;creator=factset&amp;DYN_ARGS=TRUE&amp;DOC_NAME=FAT:FQL_AUDITING_CLIENT_TEMPLATE.FAT&amp;display_string=Audit&amp;VAR:KEY=EFSFWPIDIN&amp;VAR:QUERY=Q1NGX0RFQlQoQU5OLDEyLzMxLzE5ODAsMTIvMzEvMjAwOSxBWSk=&amp;WINDOW=FIRST_POPUP&amp;HEIGHT=450&amp;WI","DTH=450&amp;START_MAXIMIZED=FALSE&amp;VAR:CALENDAR=US&amp;VAR:SYMBOL=ECL&amp;VAR:INDEX=23"}</definedName>
    <definedName name="_3869__FDSAUDITLINK__" hidden="1">{"fdsup://directions/FAT Viewer?action=UPDATE&amp;creator=factset&amp;DYN_ARGS=TRUE&amp;DOC_NAME=FAT:FQL_AUDITING_CLIENT_TEMPLATE.FAT&amp;display_string=Audit&amp;VAR:KEY=EFSFWPIDIN&amp;VAR:QUERY=Q1NGX0RFQlQoQU5OLDEyLzMxLzE5ODAsMTIvMzEvMjAwOSxBWSk=&amp;WINDOW=FIRST_POPUP&amp;HEIGHT=450&amp;WI","DTH=450&amp;START_MAXIMIZED=FALSE&amp;VAR:CALENDAR=US&amp;VAR:SYMBOL=ECL&amp;VAR:INDEX=22"}</definedName>
    <definedName name="_387__FDSAUDITLINK__" hidden="1">{"fdsup://directions/FAT Viewer?action=UPDATE&amp;creator=factset&amp;DYN_ARGS=TRUE&amp;DOC_NAME=FAT:FQL_AUDITING_CLIENT_TEMPLATE.FAT&amp;display_string=Audit&amp;VAR:KEY=YZSFOBEJYJ&amp;VAR:QUERY=Q1NGX0VCSVRfT1BFUihBTk4sMTIvMzEvMTk4MCwwKQ==&amp;WINDOW=FIRST_POPUP&amp;HEIGHT=450&amp;WIDTH=450&amp;","START_MAXIMIZED=FALSE&amp;VAR:CALENDAR=US&amp;VAR:SYMBOL=PX&amp;VAR:INDEX=29"}</definedName>
    <definedName name="_3870__FDSAUDITLINK__" hidden="1">{"fdsup://directions/FAT Viewer?action=UPDATE&amp;creator=factset&amp;DYN_ARGS=TRUE&amp;DOC_NAME=FAT:FQL_AUDITING_CLIENT_TEMPLATE.FAT&amp;display_string=Audit&amp;VAR:KEY=EFSFWPIDIN&amp;VAR:QUERY=Q1NGX0RFQlQoQU5OLDEyLzMxLzE5ODAsMTIvMzEvMjAwOSxBWSk=&amp;WINDOW=FIRST_POPUP&amp;HEIGHT=450&amp;WI","DTH=450&amp;START_MAXIMIZED=FALSE&amp;VAR:CALENDAR=US&amp;VAR:SYMBOL=ECL&amp;VAR:INDEX=21"}</definedName>
    <definedName name="_3871__FDSAUDITLINK__" hidden="1">{"fdsup://directions/FAT Viewer?action=UPDATE&amp;creator=factset&amp;DYN_ARGS=TRUE&amp;DOC_NAME=FAT:FQL_AUDITING_CLIENT_TEMPLATE.FAT&amp;display_string=Audit&amp;VAR:KEY=EFSFWPIDIN&amp;VAR:QUERY=Q1NGX0RFQlQoQU5OLDEyLzMxLzE5ODAsMTIvMzEvMjAwOSxBWSk=&amp;WINDOW=FIRST_POPUP&amp;HEIGHT=450&amp;WI","DTH=450&amp;START_MAXIMIZED=FALSE&amp;VAR:CALENDAR=US&amp;VAR:SYMBOL=ECL&amp;VAR:INDEX=20"}</definedName>
    <definedName name="_3872__FDSAUDITLINK__" hidden="1">{"fdsup://directions/FAT Viewer?action=UPDATE&amp;creator=factset&amp;DYN_ARGS=TRUE&amp;DOC_NAME=FAT:FQL_AUDITING_CLIENT_TEMPLATE.FAT&amp;display_string=Audit&amp;VAR:KEY=EFSFWPIDIN&amp;VAR:QUERY=Q1NGX0RFQlQoQU5OLDEyLzMxLzE5ODAsMTIvMzEvMjAwOSxBWSk=&amp;WINDOW=FIRST_POPUP&amp;HEIGHT=450&amp;WI","DTH=450&amp;START_MAXIMIZED=FALSE&amp;VAR:CALENDAR=US&amp;VAR:SYMBOL=ECL&amp;VAR:INDEX=19"}</definedName>
    <definedName name="_3873__FDSAUDITLINK__" hidden="1">{"fdsup://directions/FAT Viewer?action=UPDATE&amp;creator=factset&amp;DYN_ARGS=TRUE&amp;DOC_NAME=FAT:FQL_AUDITING_CLIENT_TEMPLATE.FAT&amp;display_string=Audit&amp;VAR:KEY=EFSFWPIDIN&amp;VAR:QUERY=Q1NGX0RFQlQoQU5OLDEyLzMxLzE5ODAsMTIvMzEvMjAwOSxBWSk=&amp;WINDOW=FIRST_POPUP&amp;HEIGHT=450&amp;WI","DTH=450&amp;START_MAXIMIZED=FALSE&amp;VAR:CALENDAR=US&amp;VAR:SYMBOL=ECL&amp;VAR:INDEX=18"}</definedName>
    <definedName name="_3874__FDSAUDITLINK__" hidden="1">{"fdsup://directions/FAT Viewer?action=UPDATE&amp;creator=factset&amp;DYN_ARGS=TRUE&amp;DOC_NAME=FAT:FQL_AUDITING_CLIENT_TEMPLATE.FAT&amp;display_string=Audit&amp;VAR:KEY=EFSFWPIDIN&amp;VAR:QUERY=Q1NGX0RFQlQoQU5OLDEyLzMxLzE5ODAsMTIvMzEvMjAwOSxBWSk=&amp;WINDOW=FIRST_POPUP&amp;HEIGHT=450&amp;WI","DTH=450&amp;START_MAXIMIZED=FALSE&amp;VAR:CALENDAR=US&amp;VAR:SYMBOL=ECL&amp;VAR:INDEX=17"}</definedName>
    <definedName name="_3875__FDSAUDITLINK__" hidden="1">{"fdsup://directions/FAT Viewer?action=UPDATE&amp;creator=factset&amp;DYN_ARGS=TRUE&amp;DOC_NAME=FAT:FQL_AUDITING_CLIENT_TEMPLATE.FAT&amp;display_string=Audit&amp;VAR:KEY=EFSFWPIDIN&amp;VAR:QUERY=Q1NGX0RFQlQoQU5OLDEyLzMxLzE5ODAsMTIvMzEvMjAwOSxBWSk=&amp;WINDOW=FIRST_POPUP&amp;HEIGHT=450&amp;WI","DTH=450&amp;START_MAXIMIZED=FALSE&amp;VAR:CALENDAR=US&amp;VAR:SYMBOL=ECL&amp;VAR:INDEX=16"}</definedName>
    <definedName name="_3876__FDSAUDITLINK__" hidden="1">{"fdsup://directions/FAT Viewer?action=UPDATE&amp;creator=factset&amp;DYN_ARGS=TRUE&amp;DOC_NAME=FAT:FQL_AUDITING_CLIENT_TEMPLATE.FAT&amp;display_string=Audit&amp;VAR:KEY=EFSFWPIDIN&amp;VAR:QUERY=Q1NGX0RFQlQoQU5OLDEyLzMxLzE5ODAsMTIvMzEvMjAwOSxBWSk=&amp;WINDOW=FIRST_POPUP&amp;HEIGHT=450&amp;WI","DTH=450&amp;START_MAXIMIZED=FALSE&amp;VAR:CALENDAR=US&amp;VAR:SYMBOL=ECL&amp;VAR:INDEX=15"}</definedName>
    <definedName name="_3877__FDSAUDITLINK__" hidden="1">{"fdsup://directions/FAT Viewer?action=UPDATE&amp;creator=factset&amp;DYN_ARGS=TRUE&amp;DOC_NAME=FAT:FQL_AUDITING_CLIENT_TEMPLATE.FAT&amp;display_string=Audit&amp;VAR:KEY=EFSFWPIDIN&amp;VAR:QUERY=Q1NGX0RFQlQoQU5OLDEyLzMxLzE5ODAsMTIvMzEvMjAwOSxBWSk=&amp;WINDOW=FIRST_POPUP&amp;HEIGHT=450&amp;WI","DTH=450&amp;START_MAXIMIZED=FALSE&amp;VAR:CALENDAR=US&amp;VAR:SYMBOL=ECL&amp;VAR:INDEX=14"}</definedName>
    <definedName name="_3878__FDSAUDITLINK__" hidden="1">{"fdsup://directions/FAT Viewer?action=UPDATE&amp;creator=factset&amp;DYN_ARGS=TRUE&amp;DOC_NAME=FAT:FQL_AUDITING_CLIENT_TEMPLATE.FAT&amp;display_string=Audit&amp;VAR:KEY=EFSFWPIDIN&amp;VAR:QUERY=Q1NGX0RFQlQoQU5OLDEyLzMxLzE5ODAsMTIvMzEvMjAwOSxBWSk=&amp;WINDOW=FIRST_POPUP&amp;HEIGHT=450&amp;WI","DTH=450&amp;START_MAXIMIZED=FALSE&amp;VAR:CALENDAR=US&amp;VAR:SYMBOL=ECL&amp;VAR:INDEX=13"}</definedName>
    <definedName name="_3879__FDSAUDITLINK__" hidden="1">{"fdsup://directions/FAT Viewer?action=UPDATE&amp;creator=factset&amp;DYN_ARGS=TRUE&amp;DOC_NAME=FAT:FQL_AUDITING_CLIENT_TEMPLATE.FAT&amp;display_string=Audit&amp;VAR:KEY=EFSFWPIDIN&amp;VAR:QUERY=Q1NGX0RFQlQoQU5OLDEyLzMxLzE5ODAsMTIvMzEvMjAwOSxBWSk=&amp;WINDOW=FIRST_POPUP&amp;HEIGHT=450&amp;WI","DTH=450&amp;START_MAXIMIZED=FALSE&amp;VAR:CALENDAR=US&amp;VAR:SYMBOL=ECL&amp;VAR:INDEX=12"}</definedName>
    <definedName name="_388__FDSAUDITLINK__" hidden="1">{"fdsup://directions/FAT Viewer?action=UPDATE&amp;creator=factset&amp;DYN_ARGS=TRUE&amp;DOC_NAME=FAT:FQL_AUDITING_CLIENT_TEMPLATE.FAT&amp;display_string=Audit&amp;VAR:KEY=YZSFOBEJYJ&amp;VAR:QUERY=Q1NGX0VCSVRfT1BFUihBTk4sMTIvMzEvMTk4MCwwKQ==&amp;WINDOW=FIRST_POPUP&amp;HEIGHT=450&amp;WIDTH=450&amp;","START_MAXIMIZED=FALSE&amp;VAR:CALENDAR=US&amp;VAR:SYMBOL=PX&amp;VAR:INDEX=28"}</definedName>
    <definedName name="_3880__FDSAUDITLINK__" hidden="1">{"fdsup://directions/FAT Viewer?action=UPDATE&amp;creator=factset&amp;DYN_ARGS=TRUE&amp;DOC_NAME=FAT:FQL_AUDITING_CLIENT_TEMPLATE.FAT&amp;display_string=Audit&amp;VAR:KEY=EFSFWPIDIN&amp;VAR:QUERY=Q1NGX0RFQlQoQU5OLDEyLzMxLzE5ODAsMTIvMzEvMjAwOSxBWSk=&amp;WINDOW=FIRST_POPUP&amp;HEIGHT=450&amp;WI","DTH=450&amp;START_MAXIMIZED=FALSE&amp;VAR:CALENDAR=US&amp;VAR:SYMBOL=ECL&amp;VAR:INDEX=11"}</definedName>
    <definedName name="_3881__FDSAUDITLINK__" hidden="1">{"fdsup://directions/FAT Viewer?action=UPDATE&amp;creator=factset&amp;DYN_ARGS=TRUE&amp;DOC_NAME=FAT:FQL_AUDITING_CLIENT_TEMPLATE.FAT&amp;display_string=Audit&amp;VAR:KEY=EFSFWPIDIN&amp;VAR:QUERY=Q1NGX0RFQlQoQU5OLDEyLzMxLzE5ODAsMTIvMzEvMjAwOSxBWSk=&amp;WINDOW=FIRST_POPUP&amp;HEIGHT=450&amp;WI","DTH=450&amp;START_MAXIMIZED=FALSE&amp;VAR:CALENDAR=US&amp;VAR:SYMBOL=ECL&amp;VAR:INDEX=10"}</definedName>
    <definedName name="_3882__FDSAUDITLINK__" hidden="1">{"fdsup://directions/FAT Viewer?action=UPDATE&amp;creator=factset&amp;DYN_ARGS=TRUE&amp;DOC_NAME=FAT:FQL_AUDITING_CLIENT_TEMPLATE.FAT&amp;display_string=Audit&amp;VAR:KEY=EFSFWPIDIN&amp;VAR:QUERY=Q1NGX0RFQlQoQU5OLDEyLzMxLzE5ODAsMTIvMzEvMjAwOSxBWSk=&amp;WINDOW=FIRST_POPUP&amp;HEIGHT=450&amp;WI","DTH=450&amp;START_MAXIMIZED=FALSE&amp;VAR:CALENDAR=US&amp;VAR:SYMBOL=ECL&amp;VAR:INDEX=9"}</definedName>
    <definedName name="_3883__FDSAUDITLINK__" hidden="1">{"fdsup://directions/FAT Viewer?action=UPDATE&amp;creator=factset&amp;DYN_ARGS=TRUE&amp;DOC_NAME=FAT:FQL_AUDITING_CLIENT_TEMPLATE.FAT&amp;display_string=Audit&amp;VAR:KEY=EFSFWPIDIN&amp;VAR:QUERY=Q1NGX0RFQlQoQU5OLDEyLzMxLzE5ODAsMTIvMzEvMjAwOSxBWSk=&amp;WINDOW=FIRST_POPUP&amp;HEIGHT=450&amp;WI","DTH=450&amp;START_MAXIMIZED=FALSE&amp;VAR:CALENDAR=US&amp;VAR:SYMBOL=ECL&amp;VAR:INDEX=8"}</definedName>
    <definedName name="_3884__FDSAUDITLINK__" hidden="1">{"fdsup://directions/FAT Viewer?action=UPDATE&amp;creator=factset&amp;DYN_ARGS=TRUE&amp;DOC_NAME=FAT:FQL_AUDITING_CLIENT_TEMPLATE.FAT&amp;display_string=Audit&amp;VAR:KEY=EFSFWPIDIN&amp;VAR:QUERY=Q1NGX0RFQlQoQU5OLDEyLzMxLzE5ODAsMTIvMzEvMjAwOSxBWSk=&amp;WINDOW=FIRST_POPUP&amp;HEIGHT=450&amp;WI","DTH=450&amp;START_MAXIMIZED=FALSE&amp;VAR:CALENDAR=US&amp;VAR:SYMBOL=ECL&amp;VAR:INDEX=7"}</definedName>
    <definedName name="_3885__FDSAUDITLINK__" hidden="1">{"fdsup://directions/FAT Viewer?action=UPDATE&amp;creator=factset&amp;DYN_ARGS=TRUE&amp;DOC_NAME=FAT:FQL_AUDITING_CLIENT_TEMPLATE.FAT&amp;display_string=Audit&amp;VAR:KEY=EFSFWPIDIN&amp;VAR:QUERY=Q1NGX0RFQlQoQU5OLDEyLzMxLzE5ODAsMTIvMzEvMjAwOSxBWSk=&amp;WINDOW=FIRST_POPUP&amp;HEIGHT=450&amp;WI","DTH=450&amp;START_MAXIMIZED=FALSE&amp;VAR:CALENDAR=US&amp;VAR:SYMBOL=ECL&amp;VAR:INDEX=6"}</definedName>
    <definedName name="_3886__FDSAUDITLINK__" hidden="1">{"fdsup://directions/FAT Viewer?action=UPDATE&amp;creator=factset&amp;DYN_ARGS=TRUE&amp;DOC_NAME=FAT:FQL_AUDITING_CLIENT_TEMPLATE.FAT&amp;display_string=Audit&amp;VAR:KEY=EFSFWPIDIN&amp;VAR:QUERY=Q1NGX0RFQlQoQU5OLDEyLzMxLzE5ODAsMTIvMzEvMjAwOSxBWSk=&amp;WINDOW=FIRST_POPUP&amp;HEIGHT=450&amp;WI","DTH=450&amp;START_MAXIMIZED=FALSE&amp;VAR:CALENDAR=US&amp;VAR:SYMBOL=ECL&amp;VAR:INDEX=5"}</definedName>
    <definedName name="_3887__FDSAUDITLINK__" hidden="1">{"fdsup://directions/FAT Viewer?action=UPDATE&amp;creator=factset&amp;DYN_ARGS=TRUE&amp;DOC_NAME=FAT:FQL_AUDITING_CLIENT_TEMPLATE.FAT&amp;display_string=Audit&amp;VAR:KEY=EFSFWPIDIN&amp;VAR:QUERY=Q1NGX0RFQlQoQU5OLDEyLzMxLzE5ODAsMTIvMzEvMjAwOSxBWSk=&amp;WINDOW=FIRST_POPUP&amp;HEIGHT=450&amp;WI","DTH=450&amp;START_MAXIMIZED=FALSE&amp;VAR:CALENDAR=US&amp;VAR:SYMBOL=ECL&amp;VAR:INDEX=4"}</definedName>
    <definedName name="_3888__FDSAUDITLINK__" hidden="1">{"fdsup://directions/FAT Viewer?action=UPDATE&amp;creator=factset&amp;DYN_ARGS=TRUE&amp;DOC_NAME=FAT:FQL_AUDITING_CLIENT_TEMPLATE.FAT&amp;display_string=Audit&amp;VAR:KEY=EFSFWPIDIN&amp;VAR:QUERY=Q1NGX0RFQlQoQU5OLDEyLzMxLzE5ODAsMTIvMzEvMjAwOSxBWSk=&amp;WINDOW=FIRST_POPUP&amp;HEIGHT=450&amp;WI","DTH=450&amp;START_MAXIMIZED=FALSE&amp;VAR:CALENDAR=US&amp;VAR:SYMBOL=ECL&amp;VAR:INDEX=3"}</definedName>
    <definedName name="_3889__FDSAUDITLINK__" hidden="1">{"fdsup://directions/FAT Viewer?action=UPDATE&amp;creator=factset&amp;DYN_ARGS=TRUE&amp;DOC_NAME=FAT:FQL_AUDITING_CLIENT_TEMPLATE.FAT&amp;display_string=Audit&amp;VAR:KEY=EFSFWPIDIN&amp;VAR:QUERY=Q1NGX0RFQlQoQU5OLDEyLzMxLzE5ODAsMTIvMzEvMjAwOSxBWSk=&amp;WINDOW=FIRST_POPUP&amp;HEIGHT=450&amp;WI","DTH=450&amp;START_MAXIMIZED=FALSE&amp;VAR:CALENDAR=US&amp;VAR:SYMBOL=ECL&amp;VAR:INDEX=2"}</definedName>
    <definedName name="_389__FDSAUDITLINK__" hidden="1">{"fdsup://directions/FAT Viewer?action=UPDATE&amp;creator=factset&amp;DYN_ARGS=TRUE&amp;DOC_NAME=FAT:FQL_AUDITING_CLIENT_TEMPLATE.FAT&amp;display_string=Audit&amp;VAR:KEY=YZSFOBEJYJ&amp;VAR:QUERY=Q1NGX0VCSVRfT1BFUihBTk4sMTIvMzEvMTk4MCwwKQ==&amp;WINDOW=FIRST_POPUP&amp;HEIGHT=450&amp;WIDTH=450&amp;","START_MAXIMIZED=FALSE&amp;VAR:CALENDAR=US&amp;VAR:SYMBOL=PX&amp;VAR:INDEX=27"}</definedName>
    <definedName name="_3890__FDSAUDITLINK__" hidden="1">{"fdsup://directions/FAT Viewer?action=UPDATE&amp;creator=factset&amp;DYN_ARGS=TRUE&amp;DOC_NAME=FAT:FQL_AUDITING_CLIENT_TEMPLATE.FAT&amp;display_string=Audit&amp;VAR:KEY=EFSFWPIDIN&amp;VAR:QUERY=Q1NGX0RFQlQoQU5OLDEyLzMxLzE5ODAsMTIvMzEvMjAwOSxBWSk=&amp;WINDOW=FIRST_POPUP&amp;HEIGHT=450&amp;WI","DTH=450&amp;START_MAXIMIZED=FALSE&amp;VAR:CALENDAR=US&amp;VAR:SYMBOL=ECL&amp;VAR:INDEX=1"}</definedName>
    <definedName name="_3891__FDSAUDITLINK__" hidden="1">{"fdsup://directions/FAT Viewer?action=UPDATE&amp;creator=factset&amp;DYN_ARGS=TRUE&amp;DOC_NAME=FAT:FQL_AUDITING_CLIENT_TEMPLATE.FAT&amp;display_string=Audit&amp;VAR:KEY=EFSFWPIDIN&amp;VAR:QUERY=Q1NGX0RFQlQoQU5OLDEyLzMxLzE5ODAsMTIvMzEvMjAwOSxBWSk=&amp;WINDOW=FIRST_POPUP&amp;HEIGHT=450&amp;WI","DTH=450&amp;START_MAXIMIZED=FALSE&amp;VAR:CALENDAR=US&amp;VAR:SYMBOL=ECL&amp;VAR:INDEX=0"}</definedName>
    <definedName name="_3892__FDSAUDITLINK__" hidden="1">{"fdsup://directions/FAT Viewer?action=UPDATE&amp;creator=factset&amp;DYN_ARGS=TRUE&amp;DOC_NAME=FAT:FQL_AUDITING_CLIENT_TEMPLATE.FAT&amp;display_string=Audit&amp;VAR:KEY=GBUJMDUDSJ&amp;VAR:QUERY=Q1NGX0RFQlQoQU5OLDEyLzMxLzE5ODAsMTIvMzEvMjAwOSxBWSk=&amp;WINDOW=FIRST_POPUP&amp;HEIGHT=450&amp;WI","DTH=450&amp;START_MAXIMIZED=FALSE&amp;VAR:CALENDAR=US&amp;VAR:SYMBOL=VAL&amp;VAR:INDEX=29"}</definedName>
    <definedName name="_3893__FDSAUDITLINK__" hidden="1">{"fdsup://directions/FAT Viewer?action=UPDATE&amp;creator=factset&amp;DYN_ARGS=TRUE&amp;DOC_NAME=FAT:FQL_AUDITING_CLIENT_TEMPLATE.FAT&amp;display_string=Audit&amp;VAR:KEY=GBUJMDUDSJ&amp;VAR:QUERY=Q1NGX0RFQlQoQU5OLDEyLzMxLzE5ODAsMTIvMzEvMjAwOSxBWSk=&amp;WINDOW=FIRST_POPUP&amp;HEIGHT=450&amp;WI","DTH=450&amp;START_MAXIMIZED=FALSE&amp;VAR:CALENDAR=US&amp;VAR:SYMBOL=VAL&amp;VAR:INDEX=28"}</definedName>
    <definedName name="_3894__FDSAUDITLINK__" hidden="1">{"fdsup://directions/FAT Viewer?action=UPDATE&amp;creator=factset&amp;DYN_ARGS=TRUE&amp;DOC_NAME=FAT:FQL_AUDITING_CLIENT_TEMPLATE.FAT&amp;display_string=Audit&amp;VAR:KEY=GBUJMDUDSJ&amp;VAR:QUERY=Q1NGX0RFQlQoQU5OLDEyLzMxLzE5ODAsMTIvMzEvMjAwOSxBWSk=&amp;WINDOW=FIRST_POPUP&amp;HEIGHT=450&amp;WI","DTH=450&amp;START_MAXIMIZED=FALSE&amp;VAR:CALENDAR=US&amp;VAR:SYMBOL=VAL&amp;VAR:INDEX=27"}</definedName>
    <definedName name="_3895__FDSAUDITLINK__" hidden="1">{"fdsup://directions/FAT Viewer?action=UPDATE&amp;creator=factset&amp;DYN_ARGS=TRUE&amp;DOC_NAME=FAT:FQL_AUDITING_CLIENT_TEMPLATE.FAT&amp;display_string=Audit&amp;VAR:KEY=GBUJMDUDSJ&amp;VAR:QUERY=Q1NGX0RFQlQoQU5OLDEyLzMxLzE5ODAsMTIvMzEvMjAwOSxBWSk=&amp;WINDOW=FIRST_POPUP&amp;HEIGHT=450&amp;WI","DTH=450&amp;START_MAXIMIZED=FALSE&amp;VAR:CALENDAR=US&amp;VAR:SYMBOL=VAL&amp;VAR:INDEX=26"}</definedName>
    <definedName name="_3896__FDSAUDITLINK__" hidden="1">{"fdsup://directions/FAT Viewer?action=UPDATE&amp;creator=factset&amp;DYN_ARGS=TRUE&amp;DOC_NAME=FAT:FQL_AUDITING_CLIENT_TEMPLATE.FAT&amp;display_string=Audit&amp;VAR:KEY=GBUJMDUDSJ&amp;VAR:QUERY=Q1NGX0RFQlQoQU5OLDEyLzMxLzE5ODAsMTIvMzEvMjAwOSxBWSk=&amp;WINDOW=FIRST_POPUP&amp;HEIGHT=450&amp;WI","DTH=450&amp;START_MAXIMIZED=FALSE&amp;VAR:CALENDAR=US&amp;VAR:SYMBOL=VAL&amp;VAR:INDEX=25"}</definedName>
    <definedName name="_3897__FDSAUDITLINK__" hidden="1">{"fdsup://directions/FAT Viewer?action=UPDATE&amp;creator=factset&amp;DYN_ARGS=TRUE&amp;DOC_NAME=FAT:FQL_AUDITING_CLIENT_TEMPLATE.FAT&amp;display_string=Audit&amp;VAR:KEY=GBUJMDUDSJ&amp;VAR:QUERY=Q1NGX0RFQlQoQU5OLDEyLzMxLzE5ODAsMTIvMzEvMjAwOSxBWSk=&amp;WINDOW=FIRST_POPUP&amp;HEIGHT=450&amp;WI","DTH=450&amp;START_MAXIMIZED=FALSE&amp;VAR:CALENDAR=US&amp;VAR:SYMBOL=VAL&amp;VAR:INDEX=24"}</definedName>
    <definedName name="_3898__FDSAUDITLINK__" hidden="1">{"fdsup://directions/FAT Viewer?action=UPDATE&amp;creator=factset&amp;DYN_ARGS=TRUE&amp;DOC_NAME=FAT:FQL_AUDITING_CLIENT_TEMPLATE.FAT&amp;display_string=Audit&amp;VAR:KEY=GBUJMDUDSJ&amp;VAR:QUERY=Q1NGX0RFQlQoQU5OLDEyLzMxLzE5ODAsMTIvMzEvMjAwOSxBWSk=&amp;WINDOW=FIRST_POPUP&amp;HEIGHT=450&amp;WI","DTH=450&amp;START_MAXIMIZED=FALSE&amp;VAR:CALENDAR=US&amp;VAR:SYMBOL=VAL&amp;VAR:INDEX=23"}</definedName>
    <definedName name="_3899__FDSAUDITLINK__" hidden="1">{"fdsup://directions/FAT Viewer?action=UPDATE&amp;creator=factset&amp;DYN_ARGS=TRUE&amp;DOC_NAME=FAT:FQL_AUDITING_CLIENT_TEMPLATE.FAT&amp;display_string=Audit&amp;VAR:KEY=GBUJMDUDSJ&amp;VAR:QUERY=Q1NGX0RFQlQoQU5OLDEyLzMxLzE5ODAsMTIvMzEvMjAwOSxBWSk=&amp;WINDOW=FIRST_POPUP&amp;HEIGHT=450&amp;WI","DTH=450&amp;START_MAXIMIZED=FALSE&amp;VAR:CALENDAR=US&amp;VAR:SYMBOL=VAL&amp;VAR:INDEX=22"}</definedName>
    <definedName name="_39__FDSAUDITLINK__" hidden="1">{"fdsup://directions/FAT Viewer?action=UPDATE&amp;creator=factset&amp;DYN_ARGS=TRUE&amp;DOC_NAME=FAT:FQL_AUDITING_CLIENT_TEMPLATE.FAT&amp;display_string=Audit&amp;VAR:KEY=KJSZUDSLCP&amp;VAR:QUERY=Q1NGX0VCSVREQV9PUEVSKExUTV9SLDAp&amp;WINDOW=FIRST_POPUP&amp;HEIGHT=450&amp;WIDTH=450&amp;START_MAXIMI","ZED=FALSE&amp;VAR:CALENDAR=US&amp;VAR:SYMBOL=WLK&amp;VAR:INDEX=0"}</definedName>
    <definedName name="_390__FDSAUDITLINK__" hidden="1">{"fdsup://directions/FAT Viewer?action=UPDATE&amp;creator=factset&amp;DYN_ARGS=TRUE&amp;DOC_NAME=FAT:FQL_AUDITING_CLIENT_TEMPLATE.FAT&amp;display_string=Audit&amp;VAR:KEY=YZSFOBEJYJ&amp;VAR:QUERY=Q1NGX0VCSVRfT1BFUihBTk4sMTIvMzEvMTk4MCwwKQ==&amp;WINDOW=FIRST_POPUP&amp;HEIGHT=450&amp;WIDTH=450&amp;","START_MAXIMIZED=FALSE&amp;VAR:CALENDAR=US&amp;VAR:SYMBOL=PX&amp;VAR:INDEX=26"}</definedName>
    <definedName name="_3900__FDSAUDITLINK__" hidden="1">{"fdsup://directions/FAT Viewer?action=UPDATE&amp;creator=factset&amp;DYN_ARGS=TRUE&amp;DOC_NAME=FAT:FQL_AUDITING_CLIENT_TEMPLATE.FAT&amp;display_string=Audit&amp;VAR:KEY=GBUJMDUDSJ&amp;VAR:QUERY=Q1NGX0RFQlQoQU5OLDEyLzMxLzE5ODAsMTIvMzEvMjAwOSxBWSk=&amp;WINDOW=FIRST_POPUP&amp;HEIGHT=450&amp;WI","DTH=450&amp;START_MAXIMIZED=FALSE&amp;VAR:CALENDAR=US&amp;VAR:SYMBOL=VAL&amp;VAR:INDEX=21"}</definedName>
    <definedName name="_3901__FDSAUDITLINK__" hidden="1">{"fdsup://directions/FAT Viewer?action=UPDATE&amp;creator=factset&amp;DYN_ARGS=TRUE&amp;DOC_NAME=FAT:FQL_AUDITING_CLIENT_TEMPLATE.FAT&amp;display_string=Audit&amp;VAR:KEY=GBUJMDUDSJ&amp;VAR:QUERY=Q1NGX0RFQlQoQU5OLDEyLzMxLzE5ODAsMTIvMzEvMjAwOSxBWSk=&amp;WINDOW=FIRST_POPUP&amp;HEIGHT=450&amp;WI","DTH=450&amp;START_MAXIMIZED=FALSE&amp;VAR:CALENDAR=US&amp;VAR:SYMBOL=VAL&amp;VAR:INDEX=20"}</definedName>
    <definedName name="_3902__FDSAUDITLINK__" hidden="1">{"fdsup://directions/FAT Viewer?action=UPDATE&amp;creator=factset&amp;DYN_ARGS=TRUE&amp;DOC_NAME=FAT:FQL_AUDITING_CLIENT_TEMPLATE.FAT&amp;display_string=Audit&amp;VAR:KEY=GBUJMDUDSJ&amp;VAR:QUERY=Q1NGX0RFQlQoQU5OLDEyLzMxLzE5ODAsMTIvMzEvMjAwOSxBWSk=&amp;WINDOW=FIRST_POPUP&amp;HEIGHT=450&amp;WI","DTH=450&amp;START_MAXIMIZED=FALSE&amp;VAR:CALENDAR=US&amp;VAR:SYMBOL=VAL&amp;VAR:INDEX=19"}</definedName>
    <definedName name="_3903__FDSAUDITLINK__" hidden="1">{"fdsup://directions/FAT Viewer?action=UPDATE&amp;creator=factset&amp;DYN_ARGS=TRUE&amp;DOC_NAME=FAT:FQL_AUDITING_CLIENT_TEMPLATE.FAT&amp;display_string=Audit&amp;VAR:KEY=GBUJMDUDSJ&amp;VAR:QUERY=Q1NGX0RFQlQoQU5OLDEyLzMxLzE5ODAsMTIvMzEvMjAwOSxBWSk=&amp;WINDOW=FIRST_POPUP&amp;HEIGHT=450&amp;WI","DTH=450&amp;START_MAXIMIZED=FALSE&amp;VAR:CALENDAR=US&amp;VAR:SYMBOL=VAL&amp;VAR:INDEX=18"}</definedName>
    <definedName name="_3904__FDSAUDITLINK__" hidden="1">{"fdsup://directions/FAT Viewer?action=UPDATE&amp;creator=factset&amp;DYN_ARGS=TRUE&amp;DOC_NAME=FAT:FQL_AUDITING_CLIENT_TEMPLATE.FAT&amp;display_string=Audit&amp;VAR:KEY=GBUJMDUDSJ&amp;VAR:QUERY=Q1NGX0RFQlQoQU5OLDEyLzMxLzE5ODAsMTIvMzEvMjAwOSxBWSk=&amp;WINDOW=FIRST_POPUP&amp;HEIGHT=450&amp;WI","DTH=450&amp;START_MAXIMIZED=FALSE&amp;VAR:CALENDAR=US&amp;VAR:SYMBOL=VAL&amp;VAR:INDEX=17"}</definedName>
    <definedName name="_3905__FDSAUDITLINK__" hidden="1">{"fdsup://directions/FAT Viewer?action=UPDATE&amp;creator=factset&amp;DYN_ARGS=TRUE&amp;DOC_NAME=FAT:FQL_AUDITING_CLIENT_TEMPLATE.FAT&amp;display_string=Audit&amp;VAR:KEY=GBUJMDUDSJ&amp;VAR:QUERY=Q1NGX0RFQlQoQU5OLDEyLzMxLzE5ODAsMTIvMzEvMjAwOSxBWSk=&amp;WINDOW=FIRST_POPUP&amp;HEIGHT=450&amp;WI","DTH=450&amp;START_MAXIMIZED=FALSE&amp;VAR:CALENDAR=US&amp;VAR:SYMBOL=VAL&amp;VAR:INDEX=16"}</definedName>
    <definedName name="_3906__FDSAUDITLINK__" hidden="1">{"fdsup://directions/FAT Viewer?action=UPDATE&amp;creator=factset&amp;DYN_ARGS=TRUE&amp;DOC_NAME=FAT:FQL_AUDITING_CLIENT_TEMPLATE.FAT&amp;display_string=Audit&amp;VAR:KEY=GBUJMDUDSJ&amp;VAR:QUERY=Q1NGX0RFQlQoQU5OLDEyLzMxLzE5ODAsMTIvMzEvMjAwOSxBWSk=&amp;WINDOW=FIRST_POPUP&amp;HEIGHT=450&amp;WI","DTH=450&amp;START_MAXIMIZED=FALSE&amp;VAR:CALENDAR=US&amp;VAR:SYMBOL=VAL&amp;VAR:INDEX=15"}</definedName>
    <definedName name="_3907__FDSAUDITLINK__" hidden="1">{"fdsup://directions/FAT Viewer?action=UPDATE&amp;creator=factset&amp;DYN_ARGS=TRUE&amp;DOC_NAME=FAT:FQL_AUDITING_CLIENT_TEMPLATE.FAT&amp;display_string=Audit&amp;VAR:KEY=GBUJMDUDSJ&amp;VAR:QUERY=Q1NGX0RFQlQoQU5OLDEyLzMxLzE5ODAsMTIvMzEvMjAwOSxBWSk=&amp;WINDOW=FIRST_POPUP&amp;HEIGHT=450&amp;WI","DTH=450&amp;START_MAXIMIZED=FALSE&amp;VAR:CALENDAR=US&amp;VAR:SYMBOL=VAL&amp;VAR:INDEX=14"}</definedName>
    <definedName name="_3908__FDSAUDITLINK__" hidden="1">{"fdsup://directions/FAT Viewer?action=UPDATE&amp;creator=factset&amp;DYN_ARGS=TRUE&amp;DOC_NAME=FAT:FQL_AUDITING_CLIENT_TEMPLATE.FAT&amp;display_string=Audit&amp;VAR:KEY=GBUJMDUDSJ&amp;VAR:QUERY=Q1NGX0RFQlQoQU5OLDEyLzMxLzE5ODAsMTIvMzEvMjAwOSxBWSk=&amp;WINDOW=FIRST_POPUP&amp;HEIGHT=450&amp;WI","DTH=450&amp;START_MAXIMIZED=FALSE&amp;VAR:CALENDAR=US&amp;VAR:SYMBOL=VAL&amp;VAR:INDEX=13"}</definedName>
    <definedName name="_3909__FDSAUDITLINK__" hidden="1">{"fdsup://directions/FAT Viewer?action=UPDATE&amp;creator=factset&amp;DYN_ARGS=TRUE&amp;DOC_NAME=FAT:FQL_AUDITING_CLIENT_TEMPLATE.FAT&amp;display_string=Audit&amp;VAR:KEY=GBUJMDUDSJ&amp;VAR:QUERY=Q1NGX0RFQlQoQU5OLDEyLzMxLzE5ODAsMTIvMzEvMjAwOSxBWSk=&amp;WINDOW=FIRST_POPUP&amp;HEIGHT=450&amp;WI","DTH=450&amp;START_MAXIMIZED=FALSE&amp;VAR:CALENDAR=US&amp;VAR:SYMBOL=VAL&amp;VAR:INDEX=12"}</definedName>
    <definedName name="_391__FDSAUDITLINK__" hidden="1">{"fdsup://directions/FAT Viewer?action=UPDATE&amp;creator=factset&amp;DYN_ARGS=TRUE&amp;DOC_NAME=FAT:FQL_AUDITING_CLIENT_TEMPLATE.FAT&amp;display_string=Audit&amp;VAR:KEY=YZSFOBEJYJ&amp;VAR:QUERY=Q1NGX0VCSVRfT1BFUihBTk4sMTIvMzEvMTk4MCwwKQ==&amp;WINDOW=FIRST_POPUP&amp;HEIGHT=450&amp;WIDTH=450&amp;","START_MAXIMIZED=FALSE&amp;VAR:CALENDAR=US&amp;VAR:SYMBOL=PX&amp;VAR:INDEX=25"}</definedName>
    <definedName name="_3910__FDSAUDITLINK__" hidden="1">{"fdsup://directions/FAT Viewer?action=UPDATE&amp;creator=factset&amp;DYN_ARGS=TRUE&amp;DOC_NAME=FAT:FQL_AUDITING_CLIENT_TEMPLATE.FAT&amp;display_string=Audit&amp;VAR:KEY=GBUJMDUDSJ&amp;VAR:QUERY=Q1NGX0RFQlQoQU5OLDEyLzMxLzE5ODAsMTIvMzEvMjAwOSxBWSk=&amp;WINDOW=FIRST_POPUP&amp;HEIGHT=450&amp;WI","DTH=450&amp;START_MAXIMIZED=FALSE&amp;VAR:CALENDAR=US&amp;VAR:SYMBOL=VAL&amp;VAR:INDEX=11"}</definedName>
    <definedName name="_3911__FDSAUDITLINK__" hidden="1">{"fdsup://directions/FAT Viewer?action=UPDATE&amp;creator=factset&amp;DYN_ARGS=TRUE&amp;DOC_NAME=FAT:FQL_AUDITING_CLIENT_TEMPLATE.FAT&amp;display_string=Audit&amp;VAR:KEY=GBUJMDUDSJ&amp;VAR:QUERY=Q1NGX0RFQlQoQU5OLDEyLzMxLzE5ODAsMTIvMzEvMjAwOSxBWSk=&amp;WINDOW=FIRST_POPUP&amp;HEIGHT=450&amp;WI","DTH=450&amp;START_MAXIMIZED=FALSE&amp;VAR:CALENDAR=US&amp;VAR:SYMBOL=VAL&amp;VAR:INDEX=10"}</definedName>
    <definedName name="_3912__FDSAUDITLINK__" hidden="1">{"fdsup://directions/FAT Viewer?action=UPDATE&amp;creator=factset&amp;DYN_ARGS=TRUE&amp;DOC_NAME=FAT:FQL_AUDITING_CLIENT_TEMPLATE.FAT&amp;display_string=Audit&amp;VAR:KEY=GBUJMDUDSJ&amp;VAR:QUERY=Q1NGX0RFQlQoQU5OLDEyLzMxLzE5ODAsMTIvMzEvMjAwOSxBWSk=&amp;WINDOW=FIRST_POPUP&amp;HEIGHT=450&amp;WI","DTH=450&amp;START_MAXIMIZED=FALSE&amp;VAR:CALENDAR=US&amp;VAR:SYMBOL=VAL&amp;VAR:INDEX=9"}</definedName>
    <definedName name="_3913__FDSAUDITLINK__" hidden="1">{"fdsup://directions/FAT Viewer?action=UPDATE&amp;creator=factset&amp;DYN_ARGS=TRUE&amp;DOC_NAME=FAT:FQL_AUDITING_CLIENT_TEMPLATE.FAT&amp;display_string=Audit&amp;VAR:KEY=GBUJMDUDSJ&amp;VAR:QUERY=Q1NGX0RFQlQoQU5OLDEyLzMxLzE5ODAsMTIvMzEvMjAwOSxBWSk=&amp;WINDOW=FIRST_POPUP&amp;HEIGHT=450&amp;WI","DTH=450&amp;START_MAXIMIZED=FALSE&amp;VAR:CALENDAR=US&amp;VAR:SYMBOL=VAL&amp;VAR:INDEX=8"}</definedName>
    <definedName name="_3914__FDSAUDITLINK__" hidden="1">{"fdsup://directions/FAT Viewer?action=UPDATE&amp;creator=factset&amp;DYN_ARGS=TRUE&amp;DOC_NAME=FAT:FQL_AUDITING_CLIENT_TEMPLATE.FAT&amp;display_string=Audit&amp;VAR:KEY=GBUJMDUDSJ&amp;VAR:QUERY=Q1NGX0RFQlQoQU5OLDEyLzMxLzE5ODAsMTIvMzEvMjAwOSxBWSk=&amp;WINDOW=FIRST_POPUP&amp;HEIGHT=450&amp;WI","DTH=450&amp;START_MAXIMIZED=FALSE&amp;VAR:CALENDAR=US&amp;VAR:SYMBOL=VAL&amp;VAR:INDEX=7"}</definedName>
    <definedName name="_3915__FDSAUDITLINK__" hidden="1">{"fdsup://directions/FAT Viewer?action=UPDATE&amp;creator=factset&amp;DYN_ARGS=TRUE&amp;DOC_NAME=FAT:FQL_AUDITING_CLIENT_TEMPLATE.FAT&amp;display_string=Audit&amp;VAR:KEY=GBUJMDUDSJ&amp;VAR:QUERY=Q1NGX0RFQlQoQU5OLDEyLzMxLzE5ODAsMTIvMzEvMjAwOSxBWSk=&amp;WINDOW=FIRST_POPUP&amp;HEIGHT=450&amp;WI","DTH=450&amp;START_MAXIMIZED=FALSE&amp;VAR:CALENDAR=US&amp;VAR:SYMBOL=VAL&amp;VAR:INDEX=6"}</definedName>
    <definedName name="_3916__FDSAUDITLINK__" hidden="1">{"fdsup://directions/FAT Viewer?action=UPDATE&amp;creator=factset&amp;DYN_ARGS=TRUE&amp;DOC_NAME=FAT:FQL_AUDITING_CLIENT_TEMPLATE.FAT&amp;display_string=Audit&amp;VAR:KEY=GBUJMDUDSJ&amp;VAR:QUERY=Q1NGX0RFQlQoQU5OLDEyLzMxLzE5ODAsMTIvMzEvMjAwOSxBWSk=&amp;WINDOW=FIRST_POPUP&amp;HEIGHT=450&amp;WI","DTH=450&amp;START_MAXIMIZED=FALSE&amp;VAR:CALENDAR=US&amp;VAR:SYMBOL=VAL&amp;VAR:INDEX=5"}</definedName>
    <definedName name="_3917__FDSAUDITLINK__" hidden="1">{"fdsup://directions/FAT Viewer?action=UPDATE&amp;creator=factset&amp;DYN_ARGS=TRUE&amp;DOC_NAME=FAT:FQL_AUDITING_CLIENT_TEMPLATE.FAT&amp;display_string=Audit&amp;VAR:KEY=GBUJMDUDSJ&amp;VAR:QUERY=Q1NGX0RFQlQoQU5OLDEyLzMxLzE5ODAsMTIvMzEvMjAwOSxBWSk=&amp;WINDOW=FIRST_POPUP&amp;HEIGHT=450&amp;WI","DTH=450&amp;START_MAXIMIZED=FALSE&amp;VAR:CALENDAR=US&amp;VAR:SYMBOL=VAL&amp;VAR:INDEX=4"}</definedName>
    <definedName name="_3918__FDSAUDITLINK__" hidden="1">{"fdsup://directions/FAT Viewer?action=UPDATE&amp;creator=factset&amp;DYN_ARGS=TRUE&amp;DOC_NAME=FAT:FQL_AUDITING_CLIENT_TEMPLATE.FAT&amp;display_string=Audit&amp;VAR:KEY=GBUJMDUDSJ&amp;VAR:QUERY=Q1NGX0RFQlQoQU5OLDEyLzMxLzE5ODAsMTIvMzEvMjAwOSxBWSk=&amp;WINDOW=FIRST_POPUP&amp;HEIGHT=450&amp;WI","DTH=450&amp;START_MAXIMIZED=FALSE&amp;VAR:CALENDAR=US&amp;VAR:SYMBOL=VAL&amp;VAR:INDEX=3"}</definedName>
    <definedName name="_3919__FDSAUDITLINK__" hidden="1">{"fdsup://directions/FAT Viewer?action=UPDATE&amp;creator=factset&amp;DYN_ARGS=TRUE&amp;DOC_NAME=FAT:FQL_AUDITING_CLIENT_TEMPLATE.FAT&amp;display_string=Audit&amp;VAR:KEY=GBUJMDUDSJ&amp;VAR:QUERY=Q1NGX0RFQlQoQU5OLDEyLzMxLzE5ODAsMTIvMzEvMjAwOSxBWSk=&amp;WINDOW=FIRST_POPUP&amp;HEIGHT=450&amp;WI","DTH=450&amp;START_MAXIMIZED=FALSE&amp;VAR:CALENDAR=US&amp;VAR:SYMBOL=VAL&amp;VAR:INDEX=2"}</definedName>
    <definedName name="_392__FDSAUDITLINK__" hidden="1">{"fdsup://directions/FAT Viewer?action=UPDATE&amp;creator=factset&amp;DYN_ARGS=TRUE&amp;DOC_NAME=FAT:FQL_AUDITING_CLIENT_TEMPLATE.FAT&amp;display_string=Audit&amp;VAR:KEY=YZSFOBEJYJ&amp;VAR:QUERY=Q1NGX0VCSVRfT1BFUihBTk4sMTIvMzEvMTk4MCwwKQ==&amp;WINDOW=FIRST_POPUP&amp;HEIGHT=450&amp;WIDTH=450&amp;","START_MAXIMIZED=FALSE&amp;VAR:CALENDAR=US&amp;VAR:SYMBOL=PX&amp;VAR:INDEX=24"}</definedName>
    <definedName name="_3920__FDSAUDITLINK__" hidden="1">{"fdsup://directions/FAT Viewer?action=UPDATE&amp;creator=factset&amp;DYN_ARGS=TRUE&amp;DOC_NAME=FAT:FQL_AUDITING_CLIENT_TEMPLATE.FAT&amp;display_string=Audit&amp;VAR:KEY=GBUJMDUDSJ&amp;VAR:QUERY=Q1NGX0RFQlQoQU5OLDEyLzMxLzE5ODAsMTIvMzEvMjAwOSxBWSk=&amp;WINDOW=FIRST_POPUP&amp;HEIGHT=450&amp;WI","DTH=450&amp;START_MAXIMIZED=FALSE&amp;VAR:CALENDAR=US&amp;VAR:SYMBOL=VAL&amp;VAR:INDEX=1"}</definedName>
    <definedName name="_3921__FDSAUDITLINK__" hidden="1">{"fdsup://directions/FAT Viewer?action=UPDATE&amp;creator=factset&amp;DYN_ARGS=TRUE&amp;DOC_NAME=FAT:FQL_AUDITING_CLIENT_TEMPLATE.FAT&amp;display_string=Audit&amp;VAR:KEY=GBUJMDUDSJ&amp;VAR:QUERY=Q1NGX0RFQlQoQU5OLDEyLzMxLzE5ODAsMTIvMzEvMjAwOSxBWSk=&amp;WINDOW=FIRST_POPUP&amp;HEIGHT=450&amp;WI","DTH=450&amp;START_MAXIMIZED=FALSE&amp;VAR:CALENDAR=US&amp;VAR:SYMBOL=VAL&amp;VAR:INDEX=0"}</definedName>
    <definedName name="_3922__FDSAUDITLINK__" hidden="1">{"fdsup://directions/FAT Viewer?action=UPDATE&amp;creator=factset&amp;DYN_ARGS=TRUE&amp;DOC_NAME=FAT:FQL_AUDITING_CLIENT_TEMPLATE.FAT&amp;display_string=Audit&amp;VAR:KEY=KREDUNAVAJ&amp;VAR:QUERY=Q1NGX0RFQlQoQU5OLDEyLzMxLzE5ODAsMTIvMzEvMjAwOSxBWSk=&amp;WINDOW=FIRST_POPUP&amp;HEIGHT=450&amp;WI","DTH=450&amp;START_MAXIMIZED=FALSE&amp;VAR:CALENDAR=US&amp;VAR:SYMBOL=SHW&amp;VAR:INDEX=29"}</definedName>
    <definedName name="_3923__FDSAUDITLINK__" hidden="1">{"fdsup://directions/FAT Viewer?action=UPDATE&amp;creator=factset&amp;DYN_ARGS=TRUE&amp;DOC_NAME=FAT:FQL_AUDITING_CLIENT_TEMPLATE.FAT&amp;display_string=Audit&amp;VAR:KEY=KREDUNAVAJ&amp;VAR:QUERY=Q1NGX0RFQlQoQU5OLDEyLzMxLzE5ODAsMTIvMzEvMjAwOSxBWSk=&amp;WINDOW=FIRST_POPUP&amp;HEIGHT=450&amp;WI","DTH=450&amp;START_MAXIMIZED=FALSE&amp;VAR:CALENDAR=US&amp;VAR:SYMBOL=SHW&amp;VAR:INDEX=28"}</definedName>
    <definedName name="_3924__FDSAUDITLINK__" hidden="1">{"fdsup://directions/FAT Viewer?action=UPDATE&amp;creator=factset&amp;DYN_ARGS=TRUE&amp;DOC_NAME=FAT:FQL_AUDITING_CLIENT_TEMPLATE.FAT&amp;display_string=Audit&amp;VAR:KEY=KREDUNAVAJ&amp;VAR:QUERY=Q1NGX0RFQlQoQU5OLDEyLzMxLzE5ODAsMTIvMzEvMjAwOSxBWSk=&amp;WINDOW=FIRST_POPUP&amp;HEIGHT=450&amp;WI","DTH=450&amp;START_MAXIMIZED=FALSE&amp;VAR:CALENDAR=US&amp;VAR:SYMBOL=SHW&amp;VAR:INDEX=27"}</definedName>
    <definedName name="_3925__FDSAUDITLINK__" hidden="1">{"fdsup://directions/FAT Viewer?action=UPDATE&amp;creator=factset&amp;DYN_ARGS=TRUE&amp;DOC_NAME=FAT:FQL_AUDITING_CLIENT_TEMPLATE.FAT&amp;display_string=Audit&amp;VAR:KEY=KREDUNAVAJ&amp;VAR:QUERY=Q1NGX0RFQlQoQU5OLDEyLzMxLzE5ODAsMTIvMzEvMjAwOSxBWSk=&amp;WINDOW=FIRST_POPUP&amp;HEIGHT=450&amp;WI","DTH=450&amp;START_MAXIMIZED=FALSE&amp;VAR:CALENDAR=US&amp;VAR:SYMBOL=SHW&amp;VAR:INDEX=26"}</definedName>
    <definedName name="_3926__FDSAUDITLINK__" hidden="1">{"fdsup://directions/FAT Viewer?action=UPDATE&amp;creator=factset&amp;DYN_ARGS=TRUE&amp;DOC_NAME=FAT:FQL_AUDITING_CLIENT_TEMPLATE.FAT&amp;display_string=Audit&amp;VAR:KEY=KREDUNAVAJ&amp;VAR:QUERY=Q1NGX0RFQlQoQU5OLDEyLzMxLzE5ODAsMTIvMzEvMjAwOSxBWSk=&amp;WINDOW=FIRST_POPUP&amp;HEIGHT=450&amp;WI","DTH=450&amp;START_MAXIMIZED=FALSE&amp;VAR:CALENDAR=US&amp;VAR:SYMBOL=SHW&amp;VAR:INDEX=25"}</definedName>
    <definedName name="_3927__FDSAUDITLINK__" hidden="1">{"fdsup://directions/FAT Viewer?action=UPDATE&amp;creator=factset&amp;DYN_ARGS=TRUE&amp;DOC_NAME=FAT:FQL_AUDITING_CLIENT_TEMPLATE.FAT&amp;display_string=Audit&amp;VAR:KEY=KREDUNAVAJ&amp;VAR:QUERY=Q1NGX0RFQlQoQU5OLDEyLzMxLzE5ODAsMTIvMzEvMjAwOSxBWSk=&amp;WINDOW=FIRST_POPUP&amp;HEIGHT=450&amp;WI","DTH=450&amp;START_MAXIMIZED=FALSE&amp;VAR:CALENDAR=US&amp;VAR:SYMBOL=SHW&amp;VAR:INDEX=24"}</definedName>
    <definedName name="_3928__FDSAUDITLINK__" hidden="1">{"fdsup://directions/FAT Viewer?action=UPDATE&amp;creator=factset&amp;DYN_ARGS=TRUE&amp;DOC_NAME=FAT:FQL_AUDITING_CLIENT_TEMPLATE.FAT&amp;display_string=Audit&amp;VAR:KEY=KREDUNAVAJ&amp;VAR:QUERY=Q1NGX0RFQlQoQU5OLDEyLzMxLzE5ODAsMTIvMzEvMjAwOSxBWSk=&amp;WINDOW=FIRST_POPUP&amp;HEIGHT=450&amp;WI","DTH=450&amp;START_MAXIMIZED=FALSE&amp;VAR:CALENDAR=US&amp;VAR:SYMBOL=SHW&amp;VAR:INDEX=23"}</definedName>
    <definedName name="_3929__FDSAUDITLINK__" hidden="1">{"fdsup://directions/FAT Viewer?action=UPDATE&amp;creator=factset&amp;DYN_ARGS=TRUE&amp;DOC_NAME=FAT:FQL_AUDITING_CLIENT_TEMPLATE.FAT&amp;display_string=Audit&amp;VAR:KEY=KREDUNAVAJ&amp;VAR:QUERY=Q1NGX0RFQlQoQU5OLDEyLzMxLzE5ODAsMTIvMzEvMjAwOSxBWSk=&amp;WINDOW=FIRST_POPUP&amp;HEIGHT=450&amp;WI","DTH=450&amp;START_MAXIMIZED=FALSE&amp;VAR:CALENDAR=US&amp;VAR:SYMBOL=SHW&amp;VAR:INDEX=22"}</definedName>
    <definedName name="_393__FDSAUDITLINK__" hidden="1">{"fdsup://directions/FAT Viewer?action=UPDATE&amp;creator=factset&amp;DYN_ARGS=TRUE&amp;DOC_NAME=FAT:FQL_AUDITING_CLIENT_TEMPLATE.FAT&amp;display_string=Audit&amp;VAR:KEY=YZSFOBEJYJ&amp;VAR:QUERY=Q1NGX0VCSVRfT1BFUihBTk4sMTIvMzEvMTk4MCwwKQ==&amp;WINDOW=FIRST_POPUP&amp;HEIGHT=450&amp;WIDTH=450&amp;","START_MAXIMIZED=FALSE&amp;VAR:CALENDAR=US&amp;VAR:SYMBOL=PX&amp;VAR:INDEX=23"}</definedName>
    <definedName name="_3930__FDSAUDITLINK__" hidden="1">{"fdsup://directions/FAT Viewer?action=UPDATE&amp;creator=factset&amp;DYN_ARGS=TRUE&amp;DOC_NAME=FAT:FQL_AUDITING_CLIENT_TEMPLATE.FAT&amp;display_string=Audit&amp;VAR:KEY=KREDUNAVAJ&amp;VAR:QUERY=Q1NGX0RFQlQoQU5OLDEyLzMxLzE5ODAsMTIvMzEvMjAwOSxBWSk=&amp;WINDOW=FIRST_POPUP&amp;HEIGHT=450&amp;WI","DTH=450&amp;START_MAXIMIZED=FALSE&amp;VAR:CALENDAR=US&amp;VAR:SYMBOL=SHW&amp;VAR:INDEX=21"}</definedName>
    <definedName name="_3931__FDSAUDITLINK__" hidden="1">{"fdsup://directions/FAT Viewer?action=UPDATE&amp;creator=factset&amp;DYN_ARGS=TRUE&amp;DOC_NAME=FAT:FQL_AUDITING_CLIENT_TEMPLATE.FAT&amp;display_string=Audit&amp;VAR:KEY=KREDUNAVAJ&amp;VAR:QUERY=Q1NGX0RFQlQoQU5OLDEyLzMxLzE5ODAsMTIvMzEvMjAwOSxBWSk=&amp;WINDOW=FIRST_POPUP&amp;HEIGHT=450&amp;WI","DTH=450&amp;START_MAXIMIZED=FALSE&amp;VAR:CALENDAR=US&amp;VAR:SYMBOL=SHW&amp;VAR:INDEX=20"}</definedName>
    <definedName name="_3932__FDSAUDITLINK__" hidden="1">{"fdsup://directions/FAT Viewer?action=UPDATE&amp;creator=factset&amp;DYN_ARGS=TRUE&amp;DOC_NAME=FAT:FQL_AUDITING_CLIENT_TEMPLATE.FAT&amp;display_string=Audit&amp;VAR:KEY=KREDUNAVAJ&amp;VAR:QUERY=Q1NGX0RFQlQoQU5OLDEyLzMxLzE5ODAsMTIvMzEvMjAwOSxBWSk=&amp;WINDOW=FIRST_POPUP&amp;HEIGHT=450&amp;WI","DTH=450&amp;START_MAXIMIZED=FALSE&amp;VAR:CALENDAR=US&amp;VAR:SYMBOL=SHW&amp;VAR:INDEX=19"}</definedName>
    <definedName name="_3933__FDSAUDITLINK__" hidden="1">{"fdsup://directions/FAT Viewer?action=UPDATE&amp;creator=factset&amp;DYN_ARGS=TRUE&amp;DOC_NAME=FAT:FQL_AUDITING_CLIENT_TEMPLATE.FAT&amp;display_string=Audit&amp;VAR:KEY=KREDUNAVAJ&amp;VAR:QUERY=Q1NGX0RFQlQoQU5OLDEyLzMxLzE5ODAsMTIvMzEvMjAwOSxBWSk=&amp;WINDOW=FIRST_POPUP&amp;HEIGHT=450&amp;WI","DTH=450&amp;START_MAXIMIZED=FALSE&amp;VAR:CALENDAR=US&amp;VAR:SYMBOL=SHW&amp;VAR:INDEX=18"}</definedName>
    <definedName name="_3934__FDSAUDITLINK__" hidden="1">{"fdsup://directions/FAT Viewer?action=UPDATE&amp;creator=factset&amp;DYN_ARGS=TRUE&amp;DOC_NAME=FAT:FQL_AUDITING_CLIENT_TEMPLATE.FAT&amp;display_string=Audit&amp;VAR:KEY=KREDUNAVAJ&amp;VAR:QUERY=Q1NGX0RFQlQoQU5OLDEyLzMxLzE5ODAsMTIvMzEvMjAwOSxBWSk=&amp;WINDOW=FIRST_POPUP&amp;HEIGHT=450&amp;WI","DTH=450&amp;START_MAXIMIZED=FALSE&amp;VAR:CALENDAR=US&amp;VAR:SYMBOL=SHW&amp;VAR:INDEX=17"}</definedName>
    <definedName name="_3935__FDSAUDITLINK__" hidden="1">{"fdsup://directions/FAT Viewer?action=UPDATE&amp;creator=factset&amp;DYN_ARGS=TRUE&amp;DOC_NAME=FAT:FQL_AUDITING_CLIENT_TEMPLATE.FAT&amp;display_string=Audit&amp;VAR:KEY=KREDUNAVAJ&amp;VAR:QUERY=Q1NGX0RFQlQoQU5OLDEyLzMxLzE5ODAsMTIvMzEvMjAwOSxBWSk=&amp;WINDOW=FIRST_POPUP&amp;HEIGHT=450&amp;WI","DTH=450&amp;START_MAXIMIZED=FALSE&amp;VAR:CALENDAR=US&amp;VAR:SYMBOL=SHW&amp;VAR:INDEX=16"}</definedName>
    <definedName name="_3936__FDSAUDITLINK__" hidden="1">{"fdsup://directions/FAT Viewer?action=UPDATE&amp;creator=factset&amp;DYN_ARGS=TRUE&amp;DOC_NAME=FAT:FQL_AUDITING_CLIENT_TEMPLATE.FAT&amp;display_string=Audit&amp;VAR:KEY=KREDUNAVAJ&amp;VAR:QUERY=Q1NGX0RFQlQoQU5OLDEyLzMxLzE5ODAsMTIvMzEvMjAwOSxBWSk=&amp;WINDOW=FIRST_POPUP&amp;HEIGHT=450&amp;WI","DTH=450&amp;START_MAXIMIZED=FALSE&amp;VAR:CALENDAR=US&amp;VAR:SYMBOL=SHW&amp;VAR:INDEX=15"}</definedName>
    <definedName name="_3937__FDSAUDITLINK__" hidden="1">{"fdsup://directions/FAT Viewer?action=UPDATE&amp;creator=factset&amp;DYN_ARGS=TRUE&amp;DOC_NAME=FAT:FQL_AUDITING_CLIENT_TEMPLATE.FAT&amp;display_string=Audit&amp;VAR:KEY=KREDUNAVAJ&amp;VAR:QUERY=Q1NGX0RFQlQoQU5OLDEyLzMxLzE5ODAsMTIvMzEvMjAwOSxBWSk=&amp;WINDOW=FIRST_POPUP&amp;HEIGHT=450&amp;WI","DTH=450&amp;START_MAXIMIZED=FALSE&amp;VAR:CALENDAR=US&amp;VAR:SYMBOL=SHW&amp;VAR:INDEX=14"}</definedName>
    <definedName name="_3938__FDSAUDITLINK__" hidden="1">{"fdsup://directions/FAT Viewer?action=UPDATE&amp;creator=factset&amp;DYN_ARGS=TRUE&amp;DOC_NAME=FAT:FQL_AUDITING_CLIENT_TEMPLATE.FAT&amp;display_string=Audit&amp;VAR:KEY=KREDUNAVAJ&amp;VAR:QUERY=Q1NGX0RFQlQoQU5OLDEyLzMxLzE5ODAsMTIvMzEvMjAwOSxBWSk=&amp;WINDOW=FIRST_POPUP&amp;HEIGHT=450&amp;WI","DTH=450&amp;START_MAXIMIZED=FALSE&amp;VAR:CALENDAR=US&amp;VAR:SYMBOL=SHW&amp;VAR:INDEX=13"}</definedName>
    <definedName name="_3939__FDSAUDITLINK__" hidden="1">{"fdsup://directions/FAT Viewer?action=UPDATE&amp;creator=factset&amp;DYN_ARGS=TRUE&amp;DOC_NAME=FAT:FQL_AUDITING_CLIENT_TEMPLATE.FAT&amp;display_string=Audit&amp;VAR:KEY=KREDUNAVAJ&amp;VAR:QUERY=Q1NGX0RFQlQoQU5OLDEyLzMxLzE5ODAsMTIvMzEvMjAwOSxBWSk=&amp;WINDOW=FIRST_POPUP&amp;HEIGHT=450&amp;WI","DTH=450&amp;START_MAXIMIZED=FALSE&amp;VAR:CALENDAR=US&amp;VAR:SYMBOL=SHW&amp;VAR:INDEX=12"}</definedName>
    <definedName name="_394__FDSAUDITLINK__" hidden="1">{"fdsup://directions/FAT Viewer?action=UPDATE&amp;creator=factset&amp;DYN_ARGS=TRUE&amp;DOC_NAME=FAT:FQL_AUDITING_CLIENT_TEMPLATE.FAT&amp;display_string=Audit&amp;VAR:KEY=YZSFOBEJYJ&amp;VAR:QUERY=Q1NGX0VCSVRfT1BFUihBTk4sMTIvMzEvMTk4MCwwKQ==&amp;WINDOW=FIRST_POPUP&amp;HEIGHT=450&amp;WIDTH=450&amp;","START_MAXIMIZED=FALSE&amp;VAR:CALENDAR=US&amp;VAR:SYMBOL=PX&amp;VAR:INDEX=22"}</definedName>
    <definedName name="_3940__FDSAUDITLINK__" hidden="1">{"fdsup://directions/FAT Viewer?action=UPDATE&amp;creator=factset&amp;DYN_ARGS=TRUE&amp;DOC_NAME=FAT:FQL_AUDITING_CLIENT_TEMPLATE.FAT&amp;display_string=Audit&amp;VAR:KEY=KREDUNAVAJ&amp;VAR:QUERY=Q1NGX0RFQlQoQU5OLDEyLzMxLzE5ODAsMTIvMzEvMjAwOSxBWSk=&amp;WINDOW=FIRST_POPUP&amp;HEIGHT=450&amp;WI","DTH=450&amp;START_MAXIMIZED=FALSE&amp;VAR:CALENDAR=US&amp;VAR:SYMBOL=SHW&amp;VAR:INDEX=11"}</definedName>
    <definedName name="_3941__FDSAUDITLINK__" hidden="1">{"fdsup://directions/FAT Viewer?action=UPDATE&amp;creator=factset&amp;DYN_ARGS=TRUE&amp;DOC_NAME=FAT:FQL_AUDITING_CLIENT_TEMPLATE.FAT&amp;display_string=Audit&amp;VAR:KEY=KREDUNAVAJ&amp;VAR:QUERY=Q1NGX0RFQlQoQU5OLDEyLzMxLzE5ODAsMTIvMzEvMjAwOSxBWSk=&amp;WINDOW=FIRST_POPUP&amp;HEIGHT=450&amp;WI","DTH=450&amp;START_MAXIMIZED=FALSE&amp;VAR:CALENDAR=US&amp;VAR:SYMBOL=SHW&amp;VAR:INDEX=10"}</definedName>
    <definedName name="_3942__FDSAUDITLINK__" hidden="1">{"fdsup://directions/FAT Viewer?action=UPDATE&amp;creator=factset&amp;DYN_ARGS=TRUE&amp;DOC_NAME=FAT:FQL_AUDITING_CLIENT_TEMPLATE.FAT&amp;display_string=Audit&amp;VAR:KEY=KREDUNAVAJ&amp;VAR:QUERY=Q1NGX0RFQlQoQU5OLDEyLzMxLzE5ODAsMTIvMzEvMjAwOSxBWSk=&amp;WINDOW=FIRST_POPUP&amp;HEIGHT=450&amp;WI","DTH=450&amp;START_MAXIMIZED=FALSE&amp;VAR:CALENDAR=US&amp;VAR:SYMBOL=SHW&amp;VAR:INDEX=9"}</definedName>
    <definedName name="_3943__FDSAUDITLINK__" hidden="1">{"fdsup://directions/FAT Viewer?action=UPDATE&amp;creator=factset&amp;DYN_ARGS=TRUE&amp;DOC_NAME=FAT:FQL_AUDITING_CLIENT_TEMPLATE.FAT&amp;display_string=Audit&amp;VAR:KEY=KREDUNAVAJ&amp;VAR:QUERY=Q1NGX0RFQlQoQU5OLDEyLzMxLzE5ODAsMTIvMzEvMjAwOSxBWSk=&amp;WINDOW=FIRST_POPUP&amp;HEIGHT=450&amp;WI","DTH=450&amp;START_MAXIMIZED=FALSE&amp;VAR:CALENDAR=US&amp;VAR:SYMBOL=SHW&amp;VAR:INDEX=8"}</definedName>
    <definedName name="_3944__FDSAUDITLINK__" hidden="1">{"fdsup://directions/FAT Viewer?action=UPDATE&amp;creator=factset&amp;DYN_ARGS=TRUE&amp;DOC_NAME=FAT:FQL_AUDITING_CLIENT_TEMPLATE.FAT&amp;display_string=Audit&amp;VAR:KEY=KREDUNAVAJ&amp;VAR:QUERY=Q1NGX0RFQlQoQU5OLDEyLzMxLzE5ODAsMTIvMzEvMjAwOSxBWSk=&amp;WINDOW=FIRST_POPUP&amp;HEIGHT=450&amp;WI","DTH=450&amp;START_MAXIMIZED=FALSE&amp;VAR:CALENDAR=US&amp;VAR:SYMBOL=SHW&amp;VAR:INDEX=7"}</definedName>
    <definedName name="_3945__FDSAUDITLINK__" hidden="1">{"fdsup://directions/FAT Viewer?action=UPDATE&amp;creator=factset&amp;DYN_ARGS=TRUE&amp;DOC_NAME=FAT:FQL_AUDITING_CLIENT_TEMPLATE.FAT&amp;display_string=Audit&amp;VAR:KEY=KREDUNAVAJ&amp;VAR:QUERY=Q1NGX0RFQlQoQU5OLDEyLzMxLzE5ODAsMTIvMzEvMjAwOSxBWSk=&amp;WINDOW=FIRST_POPUP&amp;HEIGHT=450&amp;WI","DTH=450&amp;START_MAXIMIZED=FALSE&amp;VAR:CALENDAR=US&amp;VAR:SYMBOL=SHW&amp;VAR:INDEX=6"}</definedName>
    <definedName name="_3946__FDSAUDITLINK__" hidden="1">{"fdsup://directions/FAT Viewer?action=UPDATE&amp;creator=factset&amp;DYN_ARGS=TRUE&amp;DOC_NAME=FAT:FQL_AUDITING_CLIENT_TEMPLATE.FAT&amp;display_string=Audit&amp;VAR:KEY=KREDUNAVAJ&amp;VAR:QUERY=Q1NGX0RFQlQoQU5OLDEyLzMxLzE5ODAsMTIvMzEvMjAwOSxBWSk=&amp;WINDOW=FIRST_POPUP&amp;HEIGHT=450&amp;WI","DTH=450&amp;START_MAXIMIZED=FALSE&amp;VAR:CALENDAR=US&amp;VAR:SYMBOL=SHW&amp;VAR:INDEX=5"}</definedName>
    <definedName name="_3947__FDSAUDITLINK__" hidden="1">{"fdsup://directions/FAT Viewer?action=UPDATE&amp;creator=factset&amp;DYN_ARGS=TRUE&amp;DOC_NAME=FAT:FQL_AUDITING_CLIENT_TEMPLATE.FAT&amp;display_string=Audit&amp;VAR:KEY=KREDUNAVAJ&amp;VAR:QUERY=Q1NGX0RFQlQoQU5OLDEyLzMxLzE5ODAsMTIvMzEvMjAwOSxBWSk=&amp;WINDOW=FIRST_POPUP&amp;HEIGHT=450&amp;WI","DTH=450&amp;START_MAXIMIZED=FALSE&amp;VAR:CALENDAR=US&amp;VAR:SYMBOL=SHW&amp;VAR:INDEX=4"}</definedName>
    <definedName name="_3948__FDSAUDITLINK__" hidden="1">{"fdsup://directions/FAT Viewer?action=UPDATE&amp;creator=factset&amp;DYN_ARGS=TRUE&amp;DOC_NAME=FAT:FQL_AUDITING_CLIENT_TEMPLATE.FAT&amp;display_string=Audit&amp;VAR:KEY=KREDUNAVAJ&amp;VAR:QUERY=Q1NGX0RFQlQoQU5OLDEyLzMxLzE5ODAsMTIvMzEvMjAwOSxBWSk=&amp;WINDOW=FIRST_POPUP&amp;HEIGHT=450&amp;WI","DTH=450&amp;START_MAXIMIZED=FALSE&amp;VAR:CALENDAR=US&amp;VAR:SYMBOL=SHW&amp;VAR:INDEX=3"}</definedName>
    <definedName name="_3949__FDSAUDITLINK__" hidden="1">{"fdsup://directions/FAT Viewer?action=UPDATE&amp;creator=factset&amp;DYN_ARGS=TRUE&amp;DOC_NAME=FAT:FQL_AUDITING_CLIENT_TEMPLATE.FAT&amp;display_string=Audit&amp;VAR:KEY=KREDUNAVAJ&amp;VAR:QUERY=Q1NGX0RFQlQoQU5OLDEyLzMxLzE5ODAsMTIvMzEvMjAwOSxBWSk=&amp;WINDOW=FIRST_POPUP&amp;HEIGHT=450&amp;WI","DTH=450&amp;START_MAXIMIZED=FALSE&amp;VAR:CALENDAR=US&amp;VAR:SYMBOL=SHW&amp;VAR:INDEX=2"}</definedName>
    <definedName name="_395__FDSAUDITLINK__" hidden="1">{"fdsup://directions/FAT Viewer?action=UPDATE&amp;creator=factset&amp;DYN_ARGS=TRUE&amp;DOC_NAME=FAT:FQL_AUDITING_CLIENT_TEMPLATE.FAT&amp;display_string=Audit&amp;VAR:KEY=YZSFOBEJYJ&amp;VAR:QUERY=Q1NGX0VCSVRfT1BFUihBTk4sMTIvMzEvMTk4MCwwKQ==&amp;WINDOW=FIRST_POPUP&amp;HEIGHT=450&amp;WIDTH=450&amp;","START_MAXIMIZED=FALSE&amp;VAR:CALENDAR=US&amp;VAR:SYMBOL=PX&amp;VAR:INDEX=21"}</definedName>
    <definedName name="_3950__FDSAUDITLINK__" hidden="1">{"fdsup://directions/FAT Viewer?action=UPDATE&amp;creator=factset&amp;DYN_ARGS=TRUE&amp;DOC_NAME=FAT:FQL_AUDITING_CLIENT_TEMPLATE.FAT&amp;display_string=Audit&amp;VAR:KEY=KREDUNAVAJ&amp;VAR:QUERY=Q1NGX0RFQlQoQU5OLDEyLzMxLzE5ODAsMTIvMzEvMjAwOSxBWSk=&amp;WINDOW=FIRST_POPUP&amp;HEIGHT=450&amp;WI","DTH=450&amp;START_MAXIMIZED=FALSE&amp;VAR:CALENDAR=US&amp;VAR:SYMBOL=SHW&amp;VAR:INDEX=1"}</definedName>
    <definedName name="_3951__FDSAUDITLINK__" hidden="1">{"fdsup://directions/FAT Viewer?action=UPDATE&amp;creator=factset&amp;DYN_ARGS=TRUE&amp;DOC_NAME=FAT:FQL_AUDITING_CLIENT_TEMPLATE.FAT&amp;display_string=Audit&amp;VAR:KEY=KREDUNAVAJ&amp;VAR:QUERY=Q1NGX0RFQlQoQU5OLDEyLzMxLzE5ODAsMTIvMzEvMjAwOSxBWSk=&amp;WINDOW=FIRST_POPUP&amp;HEIGHT=450&amp;WI","DTH=450&amp;START_MAXIMIZED=FALSE&amp;VAR:CALENDAR=US&amp;VAR:SYMBOL=SHW&amp;VAR:INDEX=0"}</definedName>
    <definedName name="_3952__FDSAUDITLINK__" hidden="1">{"fdsup://directions/FAT Viewer?action=UPDATE&amp;creator=factset&amp;DYN_ARGS=TRUE&amp;DOC_NAME=FAT:FQL_AUDITING_CLIENT_TEMPLATE.FAT&amp;display_string=Audit&amp;VAR:KEY=EDKHQVKXUT&amp;VAR:QUERY=Q1NGX0RFQlQoQU5OLDEyLzMxLzE5ODAsMTIvMzEvMjAwOSxBWSk=&amp;WINDOW=FIRST_POPUP&amp;HEIGHT=450&amp;WI","DTH=450&amp;START_MAXIMIZED=FALSE&amp;VAR:CALENDAR=US&amp;VAR:SYMBOL=RPM&amp;VAR:INDEX=29"}</definedName>
    <definedName name="_3953__FDSAUDITLINK__" hidden="1">{"fdsup://directions/FAT Viewer?action=UPDATE&amp;creator=factset&amp;DYN_ARGS=TRUE&amp;DOC_NAME=FAT:FQL_AUDITING_CLIENT_TEMPLATE.FAT&amp;display_string=Audit&amp;VAR:KEY=EDKHQVKXUT&amp;VAR:QUERY=Q1NGX0RFQlQoQU5OLDEyLzMxLzE5ODAsMTIvMzEvMjAwOSxBWSk=&amp;WINDOW=FIRST_POPUP&amp;HEIGHT=450&amp;WI","DTH=450&amp;START_MAXIMIZED=FALSE&amp;VAR:CALENDAR=US&amp;VAR:SYMBOL=RPM&amp;VAR:INDEX=28"}</definedName>
    <definedName name="_3954__FDSAUDITLINK__" hidden="1">{"fdsup://directions/FAT Viewer?action=UPDATE&amp;creator=factset&amp;DYN_ARGS=TRUE&amp;DOC_NAME=FAT:FQL_AUDITING_CLIENT_TEMPLATE.FAT&amp;display_string=Audit&amp;VAR:KEY=EDKHQVKXUT&amp;VAR:QUERY=Q1NGX0RFQlQoQU5OLDEyLzMxLzE5ODAsMTIvMzEvMjAwOSxBWSk=&amp;WINDOW=FIRST_POPUP&amp;HEIGHT=450&amp;WI","DTH=450&amp;START_MAXIMIZED=FALSE&amp;VAR:CALENDAR=US&amp;VAR:SYMBOL=RPM&amp;VAR:INDEX=27"}</definedName>
    <definedName name="_3955__FDSAUDITLINK__" hidden="1">{"fdsup://directions/FAT Viewer?action=UPDATE&amp;creator=factset&amp;DYN_ARGS=TRUE&amp;DOC_NAME=FAT:FQL_AUDITING_CLIENT_TEMPLATE.FAT&amp;display_string=Audit&amp;VAR:KEY=EDKHQVKXUT&amp;VAR:QUERY=Q1NGX0RFQlQoQU5OLDEyLzMxLzE5ODAsMTIvMzEvMjAwOSxBWSk=&amp;WINDOW=FIRST_POPUP&amp;HEIGHT=450&amp;WI","DTH=450&amp;START_MAXIMIZED=FALSE&amp;VAR:CALENDAR=US&amp;VAR:SYMBOL=RPM&amp;VAR:INDEX=26"}</definedName>
    <definedName name="_3956__FDSAUDITLINK__" hidden="1">{"fdsup://directions/FAT Viewer?action=UPDATE&amp;creator=factset&amp;DYN_ARGS=TRUE&amp;DOC_NAME=FAT:FQL_AUDITING_CLIENT_TEMPLATE.FAT&amp;display_string=Audit&amp;VAR:KEY=EDKHQVKXUT&amp;VAR:QUERY=Q1NGX0RFQlQoQU5OLDEyLzMxLzE5ODAsMTIvMzEvMjAwOSxBWSk=&amp;WINDOW=FIRST_POPUP&amp;HEIGHT=450&amp;WI","DTH=450&amp;START_MAXIMIZED=FALSE&amp;VAR:CALENDAR=US&amp;VAR:SYMBOL=RPM&amp;VAR:INDEX=25"}</definedName>
    <definedName name="_3957__FDSAUDITLINK__" hidden="1">{"fdsup://directions/FAT Viewer?action=UPDATE&amp;creator=factset&amp;DYN_ARGS=TRUE&amp;DOC_NAME=FAT:FQL_AUDITING_CLIENT_TEMPLATE.FAT&amp;display_string=Audit&amp;VAR:KEY=EDKHQVKXUT&amp;VAR:QUERY=Q1NGX0RFQlQoQU5OLDEyLzMxLzE5ODAsMTIvMzEvMjAwOSxBWSk=&amp;WINDOW=FIRST_POPUP&amp;HEIGHT=450&amp;WI","DTH=450&amp;START_MAXIMIZED=FALSE&amp;VAR:CALENDAR=US&amp;VAR:SYMBOL=RPM&amp;VAR:INDEX=24"}</definedName>
    <definedName name="_3958__FDSAUDITLINK__" hidden="1">{"fdsup://directions/FAT Viewer?action=UPDATE&amp;creator=factset&amp;DYN_ARGS=TRUE&amp;DOC_NAME=FAT:FQL_AUDITING_CLIENT_TEMPLATE.FAT&amp;display_string=Audit&amp;VAR:KEY=EDKHQVKXUT&amp;VAR:QUERY=Q1NGX0RFQlQoQU5OLDEyLzMxLzE5ODAsMTIvMzEvMjAwOSxBWSk=&amp;WINDOW=FIRST_POPUP&amp;HEIGHT=450&amp;WI","DTH=450&amp;START_MAXIMIZED=FALSE&amp;VAR:CALENDAR=US&amp;VAR:SYMBOL=RPM&amp;VAR:INDEX=23"}</definedName>
    <definedName name="_3959__FDSAUDITLINK__" hidden="1">{"fdsup://directions/FAT Viewer?action=UPDATE&amp;creator=factset&amp;DYN_ARGS=TRUE&amp;DOC_NAME=FAT:FQL_AUDITING_CLIENT_TEMPLATE.FAT&amp;display_string=Audit&amp;VAR:KEY=EDKHQVKXUT&amp;VAR:QUERY=Q1NGX0RFQlQoQU5OLDEyLzMxLzE5ODAsMTIvMzEvMjAwOSxBWSk=&amp;WINDOW=FIRST_POPUP&amp;HEIGHT=450&amp;WI","DTH=450&amp;START_MAXIMIZED=FALSE&amp;VAR:CALENDAR=US&amp;VAR:SYMBOL=RPM&amp;VAR:INDEX=22"}</definedName>
    <definedName name="_396__FDSAUDITLINK__" hidden="1">{"fdsup://directions/FAT Viewer?action=UPDATE&amp;creator=factset&amp;DYN_ARGS=TRUE&amp;DOC_NAME=FAT:FQL_AUDITING_CLIENT_TEMPLATE.FAT&amp;display_string=Audit&amp;VAR:KEY=YZSFOBEJYJ&amp;VAR:QUERY=Q1NGX0VCSVRfT1BFUihBTk4sMTIvMzEvMTk4MCwwKQ==&amp;WINDOW=FIRST_POPUP&amp;HEIGHT=450&amp;WIDTH=450&amp;","START_MAXIMIZED=FALSE&amp;VAR:CALENDAR=US&amp;VAR:SYMBOL=PX&amp;VAR:INDEX=20"}</definedName>
    <definedName name="_3960__FDSAUDITLINK__" hidden="1">{"fdsup://directions/FAT Viewer?action=UPDATE&amp;creator=factset&amp;DYN_ARGS=TRUE&amp;DOC_NAME=FAT:FQL_AUDITING_CLIENT_TEMPLATE.FAT&amp;display_string=Audit&amp;VAR:KEY=EDKHQVKXUT&amp;VAR:QUERY=Q1NGX0RFQlQoQU5OLDEyLzMxLzE5ODAsMTIvMzEvMjAwOSxBWSk=&amp;WINDOW=FIRST_POPUP&amp;HEIGHT=450&amp;WI","DTH=450&amp;START_MAXIMIZED=FALSE&amp;VAR:CALENDAR=US&amp;VAR:SYMBOL=RPM&amp;VAR:INDEX=21"}</definedName>
    <definedName name="_3961__FDSAUDITLINK__" hidden="1">{"fdsup://directions/FAT Viewer?action=UPDATE&amp;creator=factset&amp;DYN_ARGS=TRUE&amp;DOC_NAME=FAT:FQL_AUDITING_CLIENT_TEMPLATE.FAT&amp;display_string=Audit&amp;VAR:KEY=EDKHQVKXUT&amp;VAR:QUERY=Q1NGX0RFQlQoQU5OLDEyLzMxLzE5ODAsMTIvMzEvMjAwOSxBWSk=&amp;WINDOW=FIRST_POPUP&amp;HEIGHT=450&amp;WI","DTH=450&amp;START_MAXIMIZED=FALSE&amp;VAR:CALENDAR=US&amp;VAR:SYMBOL=RPM&amp;VAR:INDEX=20"}</definedName>
    <definedName name="_3962__FDSAUDITLINK__" hidden="1">{"fdsup://directions/FAT Viewer?action=UPDATE&amp;creator=factset&amp;DYN_ARGS=TRUE&amp;DOC_NAME=FAT:FQL_AUDITING_CLIENT_TEMPLATE.FAT&amp;display_string=Audit&amp;VAR:KEY=EDKHQVKXUT&amp;VAR:QUERY=Q1NGX0RFQlQoQU5OLDEyLzMxLzE5ODAsMTIvMzEvMjAwOSxBWSk=&amp;WINDOW=FIRST_POPUP&amp;HEIGHT=450&amp;WI","DTH=450&amp;START_MAXIMIZED=FALSE&amp;VAR:CALENDAR=US&amp;VAR:SYMBOL=RPM&amp;VAR:INDEX=19"}</definedName>
    <definedName name="_3963__FDSAUDITLINK__" hidden="1">{"fdsup://directions/FAT Viewer?action=UPDATE&amp;creator=factset&amp;DYN_ARGS=TRUE&amp;DOC_NAME=FAT:FQL_AUDITING_CLIENT_TEMPLATE.FAT&amp;display_string=Audit&amp;VAR:KEY=EDKHQVKXUT&amp;VAR:QUERY=Q1NGX0RFQlQoQU5OLDEyLzMxLzE5ODAsMTIvMzEvMjAwOSxBWSk=&amp;WINDOW=FIRST_POPUP&amp;HEIGHT=450&amp;WI","DTH=450&amp;START_MAXIMIZED=FALSE&amp;VAR:CALENDAR=US&amp;VAR:SYMBOL=RPM&amp;VAR:INDEX=18"}</definedName>
    <definedName name="_3964__FDSAUDITLINK__" hidden="1">{"fdsup://directions/FAT Viewer?action=UPDATE&amp;creator=factset&amp;DYN_ARGS=TRUE&amp;DOC_NAME=FAT:FQL_AUDITING_CLIENT_TEMPLATE.FAT&amp;display_string=Audit&amp;VAR:KEY=EDKHQVKXUT&amp;VAR:QUERY=Q1NGX0RFQlQoQU5OLDEyLzMxLzE5ODAsMTIvMzEvMjAwOSxBWSk=&amp;WINDOW=FIRST_POPUP&amp;HEIGHT=450&amp;WI","DTH=450&amp;START_MAXIMIZED=FALSE&amp;VAR:CALENDAR=US&amp;VAR:SYMBOL=RPM&amp;VAR:INDEX=17"}</definedName>
    <definedName name="_3965__FDSAUDITLINK__" hidden="1">{"fdsup://directions/FAT Viewer?action=UPDATE&amp;creator=factset&amp;DYN_ARGS=TRUE&amp;DOC_NAME=FAT:FQL_AUDITING_CLIENT_TEMPLATE.FAT&amp;display_string=Audit&amp;VAR:KEY=EDKHQVKXUT&amp;VAR:QUERY=Q1NGX0RFQlQoQU5OLDEyLzMxLzE5ODAsMTIvMzEvMjAwOSxBWSk=&amp;WINDOW=FIRST_POPUP&amp;HEIGHT=450&amp;WI","DTH=450&amp;START_MAXIMIZED=FALSE&amp;VAR:CALENDAR=US&amp;VAR:SYMBOL=RPM&amp;VAR:INDEX=16"}</definedName>
    <definedName name="_3966__FDSAUDITLINK__" hidden="1">{"fdsup://directions/FAT Viewer?action=UPDATE&amp;creator=factset&amp;DYN_ARGS=TRUE&amp;DOC_NAME=FAT:FQL_AUDITING_CLIENT_TEMPLATE.FAT&amp;display_string=Audit&amp;VAR:KEY=EDKHQVKXUT&amp;VAR:QUERY=Q1NGX0RFQlQoQU5OLDEyLzMxLzE5ODAsMTIvMzEvMjAwOSxBWSk=&amp;WINDOW=FIRST_POPUP&amp;HEIGHT=450&amp;WI","DTH=450&amp;START_MAXIMIZED=FALSE&amp;VAR:CALENDAR=US&amp;VAR:SYMBOL=RPM&amp;VAR:INDEX=15"}</definedName>
    <definedName name="_3967__FDSAUDITLINK__" hidden="1">{"fdsup://directions/FAT Viewer?action=UPDATE&amp;creator=factset&amp;DYN_ARGS=TRUE&amp;DOC_NAME=FAT:FQL_AUDITING_CLIENT_TEMPLATE.FAT&amp;display_string=Audit&amp;VAR:KEY=EDKHQVKXUT&amp;VAR:QUERY=Q1NGX0RFQlQoQU5OLDEyLzMxLzE5ODAsMTIvMzEvMjAwOSxBWSk=&amp;WINDOW=FIRST_POPUP&amp;HEIGHT=450&amp;WI","DTH=450&amp;START_MAXIMIZED=FALSE&amp;VAR:CALENDAR=US&amp;VAR:SYMBOL=RPM&amp;VAR:INDEX=14"}</definedName>
    <definedName name="_3968__FDSAUDITLINK__" hidden="1">{"fdsup://directions/FAT Viewer?action=UPDATE&amp;creator=factset&amp;DYN_ARGS=TRUE&amp;DOC_NAME=FAT:FQL_AUDITING_CLIENT_TEMPLATE.FAT&amp;display_string=Audit&amp;VAR:KEY=EDKHQVKXUT&amp;VAR:QUERY=Q1NGX0RFQlQoQU5OLDEyLzMxLzE5ODAsMTIvMzEvMjAwOSxBWSk=&amp;WINDOW=FIRST_POPUP&amp;HEIGHT=450&amp;WI","DTH=450&amp;START_MAXIMIZED=FALSE&amp;VAR:CALENDAR=US&amp;VAR:SYMBOL=RPM&amp;VAR:INDEX=13"}</definedName>
    <definedName name="_3969__FDSAUDITLINK__" hidden="1">{"fdsup://directions/FAT Viewer?action=UPDATE&amp;creator=factset&amp;DYN_ARGS=TRUE&amp;DOC_NAME=FAT:FQL_AUDITING_CLIENT_TEMPLATE.FAT&amp;display_string=Audit&amp;VAR:KEY=EDKHQVKXUT&amp;VAR:QUERY=Q1NGX0RFQlQoQU5OLDEyLzMxLzE5ODAsMTIvMzEvMjAwOSxBWSk=&amp;WINDOW=FIRST_POPUP&amp;HEIGHT=450&amp;WI","DTH=450&amp;START_MAXIMIZED=FALSE&amp;VAR:CALENDAR=US&amp;VAR:SYMBOL=RPM&amp;VAR:INDEX=12"}</definedName>
    <definedName name="_397__FDSAUDITLINK__" hidden="1">{"fdsup://directions/FAT Viewer?action=UPDATE&amp;creator=factset&amp;DYN_ARGS=TRUE&amp;DOC_NAME=FAT:FQL_AUDITING_CLIENT_TEMPLATE.FAT&amp;display_string=Audit&amp;VAR:KEY=YZSFOBEJYJ&amp;VAR:QUERY=Q1NGX0VCSVRfT1BFUihBTk4sMTIvMzEvMTk4MCwwKQ==&amp;WINDOW=FIRST_POPUP&amp;HEIGHT=450&amp;WIDTH=450&amp;","START_MAXIMIZED=FALSE&amp;VAR:CALENDAR=US&amp;VAR:SYMBOL=PX&amp;VAR:INDEX=19"}</definedName>
    <definedName name="_3970__FDSAUDITLINK__" hidden="1">{"fdsup://directions/FAT Viewer?action=UPDATE&amp;creator=factset&amp;DYN_ARGS=TRUE&amp;DOC_NAME=FAT:FQL_AUDITING_CLIENT_TEMPLATE.FAT&amp;display_string=Audit&amp;VAR:KEY=EDKHQVKXUT&amp;VAR:QUERY=Q1NGX0RFQlQoQU5OLDEyLzMxLzE5ODAsMTIvMzEvMjAwOSxBWSk=&amp;WINDOW=FIRST_POPUP&amp;HEIGHT=450&amp;WI","DTH=450&amp;START_MAXIMIZED=FALSE&amp;VAR:CALENDAR=US&amp;VAR:SYMBOL=RPM&amp;VAR:INDEX=11"}</definedName>
    <definedName name="_3971__FDSAUDITLINK__" hidden="1">{"fdsup://directions/FAT Viewer?action=UPDATE&amp;creator=factset&amp;DYN_ARGS=TRUE&amp;DOC_NAME=FAT:FQL_AUDITING_CLIENT_TEMPLATE.FAT&amp;display_string=Audit&amp;VAR:KEY=EDKHQVKXUT&amp;VAR:QUERY=Q1NGX0RFQlQoQU5OLDEyLzMxLzE5ODAsMTIvMzEvMjAwOSxBWSk=&amp;WINDOW=FIRST_POPUP&amp;HEIGHT=450&amp;WI","DTH=450&amp;START_MAXIMIZED=FALSE&amp;VAR:CALENDAR=US&amp;VAR:SYMBOL=RPM&amp;VAR:INDEX=10"}</definedName>
    <definedName name="_3972__FDSAUDITLINK__" hidden="1">{"fdsup://directions/FAT Viewer?action=UPDATE&amp;creator=factset&amp;DYN_ARGS=TRUE&amp;DOC_NAME=FAT:FQL_AUDITING_CLIENT_TEMPLATE.FAT&amp;display_string=Audit&amp;VAR:KEY=EDKHQVKXUT&amp;VAR:QUERY=Q1NGX0RFQlQoQU5OLDEyLzMxLzE5ODAsMTIvMzEvMjAwOSxBWSk=&amp;WINDOW=FIRST_POPUP&amp;HEIGHT=450&amp;WI","DTH=450&amp;START_MAXIMIZED=FALSE&amp;VAR:CALENDAR=US&amp;VAR:SYMBOL=RPM&amp;VAR:INDEX=9"}</definedName>
    <definedName name="_3973__FDSAUDITLINK__" hidden="1">{"fdsup://directions/FAT Viewer?action=UPDATE&amp;creator=factset&amp;DYN_ARGS=TRUE&amp;DOC_NAME=FAT:FQL_AUDITING_CLIENT_TEMPLATE.FAT&amp;display_string=Audit&amp;VAR:KEY=EDKHQVKXUT&amp;VAR:QUERY=Q1NGX0RFQlQoQU5OLDEyLzMxLzE5ODAsMTIvMzEvMjAwOSxBWSk=&amp;WINDOW=FIRST_POPUP&amp;HEIGHT=450&amp;WI","DTH=450&amp;START_MAXIMIZED=FALSE&amp;VAR:CALENDAR=US&amp;VAR:SYMBOL=RPM&amp;VAR:INDEX=8"}</definedName>
    <definedName name="_3974__FDSAUDITLINK__" hidden="1">{"fdsup://directions/FAT Viewer?action=UPDATE&amp;creator=factset&amp;DYN_ARGS=TRUE&amp;DOC_NAME=FAT:FQL_AUDITING_CLIENT_TEMPLATE.FAT&amp;display_string=Audit&amp;VAR:KEY=EDKHQVKXUT&amp;VAR:QUERY=Q1NGX0RFQlQoQU5OLDEyLzMxLzE5ODAsMTIvMzEvMjAwOSxBWSk=&amp;WINDOW=FIRST_POPUP&amp;HEIGHT=450&amp;WI","DTH=450&amp;START_MAXIMIZED=FALSE&amp;VAR:CALENDAR=US&amp;VAR:SYMBOL=RPM&amp;VAR:INDEX=7"}</definedName>
    <definedName name="_3975__FDSAUDITLINK__" hidden="1">{"fdsup://directions/FAT Viewer?action=UPDATE&amp;creator=factset&amp;DYN_ARGS=TRUE&amp;DOC_NAME=FAT:FQL_AUDITING_CLIENT_TEMPLATE.FAT&amp;display_string=Audit&amp;VAR:KEY=EDKHQVKXUT&amp;VAR:QUERY=Q1NGX0RFQlQoQU5OLDEyLzMxLzE5ODAsMTIvMzEvMjAwOSxBWSk=&amp;WINDOW=FIRST_POPUP&amp;HEIGHT=450&amp;WI","DTH=450&amp;START_MAXIMIZED=FALSE&amp;VAR:CALENDAR=US&amp;VAR:SYMBOL=RPM&amp;VAR:INDEX=6"}</definedName>
    <definedName name="_3976__FDSAUDITLINK__" hidden="1">{"fdsup://directions/FAT Viewer?action=UPDATE&amp;creator=factset&amp;DYN_ARGS=TRUE&amp;DOC_NAME=FAT:FQL_AUDITING_CLIENT_TEMPLATE.FAT&amp;display_string=Audit&amp;VAR:KEY=EDKHQVKXUT&amp;VAR:QUERY=Q1NGX0RFQlQoQU5OLDEyLzMxLzE5ODAsMTIvMzEvMjAwOSxBWSk=&amp;WINDOW=FIRST_POPUP&amp;HEIGHT=450&amp;WI","DTH=450&amp;START_MAXIMIZED=FALSE&amp;VAR:CALENDAR=US&amp;VAR:SYMBOL=RPM&amp;VAR:INDEX=5"}</definedName>
    <definedName name="_3977__FDSAUDITLINK__" hidden="1">{"fdsup://directions/FAT Viewer?action=UPDATE&amp;creator=factset&amp;DYN_ARGS=TRUE&amp;DOC_NAME=FAT:FQL_AUDITING_CLIENT_TEMPLATE.FAT&amp;display_string=Audit&amp;VAR:KEY=EDKHQVKXUT&amp;VAR:QUERY=Q1NGX0RFQlQoQU5OLDEyLzMxLzE5ODAsMTIvMzEvMjAwOSxBWSk=&amp;WINDOW=FIRST_POPUP&amp;HEIGHT=450&amp;WI","DTH=450&amp;START_MAXIMIZED=FALSE&amp;VAR:CALENDAR=US&amp;VAR:SYMBOL=RPM&amp;VAR:INDEX=4"}</definedName>
    <definedName name="_3978__FDSAUDITLINK__" hidden="1">{"fdsup://directions/FAT Viewer?action=UPDATE&amp;creator=factset&amp;DYN_ARGS=TRUE&amp;DOC_NAME=FAT:FQL_AUDITING_CLIENT_TEMPLATE.FAT&amp;display_string=Audit&amp;VAR:KEY=EDKHQVKXUT&amp;VAR:QUERY=Q1NGX0RFQlQoQU5OLDEyLzMxLzE5ODAsMTIvMzEvMjAwOSxBWSk=&amp;WINDOW=FIRST_POPUP&amp;HEIGHT=450&amp;WI","DTH=450&amp;START_MAXIMIZED=FALSE&amp;VAR:CALENDAR=US&amp;VAR:SYMBOL=RPM&amp;VAR:INDEX=3"}</definedName>
    <definedName name="_3979__FDSAUDITLINK__" hidden="1">{"fdsup://directions/FAT Viewer?action=UPDATE&amp;creator=factset&amp;DYN_ARGS=TRUE&amp;DOC_NAME=FAT:FQL_AUDITING_CLIENT_TEMPLATE.FAT&amp;display_string=Audit&amp;VAR:KEY=EDKHQVKXUT&amp;VAR:QUERY=Q1NGX0RFQlQoQU5OLDEyLzMxLzE5ODAsMTIvMzEvMjAwOSxBWSk=&amp;WINDOW=FIRST_POPUP&amp;HEIGHT=450&amp;WI","DTH=450&amp;START_MAXIMIZED=FALSE&amp;VAR:CALENDAR=US&amp;VAR:SYMBOL=RPM&amp;VAR:INDEX=2"}</definedName>
    <definedName name="_398__FDSAUDITLINK__" hidden="1">{"fdsup://directions/FAT Viewer?action=UPDATE&amp;creator=factset&amp;DYN_ARGS=TRUE&amp;DOC_NAME=FAT:FQL_AUDITING_CLIENT_TEMPLATE.FAT&amp;display_string=Audit&amp;VAR:KEY=YZSFOBEJYJ&amp;VAR:QUERY=Q1NGX0VCSVRfT1BFUihBTk4sMTIvMzEvMTk4MCwwKQ==&amp;WINDOW=FIRST_POPUP&amp;HEIGHT=450&amp;WIDTH=450&amp;","START_MAXIMIZED=FALSE&amp;VAR:CALENDAR=US&amp;VAR:SYMBOL=PX&amp;VAR:INDEX=18"}</definedName>
    <definedName name="_3980__FDSAUDITLINK__" hidden="1">{"fdsup://directions/FAT Viewer?action=UPDATE&amp;creator=factset&amp;DYN_ARGS=TRUE&amp;DOC_NAME=FAT:FQL_AUDITING_CLIENT_TEMPLATE.FAT&amp;display_string=Audit&amp;VAR:KEY=EDKHQVKXUT&amp;VAR:QUERY=Q1NGX0RFQlQoQU5OLDEyLzMxLzE5ODAsMTIvMzEvMjAwOSxBWSk=&amp;WINDOW=FIRST_POPUP&amp;HEIGHT=450&amp;WI","DTH=450&amp;START_MAXIMIZED=FALSE&amp;VAR:CALENDAR=US&amp;VAR:SYMBOL=RPM&amp;VAR:INDEX=1"}</definedName>
    <definedName name="_3981__FDSAUDITLINK__" hidden="1">{"fdsup://directions/FAT Viewer?action=UPDATE&amp;creator=factset&amp;DYN_ARGS=TRUE&amp;DOC_NAME=FAT:FQL_AUDITING_CLIENT_TEMPLATE.FAT&amp;display_string=Audit&amp;VAR:KEY=EDKHQVKXUT&amp;VAR:QUERY=Q1NGX0RFQlQoQU5OLDEyLzMxLzE5ODAsMTIvMzEvMjAwOSxBWSk=&amp;WINDOW=FIRST_POPUP&amp;HEIGHT=450&amp;WI","DTH=450&amp;START_MAXIMIZED=FALSE&amp;VAR:CALENDAR=US&amp;VAR:SYMBOL=RPM&amp;VAR:INDEX=0"}</definedName>
    <definedName name="_3982__FDSAUDITLINK__" hidden="1">{"fdsup://directions/FAT Viewer?action=UPDATE&amp;creator=factset&amp;DYN_ARGS=TRUE&amp;DOC_NAME=FAT:FQL_AUDITING_CLIENT_TEMPLATE.FAT&amp;display_string=Audit&amp;VAR:KEY=WXQNEJMBQZ&amp;VAR:QUERY=Q1NGX0RFQlQoQU5OLDEyLzMxLzE5OTEsMTIvMzEvMjAwOSxBWSk=&amp;WINDOW=FIRST_POPUP&amp;HEIGHT=450&amp;WI","DTH=450&amp;START_MAXIMIZED=FALSE&amp;VAR:CALENDAR=US&amp;VAR:SYMBOL=PX&amp;VAR:INDEX=18"}</definedName>
    <definedName name="_3983__FDSAUDITLINK__" hidden="1">{"fdsup://directions/FAT Viewer?action=UPDATE&amp;creator=factset&amp;DYN_ARGS=TRUE&amp;DOC_NAME=FAT:FQL_AUDITING_CLIENT_TEMPLATE.FAT&amp;display_string=Audit&amp;VAR:KEY=WXQNEJMBQZ&amp;VAR:QUERY=Q1NGX0RFQlQoQU5OLDEyLzMxLzE5OTEsMTIvMzEvMjAwOSxBWSk=&amp;WINDOW=FIRST_POPUP&amp;HEIGHT=450&amp;WI","DTH=450&amp;START_MAXIMIZED=FALSE&amp;VAR:CALENDAR=US&amp;VAR:SYMBOL=PX&amp;VAR:INDEX=17"}</definedName>
    <definedName name="_3984__FDSAUDITLINK__" hidden="1">{"fdsup://directions/FAT Viewer?action=UPDATE&amp;creator=factset&amp;DYN_ARGS=TRUE&amp;DOC_NAME=FAT:FQL_AUDITING_CLIENT_TEMPLATE.FAT&amp;display_string=Audit&amp;VAR:KEY=WXQNEJMBQZ&amp;VAR:QUERY=Q1NGX0RFQlQoQU5OLDEyLzMxLzE5OTEsMTIvMzEvMjAwOSxBWSk=&amp;WINDOW=FIRST_POPUP&amp;HEIGHT=450&amp;WI","DTH=450&amp;START_MAXIMIZED=FALSE&amp;VAR:CALENDAR=US&amp;VAR:SYMBOL=PX&amp;VAR:INDEX=16"}</definedName>
    <definedName name="_3985__FDSAUDITLINK__" hidden="1">{"fdsup://directions/FAT Viewer?action=UPDATE&amp;creator=factset&amp;DYN_ARGS=TRUE&amp;DOC_NAME=FAT:FQL_AUDITING_CLIENT_TEMPLATE.FAT&amp;display_string=Audit&amp;VAR:KEY=WXQNEJMBQZ&amp;VAR:QUERY=Q1NGX0RFQlQoQU5OLDEyLzMxLzE5OTEsMTIvMzEvMjAwOSxBWSk=&amp;WINDOW=FIRST_POPUP&amp;HEIGHT=450&amp;WI","DTH=450&amp;START_MAXIMIZED=FALSE&amp;VAR:CALENDAR=US&amp;VAR:SYMBOL=PX&amp;VAR:INDEX=15"}</definedName>
    <definedName name="_3986__FDSAUDITLINK__" hidden="1">{"fdsup://directions/FAT Viewer?action=UPDATE&amp;creator=factset&amp;DYN_ARGS=TRUE&amp;DOC_NAME=FAT:FQL_AUDITING_CLIENT_TEMPLATE.FAT&amp;display_string=Audit&amp;VAR:KEY=WXQNEJMBQZ&amp;VAR:QUERY=Q1NGX0RFQlQoQU5OLDEyLzMxLzE5OTEsMTIvMzEvMjAwOSxBWSk=&amp;WINDOW=FIRST_POPUP&amp;HEIGHT=450&amp;WI","DTH=450&amp;START_MAXIMIZED=FALSE&amp;VAR:CALENDAR=US&amp;VAR:SYMBOL=PX&amp;VAR:INDEX=14"}</definedName>
    <definedName name="_3987__FDSAUDITLINK__" hidden="1">{"fdsup://directions/FAT Viewer?action=UPDATE&amp;creator=factset&amp;DYN_ARGS=TRUE&amp;DOC_NAME=FAT:FQL_AUDITING_CLIENT_TEMPLATE.FAT&amp;display_string=Audit&amp;VAR:KEY=WXQNEJMBQZ&amp;VAR:QUERY=Q1NGX0RFQlQoQU5OLDEyLzMxLzE5OTEsMTIvMzEvMjAwOSxBWSk=&amp;WINDOW=FIRST_POPUP&amp;HEIGHT=450&amp;WI","DTH=450&amp;START_MAXIMIZED=FALSE&amp;VAR:CALENDAR=US&amp;VAR:SYMBOL=PX&amp;VAR:INDEX=13"}</definedName>
    <definedName name="_3988__FDSAUDITLINK__" hidden="1">{"fdsup://directions/FAT Viewer?action=UPDATE&amp;creator=factset&amp;DYN_ARGS=TRUE&amp;DOC_NAME=FAT:FQL_AUDITING_CLIENT_TEMPLATE.FAT&amp;display_string=Audit&amp;VAR:KEY=WXQNEJMBQZ&amp;VAR:QUERY=Q1NGX0RFQlQoQU5OLDEyLzMxLzE5OTEsMTIvMzEvMjAwOSxBWSk=&amp;WINDOW=FIRST_POPUP&amp;HEIGHT=450&amp;WI","DTH=450&amp;START_MAXIMIZED=FALSE&amp;VAR:CALENDAR=US&amp;VAR:SYMBOL=PX&amp;VAR:INDEX=12"}</definedName>
    <definedName name="_3989__FDSAUDITLINK__" hidden="1">{"fdsup://directions/FAT Viewer?action=UPDATE&amp;creator=factset&amp;DYN_ARGS=TRUE&amp;DOC_NAME=FAT:FQL_AUDITING_CLIENT_TEMPLATE.FAT&amp;display_string=Audit&amp;VAR:KEY=WXQNEJMBQZ&amp;VAR:QUERY=Q1NGX0RFQlQoQU5OLDEyLzMxLzE5OTEsMTIvMzEvMjAwOSxBWSk=&amp;WINDOW=FIRST_POPUP&amp;HEIGHT=450&amp;WI","DTH=450&amp;START_MAXIMIZED=FALSE&amp;VAR:CALENDAR=US&amp;VAR:SYMBOL=PX&amp;VAR:INDEX=11"}</definedName>
    <definedName name="_399__FDSAUDITLINK__" hidden="1">{"fdsup://directions/FAT Viewer?action=UPDATE&amp;creator=factset&amp;DYN_ARGS=TRUE&amp;DOC_NAME=FAT:FQL_AUDITING_CLIENT_TEMPLATE.FAT&amp;display_string=Audit&amp;VAR:KEY=YZSFOBEJYJ&amp;VAR:QUERY=Q1NGX0VCSVRfT1BFUihBTk4sMTIvMzEvMTk4MCwwKQ==&amp;WINDOW=FIRST_POPUP&amp;HEIGHT=450&amp;WIDTH=450&amp;","START_MAXIMIZED=FALSE&amp;VAR:CALENDAR=US&amp;VAR:SYMBOL=PX&amp;VAR:INDEX=17"}</definedName>
    <definedName name="_3990__FDSAUDITLINK__" hidden="1">{"fdsup://directions/FAT Viewer?action=UPDATE&amp;creator=factset&amp;DYN_ARGS=TRUE&amp;DOC_NAME=FAT:FQL_AUDITING_CLIENT_TEMPLATE.FAT&amp;display_string=Audit&amp;VAR:KEY=WXQNEJMBQZ&amp;VAR:QUERY=Q1NGX0RFQlQoQU5OLDEyLzMxLzE5OTEsMTIvMzEvMjAwOSxBWSk=&amp;WINDOW=FIRST_POPUP&amp;HEIGHT=450&amp;WI","DTH=450&amp;START_MAXIMIZED=FALSE&amp;VAR:CALENDAR=US&amp;VAR:SYMBOL=PX&amp;VAR:INDEX=10"}</definedName>
    <definedName name="_3991__FDSAUDITLINK__" hidden="1">{"fdsup://directions/FAT Viewer?action=UPDATE&amp;creator=factset&amp;DYN_ARGS=TRUE&amp;DOC_NAME=FAT:FQL_AUDITING_CLIENT_TEMPLATE.FAT&amp;display_string=Audit&amp;VAR:KEY=WXQNEJMBQZ&amp;VAR:QUERY=Q1NGX0RFQlQoQU5OLDEyLzMxLzE5OTEsMTIvMzEvMjAwOSxBWSk=&amp;WINDOW=FIRST_POPUP&amp;HEIGHT=450&amp;WI","DTH=450&amp;START_MAXIMIZED=FALSE&amp;VAR:CALENDAR=US&amp;VAR:SYMBOL=PX&amp;VAR:INDEX=9"}</definedName>
    <definedName name="_3992__FDSAUDITLINK__" hidden="1">{"fdsup://directions/FAT Viewer?action=UPDATE&amp;creator=factset&amp;DYN_ARGS=TRUE&amp;DOC_NAME=FAT:FQL_AUDITING_CLIENT_TEMPLATE.FAT&amp;display_string=Audit&amp;VAR:KEY=WXQNEJMBQZ&amp;VAR:QUERY=Q1NGX0RFQlQoQU5OLDEyLzMxLzE5OTEsMTIvMzEvMjAwOSxBWSk=&amp;WINDOW=FIRST_POPUP&amp;HEIGHT=450&amp;WI","DTH=450&amp;START_MAXIMIZED=FALSE&amp;VAR:CALENDAR=US&amp;VAR:SYMBOL=PX&amp;VAR:INDEX=8"}</definedName>
    <definedName name="_3993__FDSAUDITLINK__" hidden="1">{"fdsup://directions/FAT Viewer?action=UPDATE&amp;creator=factset&amp;DYN_ARGS=TRUE&amp;DOC_NAME=FAT:FQL_AUDITING_CLIENT_TEMPLATE.FAT&amp;display_string=Audit&amp;VAR:KEY=WXQNEJMBQZ&amp;VAR:QUERY=Q1NGX0RFQlQoQU5OLDEyLzMxLzE5OTEsMTIvMzEvMjAwOSxBWSk=&amp;WINDOW=FIRST_POPUP&amp;HEIGHT=450&amp;WI","DTH=450&amp;START_MAXIMIZED=FALSE&amp;VAR:CALENDAR=US&amp;VAR:SYMBOL=PX&amp;VAR:INDEX=7"}</definedName>
    <definedName name="_3994__FDSAUDITLINK__" hidden="1">{"fdsup://directions/FAT Viewer?action=UPDATE&amp;creator=factset&amp;DYN_ARGS=TRUE&amp;DOC_NAME=FAT:FQL_AUDITING_CLIENT_TEMPLATE.FAT&amp;display_string=Audit&amp;VAR:KEY=WXQNEJMBQZ&amp;VAR:QUERY=Q1NGX0RFQlQoQU5OLDEyLzMxLzE5OTEsMTIvMzEvMjAwOSxBWSk=&amp;WINDOW=FIRST_POPUP&amp;HEIGHT=450&amp;WI","DTH=450&amp;START_MAXIMIZED=FALSE&amp;VAR:CALENDAR=US&amp;VAR:SYMBOL=PX&amp;VAR:INDEX=6"}</definedName>
    <definedName name="_3995__FDSAUDITLINK__" hidden="1">{"fdsup://directions/FAT Viewer?action=UPDATE&amp;creator=factset&amp;DYN_ARGS=TRUE&amp;DOC_NAME=FAT:FQL_AUDITING_CLIENT_TEMPLATE.FAT&amp;display_string=Audit&amp;VAR:KEY=WXQNEJMBQZ&amp;VAR:QUERY=Q1NGX0RFQlQoQU5OLDEyLzMxLzE5OTEsMTIvMzEvMjAwOSxBWSk=&amp;WINDOW=FIRST_POPUP&amp;HEIGHT=450&amp;WI","DTH=450&amp;START_MAXIMIZED=FALSE&amp;VAR:CALENDAR=US&amp;VAR:SYMBOL=PX&amp;VAR:INDEX=5"}</definedName>
    <definedName name="_3996__FDSAUDITLINK__" hidden="1">{"fdsup://directions/FAT Viewer?action=UPDATE&amp;creator=factset&amp;DYN_ARGS=TRUE&amp;DOC_NAME=FAT:FQL_AUDITING_CLIENT_TEMPLATE.FAT&amp;display_string=Audit&amp;VAR:KEY=WXQNEJMBQZ&amp;VAR:QUERY=Q1NGX0RFQlQoQU5OLDEyLzMxLzE5OTEsMTIvMzEvMjAwOSxBWSk=&amp;WINDOW=FIRST_POPUP&amp;HEIGHT=450&amp;WI","DTH=450&amp;START_MAXIMIZED=FALSE&amp;VAR:CALENDAR=US&amp;VAR:SYMBOL=PX&amp;VAR:INDEX=4"}</definedName>
    <definedName name="_3997__FDSAUDITLINK__" hidden="1">{"fdsup://directions/FAT Viewer?action=UPDATE&amp;creator=factset&amp;DYN_ARGS=TRUE&amp;DOC_NAME=FAT:FQL_AUDITING_CLIENT_TEMPLATE.FAT&amp;display_string=Audit&amp;VAR:KEY=WXQNEJMBQZ&amp;VAR:QUERY=Q1NGX0RFQlQoQU5OLDEyLzMxLzE5OTEsMTIvMzEvMjAwOSxBWSk=&amp;WINDOW=FIRST_POPUP&amp;HEIGHT=450&amp;WI","DTH=450&amp;START_MAXIMIZED=FALSE&amp;VAR:CALENDAR=US&amp;VAR:SYMBOL=PX&amp;VAR:INDEX=3"}</definedName>
    <definedName name="_3998__FDSAUDITLINK__" hidden="1">{"fdsup://directions/FAT Viewer?action=UPDATE&amp;creator=factset&amp;DYN_ARGS=TRUE&amp;DOC_NAME=FAT:FQL_AUDITING_CLIENT_TEMPLATE.FAT&amp;display_string=Audit&amp;VAR:KEY=WXQNEJMBQZ&amp;VAR:QUERY=Q1NGX0RFQlQoQU5OLDEyLzMxLzE5OTEsMTIvMzEvMjAwOSxBWSk=&amp;WINDOW=FIRST_POPUP&amp;HEIGHT=450&amp;WI","DTH=450&amp;START_MAXIMIZED=FALSE&amp;VAR:CALENDAR=US&amp;VAR:SYMBOL=PX&amp;VAR:INDEX=2"}</definedName>
    <definedName name="_3999__FDSAUDITLINK__" hidden="1">{"fdsup://directions/FAT Viewer?action=UPDATE&amp;creator=factset&amp;DYN_ARGS=TRUE&amp;DOC_NAME=FAT:FQL_AUDITING_CLIENT_TEMPLATE.FAT&amp;display_string=Audit&amp;VAR:KEY=WXQNEJMBQZ&amp;VAR:QUERY=Q1NGX0RFQlQoQU5OLDEyLzMxLzE5OTEsMTIvMzEvMjAwOSxBWSk=&amp;WINDOW=FIRST_POPUP&amp;HEIGHT=450&amp;WI","DTH=450&amp;START_MAXIMIZED=FALSE&amp;VAR:CALENDAR=US&amp;VAR:SYMBOL=PX&amp;VAR:INDEX=1"}</definedName>
    <definedName name="_4__FDSAUDITLINK__" hidden="1">{"fdsup://directions/FAT Viewer?action=UPDATE&amp;creator=factset&amp;DYN_ARGS=TRUE&amp;DOC_NAME=FAT:FQL_AUDITING_CLIENT_TEMPLATE.FAT&amp;display_string=Audit&amp;VAR:KEY=YXSJYLYXUV&amp;VAR:QUERY=Q1NGX0dST1NTX0lOQyhRVFJfUiwtM0FZLDAsRlEp&amp;WINDOW=FIRST_POPUP&amp;HEIGHT=450&amp;WIDTH=450&amp;STAR","T_MAXIMIZED=FALSE&amp;VAR:CALENDAR=US&amp;VAR:SYMBOL=EMN&amp;VAR:INDEX=9"}</definedName>
    <definedName name="_40__FDSAUDITLINK__" hidden="1">{"fdsup://directions/FAT Viewer?action=UPDATE&amp;creator=factset&amp;DYN_ARGS=TRUE&amp;DOC_NAME=FAT:FQL_AUDITING_CLIENT_TEMPLATE.FAT&amp;display_string=Audit&amp;VAR:KEY=KDOXAJSRGH&amp;VAR:QUERY=Q1NGX0VCSVREQV9PUEVSKEFOTiwtMSk=&amp;WINDOW=FIRST_POPUP&amp;HEIGHT=450&amp;WIDTH=450&amp;START_MAXIMI","ZED=FALSE&amp;VAR:CALENDAR=US&amp;VAR:SYMBOL=SIAL&amp;VAR:INDEX=0"}</definedName>
    <definedName name="_400__FDSAUDITLINK__" hidden="1">{"fdsup://directions/FAT Viewer?action=UPDATE&amp;creator=factset&amp;DYN_ARGS=TRUE&amp;DOC_NAME=FAT:FQL_AUDITING_CLIENT_TEMPLATE.FAT&amp;display_string=Audit&amp;VAR:KEY=YZSFOBEJYJ&amp;VAR:QUERY=Q1NGX0VCSVRfT1BFUihBTk4sMTIvMzEvMTk4MCwwKQ==&amp;WINDOW=FIRST_POPUP&amp;HEIGHT=450&amp;WIDTH=450&amp;","START_MAXIMIZED=FALSE&amp;VAR:CALENDAR=US&amp;VAR:SYMBOL=PX&amp;VAR:INDEX=16"}</definedName>
    <definedName name="_4000__FDSAUDITLINK__" hidden="1">{"fdsup://directions/FAT Viewer?action=UPDATE&amp;creator=factset&amp;DYN_ARGS=TRUE&amp;DOC_NAME=FAT:FQL_AUDITING_CLIENT_TEMPLATE.FAT&amp;display_string=Audit&amp;VAR:KEY=WXQNEJMBQZ&amp;VAR:QUERY=Q1NGX0RFQlQoQU5OLDEyLzMxLzE5OTEsMTIvMzEvMjAwOSxBWSk=&amp;WINDOW=FIRST_POPUP&amp;HEIGHT=450&amp;WI","DTH=450&amp;START_MAXIMIZED=FALSE&amp;VAR:CALENDAR=US&amp;VAR:SYMBOL=PX&amp;VAR:INDEX=0"}</definedName>
    <definedName name="_4001__FDSAUDITLINK__" hidden="1">{"fdsup://directions/FAT Viewer?action=UPDATE&amp;creator=factset&amp;DYN_ARGS=TRUE&amp;DOC_NAME=FAT:FQL_AUDITING_CLIENT_TEMPLATE.FAT&amp;display_string=Audit&amp;VAR:KEY=EPGRGLCNIH&amp;VAR:QUERY=Q1NGX0RFQlQoQU5OLDEyLzMxLzIwMDMsMTIvMzEvMjAwOSxBWSk=&amp;WINDOW=FIRST_POPUP&amp;HEIGHT=450&amp;WI","DTH=450&amp;START_MAXIMIZED=FALSE&amp;VAR:CALENDAR=US&amp;VAR:SYMBOL=MOS&amp;VAR:INDEX=6"}</definedName>
    <definedName name="_4002__FDSAUDITLINK__" hidden="1">{"fdsup://directions/FAT Viewer?action=UPDATE&amp;creator=factset&amp;DYN_ARGS=TRUE&amp;DOC_NAME=FAT:FQL_AUDITING_CLIENT_TEMPLATE.FAT&amp;display_string=Audit&amp;VAR:KEY=EPGRGLCNIH&amp;VAR:QUERY=Q1NGX0RFQlQoQU5OLDEyLzMxLzIwMDMsMTIvMzEvMjAwOSxBWSk=&amp;WINDOW=FIRST_POPUP&amp;HEIGHT=450&amp;WI","DTH=450&amp;START_MAXIMIZED=FALSE&amp;VAR:CALENDAR=US&amp;VAR:SYMBOL=MOS&amp;VAR:INDEX=5"}</definedName>
    <definedName name="_4003__FDSAUDITLINK__" hidden="1">{"fdsup://directions/FAT Viewer?action=UPDATE&amp;creator=factset&amp;DYN_ARGS=TRUE&amp;DOC_NAME=FAT:FQL_AUDITING_CLIENT_TEMPLATE.FAT&amp;display_string=Audit&amp;VAR:KEY=EPGRGLCNIH&amp;VAR:QUERY=Q1NGX0RFQlQoQU5OLDEyLzMxLzIwMDMsMTIvMzEvMjAwOSxBWSk=&amp;WINDOW=FIRST_POPUP&amp;HEIGHT=450&amp;WI","DTH=450&amp;START_MAXIMIZED=FALSE&amp;VAR:CALENDAR=US&amp;VAR:SYMBOL=MOS&amp;VAR:INDEX=4"}</definedName>
    <definedName name="_4004__FDSAUDITLINK__" hidden="1">{"fdsup://directions/FAT Viewer?action=UPDATE&amp;creator=factset&amp;DYN_ARGS=TRUE&amp;DOC_NAME=FAT:FQL_AUDITING_CLIENT_TEMPLATE.FAT&amp;display_string=Audit&amp;VAR:KEY=EPGRGLCNIH&amp;VAR:QUERY=Q1NGX0RFQlQoQU5OLDEyLzMxLzIwMDMsMTIvMzEvMjAwOSxBWSk=&amp;WINDOW=FIRST_POPUP&amp;HEIGHT=450&amp;WI","DTH=450&amp;START_MAXIMIZED=FALSE&amp;VAR:CALENDAR=US&amp;VAR:SYMBOL=MOS&amp;VAR:INDEX=3"}</definedName>
    <definedName name="_4005__FDSAUDITLINK__" hidden="1">{"fdsup://directions/FAT Viewer?action=UPDATE&amp;creator=factset&amp;DYN_ARGS=TRUE&amp;DOC_NAME=FAT:FQL_AUDITING_CLIENT_TEMPLATE.FAT&amp;display_string=Audit&amp;VAR:KEY=EPGRGLCNIH&amp;VAR:QUERY=Q1NGX0RFQlQoQU5OLDEyLzMxLzIwMDMsMTIvMzEvMjAwOSxBWSk=&amp;WINDOW=FIRST_POPUP&amp;HEIGHT=450&amp;WI","DTH=450&amp;START_MAXIMIZED=FALSE&amp;VAR:CALENDAR=US&amp;VAR:SYMBOL=MOS&amp;VAR:INDEX=2"}</definedName>
    <definedName name="_4006__FDSAUDITLINK__" hidden="1">{"fdsup://directions/FAT Viewer?action=UPDATE&amp;creator=factset&amp;DYN_ARGS=TRUE&amp;DOC_NAME=FAT:FQL_AUDITING_CLIENT_TEMPLATE.FAT&amp;display_string=Audit&amp;VAR:KEY=EPGRGLCNIH&amp;VAR:QUERY=Q1NGX0RFQlQoQU5OLDEyLzMxLzIwMDMsMTIvMzEvMjAwOSxBWSk=&amp;WINDOW=FIRST_POPUP&amp;HEIGHT=450&amp;WI","DTH=450&amp;START_MAXIMIZED=FALSE&amp;VAR:CALENDAR=US&amp;VAR:SYMBOL=MOS&amp;VAR:INDEX=1"}</definedName>
    <definedName name="_4007__FDSAUDITLINK__" hidden="1">{"fdsup://directions/FAT Viewer?action=UPDATE&amp;creator=factset&amp;DYN_ARGS=TRUE&amp;DOC_NAME=FAT:FQL_AUDITING_CLIENT_TEMPLATE.FAT&amp;display_string=Audit&amp;VAR:KEY=EPGRGLCNIH&amp;VAR:QUERY=Q1NGX0RFQlQoQU5OLDEyLzMxLzIwMDMsMTIvMzEvMjAwOSxBWSk=&amp;WINDOW=FIRST_POPUP&amp;HEIGHT=450&amp;WI","DTH=450&amp;START_MAXIMIZED=FALSE&amp;VAR:CALENDAR=US&amp;VAR:SYMBOL=MOS&amp;VAR:INDEX=0"}</definedName>
    <definedName name="_4008__FDSAUDITLINK__" hidden="1">{"fdsup://directions/FAT Viewer?action=UPDATE&amp;creator=factset&amp;DYN_ARGS=TRUE&amp;DOC_NAME=FAT:FQL_AUDITING_CLIENT_TEMPLATE.FAT&amp;display_string=Audit&amp;VAR:KEY=QXQPCPYJCF&amp;VAR:QUERY=Q1NGX0RFQlQoQU5OLDEyLzMxLzE5OTgsMTIvMzEvMjAwOSxBWSk=&amp;WINDOW=FIRST_POPUP&amp;HEIGHT=450&amp;WI","DTH=450&amp;START_MAXIMIZED=FALSE&amp;VAR:CALENDAR=US&amp;VAR:SYMBOL=MON&amp;VAR:INDEX=11"}</definedName>
    <definedName name="_4009__FDSAUDITLINK__" hidden="1">{"fdsup://directions/FAT Viewer?action=UPDATE&amp;creator=factset&amp;DYN_ARGS=TRUE&amp;DOC_NAME=FAT:FQL_AUDITING_CLIENT_TEMPLATE.FAT&amp;display_string=Audit&amp;VAR:KEY=QXQPCPYJCF&amp;VAR:QUERY=Q1NGX0RFQlQoQU5OLDEyLzMxLzE5OTgsMTIvMzEvMjAwOSxBWSk=&amp;WINDOW=FIRST_POPUP&amp;HEIGHT=450&amp;WI","DTH=450&amp;START_MAXIMIZED=FALSE&amp;VAR:CALENDAR=US&amp;VAR:SYMBOL=MON&amp;VAR:INDEX=10"}</definedName>
    <definedName name="_401__FDSAUDITLINK__" hidden="1">{"fdsup://directions/FAT Viewer?action=UPDATE&amp;creator=factset&amp;DYN_ARGS=TRUE&amp;DOC_NAME=FAT:FQL_AUDITING_CLIENT_TEMPLATE.FAT&amp;display_string=Audit&amp;VAR:KEY=YZSFOBEJYJ&amp;VAR:QUERY=Q1NGX0VCSVRfT1BFUihBTk4sMTIvMzEvMTk4MCwwKQ==&amp;WINDOW=FIRST_POPUP&amp;HEIGHT=450&amp;WIDTH=450&amp;","START_MAXIMIZED=FALSE&amp;VAR:CALENDAR=US&amp;VAR:SYMBOL=PX&amp;VAR:INDEX=15"}</definedName>
    <definedName name="_4010__FDSAUDITLINK__" hidden="1">{"fdsup://directions/FAT Viewer?action=UPDATE&amp;creator=factset&amp;DYN_ARGS=TRUE&amp;DOC_NAME=FAT:FQL_AUDITING_CLIENT_TEMPLATE.FAT&amp;display_string=Audit&amp;VAR:KEY=QXQPCPYJCF&amp;VAR:QUERY=Q1NGX0RFQlQoQU5OLDEyLzMxLzE5OTgsMTIvMzEvMjAwOSxBWSk=&amp;WINDOW=FIRST_POPUP&amp;HEIGHT=450&amp;WI","DTH=450&amp;START_MAXIMIZED=FALSE&amp;VAR:CALENDAR=US&amp;VAR:SYMBOL=MON&amp;VAR:INDEX=9"}</definedName>
    <definedName name="_4011__FDSAUDITLINK__" hidden="1">{"fdsup://directions/FAT Viewer?action=UPDATE&amp;creator=factset&amp;DYN_ARGS=TRUE&amp;DOC_NAME=FAT:FQL_AUDITING_CLIENT_TEMPLATE.FAT&amp;display_string=Audit&amp;VAR:KEY=QXQPCPYJCF&amp;VAR:QUERY=Q1NGX0RFQlQoQU5OLDEyLzMxLzE5OTgsMTIvMzEvMjAwOSxBWSk=&amp;WINDOW=FIRST_POPUP&amp;HEIGHT=450&amp;WI","DTH=450&amp;START_MAXIMIZED=FALSE&amp;VAR:CALENDAR=US&amp;VAR:SYMBOL=MON&amp;VAR:INDEX=8"}</definedName>
    <definedName name="_4012__FDSAUDITLINK__" hidden="1">{"fdsup://directions/FAT Viewer?action=UPDATE&amp;creator=factset&amp;DYN_ARGS=TRUE&amp;DOC_NAME=FAT:FQL_AUDITING_CLIENT_TEMPLATE.FAT&amp;display_string=Audit&amp;VAR:KEY=QXQPCPYJCF&amp;VAR:QUERY=Q1NGX0RFQlQoQU5OLDEyLzMxLzE5OTgsMTIvMzEvMjAwOSxBWSk=&amp;WINDOW=FIRST_POPUP&amp;HEIGHT=450&amp;WI","DTH=450&amp;START_MAXIMIZED=FALSE&amp;VAR:CALENDAR=US&amp;VAR:SYMBOL=MON&amp;VAR:INDEX=7"}</definedName>
    <definedName name="_4013__FDSAUDITLINK__" hidden="1">{"fdsup://directions/FAT Viewer?action=UPDATE&amp;creator=factset&amp;DYN_ARGS=TRUE&amp;DOC_NAME=FAT:FQL_AUDITING_CLIENT_TEMPLATE.FAT&amp;display_string=Audit&amp;VAR:KEY=QXQPCPYJCF&amp;VAR:QUERY=Q1NGX0RFQlQoQU5OLDEyLzMxLzE5OTgsMTIvMzEvMjAwOSxBWSk=&amp;WINDOW=FIRST_POPUP&amp;HEIGHT=450&amp;WI","DTH=450&amp;START_MAXIMIZED=FALSE&amp;VAR:CALENDAR=US&amp;VAR:SYMBOL=MON&amp;VAR:INDEX=6"}</definedName>
    <definedName name="_4014__FDSAUDITLINK__" hidden="1">{"fdsup://directions/FAT Viewer?action=UPDATE&amp;creator=factset&amp;DYN_ARGS=TRUE&amp;DOC_NAME=FAT:FQL_AUDITING_CLIENT_TEMPLATE.FAT&amp;display_string=Audit&amp;VAR:KEY=QXQPCPYJCF&amp;VAR:QUERY=Q1NGX0RFQlQoQU5OLDEyLzMxLzE5OTgsMTIvMzEvMjAwOSxBWSk=&amp;WINDOW=FIRST_POPUP&amp;HEIGHT=450&amp;WI","DTH=450&amp;START_MAXIMIZED=FALSE&amp;VAR:CALENDAR=US&amp;VAR:SYMBOL=MON&amp;VAR:INDEX=5"}</definedName>
    <definedName name="_4015__FDSAUDITLINK__" hidden="1">{"fdsup://directions/FAT Viewer?action=UPDATE&amp;creator=factset&amp;DYN_ARGS=TRUE&amp;DOC_NAME=FAT:FQL_AUDITING_CLIENT_TEMPLATE.FAT&amp;display_string=Audit&amp;VAR:KEY=QXQPCPYJCF&amp;VAR:QUERY=Q1NGX0RFQlQoQU5OLDEyLzMxLzE5OTgsMTIvMzEvMjAwOSxBWSk=&amp;WINDOW=FIRST_POPUP&amp;HEIGHT=450&amp;WI","DTH=450&amp;START_MAXIMIZED=FALSE&amp;VAR:CALENDAR=US&amp;VAR:SYMBOL=MON&amp;VAR:INDEX=4"}</definedName>
    <definedName name="_4016__FDSAUDITLINK__" hidden="1">{"fdsup://directions/FAT Viewer?action=UPDATE&amp;creator=factset&amp;DYN_ARGS=TRUE&amp;DOC_NAME=FAT:FQL_AUDITING_CLIENT_TEMPLATE.FAT&amp;display_string=Audit&amp;VAR:KEY=QXQPCPYJCF&amp;VAR:QUERY=Q1NGX0RFQlQoQU5OLDEyLzMxLzE5OTgsMTIvMzEvMjAwOSxBWSk=&amp;WINDOW=FIRST_POPUP&amp;HEIGHT=450&amp;WI","DTH=450&amp;START_MAXIMIZED=FALSE&amp;VAR:CALENDAR=US&amp;VAR:SYMBOL=MON&amp;VAR:INDEX=3"}</definedName>
    <definedName name="_4017__FDSAUDITLINK__" hidden="1">{"fdsup://directions/FAT Viewer?action=UPDATE&amp;creator=factset&amp;DYN_ARGS=TRUE&amp;DOC_NAME=FAT:FQL_AUDITING_CLIENT_TEMPLATE.FAT&amp;display_string=Audit&amp;VAR:KEY=QXQPCPYJCF&amp;VAR:QUERY=Q1NGX0RFQlQoQU5OLDEyLzMxLzE5OTgsMTIvMzEvMjAwOSxBWSk=&amp;WINDOW=FIRST_POPUP&amp;HEIGHT=450&amp;WI","DTH=450&amp;START_MAXIMIZED=FALSE&amp;VAR:CALENDAR=US&amp;VAR:SYMBOL=MON&amp;VAR:INDEX=2"}</definedName>
    <definedName name="_4018__FDSAUDITLINK__" hidden="1">{"fdsup://directions/FAT Viewer?action=UPDATE&amp;creator=factset&amp;DYN_ARGS=TRUE&amp;DOC_NAME=FAT:FQL_AUDITING_CLIENT_TEMPLATE.FAT&amp;display_string=Audit&amp;VAR:KEY=QXQPCPYJCF&amp;VAR:QUERY=Q1NGX0RFQlQoQU5OLDEyLzMxLzE5OTgsMTIvMzEvMjAwOSxBWSk=&amp;WINDOW=FIRST_POPUP&amp;HEIGHT=450&amp;WI","DTH=450&amp;START_MAXIMIZED=FALSE&amp;VAR:CALENDAR=US&amp;VAR:SYMBOL=MON&amp;VAR:INDEX=1"}</definedName>
    <definedName name="_4019__FDSAUDITLINK__" hidden="1">{"fdsup://directions/FAT Viewer?action=UPDATE&amp;creator=factset&amp;DYN_ARGS=TRUE&amp;DOC_NAME=FAT:FQL_AUDITING_CLIENT_TEMPLATE.FAT&amp;display_string=Audit&amp;VAR:KEY=QXQPCPYJCF&amp;VAR:QUERY=Q1NGX0RFQlQoQU5OLDEyLzMxLzE5OTgsMTIvMzEvMjAwOSxBWSk=&amp;WINDOW=FIRST_POPUP&amp;HEIGHT=450&amp;WI","DTH=450&amp;START_MAXIMIZED=FALSE&amp;VAR:CALENDAR=US&amp;VAR:SYMBOL=MON&amp;VAR:INDEX=0"}</definedName>
    <definedName name="_402__FDSAUDITLINK__" hidden="1">{"fdsup://directions/FAT Viewer?action=UPDATE&amp;creator=factset&amp;DYN_ARGS=TRUE&amp;DOC_NAME=FAT:FQL_AUDITING_CLIENT_TEMPLATE.FAT&amp;display_string=Audit&amp;VAR:KEY=YZSFOBEJYJ&amp;VAR:QUERY=Q1NGX0VCSVRfT1BFUihBTk4sMTIvMzEvMTk4MCwwKQ==&amp;WINDOW=FIRST_POPUP&amp;HEIGHT=450&amp;WIDTH=450&amp;","START_MAXIMIZED=FALSE&amp;VAR:CALENDAR=US&amp;VAR:SYMBOL=PX&amp;VAR:INDEX=14"}</definedName>
    <definedName name="_4020__FDSAUDITLINK__" hidden="1">{"fdsup://directions/FAT Viewer?action=UPDATE&amp;creator=factset&amp;DYN_ARGS=TRUE&amp;DOC_NAME=FAT:FQL_AUDITING_CLIENT_TEMPLATE.FAT&amp;display_string=Audit&amp;VAR:KEY=SHUHCHGJGL&amp;VAR:QUERY=Q1NGX0RFQlQoQU5OLDEyLzMxLzE5ODAsMTIvMzEvMjAwOSxBWSk=&amp;WINDOW=FIRST_POPUP&amp;HEIGHT=450&amp;WI","DTH=450&amp;START_MAXIMIZED=FALSE&amp;VAR:CALENDAR=US&amp;VAR:SYMBOL=AVD&amp;VAR:INDEX=29"}</definedName>
    <definedName name="_4021__FDSAUDITLINK__" hidden="1">{"fdsup://directions/FAT Viewer?action=UPDATE&amp;creator=factset&amp;DYN_ARGS=TRUE&amp;DOC_NAME=FAT:FQL_AUDITING_CLIENT_TEMPLATE.FAT&amp;display_string=Audit&amp;VAR:KEY=SHUHCHGJGL&amp;VAR:QUERY=Q1NGX0RFQlQoQU5OLDEyLzMxLzE5ODAsMTIvMzEvMjAwOSxBWSk=&amp;WINDOW=FIRST_POPUP&amp;HEIGHT=450&amp;WI","DTH=450&amp;START_MAXIMIZED=FALSE&amp;VAR:CALENDAR=US&amp;VAR:SYMBOL=AVD&amp;VAR:INDEX=28"}</definedName>
    <definedName name="_4022__FDSAUDITLINK__" hidden="1">{"fdsup://directions/FAT Viewer?action=UPDATE&amp;creator=factset&amp;DYN_ARGS=TRUE&amp;DOC_NAME=FAT:FQL_AUDITING_CLIENT_TEMPLATE.FAT&amp;display_string=Audit&amp;VAR:KEY=SHUHCHGJGL&amp;VAR:QUERY=Q1NGX0RFQlQoQU5OLDEyLzMxLzE5ODAsMTIvMzEvMjAwOSxBWSk=&amp;WINDOW=FIRST_POPUP&amp;HEIGHT=450&amp;WI","DTH=450&amp;START_MAXIMIZED=FALSE&amp;VAR:CALENDAR=US&amp;VAR:SYMBOL=AVD&amp;VAR:INDEX=27"}</definedName>
    <definedName name="_4023__FDSAUDITLINK__" hidden="1">{"fdsup://directions/FAT Viewer?action=UPDATE&amp;creator=factset&amp;DYN_ARGS=TRUE&amp;DOC_NAME=FAT:FQL_AUDITING_CLIENT_TEMPLATE.FAT&amp;display_string=Audit&amp;VAR:KEY=SHUHCHGJGL&amp;VAR:QUERY=Q1NGX0RFQlQoQU5OLDEyLzMxLzE5ODAsMTIvMzEvMjAwOSxBWSk=&amp;WINDOW=FIRST_POPUP&amp;HEIGHT=450&amp;WI","DTH=450&amp;START_MAXIMIZED=FALSE&amp;VAR:CALENDAR=US&amp;VAR:SYMBOL=AVD&amp;VAR:INDEX=26"}</definedName>
    <definedName name="_4024__FDSAUDITLINK__" hidden="1">{"fdsup://directions/FAT Viewer?action=UPDATE&amp;creator=factset&amp;DYN_ARGS=TRUE&amp;DOC_NAME=FAT:FQL_AUDITING_CLIENT_TEMPLATE.FAT&amp;display_string=Audit&amp;VAR:KEY=SHUHCHGJGL&amp;VAR:QUERY=Q1NGX0RFQlQoQU5OLDEyLzMxLzE5ODAsMTIvMzEvMjAwOSxBWSk=&amp;WINDOW=FIRST_POPUP&amp;HEIGHT=450&amp;WI","DTH=450&amp;START_MAXIMIZED=FALSE&amp;VAR:CALENDAR=US&amp;VAR:SYMBOL=AVD&amp;VAR:INDEX=25"}</definedName>
    <definedName name="_4025__FDSAUDITLINK__" hidden="1">{"fdsup://directions/FAT Viewer?action=UPDATE&amp;creator=factset&amp;DYN_ARGS=TRUE&amp;DOC_NAME=FAT:FQL_AUDITING_CLIENT_TEMPLATE.FAT&amp;display_string=Audit&amp;VAR:KEY=SHUHCHGJGL&amp;VAR:QUERY=Q1NGX0RFQlQoQU5OLDEyLzMxLzE5ODAsMTIvMzEvMjAwOSxBWSk=&amp;WINDOW=FIRST_POPUP&amp;HEIGHT=450&amp;WI","DTH=450&amp;START_MAXIMIZED=FALSE&amp;VAR:CALENDAR=US&amp;VAR:SYMBOL=AVD&amp;VAR:INDEX=24"}</definedName>
    <definedName name="_4026__FDSAUDITLINK__" hidden="1">{"fdsup://directions/FAT Viewer?action=UPDATE&amp;creator=factset&amp;DYN_ARGS=TRUE&amp;DOC_NAME=FAT:FQL_AUDITING_CLIENT_TEMPLATE.FAT&amp;display_string=Audit&amp;VAR:KEY=SHUHCHGJGL&amp;VAR:QUERY=Q1NGX0RFQlQoQU5OLDEyLzMxLzE5ODAsMTIvMzEvMjAwOSxBWSk=&amp;WINDOW=FIRST_POPUP&amp;HEIGHT=450&amp;WI","DTH=450&amp;START_MAXIMIZED=FALSE&amp;VAR:CALENDAR=US&amp;VAR:SYMBOL=AVD&amp;VAR:INDEX=23"}</definedName>
    <definedName name="_4027__FDSAUDITLINK__" hidden="1">{"fdsup://directions/FAT Viewer?action=UPDATE&amp;creator=factset&amp;DYN_ARGS=TRUE&amp;DOC_NAME=FAT:FQL_AUDITING_CLIENT_TEMPLATE.FAT&amp;display_string=Audit&amp;VAR:KEY=SHUHCHGJGL&amp;VAR:QUERY=Q1NGX0RFQlQoQU5OLDEyLzMxLzE5ODAsMTIvMzEvMjAwOSxBWSk=&amp;WINDOW=FIRST_POPUP&amp;HEIGHT=450&amp;WI","DTH=450&amp;START_MAXIMIZED=FALSE&amp;VAR:CALENDAR=US&amp;VAR:SYMBOL=AVD&amp;VAR:INDEX=22"}</definedName>
    <definedName name="_4028__FDSAUDITLINK__" hidden="1">{"fdsup://directions/FAT Viewer?action=UPDATE&amp;creator=factset&amp;DYN_ARGS=TRUE&amp;DOC_NAME=FAT:FQL_AUDITING_CLIENT_TEMPLATE.FAT&amp;display_string=Audit&amp;VAR:KEY=SHUHCHGJGL&amp;VAR:QUERY=Q1NGX0RFQlQoQU5OLDEyLzMxLzE5ODAsMTIvMzEvMjAwOSxBWSk=&amp;WINDOW=FIRST_POPUP&amp;HEIGHT=450&amp;WI","DTH=450&amp;START_MAXIMIZED=FALSE&amp;VAR:CALENDAR=US&amp;VAR:SYMBOL=AVD&amp;VAR:INDEX=21"}</definedName>
    <definedName name="_4029__FDSAUDITLINK__" hidden="1">{"fdsup://directions/FAT Viewer?action=UPDATE&amp;creator=factset&amp;DYN_ARGS=TRUE&amp;DOC_NAME=FAT:FQL_AUDITING_CLIENT_TEMPLATE.FAT&amp;display_string=Audit&amp;VAR:KEY=SHUHCHGJGL&amp;VAR:QUERY=Q1NGX0RFQlQoQU5OLDEyLzMxLzE5ODAsMTIvMzEvMjAwOSxBWSk=&amp;WINDOW=FIRST_POPUP&amp;HEIGHT=450&amp;WI","DTH=450&amp;START_MAXIMIZED=FALSE&amp;VAR:CALENDAR=US&amp;VAR:SYMBOL=AVD&amp;VAR:INDEX=20"}</definedName>
    <definedName name="_403__FDSAUDITLINK__" hidden="1">{"fdsup://directions/FAT Viewer?action=UPDATE&amp;creator=factset&amp;DYN_ARGS=TRUE&amp;DOC_NAME=FAT:FQL_AUDITING_CLIENT_TEMPLATE.FAT&amp;display_string=Audit&amp;VAR:KEY=YZSFOBEJYJ&amp;VAR:QUERY=Q1NGX0VCSVRfT1BFUihBTk4sMTIvMzEvMTk4MCwwKQ==&amp;WINDOW=FIRST_POPUP&amp;HEIGHT=450&amp;WIDTH=450&amp;","START_MAXIMIZED=FALSE&amp;VAR:CALENDAR=US&amp;VAR:SYMBOL=PX&amp;VAR:INDEX=13"}</definedName>
    <definedName name="_4030__FDSAUDITLINK__" hidden="1">{"fdsup://directions/FAT Viewer?action=UPDATE&amp;creator=factset&amp;DYN_ARGS=TRUE&amp;DOC_NAME=FAT:FQL_AUDITING_CLIENT_TEMPLATE.FAT&amp;display_string=Audit&amp;VAR:KEY=SHUHCHGJGL&amp;VAR:QUERY=Q1NGX0RFQlQoQU5OLDEyLzMxLzE5ODAsMTIvMzEvMjAwOSxBWSk=&amp;WINDOW=FIRST_POPUP&amp;HEIGHT=450&amp;WI","DTH=450&amp;START_MAXIMIZED=FALSE&amp;VAR:CALENDAR=US&amp;VAR:SYMBOL=AVD&amp;VAR:INDEX=19"}</definedName>
    <definedName name="_4031__FDSAUDITLINK__" hidden="1">{"fdsup://directions/FAT Viewer?action=UPDATE&amp;creator=factset&amp;DYN_ARGS=TRUE&amp;DOC_NAME=FAT:FQL_AUDITING_CLIENT_TEMPLATE.FAT&amp;display_string=Audit&amp;VAR:KEY=SHUHCHGJGL&amp;VAR:QUERY=Q1NGX0RFQlQoQU5OLDEyLzMxLzE5ODAsMTIvMzEvMjAwOSxBWSk=&amp;WINDOW=FIRST_POPUP&amp;HEIGHT=450&amp;WI","DTH=450&amp;START_MAXIMIZED=FALSE&amp;VAR:CALENDAR=US&amp;VAR:SYMBOL=AVD&amp;VAR:INDEX=18"}</definedName>
    <definedName name="_4032__FDSAUDITLINK__" hidden="1">{"fdsup://directions/FAT Viewer?action=UPDATE&amp;creator=factset&amp;DYN_ARGS=TRUE&amp;DOC_NAME=FAT:FQL_AUDITING_CLIENT_TEMPLATE.FAT&amp;display_string=Audit&amp;VAR:KEY=SHUHCHGJGL&amp;VAR:QUERY=Q1NGX0RFQlQoQU5OLDEyLzMxLzE5ODAsMTIvMzEvMjAwOSxBWSk=&amp;WINDOW=FIRST_POPUP&amp;HEIGHT=450&amp;WI","DTH=450&amp;START_MAXIMIZED=FALSE&amp;VAR:CALENDAR=US&amp;VAR:SYMBOL=AVD&amp;VAR:INDEX=17"}</definedName>
    <definedName name="_4033__FDSAUDITLINK__" hidden="1">{"fdsup://directions/FAT Viewer?action=UPDATE&amp;creator=factset&amp;DYN_ARGS=TRUE&amp;DOC_NAME=FAT:FQL_AUDITING_CLIENT_TEMPLATE.FAT&amp;display_string=Audit&amp;VAR:KEY=SHUHCHGJGL&amp;VAR:QUERY=Q1NGX0RFQlQoQU5OLDEyLzMxLzE5ODAsMTIvMzEvMjAwOSxBWSk=&amp;WINDOW=FIRST_POPUP&amp;HEIGHT=450&amp;WI","DTH=450&amp;START_MAXIMIZED=FALSE&amp;VAR:CALENDAR=US&amp;VAR:SYMBOL=AVD&amp;VAR:INDEX=16"}</definedName>
    <definedName name="_4034__FDSAUDITLINK__" hidden="1">{"fdsup://directions/FAT Viewer?action=UPDATE&amp;creator=factset&amp;DYN_ARGS=TRUE&amp;DOC_NAME=FAT:FQL_AUDITING_CLIENT_TEMPLATE.FAT&amp;display_string=Audit&amp;VAR:KEY=SHUHCHGJGL&amp;VAR:QUERY=Q1NGX0RFQlQoQU5OLDEyLzMxLzE5ODAsMTIvMzEvMjAwOSxBWSk=&amp;WINDOW=FIRST_POPUP&amp;HEIGHT=450&amp;WI","DTH=450&amp;START_MAXIMIZED=FALSE&amp;VAR:CALENDAR=US&amp;VAR:SYMBOL=AVD&amp;VAR:INDEX=15"}</definedName>
    <definedName name="_4035__FDSAUDITLINK__" hidden="1">{"fdsup://directions/FAT Viewer?action=UPDATE&amp;creator=factset&amp;DYN_ARGS=TRUE&amp;DOC_NAME=FAT:FQL_AUDITING_CLIENT_TEMPLATE.FAT&amp;display_string=Audit&amp;VAR:KEY=SHUHCHGJGL&amp;VAR:QUERY=Q1NGX0RFQlQoQU5OLDEyLzMxLzE5ODAsMTIvMzEvMjAwOSxBWSk=&amp;WINDOW=FIRST_POPUP&amp;HEIGHT=450&amp;WI","DTH=450&amp;START_MAXIMIZED=FALSE&amp;VAR:CALENDAR=US&amp;VAR:SYMBOL=AVD&amp;VAR:INDEX=14"}</definedName>
    <definedName name="_4036__FDSAUDITLINK__" hidden="1">{"fdsup://directions/FAT Viewer?action=UPDATE&amp;creator=factset&amp;DYN_ARGS=TRUE&amp;DOC_NAME=FAT:FQL_AUDITING_CLIENT_TEMPLATE.FAT&amp;display_string=Audit&amp;VAR:KEY=SHUHCHGJGL&amp;VAR:QUERY=Q1NGX0RFQlQoQU5OLDEyLzMxLzE5ODAsMTIvMzEvMjAwOSxBWSk=&amp;WINDOW=FIRST_POPUP&amp;HEIGHT=450&amp;WI","DTH=450&amp;START_MAXIMIZED=FALSE&amp;VAR:CALENDAR=US&amp;VAR:SYMBOL=AVD&amp;VAR:INDEX=13"}</definedName>
    <definedName name="_4037__FDSAUDITLINK__" hidden="1">{"fdsup://directions/FAT Viewer?action=UPDATE&amp;creator=factset&amp;DYN_ARGS=TRUE&amp;DOC_NAME=FAT:FQL_AUDITING_CLIENT_TEMPLATE.FAT&amp;display_string=Audit&amp;VAR:KEY=SHUHCHGJGL&amp;VAR:QUERY=Q1NGX0RFQlQoQU5OLDEyLzMxLzE5ODAsMTIvMzEvMjAwOSxBWSk=&amp;WINDOW=FIRST_POPUP&amp;HEIGHT=450&amp;WI","DTH=450&amp;START_MAXIMIZED=FALSE&amp;VAR:CALENDAR=US&amp;VAR:SYMBOL=AVD&amp;VAR:INDEX=12"}</definedName>
    <definedName name="_4038__FDSAUDITLINK__" hidden="1">{"fdsup://directions/FAT Viewer?action=UPDATE&amp;creator=factset&amp;DYN_ARGS=TRUE&amp;DOC_NAME=FAT:FQL_AUDITING_CLIENT_TEMPLATE.FAT&amp;display_string=Audit&amp;VAR:KEY=SHUHCHGJGL&amp;VAR:QUERY=Q1NGX0RFQlQoQU5OLDEyLzMxLzE5ODAsMTIvMzEvMjAwOSxBWSk=&amp;WINDOW=FIRST_POPUP&amp;HEIGHT=450&amp;WI","DTH=450&amp;START_MAXIMIZED=FALSE&amp;VAR:CALENDAR=US&amp;VAR:SYMBOL=AVD&amp;VAR:INDEX=11"}</definedName>
    <definedName name="_4039__FDSAUDITLINK__" hidden="1">{"fdsup://directions/FAT Viewer?action=UPDATE&amp;creator=factset&amp;DYN_ARGS=TRUE&amp;DOC_NAME=FAT:FQL_AUDITING_CLIENT_TEMPLATE.FAT&amp;display_string=Audit&amp;VAR:KEY=SHUHCHGJGL&amp;VAR:QUERY=Q1NGX0RFQlQoQU5OLDEyLzMxLzE5ODAsMTIvMzEvMjAwOSxBWSk=&amp;WINDOW=FIRST_POPUP&amp;HEIGHT=450&amp;WI","DTH=450&amp;START_MAXIMIZED=FALSE&amp;VAR:CALENDAR=US&amp;VAR:SYMBOL=AVD&amp;VAR:INDEX=10"}</definedName>
    <definedName name="_404__FDSAUDITLINK__" hidden="1">{"fdsup://directions/FAT Viewer?action=UPDATE&amp;creator=factset&amp;DYN_ARGS=TRUE&amp;DOC_NAME=FAT:FQL_AUDITING_CLIENT_TEMPLATE.FAT&amp;display_string=Audit&amp;VAR:KEY=YZSFOBEJYJ&amp;VAR:QUERY=Q1NGX0VCSVRfT1BFUihBTk4sMTIvMzEvMTk4MCwwKQ==&amp;WINDOW=FIRST_POPUP&amp;HEIGHT=450&amp;WIDTH=450&amp;","START_MAXIMIZED=FALSE&amp;VAR:CALENDAR=US&amp;VAR:SYMBOL=PX&amp;VAR:INDEX=12"}</definedName>
    <definedName name="_4040__FDSAUDITLINK__" hidden="1">{"fdsup://directions/FAT Viewer?action=UPDATE&amp;creator=factset&amp;DYN_ARGS=TRUE&amp;DOC_NAME=FAT:FQL_AUDITING_CLIENT_TEMPLATE.FAT&amp;display_string=Audit&amp;VAR:KEY=SHUHCHGJGL&amp;VAR:QUERY=Q1NGX0RFQlQoQU5OLDEyLzMxLzE5ODAsMTIvMzEvMjAwOSxBWSk=&amp;WINDOW=FIRST_POPUP&amp;HEIGHT=450&amp;WI","DTH=450&amp;START_MAXIMIZED=FALSE&amp;VAR:CALENDAR=US&amp;VAR:SYMBOL=AVD&amp;VAR:INDEX=9"}</definedName>
    <definedName name="_4041__FDSAUDITLINK__" hidden="1">{"fdsup://directions/FAT Viewer?action=UPDATE&amp;creator=factset&amp;DYN_ARGS=TRUE&amp;DOC_NAME=FAT:FQL_AUDITING_CLIENT_TEMPLATE.FAT&amp;display_string=Audit&amp;VAR:KEY=SHUHCHGJGL&amp;VAR:QUERY=Q1NGX0RFQlQoQU5OLDEyLzMxLzE5ODAsMTIvMzEvMjAwOSxBWSk=&amp;WINDOW=FIRST_POPUP&amp;HEIGHT=450&amp;WI","DTH=450&amp;START_MAXIMIZED=FALSE&amp;VAR:CALENDAR=US&amp;VAR:SYMBOL=AVD&amp;VAR:INDEX=8"}</definedName>
    <definedName name="_4042__FDSAUDITLINK__" hidden="1">{"fdsup://directions/FAT Viewer?action=UPDATE&amp;creator=factset&amp;DYN_ARGS=TRUE&amp;DOC_NAME=FAT:FQL_AUDITING_CLIENT_TEMPLATE.FAT&amp;display_string=Audit&amp;VAR:KEY=SHUHCHGJGL&amp;VAR:QUERY=Q1NGX0RFQlQoQU5OLDEyLzMxLzE5ODAsMTIvMzEvMjAwOSxBWSk=&amp;WINDOW=FIRST_POPUP&amp;HEIGHT=450&amp;WI","DTH=450&amp;START_MAXIMIZED=FALSE&amp;VAR:CALENDAR=US&amp;VAR:SYMBOL=AVD&amp;VAR:INDEX=7"}</definedName>
    <definedName name="_4043__FDSAUDITLINK__" hidden="1">{"fdsup://directions/FAT Viewer?action=UPDATE&amp;creator=factset&amp;DYN_ARGS=TRUE&amp;DOC_NAME=FAT:FQL_AUDITING_CLIENT_TEMPLATE.FAT&amp;display_string=Audit&amp;VAR:KEY=SHUHCHGJGL&amp;VAR:QUERY=Q1NGX0RFQlQoQU5OLDEyLzMxLzE5ODAsMTIvMzEvMjAwOSxBWSk=&amp;WINDOW=FIRST_POPUP&amp;HEIGHT=450&amp;WI","DTH=450&amp;START_MAXIMIZED=FALSE&amp;VAR:CALENDAR=US&amp;VAR:SYMBOL=AVD&amp;VAR:INDEX=6"}</definedName>
    <definedName name="_4044__FDSAUDITLINK__" hidden="1">{"fdsup://directions/FAT Viewer?action=UPDATE&amp;creator=factset&amp;DYN_ARGS=TRUE&amp;DOC_NAME=FAT:FQL_AUDITING_CLIENT_TEMPLATE.FAT&amp;display_string=Audit&amp;VAR:KEY=SHUHCHGJGL&amp;VAR:QUERY=Q1NGX0RFQlQoQU5OLDEyLzMxLzE5ODAsMTIvMzEvMjAwOSxBWSk=&amp;WINDOW=FIRST_POPUP&amp;HEIGHT=450&amp;WI","DTH=450&amp;START_MAXIMIZED=FALSE&amp;VAR:CALENDAR=US&amp;VAR:SYMBOL=AVD&amp;VAR:INDEX=5"}</definedName>
    <definedName name="_4045__FDSAUDITLINK__" hidden="1">{"fdsup://directions/FAT Viewer?action=UPDATE&amp;creator=factset&amp;DYN_ARGS=TRUE&amp;DOC_NAME=FAT:FQL_AUDITING_CLIENT_TEMPLATE.FAT&amp;display_string=Audit&amp;VAR:KEY=SHUHCHGJGL&amp;VAR:QUERY=Q1NGX0RFQlQoQU5OLDEyLzMxLzE5ODAsMTIvMzEvMjAwOSxBWSk=&amp;WINDOW=FIRST_POPUP&amp;HEIGHT=450&amp;WI","DTH=450&amp;START_MAXIMIZED=FALSE&amp;VAR:CALENDAR=US&amp;VAR:SYMBOL=AVD&amp;VAR:INDEX=4"}</definedName>
    <definedName name="_4046__FDSAUDITLINK__" hidden="1">{"fdsup://directions/FAT Viewer?action=UPDATE&amp;creator=factset&amp;DYN_ARGS=TRUE&amp;DOC_NAME=FAT:FQL_AUDITING_CLIENT_TEMPLATE.FAT&amp;display_string=Audit&amp;VAR:KEY=SHUHCHGJGL&amp;VAR:QUERY=Q1NGX0RFQlQoQU5OLDEyLzMxLzE5ODAsMTIvMzEvMjAwOSxBWSk=&amp;WINDOW=FIRST_POPUP&amp;HEIGHT=450&amp;WI","DTH=450&amp;START_MAXIMIZED=FALSE&amp;VAR:CALENDAR=US&amp;VAR:SYMBOL=AVD&amp;VAR:INDEX=3"}</definedName>
    <definedName name="_4047__FDSAUDITLINK__" hidden="1">{"fdsup://directions/FAT Viewer?action=UPDATE&amp;creator=factset&amp;DYN_ARGS=TRUE&amp;DOC_NAME=FAT:FQL_AUDITING_CLIENT_TEMPLATE.FAT&amp;display_string=Audit&amp;VAR:KEY=SHUHCHGJGL&amp;VAR:QUERY=Q1NGX0RFQlQoQU5OLDEyLzMxLzE5ODAsMTIvMzEvMjAwOSxBWSk=&amp;WINDOW=FIRST_POPUP&amp;HEIGHT=450&amp;WI","DTH=450&amp;START_MAXIMIZED=FALSE&amp;VAR:CALENDAR=US&amp;VAR:SYMBOL=AVD&amp;VAR:INDEX=2"}</definedName>
    <definedName name="_4048__FDSAUDITLINK__" hidden="1">{"fdsup://directions/FAT Viewer?action=UPDATE&amp;creator=factset&amp;DYN_ARGS=TRUE&amp;DOC_NAME=FAT:FQL_AUDITING_CLIENT_TEMPLATE.FAT&amp;display_string=Audit&amp;VAR:KEY=SHUHCHGJGL&amp;VAR:QUERY=Q1NGX0RFQlQoQU5OLDEyLzMxLzE5ODAsMTIvMzEvMjAwOSxBWSk=&amp;WINDOW=FIRST_POPUP&amp;HEIGHT=450&amp;WI","DTH=450&amp;START_MAXIMIZED=FALSE&amp;VAR:CALENDAR=US&amp;VAR:SYMBOL=AVD&amp;VAR:INDEX=1"}</definedName>
    <definedName name="_4049__FDSAUDITLINK__" hidden="1">{"fdsup://directions/FAT Viewer?action=UPDATE&amp;creator=factset&amp;DYN_ARGS=TRUE&amp;DOC_NAME=FAT:FQL_AUDITING_CLIENT_TEMPLATE.FAT&amp;display_string=Audit&amp;VAR:KEY=SHUHCHGJGL&amp;VAR:QUERY=Q1NGX0RFQlQoQU5OLDEyLzMxLzE5ODAsMTIvMzEvMjAwOSxBWSk=&amp;WINDOW=FIRST_POPUP&amp;HEIGHT=450&amp;WI","DTH=450&amp;START_MAXIMIZED=FALSE&amp;VAR:CALENDAR=US&amp;VAR:SYMBOL=AVD&amp;VAR:INDEX=0"}</definedName>
    <definedName name="_405__FDSAUDITLINK__" hidden="1">{"fdsup://directions/FAT Viewer?action=UPDATE&amp;creator=factset&amp;DYN_ARGS=TRUE&amp;DOC_NAME=FAT:FQL_AUDITING_CLIENT_TEMPLATE.FAT&amp;display_string=Audit&amp;VAR:KEY=YZSFOBEJYJ&amp;VAR:QUERY=Q1NGX0VCSVRfT1BFUihBTk4sMTIvMzEvMTk4MCwwKQ==&amp;WINDOW=FIRST_POPUP&amp;HEIGHT=450&amp;WIDTH=450&amp;","START_MAXIMIZED=FALSE&amp;VAR:CALENDAR=US&amp;VAR:SYMBOL=PX&amp;VAR:INDEX=11"}</definedName>
    <definedName name="_4050__FDSAUDITLINK__" hidden="1">{"fdsup://directions/FAT Viewer?action=UPDATE&amp;creator=factset&amp;DYN_ARGS=TRUE&amp;DOC_NAME=FAT:FQL_AUDITING_CLIENT_TEMPLATE.FAT&amp;display_string=Audit&amp;VAR:KEY=UDMNWXSNIR&amp;VAR:QUERY=Q1NGX0RFQlQoQU5OLDEyLzMxLzE5OTMsMTIvMzEvMjAwOSxBWSk=&amp;WINDOW=FIRST_POPUP&amp;HEIGHT=450&amp;WI","DTH=450&amp;START_MAXIMIZED=FALSE&amp;VAR:CALENDAR=US&amp;VAR:SYMBOL=AGU&amp;VAR:INDEX=16"}</definedName>
    <definedName name="_4051__FDSAUDITLINK__" hidden="1">{"fdsup://directions/FAT Viewer?action=UPDATE&amp;creator=factset&amp;DYN_ARGS=TRUE&amp;DOC_NAME=FAT:FQL_AUDITING_CLIENT_TEMPLATE.FAT&amp;display_string=Audit&amp;VAR:KEY=UDMNWXSNIR&amp;VAR:QUERY=Q1NGX0RFQlQoQU5OLDEyLzMxLzE5OTMsMTIvMzEvMjAwOSxBWSk=&amp;WINDOW=FIRST_POPUP&amp;HEIGHT=450&amp;WI","DTH=450&amp;START_MAXIMIZED=FALSE&amp;VAR:CALENDAR=US&amp;VAR:SYMBOL=AGU&amp;VAR:INDEX=15"}</definedName>
    <definedName name="_4052__FDSAUDITLINK__" hidden="1">{"fdsup://directions/FAT Viewer?action=UPDATE&amp;creator=factset&amp;DYN_ARGS=TRUE&amp;DOC_NAME=FAT:FQL_AUDITING_CLIENT_TEMPLATE.FAT&amp;display_string=Audit&amp;VAR:KEY=UDMNWXSNIR&amp;VAR:QUERY=Q1NGX0RFQlQoQU5OLDEyLzMxLzE5OTMsMTIvMzEvMjAwOSxBWSk=&amp;WINDOW=FIRST_POPUP&amp;HEIGHT=450&amp;WI","DTH=450&amp;START_MAXIMIZED=FALSE&amp;VAR:CALENDAR=US&amp;VAR:SYMBOL=AGU&amp;VAR:INDEX=14"}</definedName>
    <definedName name="_4053__FDSAUDITLINK__" hidden="1">{"fdsup://directions/FAT Viewer?action=UPDATE&amp;creator=factset&amp;DYN_ARGS=TRUE&amp;DOC_NAME=FAT:FQL_AUDITING_CLIENT_TEMPLATE.FAT&amp;display_string=Audit&amp;VAR:KEY=UDMNWXSNIR&amp;VAR:QUERY=Q1NGX0RFQlQoQU5OLDEyLzMxLzE5OTMsMTIvMzEvMjAwOSxBWSk=&amp;WINDOW=FIRST_POPUP&amp;HEIGHT=450&amp;WI","DTH=450&amp;START_MAXIMIZED=FALSE&amp;VAR:CALENDAR=US&amp;VAR:SYMBOL=AGU&amp;VAR:INDEX=13"}</definedName>
    <definedName name="_4054__FDSAUDITLINK__" hidden="1">{"fdsup://directions/FAT Viewer?action=UPDATE&amp;creator=factset&amp;DYN_ARGS=TRUE&amp;DOC_NAME=FAT:FQL_AUDITING_CLIENT_TEMPLATE.FAT&amp;display_string=Audit&amp;VAR:KEY=UDMNWXSNIR&amp;VAR:QUERY=Q1NGX0RFQlQoQU5OLDEyLzMxLzE5OTMsMTIvMzEvMjAwOSxBWSk=&amp;WINDOW=FIRST_POPUP&amp;HEIGHT=450&amp;WI","DTH=450&amp;START_MAXIMIZED=FALSE&amp;VAR:CALENDAR=US&amp;VAR:SYMBOL=AGU&amp;VAR:INDEX=12"}</definedName>
    <definedName name="_4055__FDSAUDITLINK__" hidden="1">{"fdsup://directions/FAT Viewer?action=UPDATE&amp;creator=factset&amp;DYN_ARGS=TRUE&amp;DOC_NAME=FAT:FQL_AUDITING_CLIENT_TEMPLATE.FAT&amp;display_string=Audit&amp;VAR:KEY=UDMNWXSNIR&amp;VAR:QUERY=Q1NGX0RFQlQoQU5OLDEyLzMxLzE5OTMsMTIvMzEvMjAwOSxBWSk=&amp;WINDOW=FIRST_POPUP&amp;HEIGHT=450&amp;WI","DTH=450&amp;START_MAXIMIZED=FALSE&amp;VAR:CALENDAR=US&amp;VAR:SYMBOL=AGU&amp;VAR:INDEX=11"}</definedName>
    <definedName name="_4056__FDSAUDITLINK__" hidden="1">{"fdsup://directions/FAT Viewer?action=UPDATE&amp;creator=factset&amp;DYN_ARGS=TRUE&amp;DOC_NAME=FAT:FQL_AUDITING_CLIENT_TEMPLATE.FAT&amp;display_string=Audit&amp;VAR:KEY=UDMNWXSNIR&amp;VAR:QUERY=Q1NGX0RFQlQoQU5OLDEyLzMxLzE5OTMsMTIvMzEvMjAwOSxBWSk=&amp;WINDOW=FIRST_POPUP&amp;HEIGHT=450&amp;WI","DTH=450&amp;START_MAXIMIZED=FALSE&amp;VAR:CALENDAR=US&amp;VAR:SYMBOL=AGU&amp;VAR:INDEX=10"}</definedName>
    <definedName name="_4057__FDSAUDITLINK__" hidden="1">{"fdsup://directions/FAT Viewer?action=UPDATE&amp;creator=factset&amp;DYN_ARGS=TRUE&amp;DOC_NAME=FAT:FQL_AUDITING_CLIENT_TEMPLATE.FAT&amp;display_string=Audit&amp;VAR:KEY=UDMNWXSNIR&amp;VAR:QUERY=Q1NGX0RFQlQoQU5OLDEyLzMxLzE5OTMsMTIvMzEvMjAwOSxBWSk=&amp;WINDOW=FIRST_POPUP&amp;HEIGHT=450&amp;WI","DTH=450&amp;START_MAXIMIZED=FALSE&amp;VAR:CALENDAR=US&amp;VAR:SYMBOL=AGU&amp;VAR:INDEX=9"}</definedName>
    <definedName name="_4058__FDSAUDITLINK__" hidden="1">{"fdsup://directions/FAT Viewer?action=UPDATE&amp;creator=factset&amp;DYN_ARGS=TRUE&amp;DOC_NAME=FAT:FQL_AUDITING_CLIENT_TEMPLATE.FAT&amp;display_string=Audit&amp;VAR:KEY=UDMNWXSNIR&amp;VAR:QUERY=Q1NGX0RFQlQoQU5OLDEyLzMxLzE5OTMsMTIvMzEvMjAwOSxBWSk=&amp;WINDOW=FIRST_POPUP&amp;HEIGHT=450&amp;WI","DTH=450&amp;START_MAXIMIZED=FALSE&amp;VAR:CALENDAR=US&amp;VAR:SYMBOL=AGU&amp;VAR:INDEX=8"}</definedName>
    <definedName name="_4059__FDSAUDITLINK__" hidden="1">{"fdsup://directions/FAT Viewer?action=UPDATE&amp;creator=factset&amp;DYN_ARGS=TRUE&amp;DOC_NAME=FAT:FQL_AUDITING_CLIENT_TEMPLATE.FAT&amp;display_string=Audit&amp;VAR:KEY=UDMNWXSNIR&amp;VAR:QUERY=Q1NGX0RFQlQoQU5OLDEyLzMxLzE5OTMsMTIvMzEvMjAwOSxBWSk=&amp;WINDOW=FIRST_POPUP&amp;HEIGHT=450&amp;WI","DTH=450&amp;START_MAXIMIZED=FALSE&amp;VAR:CALENDAR=US&amp;VAR:SYMBOL=AGU&amp;VAR:INDEX=7"}</definedName>
    <definedName name="_406__FDSAUDITLINK__" hidden="1">{"fdsup://directions/FAT Viewer?action=UPDATE&amp;creator=factset&amp;DYN_ARGS=TRUE&amp;DOC_NAME=FAT:FQL_AUDITING_CLIENT_TEMPLATE.FAT&amp;display_string=Audit&amp;VAR:KEY=YZSFOBEJYJ&amp;VAR:QUERY=Q1NGX0VCSVRfT1BFUihBTk4sMTIvMzEvMTk4MCwwKQ==&amp;WINDOW=FIRST_POPUP&amp;HEIGHT=450&amp;WIDTH=450&amp;","START_MAXIMIZED=FALSE&amp;VAR:CALENDAR=US&amp;VAR:SYMBOL=PX&amp;VAR:INDEX=10"}</definedName>
    <definedName name="_4060__FDSAUDITLINK__" hidden="1">{"fdsup://directions/FAT Viewer?action=UPDATE&amp;creator=factset&amp;DYN_ARGS=TRUE&amp;DOC_NAME=FAT:FQL_AUDITING_CLIENT_TEMPLATE.FAT&amp;display_string=Audit&amp;VAR:KEY=UDMNWXSNIR&amp;VAR:QUERY=Q1NGX0RFQlQoQU5OLDEyLzMxLzE5OTMsMTIvMzEvMjAwOSxBWSk=&amp;WINDOW=FIRST_POPUP&amp;HEIGHT=450&amp;WI","DTH=450&amp;START_MAXIMIZED=FALSE&amp;VAR:CALENDAR=US&amp;VAR:SYMBOL=AGU&amp;VAR:INDEX=6"}</definedName>
    <definedName name="_4061__FDSAUDITLINK__" hidden="1">{"fdsup://directions/FAT Viewer?action=UPDATE&amp;creator=factset&amp;DYN_ARGS=TRUE&amp;DOC_NAME=FAT:FQL_AUDITING_CLIENT_TEMPLATE.FAT&amp;display_string=Audit&amp;VAR:KEY=UDMNWXSNIR&amp;VAR:QUERY=Q1NGX0RFQlQoQU5OLDEyLzMxLzE5OTMsMTIvMzEvMjAwOSxBWSk=&amp;WINDOW=FIRST_POPUP&amp;HEIGHT=450&amp;WI","DTH=450&amp;START_MAXIMIZED=FALSE&amp;VAR:CALENDAR=US&amp;VAR:SYMBOL=AGU&amp;VAR:INDEX=5"}</definedName>
    <definedName name="_4062__FDSAUDITLINK__" hidden="1">{"fdsup://directions/FAT Viewer?action=UPDATE&amp;creator=factset&amp;DYN_ARGS=TRUE&amp;DOC_NAME=FAT:FQL_AUDITING_CLIENT_TEMPLATE.FAT&amp;display_string=Audit&amp;VAR:KEY=UDMNWXSNIR&amp;VAR:QUERY=Q1NGX0RFQlQoQU5OLDEyLzMxLzE5OTMsMTIvMzEvMjAwOSxBWSk=&amp;WINDOW=FIRST_POPUP&amp;HEIGHT=450&amp;WI","DTH=450&amp;START_MAXIMIZED=FALSE&amp;VAR:CALENDAR=US&amp;VAR:SYMBOL=AGU&amp;VAR:INDEX=4"}</definedName>
    <definedName name="_4063__FDSAUDITLINK__" hidden="1">{"fdsup://directions/FAT Viewer?action=UPDATE&amp;creator=factset&amp;DYN_ARGS=TRUE&amp;DOC_NAME=FAT:FQL_AUDITING_CLIENT_TEMPLATE.FAT&amp;display_string=Audit&amp;VAR:KEY=UDMNWXSNIR&amp;VAR:QUERY=Q1NGX0RFQlQoQU5OLDEyLzMxLzE5OTMsMTIvMzEvMjAwOSxBWSk=&amp;WINDOW=FIRST_POPUP&amp;HEIGHT=450&amp;WI","DTH=450&amp;START_MAXIMIZED=FALSE&amp;VAR:CALENDAR=US&amp;VAR:SYMBOL=AGU&amp;VAR:INDEX=3"}</definedName>
    <definedName name="_4064__FDSAUDITLINK__" hidden="1">{"fdsup://directions/FAT Viewer?action=UPDATE&amp;creator=factset&amp;DYN_ARGS=TRUE&amp;DOC_NAME=FAT:FQL_AUDITING_CLIENT_TEMPLATE.FAT&amp;display_string=Audit&amp;VAR:KEY=UDMNWXSNIR&amp;VAR:QUERY=Q1NGX0RFQlQoQU5OLDEyLzMxLzE5OTMsMTIvMzEvMjAwOSxBWSk=&amp;WINDOW=FIRST_POPUP&amp;HEIGHT=450&amp;WI","DTH=450&amp;START_MAXIMIZED=FALSE&amp;VAR:CALENDAR=US&amp;VAR:SYMBOL=AGU&amp;VAR:INDEX=2"}</definedName>
    <definedName name="_4065__FDSAUDITLINK__" hidden="1">{"fdsup://directions/FAT Viewer?action=UPDATE&amp;creator=factset&amp;DYN_ARGS=TRUE&amp;DOC_NAME=FAT:FQL_AUDITING_CLIENT_TEMPLATE.FAT&amp;display_string=Audit&amp;VAR:KEY=UDMNWXSNIR&amp;VAR:QUERY=Q1NGX0RFQlQoQU5OLDEyLzMxLzE5OTMsMTIvMzEvMjAwOSxBWSk=&amp;WINDOW=FIRST_POPUP&amp;HEIGHT=450&amp;WI","DTH=450&amp;START_MAXIMIZED=FALSE&amp;VAR:CALENDAR=US&amp;VAR:SYMBOL=AGU&amp;VAR:INDEX=1"}</definedName>
    <definedName name="_4066__FDSAUDITLINK__" hidden="1">{"fdsup://directions/FAT Viewer?action=UPDATE&amp;creator=factset&amp;DYN_ARGS=TRUE&amp;DOC_NAME=FAT:FQL_AUDITING_CLIENT_TEMPLATE.FAT&amp;display_string=Audit&amp;VAR:KEY=UDMNWXSNIR&amp;VAR:QUERY=Q1NGX0RFQlQoQU5OLDEyLzMxLzE5OTMsMTIvMzEvMjAwOSxBWSk=&amp;WINDOW=FIRST_POPUP&amp;HEIGHT=450&amp;WI","DTH=450&amp;START_MAXIMIZED=FALSE&amp;VAR:CALENDAR=US&amp;VAR:SYMBOL=AGU&amp;VAR:INDEX=0"}</definedName>
    <definedName name="_4067__FDSAUDITLINK__" hidden="1">{"fdsup://directions/FAT Viewer?action=UPDATE&amp;creator=factset&amp;DYN_ARGS=TRUE&amp;DOC_NAME=FAT:FQL_AUDITING_CLIENT_TEMPLATE.FAT&amp;display_string=Audit&amp;VAR:KEY=OJELUZEVWR&amp;VAR:QUERY=Q1NGX0RFQlQoQU5OLDEyLzMxLzE5ODAsMTIvMzEvMjAwOSk=&amp;WINDOW=FIRST_POPUP&amp;HEIGHT=450&amp;WIDTH=","450&amp;START_MAXIMIZED=FALSE&amp;VAR:CALENDAR=US&amp;VAR:SYMBOL=BCPC&amp;VAR:INDEX=29"}</definedName>
    <definedName name="_4068__FDSAUDITLINK__" hidden="1">{"fdsup://directions/FAT Viewer?action=UPDATE&amp;creator=factset&amp;DYN_ARGS=TRUE&amp;DOC_NAME=FAT:FQL_AUDITING_CLIENT_TEMPLATE.FAT&amp;display_string=Audit&amp;VAR:KEY=OJELUZEVWR&amp;VAR:QUERY=Q1NGX0RFQlQoQU5OLDEyLzMxLzE5ODAsMTIvMzEvMjAwOSk=&amp;WINDOW=FIRST_POPUP&amp;HEIGHT=450&amp;WIDTH=","450&amp;START_MAXIMIZED=FALSE&amp;VAR:CALENDAR=US&amp;VAR:SYMBOL=BCPC&amp;VAR:INDEX=28"}</definedName>
    <definedName name="_4069__FDSAUDITLINK__" hidden="1">{"fdsup://directions/FAT Viewer?action=UPDATE&amp;creator=factset&amp;DYN_ARGS=TRUE&amp;DOC_NAME=FAT:FQL_AUDITING_CLIENT_TEMPLATE.FAT&amp;display_string=Audit&amp;VAR:KEY=OJELUZEVWR&amp;VAR:QUERY=Q1NGX0RFQlQoQU5OLDEyLzMxLzE5ODAsMTIvMzEvMjAwOSk=&amp;WINDOW=FIRST_POPUP&amp;HEIGHT=450&amp;WIDTH=","450&amp;START_MAXIMIZED=FALSE&amp;VAR:CALENDAR=US&amp;VAR:SYMBOL=BCPC&amp;VAR:INDEX=27"}</definedName>
    <definedName name="_407__FDSAUDITLINK__" hidden="1">{"fdsup://directions/FAT Viewer?action=UPDATE&amp;creator=factset&amp;DYN_ARGS=TRUE&amp;DOC_NAME=FAT:FQL_AUDITING_CLIENT_TEMPLATE.FAT&amp;display_string=Audit&amp;VAR:KEY=YZSFOBEJYJ&amp;VAR:QUERY=Q1NGX0VCSVRfT1BFUihBTk4sMTIvMzEvMTk4MCwwKQ==&amp;WINDOW=FIRST_POPUP&amp;HEIGHT=450&amp;WIDTH=450&amp;","START_MAXIMIZED=FALSE&amp;VAR:CALENDAR=US&amp;VAR:SYMBOL=PX&amp;VAR:INDEX=9"}</definedName>
    <definedName name="_4070__FDSAUDITLINK__" hidden="1">{"fdsup://directions/FAT Viewer?action=UPDATE&amp;creator=factset&amp;DYN_ARGS=TRUE&amp;DOC_NAME=FAT:FQL_AUDITING_CLIENT_TEMPLATE.FAT&amp;display_string=Audit&amp;VAR:KEY=OJELUZEVWR&amp;VAR:QUERY=Q1NGX0RFQlQoQU5OLDEyLzMxLzE5ODAsMTIvMzEvMjAwOSk=&amp;WINDOW=FIRST_POPUP&amp;HEIGHT=450&amp;WIDTH=","450&amp;START_MAXIMIZED=FALSE&amp;VAR:CALENDAR=US&amp;VAR:SYMBOL=BCPC&amp;VAR:INDEX=26"}</definedName>
    <definedName name="_4071__FDSAUDITLINK__" hidden="1">{"fdsup://directions/FAT Viewer?action=UPDATE&amp;creator=factset&amp;DYN_ARGS=TRUE&amp;DOC_NAME=FAT:FQL_AUDITING_CLIENT_TEMPLATE.FAT&amp;display_string=Audit&amp;VAR:KEY=OJELUZEVWR&amp;VAR:QUERY=Q1NGX0RFQlQoQU5OLDEyLzMxLzE5ODAsMTIvMzEvMjAwOSk=&amp;WINDOW=FIRST_POPUP&amp;HEIGHT=450&amp;WIDTH=","450&amp;START_MAXIMIZED=FALSE&amp;VAR:CALENDAR=US&amp;VAR:SYMBOL=BCPC&amp;VAR:INDEX=25"}</definedName>
    <definedName name="_4072__FDSAUDITLINK__" hidden="1">{"fdsup://directions/FAT Viewer?action=UPDATE&amp;creator=factset&amp;DYN_ARGS=TRUE&amp;DOC_NAME=FAT:FQL_AUDITING_CLIENT_TEMPLATE.FAT&amp;display_string=Audit&amp;VAR:KEY=OJELUZEVWR&amp;VAR:QUERY=Q1NGX0RFQlQoQU5OLDEyLzMxLzE5ODAsMTIvMzEvMjAwOSk=&amp;WINDOW=FIRST_POPUP&amp;HEIGHT=450&amp;WIDTH=","450&amp;START_MAXIMIZED=FALSE&amp;VAR:CALENDAR=US&amp;VAR:SYMBOL=BCPC&amp;VAR:INDEX=24"}</definedName>
    <definedName name="_4073__FDSAUDITLINK__" hidden="1">{"fdsup://directions/FAT Viewer?action=UPDATE&amp;creator=factset&amp;DYN_ARGS=TRUE&amp;DOC_NAME=FAT:FQL_AUDITING_CLIENT_TEMPLATE.FAT&amp;display_string=Audit&amp;VAR:KEY=OJELUZEVWR&amp;VAR:QUERY=Q1NGX0RFQlQoQU5OLDEyLzMxLzE5ODAsMTIvMzEvMjAwOSk=&amp;WINDOW=FIRST_POPUP&amp;HEIGHT=450&amp;WIDTH=","450&amp;START_MAXIMIZED=FALSE&amp;VAR:CALENDAR=US&amp;VAR:SYMBOL=BCPC&amp;VAR:INDEX=23"}</definedName>
    <definedName name="_4074__FDSAUDITLINK__" hidden="1">{"fdsup://directions/FAT Viewer?action=UPDATE&amp;creator=factset&amp;DYN_ARGS=TRUE&amp;DOC_NAME=FAT:FQL_AUDITING_CLIENT_TEMPLATE.FAT&amp;display_string=Audit&amp;VAR:KEY=OJELUZEVWR&amp;VAR:QUERY=Q1NGX0RFQlQoQU5OLDEyLzMxLzE5ODAsMTIvMzEvMjAwOSk=&amp;WINDOW=FIRST_POPUP&amp;HEIGHT=450&amp;WIDTH=","450&amp;START_MAXIMIZED=FALSE&amp;VAR:CALENDAR=US&amp;VAR:SYMBOL=BCPC&amp;VAR:INDEX=22"}</definedName>
    <definedName name="_4075__FDSAUDITLINK__" hidden="1">{"fdsup://directions/FAT Viewer?action=UPDATE&amp;creator=factset&amp;DYN_ARGS=TRUE&amp;DOC_NAME=FAT:FQL_AUDITING_CLIENT_TEMPLATE.FAT&amp;display_string=Audit&amp;VAR:KEY=OJELUZEVWR&amp;VAR:QUERY=Q1NGX0RFQlQoQU5OLDEyLzMxLzE5ODAsMTIvMzEvMjAwOSk=&amp;WINDOW=FIRST_POPUP&amp;HEIGHT=450&amp;WIDTH=","450&amp;START_MAXIMIZED=FALSE&amp;VAR:CALENDAR=US&amp;VAR:SYMBOL=BCPC&amp;VAR:INDEX=21"}</definedName>
    <definedName name="_4076__FDSAUDITLINK__" hidden="1">{"fdsup://directions/FAT Viewer?action=UPDATE&amp;creator=factset&amp;DYN_ARGS=TRUE&amp;DOC_NAME=FAT:FQL_AUDITING_CLIENT_TEMPLATE.FAT&amp;display_string=Audit&amp;VAR:KEY=OJELUZEVWR&amp;VAR:QUERY=Q1NGX0RFQlQoQU5OLDEyLzMxLzE5ODAsMTIvMzEvMjAwOSk=&amp;WINDOW=FIRST_POPUP&amp;HEIGHT=450&amp;WIDTH=","450&amp;START_MAXIMIZED=FALSE&amp;VAR:CALENDAR=US&amp;VAR:SYMBOL=BCPC&amp;VAR:INDEX=20"}</definedName>
    <definedName name="_4077__FDSAUDITLINK__" hidden="1">{"fdsup://directions/FAT Viewer?action=UPDATE&amp;creator=factset&amp;DYN_ARGS=TRUE&amp;DOC_NAME=FAT:FQL_AUDITING_CLIENT_TEMPLATE.FAT&amp;display_string=Audit&amp;VAR:KEY=OJELUZEVWR&amp;VAR:QUERY=Q1NGX0RFQlQoQU5OLDEyLzMxLzE5ODAsMTIvMzEvMjAwOSk=&amp;WINDOW=FIRST_POPUP&amp;HEIGHT=450&amp;WIDTH=","450&amp;START_MAXIMIZED=FALSE&amp;VAR:CALENDAR=US&amp;VAR:SYMBOL=BCPC&amp;VAR:INDEX=19"}</definedName>
    <definedName name="_4078__FDSAUDITLINK__" hidden="1">{"fdsup://directions/FAT Viewer?action=UPDATE&amp;creator=factset&amp;DYN_ARGS=TRUE&amp;DOC_NAME=FAT:FQL_AUDITING_CLIENT_TEMPLATE.FAT&amp;display_string=Audit&amp;VAR:KEY=OJELUZEVWR&amp;VAR:QUERY=Q1NGX0RFQlQoQU5OLDEyLzMxLzE5ODAsMTIvMzEvMjAwOSk=&amp;WINDOW=FIRST_POPUP&amp;HEIGHT=450&amp;WIDTH=","450&amp;START_MAXIMIZED=FALSE&amp;VAR:CALENDAR=US&amp;VAR:SYMBOL=BCPC&amp;VAR:INDEX=18"}</definedName>
    <definedName name="_4079__FDSAUDITLINK__" hidden="1">{"fdsup://directions/FAT Viewer?action=UPDATE&amp;creator=factset&amp;DYN_ARGS=TRUE&amp;DOC_NAME=FAT:FQL_AUDITING_CLIENT_TEMPLATE.FAT&amp;display_string=Audit&amp;VAR:KEY=OJELUZEVWR&amp;VAR:QUERY=Q1NGX0RFQlQoQU5OLDEyLzMxLzE5ODAsMTIvMzEvMjAwOSk=&amp;WINDOW=FIRST_POPUP&amp;HEIGHT=450&amp;WIDTH=","450&amp;START_MAXIMIZED=FALSE&amp;VAR:CALENDAR=US&amp;VAR:SYMBOL=BCPC&amp;VAR:INDEX=17"}</definedName>
    <definedName name="_408__FDSAUDITLINK__" hidden="1">{"fdsup://directions/FAT Viewer?action=UPDATE&amp;creator=factset&amp;DYN_ARGS=TRUE&amp;DOC_NAME=FAT:FQL_AUDITING_CLIENT_TEMPLATE.FAT&amp;display_string=Audit&amp;VAR:KEY=YZSFOBEJYJ&amp;VAR:QUERY=Q1NGX0VCSVRfT1BFUihBTk4sMTIvMzEvMTk4MCwwKQ==&amp;WINDOW=FIRST_POPUP&amp;HEIGHT=450&amp;WIDTH=450&amp;","START_MAXIMIZED=FALSE&amp;VAR:CALENDAR=US&amp;VAR:SYMBOL=PX&amp;VAR:INDEX=8"}</definedName>
    <definedName name="_4080__FDSAUDITLINK__" hidden="1">{"fdsup://directions/FAT Viewer?action=UPDATE&amp;creator=factset&amp;DYN_ARGS=TRUE&amp;DOC_NAME=FAT:FQL_AUDITING_CLIENT_TEMPLATE.FAT&amp;display_string=Audit&amp;VAR:KEY=OJELUZEVWR&amp;VAR:QUERY=Q1NGX0RFQlQoQU5OLDEyLzMxLzE5ODAsMTIvMzEvMjAwOSk=&amp;WINDOW=FIRST_POPUP&amp;HEIGHT=450&amp;WIDTH=","450&amp;START_MAXIMIZED=FALSE&amp;VAR:CALENDAR=US&amp;VAR:SYMBOL=BCPC&amp;VAR:INDEX=16"}</definedName>
    <definedName name="_4081__FDSAUDITLINK__" hidden="1">{"fdsup://directions/FAT Viewer?action=UPDATE&amp;creator=factset&amp;DYN_ARGS=TRUE&amp;DOC_NAME=FAT:FQL_AUDITING_CLIENT_TEMPLATE.FAT&amp;display_string=Audit&amp;VAR:KEY=OJELUZEVWR&amp;VAR:QUERY=Q1NGX0RFQlQoQU5OLDEyLzMxLzE5ODAsMTIvMzEvMjAwOSk=&amp;WINDOW=FIRST_POPUP&amp;HEIGHT=450&amp;WIDTH=","450&amp;START_MAXIMIZED=FALSE&amp;VAR:CALENDAR=US&amp;VAR:SYMBOL=BCPC&amp;VAR:INDEX=15"}</definedName>
    <definedName name="_4082__FDSAUDITLINK__" hidden="1">{"fdsup://directions/FAT Viewer?action=UPDATE&amp;creator=factset&amp;DYN_ARGS=TRUE&amp;DOC_NAME=FAT:FQL_AUDITING_CLIENT_TEMPLATE.FAT&amp;display_string=Audit&amp;VAR:KEY=OJELUZEVWR&amp;VAR:QUERY=Q1NGX0RFQlQoQU5OLDEyLzMxLzE5ODAsMTIvMzEvMjAwOSk=&amp;WINDOW=FIRST_POPUP&amp;HEIGHT=450&amp;WIDTH=","450&amp;START_MAXIMIZED=FALSE&amp;VAR:CALENDAR=US&amp;VAR:SYMBOL=BCPC&amp;VAR:INDEX=14"}</definedName>
    <definedName name="_4083__FDSAUDITLINK__" hidden="1">{"fdsup://directions/FAT Viewer?action=UPDATE&amp;creator=factset&amp;DYN_ARGS=TRUE&amp;DOC_NAME=FAT:FQL_AUDITING_CLIENT_TEMPLATE.FAT&amp;display_string=Audit&amp;VAR:KEY=OJELUZEVWR&amp;VAR:QUERY=Q1NGX0RFQlQoQU5OLDEyLzMxLzE5ODAsMTIvMzEvMjAwOSk=&amp;WINDOW=FIRST_POPUP&amp;HEIGHT=450&amp;WIDTH=","450&amp;START_MAXIMIZED=FALSE&amp;VAR:CALENDAR=US&amp;VAR:SYMBOL=BCPC&amp;VAR:INDEX=13"}</definedName>
    <definedName name="_4084__FDSAUDITLINK__" hidden="1">{"fdsup://directions/FAT Viewer?action=UPDATE&amp;creator=factset&amp;DYN_ARGS=TRUE&amp;DOC_NAME=FAT:FQL_AUDITING_CLIENT_TEMPLATE.FAT&amp;display_string=Audit&amp;VAR:KEY=OJELUZEVWR&amp;VAR:QUERY=Q1NGX0RFQlQoQU5OLDEyLzMxLzE5ODAsMTIvMzEvMjAwOSk=&amp;WINDOW=FIRST_POPUP&amp;HEIGHT=450&amp;WIDTH=","450&amp;START_MAXIMIZED=FALSE&amp;VAR:CALENDAR=US&amp;VAR:SYMBOL=BCPC&amp;VAR:INDEX=12"}</definedName>
    <definedName name="_4085__FDSAUDITLINK__" hidden="1">{"fdsup://directions/FAT Viewer?action=UPDATE&amp;creator=factset&amp;DYN_ARGS=TRUE&amp;DOC_NAME=FAT:FQL_AUDITING_CLIENT_TEMPLATE.FAT&amp;display_string=Audit&amp;VAR:KEY=OJELUZEVWR&amp;VAR:QUERY=Q1NGX0RFQlQoQU5OLDEyLzMxLzE5ODAsMTIvMzEvMjAwOSk=&amp;WINDOW=FIRST_POPUP&amp;HEIGHT=450&amp;WIDTH=","450&amp;START_MAXIMIZED=FALSE&amp;VAR:CALENDAR=US&amp;VAR:SYMBOL=BCPC&amp;VAR:INDEX=11"}</definedName>
    <definedName name="_4086__FDSAUDITLINK__" hidden="1">{"fdsup://directions/FAT Viewer?action=UPDATE&amp;creator=factset&amp;DYN_ARGS=TRUE&amp;DOC_NAME=FAT:FQL_AUDITING_CLIENT_TEMPLATE.FAT&amp;display_string=Audit&amp;VAR:KEY=OJELUZEVWR&amp;VAR:QUERY=Q1NGX0RFQlQoQU5OLDEyLzMxLzE5ODAsMTIvMzEvMjAwOSk=&amp;WINDOW=FIRST_POPUP&amp;HEIGHT=450&amp;WIDTH=","450&amp;START_MAXIMIZED=FALSE&amp;VAR:CALENDAR=US&amp;VAR:SYMBOL=BCPC&amp;VAR:INDEX=10"}</definedName>
    <definedName name="_4087__FDSAUDITLINK__" hidden="1">{"fdsup://directions/FAT Viewer?action=UPDATE&amp;creator=factset&amp;DYN_ARGS=TRUE&amp;DOC_NAME=FAT:FQL_AUDITING_CLIENT_TEMPLATE.FAT&amp;display_string=Audit&amp;VAR:KEY=OJELUZEVWR&amp;VAR:QUERY=Q1NGX0RFQlQoQU5OLDEyLzMxLzE5ODAsMTIvMzEvMjAwOSk=&amp;WINDOW=FIRST_POPUP&amp;HEIGHT=450&amp;WIDTH=","450&amp;START_MAXIMIZED=FALSE&amp;VAR:CALENDAR=US&amp;VAR:SYMBOL=BCPC&amp;VAR:INDEX=9"}</definedName>
    <definedName name="_4088__FDSAUDITLINK__" hidden="1">{"fdsup://directions/FAT Viewer?action=UPDATE&amp;creator=factset&amp;DYN_ARGS=TRUE&amp;DOC_NAME=FAT:FQL_AUDITING_CLIENT_TEMPLATE.FAT&amp;display_string=Audit&amp;VAR:KEY=OJELUZEVWR&amp;VAR:QUERY=Q1NGX0RFQlQoQU5OLDEyLzMxLzE5ODAsMTIvMzEvMjAwOSk=&amp;WINDOW=FIRST_POPUP&amp;HEIGHT=450&amp;WIDTH=","450&amp;START_MAXIMIZED=FALSE&amp;VAR:CALENDAR=US&amp;VAR:SYMBOL=BCPC&amp;VAR:INDEX=8"}</definedName>
    <definedName name="_4089__FDSAUDITLINK__" hidden="1">{"fdsup://directions/FAT Viewer?action=UPDATE&amp;creator=factset&amp;DYN_ARGS=TRUE&amp;DOC_NAME=FAT:FQL_AUDITING_CLIENT_TEMPLATE.FAT&amp;display_string=Audit&amp;VAR:KEY=OJELUZEVWR&amp;VAR:QUERY=Q1NGX0RFQlQoQU5OLDEyLzMxLzE5ODAsMTIvMzEvMjAwOSk=&amp;WINDOW=FIRST_POPUP&amp;HEIGHT=450&amp;WIDTH=","450&amp;START_MAXIMIZED=FALSE&amp;VAR:CALENDAR=US&amp;VAR:SYMBOL=BCPC&amp;VAR:INDEX=7"}</definedName>
    <definedName name="_409__FDSAUDITLINK__" hidden="1">{"fdsup://directions/FAT Viewer?action=UPDATE&amp;creator=factset&amp;DYN_ARGS=TRUE&amp;DOC_NAME=FAT:FQL_AUDITING_CLIENT_TEMPLATE.FAT&amp;display_string=Audit&amp;VAR:KEY=YZSFOBEJYJ&amp;VAR:QUERY=Q1NGX0VCSVRfT1BFUihBTk4sMTIvMzEvMTk4MCwwKQ==&amp;WINDOW=FIRST_POPUP&amp;HEIGHT=450&amp;WIDTH=450&amp;","START_MAXIMIZED=FALSE&amp;VAR:CALENDAR=US&amp;VAR:SYMBOL=PX&amp;VAR:INDEX=7"}</definedName>
    <definedName name="_4090__FDSAUDITLINK__" hidden="1">{"fdsup://directions/FAT Viewer?action=UPDATE&amp;creator=factset&amp;DYN_ARGS=TRUE&amp;DOC_NAME=FAT:FQL_AUDITING_CLIENT_TEMPLATE.FAT&amp;display_string=Audit&amp;VAR:KEY=OJELUZEVWR&amp;VAR:QUERY=Q1NGX0RFQlQoQU5OLDEyLzMxLzE5ODAsMTIvMzEvMjAwOSk=&amp;WINDOW=FIRST_POPUP&amp;HEIGHT=450&amp;WIDTH=","450&amp;START_MAXIMIZED=FALSE&amp;VAR:CALENDAR=US&amp;VAR:SYMBOL=BCPC&amp;VAR:INDEX=6"}</definedName>
    <definedName name="_4091__FDSAUDITLINK__" hidden="1">{"fdsup://directions/FAT Viewer?action=UPDATE&amp;creator=factset&amp;DYN_ARGS=TRUE&amp;DOC_NAME=FAT:FQL_AUDITING_CLIENT_TEMPLATE.FAT&amp;display_string=Audit&amp;VAR:KEY=OJELUZEVWR&amp;VAR:QUERY=Q1NGX0RFQlQoQU5OLDEyLzMxLzE5ODAsMTIvMzEvMjAwOSk=&amp;WINDOW=FIRST_POPUP&amp;HEIGHT=450&amp;WIDTH=","450&amp;START_MAXIMIZED=FALSE&amp;VAR:CALENDAR=US&amp;VAR:SYMBOL=BCPC&amp;VAR:INDEX=5"}</definedName>
    <definedName name="_4092__FDSAUDITLINK__" hidden="1">{"fdsup://directions/FAT Viewer?action=UPDATE&amp;creator=factset&amp;DYN_ARGS=TRUE&amp;DOC_NAME=FAT:FQL_AUDITING_CLIENT_TEMPLATE.FAT&amp;display_string=Audit&amp;VAR:KEY=OJELUZEVWR&amp;VAR:QUERY=Q1NGX0RFQlQoQU5OLDEyLzMxLzE5ODAsMTIvMzEvMjAwOSk=&amp;WINDOW=FIRST_POPUP&amp;HEIGHT=450&amp;WIDTH=","450&amp;START_MAXIMIZED=FALSE&amp;VAR:CALENDAR=US&amp;VAR:SYMBOL=BCPC&amp;VAR:INDEX=4"}</definedName>
    <definedName name="_4093__FDSAUDITLINK__" hidden="1">{"fdsup://directions/FAT Viewer?action=UPDATE&amp;creator=factset&amp;DYN_ARGS=TRUE&amp;DOC_NAME=FAT:FQL_AUDITING_CLIENT_TEMPLATE.FAT&amp;display_string=Audit&amp;VAR:KEY=OJELUZEVWR&amp;VAR:QUERY=Q1NGX0RFQlQoQU5OLDEyLzMxLzE5ODAsMTIvMzEvMjAwOSk=&amp;WINDOW=FIRST_POPUP&amp;HEIGHT=450&amp;WIDTH=","450&amp;START_MAXIMIZED=FALSE&amp;VAR:CALENDAR=US&amp;VAR:SYMBOL=BCPC&amp;VAR:INDEX=3"}</definedName>
    <definedName name="_4094__FDSAUDITLINK__" hidden="1">{"fdsup://directions/FAT Viewer?action=UPDATE&amp;creator=factset&amp;DYN_ARGS=TRUE&amp;DOC_NAME=FAT:FQL_AUDITING_CLIENT_TEMPLATE.FAT&amp;display_string=Audit&amp;VAR:KEY=OJELUZEVWR&amp;VAR:QUERY=Q1NGX0RFQlQoQU5OLDEyLzMxLzE5ODAsMTIvMzEvMjAwOSk=&amp;WINDOW=FIRST_POPUP&amp;HEIGHT=450&amp;WIDTH=","450&amp;START_MAXIMIZED=FALSE&amp;VAR:CALENDAR=US&amp;VAR:SYMBOL=BCPC&amp;VAR:INDEX=2"}</definedName>
    <definedName name="_4095__FDSAUDITLINK__" hidden="1">{"fdsup://directions/FAT Viewer?action=UPDATE&amp;creator=factset&amp;DYN_ARGS=TRUE&amp;DOC_NAME=FAT:FQL_AUDITING_CLIENT_TEMPLATE.FAT&amp;display_string=Audit&amp;VAR:KEY=OJELUZEVWR&amp;VAR:QUERY=Q1NGX0RFQlQoQU5OLDEyLzMxLzE5ODAsMTIvMzEvMjAwOSk=&amp;WINDOW=FIRST_POPUP&amp;HEIGHT=450&amp;WIDTH=","450&amp;START_MAXIMIZED=FALSE&amp;VAR:CALENDAR=US&amp;VAR:SYMBOL=BCPC&amp;VAR:INDEX=1"}</definedName>
    <definedName name="_4096__FDSAUDITLINK__" hidden="1">{"fdsup://directions/FAT Viewer?action=UPDATE&amp;creator=factset&amp;DYN_ARGS=TRUE&amp;DOC_NAME=FAT:FQL_AUDITING_CLIENT_TEMPLATE.FAT&amp;display_string=Audit&amp;VAR:KEY=OJELUZEVWR&amp;VAR:QUERY=Q1NGX0RFQlQoQU5OLDEyLzMxLzE5ODAsMTIvMzEvMjAwOSk=&amp;WINDOW=FIRST_POPUP&amp;HEIGHT=450&amp;WIDTH=","450&amp;START_MAXIMIZED=FALSE&amp;VAR:CALENDAR=US&amp;VAR:SYMBOL=BCPC&amp;VAR:INDEX=0"}</definedName>
    <definedName name="_4097__FDSAUDITLINK__" hidden="1">{"fdsup://directions/FAT Viewer?action=UPDATE&amp;creator=factset&amp;DYN_ARGS=TRUE&amp;DOC_NAME=FAT:FQL_AUDITING_CLIENT_TEMPLATE.FAT&amp;display_string=Audit&amp;VAR:KEY=KBWLWBUTAL&amp;VAR:QUERY=Q1NGX0RFQlQoQU5OLDEyLzMxLzIwMDgsMTIvMzEvMjAwOSxBWSk=&amp;WINDOW=FIRST_POPUP&amp;HEIGHT=450&amp;WI","DTH=450&amp;START_MAXIMIZED=FALSE&amp;VAR:CALENDAR=US&amp;VAR:SYMBOL=LYB&amp;VAR:INDEX=1"}</definedName>
    <definedName name="_4098__FDSAUDITLINK__" hidden="1">{"fdsup://directions/FAT Viewer?action=UPDATE&amp;creator=factset&amp;DYN_ARGS=TRUE&amp;DOC_NAME=FAT:FQL_AUDITING_CLIENT_TEMPLATE.FAT&amp;display_string=Audit&amp;VAR:KEY=KBWLWBUTAL&amp;VAR:QUERY=Q1NGX0RFQlQoQU5OLDEyLzMxLzIwMDgsMTIvMzEvMjAwOSxBWSk=&amp;WINDOW=FIRST_POPUP&amp;HEIGHT=450&amp;WI","DTH=450&amp;START_MAXIMIZED=FALSE&amp;VAR:CALENDAR=US&amp;VAR:SYMBOL=LYB&amp;VAR:INDEX=0"}</definedName>
    <definedName name="_41__FDSAUDITLINK__" hidden="1">{"fdsup://directions/FAT Viewer?action=UPDATE&amp;creator=factset&amp;DYN_ARGS=TRUE&amp;DOC_NAME=FAT:FQL_AUDITING_CLIENT_TEMPLATE.FAT&amp;display_string=Audit&amp;VAR:KEY=CLYBOTEPEN&amp;VAR:QUERY=Q1NGX0dST1NTX0lOQyhRVFJfUiwtM0FZLDAsRlEp&amp;WINDOW=FIRST_POPUP&amp;HEIGHT=450&amp;WIDTH=450&amp;STAR","T_MAXIMIZED=FALSE&amp;VAR:CALENDAR=US&amp;VAR:SYMBOL=DOW&amp;VAR:INDEX=11"}</definedName>
    <definedName name="_410__FDSAUDITLINK__" hidden="1">{"fdsup://directions/FAT Viewer?action=UPDATE&amp;creator=factset&amp;DYN_ARGS=TRUE&amp;DOC_NAME=FAT:FQL_AUDITING_CLIENT_TEMPLATE.FAT&amp;display_string=Audit&amp;VAR:KEY=YZSFOBEJYJ&amp;VAR:QUERY=Q1NGX0VCSVRfT1BFUihBTk4sMTIvMzEvMTk4MCwwKQ==&amp;WINDOW=FIRST_POPUP&amp;HEIGHT=450&amp;WIDTH=450&amp;","START_MAXIMIZED=FALSE&amp;VAR:CALENDAR=US&amp;VAR:SYMBOL=PX&amp;VAR:INDEX=6"}</definedName>
    <definedName name="_411__FDSAUDITLINK__" hidden="1">{"fdsup://directions/FAT Viewer?action=UPDATE&amp;creator=factset&amp;DYN_ARGS=TRUE&amp;DOC_NAME=FAT:FQL_AUDITING_CLIENT_TEMPLATE.FAT&amp;display_string=Audit&amp;VAR:KEY=YZSFOBEJYJ&amp;VAR:QUERY=Q1NGX0VCSVRfT1BFUihBTk4sMTIvMzEvMTk4MCwwKQ==&amp;WINDOW=FIRST_POPUP&amp;HEIGHT=450&amp;WIDTH=450&amp;","START_MAXIMIZED=FALSE&amp;VAR:CALENDAR=US&amp;VAR:SYMBOL=PX&amp;VAR:INDEX=5"}</definedName>
    <definedName name="_412__FDSAUDITLINK__" hidden="1">{"fdsup://directions/FAT Viewer?action=UPDATE&amp;creator=factset&amp;DYN_ARGS=TRUE&amp;DOC_NAME=FAT:FQL_AUDITING_CLIENT_TEMPLATE.FAT&amp;display_string=Audit&amp;VAR:KEY=YZSFOBEJYJ&amp;VAR:QUERY=Q1NGX0VCSVRfT1BFUihBTk4sMTIvMzEvMTk4MCwwKQ==&amp;WINDOW=FIRST_POPUP&amp;HEIGHT=450&amp;WIDTH=450&amp;","START_MAXIMIZED=FALSE&amp;VAR:CALENDAR=US&amp;VAR:SYMBOL=PX&amp;VAR:INDEX=4"}</definedName>
    <definedName name="_413__FDSAUDITLINK__" hidden="1">{"fdsup://directions/FAT Viewer?action=UPDATE&amp;creator=factset&amp;DYN_ARGS=TRUE&amp;DOC_NAME=FAT:FQL_AUDITING_CLIENT_TEMPLATE.FAT&amp;display_string=Audit&amp;VAR:KEY=YZSFOBEJYJ&amp;VAR:QUERY=Q1NGX0VCSVRfT1BFUihBTk4sMTIvMzEvMTk4MCwwKQ==&amp;WINDOW=FIRST_POPUP&amp;HEIGHT=450&amp;WIDTH=450&amp;","START_MAXIMIZED=FALSE&amp;VAR:CALENDAR=US&amp;VAR:SYMBOL=PX&amp;VAR:INDEX=3"}</definedName>
    <definedName name="_414__FDSAUDITLINK__" hidden="1">{"fdsup://directions/FAT Viewer?action=UPDATE&amp;creator=factset&amp;DYN_ARGS=TRUE&amp;DOC_NAME=FAT:FQL_AUDITING_CLIENT_TEMPLATE.FAT&amp;display_string=Audit&amp;VAR:KEY=YZSFOBEJYJ&amp;VAR:QUERY=Q1NGX0VCSVRfT1BFUihBTk4sMTIvMzEvMTk4MCwwKQ==&amp;WINDOW=FIRST_POPUP&amp;HEIGHT=450&amp;WIDTH=450&amp;","START_MAXIMIZED=FALSE&amp;VAR:CALENDAR=US&amp;VAR:SYMBOL=PX&amp;VAR:INDEX=2"}</definedName>
    <definedName name="_415__FDSAUDITLINK__" hidden="1">{"fdsup://directions/FAT Viewer?action=UPDATE&amp;creator=factset&amp;DYN_ARGS=TRUE&amp;DOC_NAME=FAT:FQL_AUDITING_CLIENT_TEMPLATE.FAT&amp;display_string=Audit&amp;VAR:KEY=YZSFOBEJYJ&amp;VAR:QUERY=Q1NGX0VCSVRfT1BFUihBTk4sMTIvMzEvMTk4MCwwKQ==&amp;WINDOW=FIRST_POPUP&amp;HEIGHT=450&amp;WIDTH=450&amp;","START_MAXIMIZED=FALSE&amp;VAR:CALENDAR=US&amp;VAR:SYMBOL=PX&amp;VAR:INDEX=1"}</definedName>
    <definedName name="_416__FDSAUDITLINK__" hidden="1">{"fdsup://directions/FAT Viewer?action=UPDATE&amp;creator=factset&amp;DYN_ARGS=TRUE&amp;DOC_NAME=FAT:FQL_AUDITING_CLIENT_TEMPLATE.FAT&amp;display_string=Audit&amp;VAR:KEY=YZSFOBEJYJ&amp;VAR:QUERY=Q1NGX0VCSVRfT1BFUihBTk4sMTIvMzEvMTk4MCwwKQ==&amp;WINDOW=FIRST_POPUP&amp;HEIGHT=450&amp;WIDTH=450&amp;","START_MAXIMIZED=FALSE&amp;VAR:CALENDAR=US&amp;VAR:SYMBOL=PX&amp;VAR:INDEX=0"}</definedName>
    <definedName name="_417__FDSAUDITLINK__" hidden="1">{"fdsup://directions/FAT Viewer?action=UPDATE&amp;creator=factset&amp;DYN_ARGS=TRUE&amp;DOC_NAME=FAT:FQL_AUDITING_CLIENT_TEMPLATE.FAT&amp;display_string=Audit&amp;VAR:KEY=EZGDWBCVYT&amp;VAR:QUERY=Q1NGX0VCSVRfT1BFUihMVE1fUiwwKQ==&amp;WINDOW=FIRST_POPUP&amp;HEIGHT=450&amp;WIDTH=450&amp;START_MAXIMI","ZED=FALSE&amp;VAR:CALENDAR=US&amp;VAR:SYMBOL=PPG&amp;VAR:INDEX=0"}</definedName>
    <definedName name="_418__FDSAUDITLINK__" hidden="1">{"fdsup://directions/FAT Viewer?action=UPDATE&amp;creator=factset&amp;DYN_ARGS=TRUE&amp;DOC_NAME=FAT:FQL_AUDITING_CLIENT_TEMPLATE.FAT&amp;display_string=Audit&amp;VAR:KEY=AXMFAPMFAJ&amp;VAR:QUERY=Q1NGX0VCSVRfT1BFUihBTk4sMTIvMzEvODAsMCk=&amp;WINDOW=FIRST_POPUP&amp;HEIGHT=450&amp;WIDTH=450&amp;STAR","T_MAXIMIZED=FALSE&amp;VAR:CALENDAR=US&amp;VAR:SYMBOL=PPG&amp;VAR:INDEX=29"}</definedName>
    <definedName name="_419__FDSAUDITLINK__" hidden="1">{"fdsup://directions/FAT Viewer?action=UPDATE&amp;creator=factset&amp;DYN_ARGS=TRUE&amp;DOC_NAME=FAT:FQL_AUDITING_CLIENT_TEMPLATE.FAT&amp;display_string=Audit&amp;VAR:KEY=AXMFAPMFAJ&amp;VAR:QUERY=Q1NGX0VCSVRfT1BFUihBTk4sMTIvMzEvODAsMCk=&amp;WINDOW=FIRST_POPUP&amp;HEIGHT=450&amp;WIDTH=450&amp;STAR","T_MAXIMIZED=FALSE&amp;VAR:CALENDAR=US&amp;VAR:SYMBOL=PPG&amp;VAR:INDEX=28"}</definedName>
    <definedName name="_42__FDSAUDITLINK__" hidden="1">{"fdsup://directions/FAT Viewer?action=UPDATE&amp;creator=factset&amp;DYN_ARGS=TRUE&amp;DOC_NAME=FAT:FQL_AUDITING_CLIENT_TEMPLATE.FAT&amp;display_string=Audit&amp;VAR:KEY=CLYBOTEPEN&amp;VAR:QUERY=Q1NGX0dST1NTX0lOQyhRVFJfUiwtM0FZLDAsRlEp&amp;WINDOW=FIRST_POPUP&amp;HEIGHT=450&amp;WIDTH=450&amp;STAR","T_MAXIMIZED=FALSE&amp;VAR:CALENDAR=US&amp;VAR:SYMBOL=DOW&amp;VAR:INDEX=10"}</definedName>
    <definedName name="_420__FDSAUDITLINK__" hidden="1">{"fdsup://directions/FAT Viewer?action=UPDATE&amp;creator=factset&amp;DYN_ARGS=TRUE&amp;DOC_NAME=FAT:FQL_AUDITING_CLIENT_TEMPLATE.FAT&amp;display_string=Audit&amp;VAR:KEY=AXMFAPMFAJ&amp;VAR:QUERY=Q1NGX0VCSVRfT1BFUihBTk4sMTIvMzEvODAsMCk=&amp;WINDOW=FIRST_POPUP&amp;HEIGHT=450&amp;WIDTH=450&amp;STAR","T_MAXIMIZED=FALSE&amp;VAR:CALENDAR=US&amp;VAR:SYMBOL=PPG&amp;VAR:INDEX=27"}</definedName>
    <definedName name="_421__FDSAUDITLINK__" hidden="1">{"fdsup://directions/FAT Viewer?action=UPDATE&amp;creator=factset&amp;DYN_ARGS=TRUE&amp;DOC_NAME=FAT:FQL_AUDITING_CLIENT_TEMPLATE.FAT&amp;display_string=Audit&amp;VAR:KEY=AXMFAPMFAJ&amp;VAR:QUERY=Q1NGX0VCSVRfT1BFUihBTk4sMTIvMzEvODAsMCk=&amp;WINDOW=FIRST_POPUP&amp;HEIGHT=450&amp;WIDTH=450&amp;STAR","T_MAXIMIZED=FALSE&amp;VAR:CALENDAR=US&amp;VAR:SYMBOL=PPG&amp;VAR:INDEX=26"}</definedName>
    <definedName name="_422__FDSAUDITLINK__" hidden="1">{"fdsup://directions/FAT Viewer?action=UPDATE&amp;creator=factset&amp;DYN_ARGS=TRUE&amp;DOC_NAME=FAT:FQL_AUDITING_CLIENT_TEMPLATE.FAT&amp;display_string=Audit&amp;VAR:KEY=AXMFAPMFAJ&amp;VAR:QUERY=Q1NGX0VCSVRfT1BFUihBTk4sMTIvMzEvODAsMCk=&amp;WINDOW=FIRST_POPUP&amp;HEIGHT=450&amp;WIDTH=450&amp;STAR","T_MAXIMIZED=FALSE&amp;VAR:CALENDAR=US&amp;VAR:SYMBOL=PPG&amp;VAR:INDEX=25"}</definedName>
    <definedName name="_423__FDSAUDITLINK__" hidden="1">{"fdsup://directions/FAT Viewer?action=UPDATE&amp;creator=factset&amp;DYN_ARGS=TRUE&amp;DOC_NAME=FAT:FQL_AUDITING_CLIENT_TEMPLATE.FAT&amp;display_string=Audit&amp;VAR:KEY=AXMFAPMFAJ&amp;VAR:QUERY=Q1NGX0VCSVRfT1BFUihBTk4sMTIvMzEvODAsMCk=&amp;WINDOW=FIRST_POPUP&amp;HEIGHT=450&amp;WIDTH=450&amp;STAR","T_MAXIMIZED=FALSE&amp;VAR:CALENDAR=US&amp;VAR:SYMBOL=PPG&amp;VAR:INDEX=24"}</definedName>
    <definedName name="_424__FDSAUDITLINK__" hidden="1">{"fdsup://directions/FAT Viewer?action=UPDATE&amp;creator=factset&amp;DYN_ARGS=TRUE&amp;DOC_NAME=FAT:FQL_AUDITING_CLIENT_TEMPLATE.FAT&amp;display_string=Audit&amp;VAR:KEY=AXMFAPMFAJ&amp;VAR:QUERY=Q1NGX0VCSVRfT1BFUihBTk4sMTIvMzEvODAsMCk=&amp;WINDOW=FIRST_POPUP&amp;HEIGHT=450&amp;WIDTH=450&amp;STAR","T_MAXIMIZED=FALSE&amp;VAR:CALENDAR=US&amp;VAR:SYMBOL=PPG&amp;VAR:INDEX=23"}</definedName>
    <definedName name="_425__FDSAUDITLINK__" hidden="1">{"fdsup://directions/FAT Viewer?action=UPDATE&amp;creator=factset&amp;DYN_ARGS=TRUE&amp;DOC_NAME=FAT:FQL_AUDITING_CLIENT_TEMPLATE.FAT&amp;display_string=Audit&amp;VAR:KEY=AXMFAPMFAJ&amp;VAR:QUERY=Q1NGX0VCSVRfT1BFUihBTk4sMTIvMzEvODAsMCk=&amp;WINDOW=FIRST_POPUP&amp;HEIGHT=450&amp;WIDTH=450&amp;STAR","T_MAXIMIZED=FALSE&amp;VAR:CALENDAR=US&amp;VAR:SYMBOL=PPG&amp;VAR:INDEX=22"}</definedName>
    <definedName name="_426__FDSAUDITLINK__" hidden="1">{"fdsup://directions/FAT Viewer?action=UPDATE&amp;creator=factset&amp;DYN_ARGS=TRUE&amp;DOC_NAME=FAT:FQL_AUDITING_CLIENT_TEMPLATE.FAT&amp;display_string=Audit&amp;VAR:KEY=AXMFAPMFAJ&amp;VAR:QUERY=Q1NGX0VCSVRfT1BFUihBTk4sMTIvMzEvODAsMCk=&amp;WINDOW=FIRST_POPUP&amp;HEIGHT=450&amp;WIDTH=450&amp;STAR","T_MAXIMIZED=FALSE&amp;VAR:CALENDAR=US&amp;VAR:SYMBOL=PPG&amp;VAR:INDEX=21"}</definedName>
    <definedName name="_427__FDSAUDITLINK__" hidden="1">{"fdsup://directions/FAT Viewer?action=UPDATE&amp;creator=factset&amp;DYN_ARGS=TRUE&amp;DOC_NAME=FAT:FQL_AUDITING_CLIENT_TEMPLATE.FAT&amp;display_string=Audit&amp;VAR:KEY=AXMFAPMFAJ&amp;VAR:QUERY=Q1NGX0VCSVRfT1BFUihBTk4sMTIvMzEvODAsMCk=&amp;WINDOW=FIRST_POPUP&amp;HEIGHT=450&amp;WIDTH=450&amp;STAR","T_MAXIMIZED=FALSE&amp;VAR:CALENDAR=US&amp;VAR:SYMBOL=PPG&amp;VAR:INDEX=20"}</definedName>
    <definedName name="_428__FDSAUDITLINK__" hidden="1">{"fdsup://directions/FAT Viewer?action=UPDATE&amp;creator=factset&amp;DYN_ARGS=TRUE&amp;DOC_NAME=FAT:FQL_AUDITING_CLIENT_TEMPLATE.FAT&amp;display_string=Audit&amp;VAR:KEY=AXMFAPMFAJ&amp;VAR:QUERY=Q1NGX0VCSVRfT1BFUihBTk4sMTIvMzEvODAsMCk=&amp;WINDOW=FIRST_POPUP&amp;HEIGHT=450&amp;WIDTH=450&amp;STAR","T_MAXIMIZED=FALSE&amp;VAR:CALENDAR=US&amp;VAR:SYMBOL=PPG&amp;VAR:INDEX=19"}</definedName>
    <definedName name="_429__FDSAUDITLINK__" hidden="1">{"fdsup://directions/FAT Viewer?action=UPDATE&amp;creator=factset&amp;DYN_ARGS=TRUE&amp;DOC_NAME=FAT:FQL_AUDITING_CLIENT_TEMPLATE.FAT&amp;display_string=Audit&amp;VAR:KEY=AXMFAPMFAJ&amp;VAR:QUERY=Q1NGX0VCSVRfT1BFUihBTk4sMTIvMzEvODAsMCk=&amp;WINDOW=FIRST_POPUP&amp;HEIGHT=450&amp;WIDTH=450&amp;STAR","T_MAXIMIZED=FALSE&amp;VAR:CALENDAR=US&amp;VAR:SYMBOL=PPG&amp;VAR:INDEX=18"}</definedName>
    <definedName name="_43__FDSAUDITLINK__" hidden="1">{"fdsup://directions/FAT Viewer?action=UPDATE&amp;creator=factset&amp;DYN_ARGS=TRUE&amp;DOC_NAME=FAT:FQL_AUDITING_CLIENT_TEMPLATE.FAT&amp;display_string=Audit&amp;VAR:KEY=STCJYXOLAB&amp;VAR:QUERY=Q1NGX0VCSVREQV9PUEVSKExUTV9SLDAp&amp;WINDOW=FIRST_POPUP&amp;HEIGHT=450&amp;WIDTH=450&amp;START_MAXIMI","ZED=FALSE&amp;VAR:CALENDAR=US&amp;VAR:SYMBOL=OLN&amp;VAR:INDEX=0"}</definedName>
    <definedName name="_430__FDSAUDITLINK__" hidden="1">{"fdsup://directions/FAT Viewer?action=UPDATE&amp;creator=factset&amp;DYN_ARGS=TRUE&amp;DOC_NAME=FAT:FQL_AUDITING_CLIENT_TEMPLATE.FAT&amp;display_string=Audit&amp;VAR:KEY=AXMFAPMFAJ&amp;VAR:QUERY=Q1NGX0VCSVRfT1BFUihBTk4sMTIvMzEvODAsMCk=&amp;WINDOW=FIRST_POPUP&amp;HEIGHT=450&amp;WIDTH=450&amp;STAR","T_MAXIMIZED=FALSE&amp;VAR:CALENDAR=US&amp;VAR:SYMBOL=PPG&amp;VAR:INDEX=17"}</definedName>
    <definedName name="_431__FDSAUDITLINK__" hidden="1">{"fdsup://directions/FAT Viewer?action=UPDATE&amp;creator=factset&amp;DYN_ARGS=TRUE&amp;DOC_NAME=FAT:FQL_AUDITING_CLIENT_TEMPLATE.FAT&amp;display_string=Audit&amp;VAR:KEY=AXMFAPMFAJ&amp;VAR:QUERY=Q1NGX0VCSVRfT1BFUihBTk4sMTIvMzEvODAsMCk=&amp;WINDOW=FIRST_POPUP&amp;HEIGHT=450&amp;WIDTH=450&amp;STAR","T_MAXIMIZED=FALSE&amp;VAR:CALENDAR=US&amp;VAR:SYMBOL=PPG&amp;VAR:INDEX=16"}</definedName>
    <definedName name="_432__FDSAUDITLINK__" hidden="1">{"fdsup://directions/FAT Viewer?action=UPDATE&amp;creator=factset&amp;DYN_ARGS=TRUE&amp;DOC_NAME=FAT:FQL_AUDITING_CLIENT_TEMPLATE.FAT&amp;display_string=Audit&amp;VAR:KEY=AXMFAPMFAJ&amp;VAR:QUERY=Q1NGX0VCSVRfT1BFUihBTk4sMTIvMzEvODAsMCk=&amp;WINDOW=FIRST_POPUP&amp;HEIGHT=450&amp;WIDTH=450&amp;STAR","T_MAXIMIZED=FALSE&amp;VAR:CALENDAR=US&amp;VAR:SYMBOL=PPG&amp;VAR:INDEX=15"}</definedName>
    <definedName name="_433__FDSAUDITLINK__" hidden="1">{"fdsup://directions/FAT Viewer?action=UPDATE&amp;creator=factset&amp;DYN_ARGS=TRUE&amp;DOC_NAME=FAT:FQL_AUDITING_CLIENT_TEMPLATE.FAT&amp;display_string=Audit&amp;VAR:KEY=AXMFAPMFAJ&amp;VAR:QUERY=Q1NGX0VCSVRfT1BFUihBTk4sMTIvMzEvODAsMCk=&amp;WINDOW=FIRST_POPUP&amp;HEIGHT=450&amp;WIDTH=450&amp;STAR","T_MAXIMIZED=FALSE&amp;VAR:CALENDAR=US&amp;VAR:SYMBOL=PPG&amp;VAR:INDEX=14"}</definedName>
    <definedName name="_434__FDSAUDITLINK__" hidden="1">{"fdsup://directions/FAT Viewer?action=UPDATE&amp;creator=factset&amp;DYN_ARGS=TRUE&amp;DOC_NAME=FAT:FQL_AUDITING_CLIENT_TEMPLATE.FAT&amp;display_string=Audit&amp;VAR:KEY=AXMFAPMFAJ&amp;VAR:QUERY=Q1NGX0VCSVRfT1BFUihBTk4sMTIvMzEvODAsMCk=&amp;WINDOW=FIRST_POPUP&amp;HEIGHT=450&amp;WIDTH=450&amp;STAR","T_MAXIMIZED=FALSE&amp;VAR:CALENDAR=US&amp;VAR:SYMBOL=PPG&amp;VAR:INDEX=13"}</definedName>
    <definedName name="_435__FDSAUDITLINK__" hidden="1">{"fdsup://directions/FAT Viewer?action=UPDATE&amp;creator=factset&amp;DYN_ARGS=TRUE&amp;DOC_NAME=FAT:FQL_AUDITING_CLIENT_TEMPLATE.FAT&amp;display_string=Audit&amp;VAR:KEY=AXMFAPMFAJ&amp;VAR:QUERY=Q1NGX0VCSVRfT1BFUihBTk4sMTIvMzEvODAsMCk=&amp;WINDOW=FIRST_POPUP&amp;HEIGHT=450&amp;WIDTH=450&amp;STAR","T_MAXIMIZED=FALSE&amp;VAR:CALENDAR=US&amp;VAR:SYMBOL=PPG&amp;VAR:INDEX=12"}</definedName>
    <definedName name="_436__FDSAUDITLINK__" hidden="1">{"fdsup://directions/FAT Viewer?action=UPDATE&amp;creator=factset&amp;DYN_ARGS=TRUE&amp;DOC_NAME=FAT:FQL_AUDITING_CLIENT_TEMPLATE.FAT&amp;display_string=Audit&amp;VAR:KEY=AXMFAPMFAJ&amp;VAR:QUERY=Q1NGX0VCSVRfT1BFUihBTk4sMTIvMzEvODAsMCk=&amp;WINDOW=FIRST_POPUP&amp;HEIGHT=450&amp;WIDTH=450&amp;STAR","T_MAXIMIZED=FALSE&amp;VAR:CALENDAR=US&amp;VAR:SYMBOL=PPG&amp;VAR:INDEX=11"}</definedName>
    <definedName name="_437__FDSAUDITLINK__" hidden="1">{"fdsup://directions/FAT Viewer?action=UPDATE&amp;creator=factset&amp;DYN_ARGS=TRUE&amp;DOC_NAME=FAT:FQL_AUDITING_CLIENT_TEMPLATE.FAT&amp;display_string=Audit&amp;VAR:KEY=AXMFAPMFAJ&amp;VAR:QUERY=Q1NGX0VCSVRfT1BFUihBTk4sMTIvMzEvODAsMCk=&amp;WINDOW=FIRST_POPUP&amp;HEIGHT=450&amp;WIDTH=450&amp;STAR","T_MAXIMIZED=FALSE&amp;VAR:CALENDAR=US&amp;VAR:SYMBOL=PPG&amp;VAR:INDEX=10"}</definedName>
    <definedName name="_438__FDSAUDITLINK__" hidden="1">{"fdsup://directions/FAT Viewer?action=UPDATE&amp;creator=factset&amp;DYN_ARGS=TRUE&amp;DOC_NAME=FAT:FQL_AUDITING_CLIENT_TEMPLATE.FAT&amp;display_string=Audit&amp;VAR:KEY=AXMFAPMFAJ&amp;VAR:QUERY=Q1NGX0VCSVRfT1BFUihBTk4sMTIvMzEvODAsMCk=&amp;WINDOW=FIRST_POPUP&amp;HEIGHT=450&amp;WIDTH=450&amp;STAR","T_MAXIMIZED=FALSE&amp;VAR:CALENDAR=US&amp;VAR:SYMBOL=PPG&amp;VAR:INDEX=9"}</definedName>
    <definedName name="_439__FDSAUDITLINK__" hidden="1">{"fdsup://directions/FAT Viewer?action=UPDATE&amp;creator=factset&amp;DYN_ARGS=TRUE&amp;DOC_NAME=FAT:FQL_AUDITING_CLIENT_TEMPLATE.FAT&amp;display_string=Audit&amp;VAR:KEY=AXMFAPMFAJ&amp;VAR:QUERY=Q1NGX0VCSVRfT1BFUihBTk4sMTIvMzEvODAsMCk=&amp;WINDOW=FIRST_POPUP&amp;HEIGHT=450&amp;WIDTH=450&amp;STAR","T_MAXIMIZED=FALSE&amp;VAR:CALENDAR=US&amp;VAR:SYMBOL=PPG&amp;VAR:INDEX=8"}</definedName>
    <definedName name="_44__FDSAUDITLINK__" hidden="1">{"fdsup://directions/FAT Viewer?action=UPDATE&amp;creator=factset&amp;DYN_ARGS=TRUE&amp;DOC_NAME=FAT:FQL_AUDITING_CLIENT_TEMPLATE.FAT&amp;display_string=Audit&amp;VAR:KEY=WLYNYRSLAF&amp;VAR:QUERY=Q1NGX0VCSVREQV9PUEVSKEFOTiwwKQ==&amp;WINDOW=FIRST_POPUP&amp;HEIGHT=450&amp;WIDTH=450&amp;START_MAXIMI","ZED=FALSE&amp;VAR:CALENDAR=US&amp;VAR:SYMBOL=OLN&amp;VAR:INDEX=0"}</definedName>
    <definedName name="_440__FDSAUDITLINK__" hidden="1">{"fdsup://directions/FAT Viewer?action=UPDATE&amp;creator=factset&amp;DYN_ARGS=TRUE&amp;DOC_NAME=FAT:FQL_AUDITING_CLIENT_TEMPLATE.FAT&amp;display_string=Audit&amp;VAR:KEY=AXMFAPMFAJ&amp;VAR:QUERY=Q1NGX0VCSVRfT1BFUihBTk4sMTIvMzEvODAsMCk=&amp;WINDOW=FIRST_POPUP&amp;HEIGHT=450&amp;WIDTH=450&amp;STAR","T_MAXIMIZED=FALSE&amp;VAR:CALENDAR=US&amp;VAR:SYMBOL=PPG&amp;VAR:INDEX=7"}</definedName>
    <definedName name="_441__FDSAUDITLINK__" hidden="1">{"fdsup://directions/FAT Viewer?action=UPDATE&amp;creator=factset&amp;DYN_ARGS=TRUE&amp;DOC_NAME=FAT:FQL_AUDITING_CLIENT_TEMPLATE.FAT&amp;display_string=Audit&amp;VAR:KEY=AXMFAPMFAJ&amp;VAR:QUERY=Q1NGX0VCSVRfT1BFUihBTk4sMTIvMzEvODAsMCk=&amp;WINDOW=FIRST_POPUP&amp;HEIGHT=450&amp;WIDTH=450&amp;STAR","T_MAXIMIZED=FALSE&amp;VAR:CALENDAR=US&amp;VAR:SYMBOL=PPG&amp;VAR:INDEX=6"}</definedName>
    <definedName name="_442__FDSAUDITLINK__" hidden="1">{"fdsup://directions/FAT Viewer?action=UPDATE&amp;creator=factset&amp;DYN_ARGS=TRUE&amp;DOC_NAME=FAT:FQL_AUDITING_CLIENT_TEMPLATE.FAT&amp;display_string=Audit&amp;VAR:KEY=AXMFAPMFAJ&amp;VAR:QUERY=Q1NGX0VCSVRfT1BFUihBTk4sMTIvMzEvODAsMCk=&amp;WINDOW=FIRST_POPUP&amp;HEIGHT=450&amp;WIDTH=450&amp;STAR","T_MAXIMIZED=FALSE&amp;VAR:CALENDAR=US&amp;VAR:SYMBOL=PPG&amp;VAR:INDEX=5"}</definedName>
    <definedName name="_443__FDSAUDITLINK__" hidden="1">{"fdsup://directions/FAT Viewer?action=UPDATE&amp;creator=factset&amp;DYN_ARGS=TRUE&amp;DOC_NAME=FAT:FQL_AUDITING_CLIENT_TEMPLATE.FAT&amp;display_string=Audit&amp;VAR:KEY=AXMFAPMFAJ&amp;VAR:QUERY=Q1NGX0VCSVRfT1BFUihBTk4sMTIvMzEvODAsMCk=&amp;WINDOW=FIRST_POPUP&amp;HEIGHT=450&amp;WIDTH=450&amp;STAR","T_MAXIMIZED=FALSE&amp;VAR:CALENDAR=US&amp;VAR:SYMBOL=PPG&amp;VAR:INDEX=4"}</definedName>
    <definedName name="_444__FDSAUDITLINK__" hidden="1">{"fdsup://directions/FAT Viewer?action=UPDATE&amp;creator=factset&amp;DYN_ARGS=TRUE&amp;DOC_NAME=FAT:FQL_AUDITING_CLIENT_TEMPLATE.FAT&amp;display_string=Audit&amp;VAR:KEY=AXMFAPMFAJ&amp;VAR:QUERY=Q1NGX0VCSVRfT1BFUihBTk4sMTIvMzEvODAsMCk=&amp;WINDOW=FIRST_POPUP&amp;HEIGHT=450&amp;WIDTH=450&amp;STAR","T_MAXIMIZED=FALSE&amp;VAR:CALENDAR=US&amp;VAR:SYMBOL=PPG&amp;VAR:INDEX=3"}</definedName>
    <definedName name="_445__FDSAUDITLINK__" hidden="1">{"fdsup://directions/FAT Viewer?action=UPDATE&amp;creator=factset&amp;DYN_ARGS=TRUE&amp;DOC_NAME=FAT:FQL_AUDITING_CLIENT_TEMPLATE.FAT&amp;display_string=Audit&amp;VAR:KEY=AXMFAPMFAJ&amp;VAR:QUERY=Q1NGX0VCSVRfT1BFUihBTk4sMTIvMzEvODAsMCk=&amp;WINDOW=FIRST_POPUP&amp;HEIGHT=450&amp;WIDTH=450&amp;STAR","T_MAXIMIZED=FALSE&amp;VAR:CALENDAR=US&amp;VAR:SYMBOL=PPG&amp;VAR:INDEX=2"}</definedName>
    <definedName name="_446__FDSAUDITLINK__" hidden="1">{"fdsup://directions/FAT Viewer?action=UPDATE&amp;creator=factset&amp;DYN_ARGS=TRUE&amp;DOC_NAME=FAT:FQL_AUDITING_CLIENT_TEMPLATE.FAT&amp;display_string=Audit&amp;VAR:KEY=AXMFAPMFAJ&amp;VAR:QUERY=Q1NGX0VCSVRfT1BFUihBTk4sMTIvMzEvODAsMCk=&amp;WINDOW=FIRST_POPUP&amp;HEIGHT=450&amp;WIDTH=450&amp;STAR","T_MAXIMIZED=FALSE&amp;VAR:CALENDAR=US&amp;VAR:SYMBOL=PPG&amp;VAR:INDEX=1"}</definedName>
    <definedName name="_447__FDSAUDITLINK__" hidden="1">{"fdsup://directions/FAT Viewer?action=UPDATE&amp;creator=factset&amp;DYN_ARGS=TRUE&amp;DOC_NAME=FAT:FQL_AUDITING_CLIENT_TEMPLATE.FAT&amp;display_string=Audit&amp;VAR:KEY=AXMFAPMFAJ&amp;VAR:QUERY=Q1NGX0VCSVRfT1BFUihBTk4sMTIvMzEvODAsMCk=&amp;WINDOW=FIRST_POPUP&amp;HEIGHT=450&amp;WIDTH=450&amp;STAR","T_MAXIMIZED=FALSE&amp;VAR:CALENDAR=US&amp;VAR:SYMBOL=PPG&amp;VAR:INDEX=0"}</definedName>
    <definedName name="_448__FDSAUDITLINK__" hidden="1">{"fdsup://directions/FAT Viewer?action=UPDATE&amp;creator=factset&amp;DYN_ARGS=TRUE&amp;DOC_NAME=FAT:FQL_AUDITING_CLIENT_TEMPLATE.FAT&amp;display_string=Audit&amp;VAR:KEY=WPSVKBOZUL&amp;VAR:QUERY=Q1NGX0VCSVRfT1BFUihMVE1fUiwwKQ==&amp;WINDOW=FIRST_POPUP&amp;HEIGHT=450&amp;WIDTH=450&amp;START_MAXIMI","ZED=FALSE&amp;VAR:CALENDAR=US&amp;VAR:SYMBOL=MOS&amp;VAR:INDEX=0"}</definedName>
    <definedName name="_449__FDSAUDITLINK__" hidden="1">{"fdsup://directions/FAT Viewer?action=UPDATE&amp;creator=factset&amp;DYN_ARGS=TRUE&amp;DOC_NAME=FAT:FQL_AUDITING_CLIENT_TEMPLATE.FAT&amp;display_string=Audit&amp;VAR:KEY=IXKRMLSFKZ&amp;VAR:QUERY=Q1NGX0VCSVRfT1BFUihBTk4sNS8zMS8xOTgwLDUvMzEvMjAwOSk=&amp;WINDOW=FIRST_POPUP&amp;HEIGHT=450&amp;WI","DTH=450&amp;START_MAXIMIZED=FALSE&amp;VAR:CALENDAR=US&amp;VAR:SYMBOL=MOS&amp;VAR:INDEX=29"}</definedName>
    <definedName name="_45__FDSAUDITLINK__" hidden="1">{"fdsup://directions/FAT Viewer?action=UPDATE&amp;creator=factset&amp;DYN_ARGS=TRUE&amp;DOC_NAME=FAT:FQL_AUDITING_CLIENT_TEMPLATE.FAT&amp;display_string=Audit&amp;VAR:KEY=CLYBOTEPEN&amp;VAR:QUERY=Q1NGX0dST1NTX0lOQyhRVFJfUiwtM0FZLDAsRlEp&amp;WINDOW=FIRST_POPUP&amp;HEIGHT=450&amp;WIDTH=450&amp;STAR","T_MAXIMIZED=FALSE&amp;VAR:CALENDAR=US&amp;VAR:SYMBOL=DOW&amp;VAR:INDEX=7"}</definedName>
    <definedName name="_450__FDSAUDITLINK__" hidden="1">{"fdsup://directions/FAT Viewer?action=UPDATE&amp;creator=factset&amp;DYN_ARGS=TRUE&amp;DOC_NAME=FAT:FQL_AUDITING_CLIENT_TEMPLATE.FAT&amp;display_string=Audit&amp;VAR:KEY=IXKRMLSFKZ&amp;VAR:QUERY=Q1NGX0VCSVRfT1BFUihBTk4sNS8zMS8xOTgwLDUvMzEvMjAwOSk=&amp;WINDOW=FIRST_POPUP&amp;HEIGHT=450&amp;WI","DTH=450&amp;START_MAXIMIZED=FALSE&amp;VAR:CALENDAR=US&amp;VAR:SYMBOL=MOS&amp;VAR:INDEX=28"}</definedName>
    <definedName name="_451__FDSAUDITLINK__" hidden="1">{"fdsup://directions/FAT Viewer?action=UPDATE&amp;creator=factset&amp;DYN_ARGS=TRUE&amp;DOC_NAME=FAT:FQL_AUDITING_CLIENT_TEMPLATE.FAT&amp;display_string=Audit&amp;VAR:KEY=IXKRMLSFKZ&amp;VAR:QUERY=Q1NGX0VCSVRfT1BFUihBTk4sNS8zMS8xOTgwLDUvMzEvMjAwOSk=&amp;WINDOW=FIRST_POPUP&amp;HEIGHT=450&amp;WI","DTH=450&amp;START_MAXIMIZED=FALSE&amp;VAR:CALENDAR=US&amp;VAR:SYMBOL=MOS&amp;VAR:INDEX=27"}</definedName>
    <definedName name="_452__FDSAUDITLINK__" hidden="1">{"fdsup://directions/FAT Viewer?action=UPDATE&amp;creator=factset&amp;DYN_ARGS=TRUE&amp;DOC_NAME=FAT:FQL_AUDITING_CLIENT_TEMPLATE.FAT&amp;display_string=Audit&amp;VAR:KEY=IXKRMLSFKZ&amp;VAR:QUERY=Q1NGX0VCSVRfT1BFUihBTk4sNS8zMS8xOTgwLDUvMzEvMjAwOSk=&amp;WINDOW=FIRST_POPUP&amp;HEIGHT=450&amp;WI","DTH=450&amp;START_MAXIMIZED=FALSE&amp;VAR:CALENDAR=US&amp;VAR:SYMBOL=MOS&amp;VAR:INDEX=26"}</definedName>
    <definedName name="_453__FDSAUDITLINK__" hidden="1">{"fdsup://directions/FAT Viewer?action=UPDATE&amp;creator=factset&amp;DYN_ARGS=TRUE&amp;DOC_NAME=FAT:FQL_AUDITING_CLIENT_TEMPLATE.FAT&amp;display_string=Audit&amp;VAR:KEY=IXKRMLSFKZ&amp;VAR:QUERY=Q1NGX0VCSVRfT1BFUihBTk4sNS8zMS8xOTgwLDUvMzEvMjAwOSk=&amp;WINDOW=FIRST_POPUP&amp;HEIGHT=450&amp;WI","DTH=450&amp;START_MAXIMIZED=FALSE&amp;VAR:CALENDAR=US&amp;VAR:SYMBOL=MOS&amp;VAR:INDEX=25"}</definedName>
    <definedName name="_454__FDSAUDITLINK__" hidden="1">{"fdsup://directions/FAT Viewer?action=UPDATE&amp;creator=factset&amp;DYN_ARGS=TRUE&amp;DOC_NAME=FAT:FQL_AUDITING_CLIENT_TEMPLATE.FAT&amp;display_string=Audit&amp;VAR:KEY=IXKRMLSFKZ&amp;VAR:QUERY=Q1NGX0VCSVRfT1BFUihBTk4sNS8zMS8xOTgwLDUvMzEvMjAwOSk=&amp;WINDOW=FIRST_POPUP&amp;HEIGHT=450&amp;WI","DTH=450&amp;START_MAXIMIZED=FALSE&amp;VAR:CALENDAR=US&amp;VAR:SYMBOL=MOS&amp;VAR:INDEX=24"}</definedName>
    <definedName name="_455__FDSAUDITLINK__" hidden="1">{"fdsup://directions/FAT Viewer?action=UPDATE&amp;creator=factset&amp;DYN_ARGS=TRUE&amp;DOC_NAME=FAT:FQL_AUDITING_CLIENT_TEMPLATE.FAT&amp;display_string=Audit&amp;VAR:KEY=IXKRMLSFKZ&amp;VAR:QUERY=Q1NGX0VCSVRfT1BFUihBTk4sNS8zMS8xOTgwLDUvMzEvMjAwOSk=&amp;WINDOW=FIRST_POPUP&amp;HEIGHT=450&amp;WI","DTH=450&amp;START_MAXIMIZED=FALSE&amp;VAR:CALENDAR=US&amp;VAR:SYMBOL=MOS&amp;VAR:INDEX=23"}</definedName>
    <definedName name="_456__FDSAUDITLINK__" hidden="1">{"fdsup://directions/FAT Viewer?action=UPDATE&amp;creator=factset&amp;DYN_ARGS=TRUE&amp;DOC_NAME=FAT:FQL_AUDITING_CLIENT_TEMPLATE.FAT&amp;display_string=Audit&amp;VAR:KEY=IXKRMLSFKZ&amp;VAR:QUERY=Q1NGX0VCSVRfT1BFUihBTk4sNS8zMS8xOTgwLDUvMzEvMjAwOSk=&amp;WINDOW=FIRST_POPUP&amp;HEIGHT=450&amp;WI","DTH=450&amp;START_MAXIMIZED=FALSE&amp;VAR:CALENDAR=US&amp;VAR:SYMBOL=MOS&amp;VAR:INDEX=22"}</definedName>
    <definedName name="_457__FDSAUDITLINK__" hidden="1">{"fdsup://directions/FAT Viewer?action=UPDATE&amp;creator=factset&amp;DYN_ARGS=TRUE&amp;DOC_NAME=FAT:FQL_AUDITING_CLIENT_TEMPLATE.FAT&amp;display_string=Audit&amp;VAR:KEY=IXKRMLSFKZ&amp;VAR:QUERY=Q1NGX0VCSVRfT1BFUihBTk4sNS8zMS8xOTgwLDUvMzEvMjAwOSk=&amp;WINDOW=FIRST_POPUP&amp;HEIGHT=450&amp;WI","DTH=450&amp;START_MAXIMIZED=FALSE&amp;VAR:CALENDAR=US&amp;VAR:SYMBOL=MOS&amp;VAR:INDEX=21"}</definedName>
    <definedName name="_458__FDSAUDITLINK__" hidden="1">{"fdsup://directions/FAT Viewer?action=UPDATE&amp;creator=factset&amp;DYN_ARGS=TRUE&amp;DOC_NAME=FAT:FQL_AUDITING_CLIENT_TEMPLATE.FAT&amp;display_string=Audit&amp;VAR:KEY=IXKRMLSFKZ&amp;VAR:QUERY=Q1NGX0VCSVRfT1BFUihBTk4sNS8zMS8xOTgwLDUvMzEvMjAwOSk=&amp;WINDOW=FIRST_POPUP&amp;HEIGHT=450&amp;WI","DTH=450&amp;START_MAXIMIZED=FALSE&amp;VAR:CALENDAR=US&amp;VAR:SYMBOL=MOS&amp;VAR:INDEX=20"}</definedName>
    <definedName name="_459__FDSAUDITLINK__" hidden="1">{"fdsup://directions/FAT Viewer?action=UPDATE&amp;creator=factset&amp;DYN_ARGS=TRUE&amp;DOC_NAME=FAT:FQL_AUDITING_CLIENT_TEMPLATE.FAT&amp;display_string=Audit&amp;VAR:KEY=IXKRMLSFKZ&amp;VAR:QUERY=Q1NGX0VCSVRfT1BFUihBTk4sNS8zMS8xOTgwLDUvMzEvMjAwOSk=&amp;WINDOW=FIRST_POPUP&amp;HEIGHT=450&amp;WI","DTH=450&amp;START_MAXIMIZED=FALSE&amp;VAR:CALENDAR=US&amp;VAR:SYMBOL=MOS&amp;VAR:INDEX=19"}</definedName>
    <definedName name="_46__FDSAUDITLINK__" hidden="1">{"fdsup://directions/FAT Viewer?action=UPDATE&amp;creator=factset&amp;DYN_ARGS=TRUE&amp;DOC_NAME=FAT:FQL_AUDITING_CLIENT_TEMPLATE.FAT&amp;display_string=Audit&amp;VAR:KEY=CDWFYZAVEL&amp;VAR:QUERY=Q1NGX0RFQlQoUVRSX1IsMCk=&amp;WINDOW=FIRST_POPUP&amp;HEIGHT=450&amp;WIDTH=450&amp;START_MAXIMIZED=FALS","E&amp;VAR:CALENDAR=US&amp;VAR:SYMBOL=MBLX&amp;VAR:INDEX=0"}</definedName>
    <definedName name="_460__FDSAUDITLINK__" hidden="1">{"fdsup://directions/FAT Viewer?action=UPDATE&amp;creator=factset&amp;DYN_ARGS=TRUE&amp;DOC_NAME=FAT:FQL_AUDITING_CLIENT_TEMPLATE.FAT&amp;display_string=Audit&amp;VAR:KEY=IXKRMLSFKZ&amp;VAR:QUERY=Q1NGX0VCSVRfT1BFUihBTk4sNS8zMS8xOTgwLDUvMzEvMjAwOSk=&amp;WINDOW=FIRST_POPUP&amp;HEIGHT=450&amp;WI","DTH=450&amp;START_MAXIMIZED=FALSE&amp;VAR:CALENDAR=US&amp;VAR:SYMBOL=MOS&amp;VAR:INDEX=18"}</definedName>
    <definedName name="_461__FDSAUDITLINK__" hidden="1">{"fdsup://directions/FAT Viewer?action=UPDATE&amp;creator=factset&amp;DYN_ARGS=TRUE&amp;DOC_NAME=FAT:FQL_AUDITING_CLIENT_TEMPLATE.FAT&amp;display_string=Audit&amp;VAR:KEY=IXKRMLSFKZ&amp;VAR:QUERY=Q1NGX0VCSVRfT1BFUihBTk4sNS8zMS8xOTgwLDUvMzEvMjAwOSk=&amp;WINDOW=FIRST_POPUP&amp;HEIGHT=450&amp;WI","DTH=450&amp;START_MAXIMIZED=FALSE&amp;VAR:CALENDAR=US&amp;VAR:SYMBOL=MOS&amp;VAR:INDEX=17"}</definedName>
    <definedName name="_462__FDSAUDITLINK__" hidden="1">{"fdsup://directions/FAT Viewer?action=UPDATE&amp;creator=factset&amp;DYN_ARGS=TRUE&amp;DOC_NAME=FAT:FQL_AUDITING_CLIENT_TEMPLATE.FAT&amp;display_string=Audit&amp;VAR:KEY=IXKRMLSFKZ&amp;VAR:QUERY=Q1NGX0VCSVRfT1BFUihBTk4sNS8zMS8xOTgwLDUvMzEvMjAwOSk=&amp;WINDOW=FIRST_POPUP&amp;HEIGHT=450&amp;WI","DTH=450&amp;START_MAXIMIZED=FALSE&amp;VAR:CALENDAR=US&amp;VAR:SYMBOL=MOS&amp;VAR:INDEX=16"}</definedName>
    <definedName name="_463__FDSAUDITLINK__" hidden="1">{"fdsup://directions/FAT Viewer?action=UPDATE&amp;creator=factset&amp;DYN_ARGS=TRUE&amp;DOC_NAME=FAT:FQL_AUDITING_CLIENT_TEMPLATE.FAT&amp;display_string=Audit&amp;VAR:KEY=IXKRMLSFKZ&amp;VAR:QUERY=Q1NGX0VCSVRfT1BFUihBTk4sNS8zMS8xOTgwLDUvMzEvMjAwOSk=&amp;WINDOW=FIRST_POPUP&amp;HEIGHT=450&amp;WI","DTH=450&amp;START_MAXIMIZED=FALSE&amp;VAR:CALENDAR=US&amp;VAR:SYMBOL=MOS&amp;VAR:INDEX=15"}</definedName>
    <definedName name="_464__FDSAUDITLINK__" hidden="1">{"fdsup://directions/FAT Viewer?action=UPDATE&amp;creator=factset&amp;DYN_ARGS=TRUE&amp;DOC_NAME=FAT:FQL_AUDITING_CLIENT_TEMPLATE.FAT&amp;display_string=Audit&amp;VAR:KEY=IXKRMLSFKZ&amp;VAR:QUERY=Q1NGX0VCSVRfT1BFUihBTk4sNS8zMS8xOTgwLDUvMzEvMjAwOSk=&amp;WINDOW=FIRST_POPUP&amp;HEIGHT=450&amp;WI","DTH=450&amp;START_MAXIMIZED=FALSE&amp;VAR:CALENDAR=US&amp;VAR:SYMBOL=MOS&amp;VAR:INDEX=14"}</definedName>
    <definedName name="_465__FDSAUDITLINK__" hidden="1">{"fdsup://directions/FAT Viewer?action=UPDATE&amp;creator=factset&amp;DYN_ARGS=TRUE&amp;DOC_NAME=FAT:FQL_AUDITING_CLIENT_TEMPLATE.FAT&amp;display_string=Audit&amp;VAR:KEY=IXKRMLSFKZ&amp;VAR:QUERY=Q1NGX0VCSVRfT1BFUihBTk4sNS8zMS8xOTgwLDUvMzEvMjAwOSk=&amp;WINDOW=FIRST_POPUP&amp;HEIGHT=450&amp;WI","DTH=450&amp;START_MAXIMIZED=FALSE&amp;VAR:CALENDAR=US&amp;VAR:SYMBOL=MOS&amp;VAR:INDEX=13"}</definedName>
    <definedName name="_466__FDSAUDITLINK__" hidden="1">{"fdsup://directions/FAT Viewer?action=UPDATE&amp;creator=factset&amp;DYN_ARGS=TRUE&amp;DOC_NAME=FAT:FQL_AUDITING_CLIENT_TEMPLATE.FAT&amp;display_string=Audit&amp;VAR:KEY=IXKRMLSFKZ&amp;VAR:QUERY=Q1NGX0VCSVRfT1BFUihBTk4sNS8zMS8xOTgwLDUvMzEvMjAwOSk=&amp;WINDOW=FIRST_POPUP&amp;HEIGHT=450&amp;WI","DTH=450&amp;START_MAXIMIZED=FALSE&amp;VAR:CALENDAR=US&amp;VAR:SYMBOL=MOS&amp;VAR:INDEX=12"}</definedName>
    <definedName name="_467__FDSAUDITLINK__" hidden="1">{"fdsup://directions/FAT Viewer?action=UPDATE&amp;creator=factset&amp;DYN_ARGS=TRUE&amp;DOC_NAME=FAT:FQL_AUDITING_CLIENT_TEMPLATE.FAT&amp;display_string=Audit&amp;VAR:KEY=IXKRMLSFKZ&amp;VAR:QUERY=Q1NGX0VCSVRfT1BFUihBTk4sNS8zMS8xOTgwLDUvMzEvMjAwOSk=&amp;WINDOW=FIRST_POPUP&amp;HEIGHT=450&amp;WI","DTH=450&amp;START_MAXIMIZED=FALSE&amp;VAR:CALENDAR=US&amp;VAR:SYMBOL=MOS&amp;VAR:INDEX=11"}</definedName>
    <definedName name="_468__FDSAUDITLINK__" hidden="1">{"fdsup://directions/FAT Viewer?action=UPDATE&amp;creator=factset&amp;DYN_ARGS=TRUE&amp;DOC_NAME=FAT:FQL_AUDITING_CLIENT_TEMPLATE.FAT&amp;display_string=Audit&amp;VAR:KEY=IXKRMLSFKZ&amp;VAR:QUERY=Q1NGX0VCSVRfT1BFUihBTk4sNS8zMS8xOTgwLDUvMzEvMjAwOSk=&amp;WINDOW=FIRST_POPUP&amp;HEIGHT=450&amp;WI","DTH=450&amp;START_MAXIMIZED=FALSE&amp;VAR:CALENDAR=US&amp;VAR:SYMBOL=MOS&amp;VAR:INDEX=10"}</definedName>
    <definedName name="_469__FDSAUDITLINK__" hidden="1">{"fdsup://directions/FAT Viewer?action=UPDATE&amp;creator=factset&amp;DYN_ARGS=TRUE&amp;DOC_NAME=FAT:FQL_AUDITING_CLIENT_TEMPLATE.FAT&amp;display_string=Audit&amp;VAR:KEY=IXKRMLSFKZ&amp;VAR:QUERY=Q1NGX0VCSVRfT1BFUihBTk4sNS8zMS8xOTgwLDUvMzEvMjAwOSk=&amp;WINDOW=FIRST_POPUP&amp;HEIGHT=450&amp;WI","DTH=450&amp;START_MAXIMIZED=FALSE&amp;VAR:CALENDAR=US&amp;VAR:SYMBOL=MOS&amp;VAR:INDEX=9"}</definedName>
    <definedName name="_47__FDSAUDITLINK__" hidden="1">{"fdsup://directions/FAT Viewer?action=UPDATE&amp;creator=factset&amp;DYN_ARGS=TRUE&amp;DOC_NAME=FAT:FQL_AUDITING_CLIENT_TEMPLATE.FAT&amp;display_string=Audit&amp;VAR:KEY=YRUHWFWJYP&amp;VAR:QUERY=Q1NGX0VCSVREQV9PUEVSKEFOTiwwKQ==&amp;WINDOW=FIRST_POPUP&amp;HEIGHT=450&amp;WIDTH=450&amp;START_MAXIMI","ZED=FALSE&amp;VAR:CALENDAR=US&amp;VAR:SYMBOL=LYB&amp;VAR:INDEX=0"}</definedName>
    <definedName name="_470__FDSAUDITLINK__" hidden="1">{"fdsup://directions/FAT Viewer?action=UPDATE&amp;creator=factset&amp;DYN_ARGS=TRUE&amp;DOC_NAME=FAT:FQL_AUDITING_CLIENT_TEMPLATE.FAT&amp;display_string=Audit&amp;VAR:KEY=IXKRMLSFKZ&amp;VAR:QUERY=Q1NGX0VCSVRfT1BFUihBTk4sNS8zMS8xOTgwLDUvMzEvMjAwOSk=&amp;WINDOW=FIRST_POPUP&amp;HEIGHT=450&amp;WI","DTH=450&amp;START_MAXIMIZED=FALSE&amp;VAR:CALENDAR=US&amp;VAR:SYMBOL=MOS&amp;VAR:INDEX=8"}</definedName>
    <definedName name="_471__FDSAUDITLINK__" hidden="1">{"fdsup://directions/FAT Viewer?action=UPDATE&amp;creator=factset&amp;DYN_ARGS=TRUE&amp;DOC_NAME=FAT:FQL_AUDITING_CLIENT_TEMPLATE.FAT&amp;display_string=Audit&amp;VAR:KEY=IXKRMLSFKZ&amp;VAR:QUERY=Q1NGX0VCSVRfT1BFUihBTk4sNS8zMS8xOTgwLDUvMzEvMjAwOSk=&amp;WINDOW=FIRST_POPUP&amp;HEIGHT=450&amp;WI","DTH=450&amp;START_MAXIMIZED=FALSE&amp;VAR:CALENDAR=US&amp;VAR:SYMBOL=MOS&amp;VAR:INDEX=7"}</definedName>
    <definedName name="_472__FDSAUDITLINK__" hidden="1">{"fdsup://directions/FAT Viewer?action=UPDATE&amp;creator=factset&amp;DYN_ARGS=TRUE&amp;DOC_NAME=FAT:FQL_AUDITING_CLIENT_TEMPLATE.FAT&amp;display_string=Audit&amp;VAR:KEY=IXKRMLSFKZ&amp;VAR:QUERY=Q1NGX0VCSVRfT1BFUihBTk4sNS8zMS8xOTgwLDUvMzEvMjAwOSk=&amp;WINDOW=FIRST_POPUP&amp;HEIGHT=450&amp;WI","DTH=450&amp;START_MAXIMIZED=FALSE&amp;VAR:CALENDAR=US&amp;VAR:SYMBOL=MOS&amp;VAR:INDEX=6"}</definedName>
    <definedName name="_473__FDSAUDITLINK__" hidden="1">{"fdsup://directions/FAT Viewer?action=UPDATE&amp;creator=factset&amp;DYN_ARGS=TRUE&amp;DOC_NAME=FAT:FQL_AUDITING_CLIENT_TEMPLATE.FAT&amp;display_string=Audit&amp;VAR:KEY=IXKRMLSFKZ&amp;VAR:QUERY=Q1NGX0VCSVRfT1BFUihBTk4sNS8zMS8xOTgwLDUvMzEvMjAwOSk=&amp;WINDOW=FIRST_POPUP&amp;HEIGHT=450&amp;WI","DTH=450&amp;START_MAXIMIZED=FALSE&amp;VAR:CALENDAR=US&amp;VAR:SYMBOL=MOS&amp;VAR:INDEX=5"}</definedName>
    <definedName name="_474__FDSAUDITLINK__" hidden="1">{"fdsup://directions/FAT Viewer?action=UPDATE&amp;creator=factset&amp;DYN_ARGS=TRUE&amp;DOC_NAME=FAT:FQL_AUDITING_CLIENT_TEMPLATE.FAT&amp;display_string=Audit&amp;VAR:KEY=IXKRMLSFKZ&amp;VAR:QUERY=Q1NGX0VCSVRfT1BFUihBTk4sNS8zMS8xOTgwLDUvMzEvMjAwOSk=&amp;WINDOW=FIRST_POPUP&amp;HEIGHT=450&amp;WI","DTH=450&amp;START_MAXIMIZED=FALSE&amp;VAR:CALENDAR=US&amp;VAR:SYMBOL=MOS&amp;VAR:INDEX=4"}</definedName>
    <definedName name="_475__FDSAUDITLINK__" hidden="1">{"fdsup://directions/FAT Viewer?action=UPDATE&amp;creator=factset&amp;DYN_ARGS=TRUE&amp;DOC_NAME=FAT:FQL_AUDITING_CLIENT_TEMPLATE.FAT&amp;display_string=Audit&amp;VAR:KEY=IXKRMLSFKZ&amp;VAR:QUERY=Q1NGX0VCSVRfT1BFUihBTk4sNS8zMS8xOTgwLDUvMzEvMjAwOSk=&amp;WINDOW=FIRST_POPUP&amp;HEIGHT=450&amp;WI","DTH=450&amp;START_MAXIMIZED=FALSE&amp;VAR:CALENDAR=US&amp;VAR:SYMBOL=MOS&amp;VAR:INDEX=3"}</definedName>
    <definedName name="_476__FDSAUDITLINK__" hidden="1">{"fdsup://directions/FAT Viewer?action=UPDATE&amp;creator=factset&amp;DYN_ARGS=TRUE&amp;DOC_NAME=FAT:FQL_AUDITING_CLIENT_TEMPLATE.FAT&amp;display_string=Audit&amp;VAR:KEY=IXKRMLSFKZ&amp;VAR:QUERY=Q1NGX0VCSVRfT1BFUihBTk4sNS8zMS8xOTgwLDUvMzEvMjAwOSk=&amp;WINDOW=FIRST_POPUP&amp;HEIGHT=450&amp;WI","DTH=450&amp;START_MAXIMIZED=FALSE&amp;VAR:CALENDAR=US&amp;VAR:SYMBOL=MOS&amp;VAR:INDEX=2"}</definedName>
    <definedName name="_477__FDSAUDITLINK__" hidden="1">{"fdsup://directions/FAT Viewer?action=UPDATE&amp;creator=factset&amp;DYN_ARGS=TRUE&amp;DOC_NAME=FAT:FQL_AUDITING_CLIENT_TEMPLATE.FAT&amp;display_string=Audit&amp;VAR:KEY=IXKRMLSFKZ&amp;VAR:QUERY=Q1NGX0VCSVRfT1BFUihBTk4sNS8zMS8xOTgwLDUvMzEvMjAwOSk=&amp;WINDOW=FIRST_POPUP&amp;HEIGHT=450&amp;WI","DTH=450&amp;START_MAXIMIZED=FALSE&amp;VAR:CALENDAR=US&amp;VAR:SYMBOL=MOS&amp;VAR:INDEX=1"}</definedName>
    <definedName name="_478__FDSAUDITLINK__" hidden="1">{"fdsup://directions/FAT Viewer?action=UPDATE&amp;creator=factset&amp;DYN_ARGS=TRUE&amp;DOC_NAME=FAT:FQL_AUDITING_CLIENT_TEMPLATE.FAT&amp;display_string=Audit&amp;VAR:KEY=IXKRMLSFKZ&amp;VAR:QUERY=Q1NGX0VCSVRfT1BFUihBTk4sNS8zMS8xOTgwLDUvMzEvMjAwOSk=&amp;WINDOW=FIRST_POPUP&amp;HEIGHT=450&amp;WI","DTH=450&amp;START_MAXIMIZED=FALSE&amp;VAR:CALENDAR=US&amp;VAR:SYMBOL=MOS&amp;VAR:INDEX=0"}</definedName>
    <definedName name="_479__FDSAUDITLINK__" hidden="1">{"fdsup://directions/FAT Viewer?action=UPDATE&amp;creator=factset&amp;DYN_ARGS=TRUE&amp;DOC_NAME=FAT:FQL_AUDITING_CLIENT_TEMPLATE.FAT&amp;display_string=Audit&amp;VAR:KEY=SBKNYHGXOF&amp;VAR:QUERY=Q1NGX0VCSVRfT1BFUihMVE1fUiwwKQ==&amp;WINDOW=FIRST_POPUP&amp;HEIGHT=450&amp;WIDTH=450&amp;START_MAXIMI","ZED=FALSE&amp;VAR:CALENDAR=US&amp;VAR:SYMBOL=MON&amp;VAR:INDEX=0"}</definedName>
    <definedName name="_48__FDSAUDITLINK__" hidden="1">{"fdsup://directions/FAT Viewer?action=UPDATE&amp;creator=factset&amp;DYN_ARGS=TRUE&amp;DOC_NAME=FAT:FQL_AUDITING_CLIENT_TEMPLATE.FAT&amp;display_string=Audit&amp;VAR:KEY=CLYBOTEPEN&amp;VAR:QUERY=Q1NGX0dST1NTX0lOQyhRVFJfUiwtM0FZLDAsRlEp&amp;WINDOW=FIRST_POPUP&amp;HEIGHT=450&amp;WIDTH=450&amp;STAR","T_MAXIMIZED=FALSE&amp;VAR:CALENDAR=US&amp;VAR:SYMBOL=DOW&amp;VAR:INDEX=4"}</definedName>
    <definedName name="_480__FDSAUDITLINK__" hidden="1">{"fdsup://directions/FAT Viewer?action=UPDATE&amp;creator=factset&amp;DYN_ARGS=TRUE&amp;DOC_NAME=FAT:FQL_AUDITING_CLIENT_TEMPLATE.FAT&amp;display_string=Audit&amp;VAR:KEY=CNGRALYNED&amp;VAR:QUERY=Q1NGX0VCSVRfT1BFUihBTk4sOS8zMC84MCw5LzMwLzIwMDkp&amp;WINDOW=FIRST_POPUP&amp;HEIGHT=450&amp;WIDTH=","450&amp;START_MAXIMIZED=FALSE&amp;VAR:CALENDAR=US&amp;VAR:SYMBOL=MON&amp;VAR:INDEX=29"}</definedName>
    <definedName name="_481__FDSAUDITLINK__" hidden="1">{"fdsup://directions/FAT Viewer?action=UPDATE&amp;creator=factset&amp;DYN_ARGS=TRUE&amp;DOC_NAME=FAT:FQL_AUDITING_CLIENT_TEMPLATE.FAT&amp;display_string=Audit&amp;VAR:KEY=CNGRALYNED&amp;VAR:QUERY=Q1NGX0VCSVRfT1BFUihBTk4sOS8zMC84MCw5LzMwLzIwMDkp&amp;WINDOW=FIRST_POPUP&amp;HEIGHT=450&amp;WIDTH=","450&amp;START_MAXIMIZED=FALSE&amp;VAR:CALENDAR=US&amp;VAR:SYMBOL=MON&amp;VAR:INDEX=28"}</definedName>
    <definedName name="_482__FDSAUDITLINK__" hidden="1">{"fdsup://directions/FAT Viewer?action=UPDATE&amp;creator=factset&amp;DYN_ARGS=TRUE&amp;DOC_NAME=FAT:FQL_AUDITING_CLIENT_TEMPLATE.FAT&amp;display_string=Audit&amp;VAR:KEY=CNGRALYNED&amp;VAR:QUERY=Q1NGX0VCSVRfT1BFUihBTk4sOS8zMC84MCw5LzMwLzIwMDkp&amp;WINDOW=FIRST_POPUP&amp;HEIGHT=450&amp;WIDTH=","450&amp;START_MAXIMIZED=FALSE&amp;VAR:CALENDAR=US&amp;VAR:SYMBOL=MON&amp;VAR:INDEX=27"}</definedName>
    <definedName name="_483__FDSAUDITLINK__" hidden="1">{"fdsup://directions/FAT Viewer?action=UPDATE&amp;creator=factset&amp;DYN_ARGS=TRUE&amp;DOC_NAME=FAT:FQL_AUDITING_CLIENT_TEMPLATE.FAT&amp;display_string=Audit&amp;VAR:KEY=CNGRALYNED&amp;VAR:QUERY=Q1NGX0VCSVRfT1BFUihBTk4sOS8zMC84MCw5LzMwLzIwMDkp&amp;WINDOW=FIRST_POPUP&amp;HEIGHT=450&amp;WIDTH=","450&amp;START_MAXIMIZED=FALSE&amp;VAR:CALENDAR=US&amp;VAR:SYMBOL=MON&amp;VAR:INDEX=26"}</definedName>
    <definedName name="_484__FDSAUDITLINK__" hidden="1">{"fdsup://directions/FAT Viewer?action=UPDATE&amp;creator=factset&amp;DYN_ARGS=TRUE&amp;DOC_NAME=FAT:FQL_AUDITING_CLIENT_TEMPLATE.FAT&amp;display_string=Audit&amp;VAR:KEY=CNGRALYNED&amp;VAR:QUERY=Q1NGX0VCSVRfT1BFUihBTk4sOS8zMC84MCw5LzMwLzIwMDkp&amp;WINDOW=FIRST_POPUP&amp;HEIGHT=450&amp;WIDTH=","450&amp;START_MAXIMIZED=FALSE&amp;VAR:CALENDAR=US&amp;VAR:SYMBOL=MON&amp;VAR:INDEX=25"}</definedName>
    <definedName name="_485__FDSAUDITLINK__" hidden="1">{"fdsup://directions/FAT Viewer?action=UPDATE&amp;creator=factset&amp;DYN_ARGS=TRUE&amp;DOC_NAME=FAT:FQL_AUDITING_CLIENT_TEMPLATE.FAT&amp;display_string=Audit&amp;VAR:KEY=CNGRALYNED&amp;VAR:QUERY=Q1NGX0VCSVRfT1BFUihBTk4sOS8zMC84MCw5LzMwLzIwMDkp&amp;WINDOW=FIRST_POPUP&amp;HEIGHT=450&amp;WIDTH=","450&amp;START_MAXIMIZED=FALSE&amp;VAR:CALENDAR=US&amp;VAR:SYMBOL=MON&amp;VAR:INDEX=24"}</definedName>
    <definedName name="_486__FDSAUDITLINK__" hidden="1">{"fdsup://directions/FAT Viewer?action=UPDATE&amp;creator=factset&amp;DYN_ARGS=TRUE&amp;DOC_NAME=FAT:FQL_AUDITING_CLIENT_TEMPLATE.FAT&amp;display_string=Audit&amp;VAR:KEY=CNGRALYNED&amp;VAR:QUERY=Q1NGX0VCSVRfT1BFUihBTk4sOS8zMC84MCw5LzMwLzIwMDkp&amp;WINDOW=FIRST_POPUP&amp;HEIGHT=450&amp;WIDTH=","450&amp;START_MAXIMIZED=FALSE&amp;VAR:CALENDAR=US&amp;VAR:SYMBOL=MON&amp;VAR:INDEX=23"}</definedName>
    <definedName name="_487__FDSAUDITLINK__" hidden="1">{"fdsup://directions/FAT Viewer?action=UPDATE&amp;creator=factset&amp;DYN_ARGS=TRUE&amp;DOC_NAME=FAT:FQL_AUDITING_CLIENT_TEMPLATE.FAT&amp;display_string=Audit&amp;VAR:KEY=CNGRALYNED&amp;VAR:QUERY=Q1NGX0VCSVRfT1BFUihBTk4sOS8zMC84MCw5LzMwLzIwMDkp&amp;WINDOW=FIRST_POPUP&amp;HEIGHT=450&amp;WIDTH=","450&amp;START_MAXIMIZED=FALSE&amp;VAR:CALENDAR=US&amp;VAR:SYMBOL=MON&amp;VAR:INDEX=22"}</definedName>
    <definedName name="_488__FDSAUDITLINK__" hidden="1">{"fdsup://directions/FAT Viewer?action=UPDATE&amp;creator=factset&amp;DYN_ARGS=TRUE&amp;DOC_NAME=FAT:FQL_AUDITING_CLIENT_TEMPLATE.FAT&amp;display_string=Audit&amp;VAR:KEY=CNGRALYNED&amp;VAR:QUERY=Q1NGX0VCSVRfT1BFUihBTk4sOS8zMC84MCw5LzMwLzIwMDkp&amp;WINDOW=FIRST_POPUP&amp;HEIGHT=450&amp;WIDTH=","450&amp;START_MAXIMIZED=FALSE&amp;VAR:CALENDAR=US&amp;VAR:SYMBOL=MON&amp;VAR:INDEX=21"}</definedName>
    <definedName name="_489__FDSAUDITLINK__" hidden="1">{"fdsup://directions/FAT Viewer?action=UPDATE&amp;creator=factset&amp;DYN_ARGS=TRUE&amp;DOC_NAME=FAT:FQL_AUDITING_CLIENT_TEMPLATE.FAT&amp;display_string=Audit&amp;VAR:KEY=CNGRALYNED&amp;VAR:QUERY=Q1NGX0VCSVRfT1BFUihBTk4sOS8zMC84MCw5LzMwLzIwMDkp&amp;WINDOW=FIRST_POPUP&amp;HEIGHT=450&amp;WIDTH=","450&amp;START_MAXIMIZED=FALSE&amp;VAR:CALENDAR=US&amp;VAR:SYMBOL=MON&amp;VAR:INDEX=20"}</definedName>
    <definedName name="_49__FDSAUDITLINK__" hidden="1">{"fdsup://directions/FAT Viewer?action=UPDATE&amp;creator=factset&amp;DYN_ARGS=TRUE&amp;DOC_NAME=FAT:FQL_AUDITING_CLIENT_TEMPLATE.FAT&amp;display_string=Audit&amp;VAR:KEY=CLYBOTEPEN&amp;VAR:QUERY=Q1NGX0dST1NTX0lOQyhRVFJfUiwtM0FZLDAsRlEp&amp;WINDOW=FIRST_POPUP&amp;HEIGHT=450&amp;WIDTH=450&amp;STAR","T_MAXIMIZED=FALSE&amp;VAR:CALENDAR=US&amp;VAR:SYMBOL=DOW&amp;VAR:INDEX=3"}</definedName>
    <definedName name="_490__FDSAUDITLINK__" hidden="1">{"fdsup://directions/FAT Viewer?action=UPDATE&amp;creator=factset&amp;DYN_ARGS=TRUE&amp;DOC_NAME=FAT:FQL_AUDITING_CLIENT_TEMPLATE.FAT&amp;display_string=Audit&amp;VAR:KEY=CNGRALYNED&amp;VAR:QUERY=Q1NGX0VCSVRfT1BFUihBTk4sOS8zMC84MCw5LzMwLzIwMDkp&amp;WINDOW=FIRST_POPUP&amp;HEIGHT=450&amp;WIDTH=","450&amp;START_MAXIMIZED=FALSE&amp;VAR:CALENDAR=US&amp;VAR:SYMBOL=MON&amp;VAR:INDEX=19"}</definedName>
    <definedName name="_491__FDSAUDITLINK__" hidden="1">{"fdsup://directions/FAT Viewer?action=UPDATE&amp;creator=factset&amp;DYN_ARGS=TRUE&amp;DOC_NAME=FAT:FQL_AUDITING_CLIENT_TEMPLATE.FAT&amp;display_string=Audit&amp;VAR:KEY=CNGRALYNED&amp;VAR:QUERY=Q1NGX0VCSVRfT1BFUihBTk4sOS8zMC84MCw5LzMwLzIwMDkp&amp;WINDOW=FIRST_POPUP&amp;HEIGHT=450&amp;WIDTH=","450&amp;START_MAXIMIZED=FALSE&amp;VAR:CALENDAR=US&amp;VAR:SYMBOL=MON&amp;VAR:INDEX=18"}</definedName>
    <definedName name="_492__FDSAUDITLINK__" hidden="1">{"fdsup://directions/FAT Viewer?action=UPDATE&amp;creator=factset&amp;DYN_ARGS=TRUE&amp;DOC_NAME=FAT:FQL_AUDITING_CLIENT_TEMPLATE.FAT&amp;display_string=Audit&amp;VAR:KEY=CNGRALYNED&amp;VAR:QUERY=Q1NGX0VCSVRfT1BFUihBTk4sOS8zMC84MCw5LzMwLzIwMDkp&amp;WINDOW=FIRST_POPUP&amp;HEIGHT=450&amp;WIDTH=","450&amp;START_MAXIMIZED=FALSE&amp;VAR:CALENDAR=US&amp;VAR:SYMBOL=MON&amp;VAR:INDEX=17"}</definedName>
    <definedName name="_493__FDSAUDITLINK__" hidden="1">{"fdsup://directions/FAT Viewer?action=UPDATE&amp;creator=factset&amp;DYN_ARGS=TRUE&amp;DOC_NAME=FAT:FQL_AUDITING_CLIENT_TEMPLATE.FAT&amp;display_string=Audit&amp;VAR:KEY=CNGRALYNED&amp;VAR:QUERY=Q1NGX0VCSVRfT1BFUihBTk4sOS8zMC84MCw5LzMwLzIwMDkp&amp;WINDOW=FIRST_POPUP&amp;HEIGHT=450&amp;WIDTH=","450&amp;START_MAXIMIZED=FALSE&amp;VAR:CALENDAR=US&amp;VAR:SYMBOL=MON&amp;VAR:INDEX=16"}</definedName>
    <definedName name="_494__FDSAUDITLINK__" hidden="1">{"fdsup://directions/FAT Viewer?action=UPDATE&amp;creator=factset&amp;DYN_ARGS=TRUE&amp;DOC_NAME=FAT:FQL_AUDITING_CLIENT_TEMPLATE.FAT&amp;display_string=Audit&amp;VAR:KEY=CNGRALYNED&amp;VAR:QUERY=Q1NGX0VCSVRfT1BFUihBTk4sOS8zMC84MCw5LzMwLzIwMDkp&amp;WINDOW=FIRST_POPUP&amp;HEIGHT=450&amp;WIDTH=","450&amp;START_MAXIMIZED=FALSE&amp;VAR:CALENDAR=US&amp;VAR:SYMBOL=MON&amp;VAR:INDEX=15"}</definedName>
    <definedName name="_495__FDSAUDITLINK__" hidden="1">{"fdsup://directions/FAT Viewer?action=UPDATE&amp;creator=factset&amp;DYN_ARGS=TRUE&amp;DOC_NAME=FAT:FQL_AUDITING_CLIENT_TEMPLATE.FAT&amp;display_string=Audit&amp;VAR:KEY=CNGRALYNED&amp;VAR:QUERY=Q1NGX0VCSVRfT1BFUihBTk4sOS8zMC84MCw5LzMwLzIwMDkp&amp;WINDOW=FIRST_POPUP&amp;HEIGHT=450&amp;WIDTH=","450&amp;START_MAXIMIZED=FALSE&amp;VAR:CALENDAR=US&amp;VAR:SYMBOL=MON&amp;VAR:INDEX=14"}</definedName>
    <definedName name="_496__FDSAUDITLINK__" hidden="1">{"fdsup://directions/FAT Viewer?action=UPDATE&amp;creator=factset&amp;DYN_ARGS=TRUE&amp;DOC_NAME=FAT:FQL_AUDITING_CLIENT_TEMPLATE.FAT&amp;display_string=Audit&amp;VAR:KEY=CNGRALYNED&amp;VAR:QUERY=Q1NGX0VCSVRfT1BFUihBTk4sOS8zMC84MCw5LzMwLzIwMDkp&amp;WINDOW=FIRST_POPUP&amp;HEIGHT=450&amp;WIDTH=","450&amp;START_MAXIMIZED=FALSE&amp;VAR:CALENDAR=US&amp;VAR:SYMBOL=MON&amp;VAR:INDEX=13"}</definedName>
    <definedName name="_497__FDSAUDITLINK__" hidden="1">{"fdsup://directions/FAT Viewer?action=UPDATE&amp;creator=factset&amp;DYN_ARGS=TRUE&amp;DOC_NAME=FAT:FQL_AUDITING_CLIENT_TEMPLATE.FAT&amp;display_string=Audit&amp;VAR:KEY=CNGRALYNED&amp;VAR:QUERY=Q1NGX0VCSVRfT1BFUihBTk4sOS8zMC84MCw5LzMwLzIwMDkp&amp;WINDOW=FIRST_POPUP&amp;HEIGHT=450&amp;WIDTH=","450&amp;START_MAXIMIZED=FALSE&amp;VAR:CALENDAR=US&amp;VAR:SYMBOL=MON&amp;VAR:INDEX=12"}</definedName>
    <definedName name="_498__FDSAUDITLINK__" hidden="1">{"fdsup://directions/FAT Viewer?action=UPDATE&amp;creator=factset&amp;DYN_ARGS=TRUE&amp;DOC_NAME=FAT:FQL_AUDITING_CLIENT_TEMPLATE.FAT&amp;display_string=Audit&amp;VAR:KEY=CNGRALYNED&amp;VAR:QUERY=Q1NGX0VCSVRfT1BFUihBTk4sOS8zMC84MCw5LzMwLzIwMDkp&amp;WINDOW=FIRST_POPUP&amp;HEIGHT=450&amp;WIDTH=","450&amp;START_MAXIMIZED=FALSE&amp;VAR:CALENDAR=US&amp;VAR:SYMBOL=MON&amp;VAR:INDEX=11"}</definedName>
    <definedName name="_499__FDSAUDITLINK__" hidden="1">{"fdsup://directions/FAT Viewer?action=UPDATE&amp;creator=factset&amp;DYN_ARGS=TRUE&amp;DOC_NAME=FAT:FQL_AUDITING_CLIENT_TEMPLATE.FAT&amp;display_string=Audit&amp;VAR:KEY=CNGRALYNED&amp;VAR:QUERY=Q1NGX0VCSVRfT1BFUihBTk4sOS8zMC84MCw5LzMwLzIwMDkp&amp;WINDOW=FIRST_POPUP&amp;HEIGHT=450&amp;WIDTH=","450&amp;START_MAXIMIZED=FALSE&amp;VAR:CALENDAR=US&amp;VAR:SYMBOL=MON&amp;VAR:INDEX=10"}</definedName>
    <definedName name="_5__FDSAUDITLINK__" hidden="1">{"fdsup://directions/FAT Viewer?action=UPDATE&amp;creator=factset&amp;DYN_ARGS=TRUE&amp;DOC_NAME=FAT:FQL_AUDITING_CLIENT_TEMPLATE.FAT&amp;display_string=Audit&amp;VAR:KEY=YXSJYLYXUV&amp;VAR:QUERY=Q1NGX0dST1NTX0lOQyhRVFJfUiwtM0FZLDAsRlEp&amp;WINDOW=FIRST_POPUP&amp;HEIGHT=450&amp;WIDTH=450&amp;STAR","T_MAXIMIZED=FALSE&amp;VAR:CALENDAR=US&amp;VAR:SYMBOL=EMN&amp;VAR:INDEX=8"}</definedName>
    <definedName name="_50__FDSAUDITLINK__" hidden="1">{"fdsup://directions/FAT Viewer?action=UPDATE&amp;creator=factset&amp;DYN_ARGS=TRUE&amp;DOC_NAME=FAT:FQL_AUDITING_CLIENT_TEMPLATE.FAT&amp;display_string=Audit&amp;VAR:KEY=CLYBOTEPEN&amp;VAR:QUERY=Q1NGX0dST1NTX0lOQyhRVFJfUiwtM0FZLDAsRlEp&amp;WINDOW=FIRST_POPUP&amp;HEIGHT=450&amp;WIDTH=450&amp;STAR","T_MAXIMIZED=FALSE&amp;VAR:CALENDAR=US&amp;VAR:SYMBOL=DOW&amp;VAR:INDEX=2"}</definedName>
    <definedName name="_500__FDSAUDITLINK__" hidden="1">{"fdsup://directions/FAT Viewer?action=UPDATE&amp;creator=factset&amp;DYN_ARGS=TRUE&amp;DOC_NAME=FAT:FQL_AUDITING_CLIENT_TEMPLATE.FAT&amp;display_string=Audit&amp;VAR:KEY=CNGRALYNED&amp;VAR:QUERY=Q1NGX0VCSVRfT1BFUihBTk4sOS8zMC84MCw5LzMwLzIwMDkp&amp;WINDOW=FIRST_POPUP&amp;HEIGHT=450&amp;WIDTH=","450&amp;START_MAXIMIZED=FALSE&amp;VAR:CALENDAR=US&amp;VAR:SYMBOL=MON&amp;VAR:INDEX=9"}</definedName>
    <definedName name="_501__FDSAUDITLINK__" hidden="1">{"fdsup://directions/FAT Viewer?action=UPDATE&amp;creator=factset&amp;DYN_ARGS=TRUE&amp;DOC_NAME=FAT:FQL_AUDITING_CLIENT_TEMPLATE.FAT&amp;display_string=Audit&amp;VAR:KEY=CNGRALYNED&amp;VAR:QUERY=Q1NGX0VCSVRfT1BFUihBTk4sOS8zMC84MCw5LzMwLzIwMDkp&amp;WINDOW=FIRST_POPUP&amp;HEIGHT=450&amp;WIDTH=","450&amp;START_MAXIMIZED=FALSE&amp;VAR:CALENDAR=US&amp;VAR:SYMBOL=MON&amp;VAR:INDEX=8"}</definedName>
    <definedName name="_502__FDSAUDITLINK__" hidden="1">{"fdsup://directions/FAT Viewer?action=UPDATE&amp;creator=factset&amp;DYN_ARGS=TRUE&amp;DOC_NAME=FAT:FQL_AUDITING_CLIENT_TEMPLATE.FAT&amp;display_string=Audit&amp;VAR:KEY=CNGRALYNED&amp;VAR:QUERY=Q1NGX0VCSVRfT1BFUihBTk4sOS8zMC84MCw5LzMwLzIwMDkp&amp;WINDOW=FIRST_POPUP&amp;HEIGHT=450&amp;WIDTH=","450&amp;START_MAXIMIZED=FALSE&amp;VAR:CALENDAR=US&amp;VAR:SYMBOL=MON&amp;VAR:INDEX=7"}</definedName>
    <definedName name="_503__FDSAUDITLINK__" hidden="1">{"fdsup://directions/FAT Viewer?action=UPDATE&amp;creator=factset&amp;DYN_ARGS=TRUE&amp;DOC_NAME=FAT:FQL_AUDITING_CLIENT_TEMPLATE.FAT&amp;display_string=Audit&amp;VAR:KEY=CNGRALYNED&amp;VAR:QUERY=Q1NGX0VCSVRfT1BFUihBTk4sOS8zMC84MCw5LzMwLzIwMDkp&amp;WINDOW=FIRST_POPUP&amp;HEIGHT=450&amp;WIDTH=","450&amp;START_MAXIMIZED=FALSE&amp;VAR:CALENDAR=US&amp;VAR:SYMBOL=MON&amp;VAR:INDEX=6"}</definedName>
    <definedName name="_504__FDSAUDITLINK__" hidden="1">{"fdsup://directions/FAT Viewer?action=UPDATE&amp;creator=factset&amp;DYN_ARGS=TRUE&amp;DOC_NAME=FAT:FQL_AUDITING_CLIENT_TEMPLATE.FAT&amp;display_string=Audit&amp;VAR:KEY=CNGRALYNED&amp;VAR:QUERY=Q1NGX0VCSVRfT1BFUihBTk4sOS8zMC84MCw5LzMwLzIwMDkp&amp;WINDOW=FIRST_POPUP&amp;HEIGHT=450&amp;WIDTH=","450&amp;START_MAXIMIZED=FALSE&amp;VAR:CALENDAR=US&amp;VAR:SYMBOL=MON&amp;VAR:INDEX=5"}</definedName>
    <definedName name="_505__FDSAUDITLINK__" hidden="1">{"fdsup://directions/FAT Viewer?action=UPDATE&amp;creator=factset&amp;DYN_ARGS=TRUE&amp;DOC_NAME=FAT:FQL_AUDITING_CLIENT_TEMPLATE.FAT&amp;display_string=Audit&amp;VAR:KEY=CNGRALYNED&amp;VAR:QUERY=Q1NGX0VCSVRfT1BFUihBTk4sOS8zMC84MCw5LzMwLzIwMDkp&amp;WINDOW=FIRST_POPUP&amp;HEIGHT=450&amp;WIDTH=","450&amp;START_MAXIMIZED=FALSE&amp;VAR:CALENDAR=US&amp;VAR:SYMBOL=MON&amp;VAR:INDEX=4"}</definedName>
    <definedName name="_506__FDSAUDITLINK__" hidden="1">{"fdsup://directions/FAT Viewer?action=UPDATE&amp;creator=factset&amp;DYN_ARGS=TRUE&amp;DOC_NAME=FAT:FQL_AUDITING_CLIENT_TEMPLATE.FAT&amp;display_string=Audit&amp;VAR:KEY=CNGRALYNED&amp;VAR:QUERY=Q1NGX0VCSVRfT1BFUihBTk4sOS8zMC84MCw5LzMwLzIwMDkp&amp;WINDOW=FIRST_POPUP&amp;HEIGHT=450&amp;WIDTH=","450&amp;START_MAXIMIZED=FALSE&amp;VAR:CALENDAR=US&amp;VAR:SYMBOL=MON&amp;VAR:INDEX=3"}</definedName>
    <definedName name="_507__FDSAUDITLINK__" hidden="1">{"fdsup://directions/FAT Viewer?action=UPDATE&amp;creator=factset&amp;DYN_ARGS=TRUE&amp;DOC_NAME=FAT:FQL_AUDITING_CLIENT_TEMPLATE.FAT&amp;display_string=Audit&amp;VAR:KEY=CNGRALYNED&amp;VAR:QUERY=Q1NGX0VCSVRfT1BFUihBTk4sOS8zMC84MCw5LzMwLzIwMDkp&amp;WINDOW=FIRST_POPUP&amp;HEIGHT=450&amp;WIDTH=","450&amp;START_MAXIMIZED=FALSE&amp;VAR:CALENDAR=US&amp;VAR:SYMBOL=MON&amp;VAR:INDEX=2"}</definedName>
    <definedName name="_508__FDSAUDITLINK__" hidden="1">{"fdsup://directions/FAT Viewer?action=UPDATE&amp;creator=factset&amp;DYN_ARGS=TRUE&amp;DOC_NAME=FAT:FQL_AUDITING_CLIENT_TEMPLATE.FAT&amp;display_string=Audit&amp;VAR:KEY=CNGRALYNED&amp;VAR:QUERY=Q1NGX0VCSVRfT1BFUihBTk4sOS8zMC84MCw5LzMwLzIwMDkp&amp;WINDOW=FIRST_POPUP&amp;HEIGHT=450&amp;WIDTH=","450&amp;START_MAXIMIZED=FALSE&amp;VAR:CALENDAR=US&amp;VAR:SYMBOL=MON&amp;VAR:INDEX=1"}</definedName>
    <definedName name="_509__FDSAUDITLINK__" hidden="1">{"fdsup://directions/FAT Viewer?action=UPDATE&amp;creator=factset&amp;DYN_ARGS=TRUE&amp;DOC_NAME=FAT:FQL_AUDITING_CLIENT_TEMPLATE.FAT&amp;display_string=Audit&amp;VAR:KEY=CNGRALYNED&amp;VAR:QUERY=Q1NGX0VCSVRfT1BFUihBTk4sOS8zMC84MCw5LzMwLzIwMDkp&amp;WINDOW=FIRST_POPUP&amp;HEIGHT=450&amp;WIDTH=","450&amp;START_MAXIMIZED=FALSE&amp;VAR:CALENDAR=US&amp;VAR:SYMBOL=MON&amp;VAR:INDEX=0"}</definedName>
    <definedName name="_51__FDSAUDITLINK__" hidden="1">{"fdsup://directions/FAT Viewer?action=UPDATE&amp;creator=factset&amp;DYN_ARGS=TRUE&amp;DOC_NAME=FAT:FQL_AUDITING_CLIENT_TEMPLATE.FAT&amp;display_string=Audit&amp;VAR:KEY=CLYBOTEPEN&amp;VAR:QUERY=Q1NGX0dST1NTX0lOQyhRVFJfUiwtM0FZLDAsRlEp&amp;WINDOW=FIRST_POPUP&amp;HEIGHT=450&amp;WIDTH=450&amp;STAR","T_MAXIMIZED=FALSE&amp;VAR:CALENDAR=US&amp;VAR:SYMBOL=DOW&amp;VAR:INDEX=1"}</definedName>
    <definedName name="_510__FDSAUDITLINK__" hidden="1">{"fdsup://directions/FAT Viewer?action=UPDATE&amp;creator=factset&amp;DYN_ARGS=TRUE&amp;DOC_NAME=FAT:FQL_AUDITING_CLIENT_TEMPLATE.FAT&amp;display_string=Audit&amp;VAR:KEY=GPUJYZYJAR&amp;VAR:QUERY=Q1NGX0VCSVRfT1BFUihBTk4sMTIvMzEvODAsMCk=&amp;WINDOW=FIRST_POPUP&amp;HEIGHT=450&amp;WIDTH=450&amp;STAR","T_MAXIMIZED=FALSE&amp;VAR:CALENDAR=US&amp;VAR:SYMBOL=LYO&amp;VAR:INDEX=26"}</definedName>
    <definedName name="_511__FDSAUDITLINK__" hidden="1">{"fdsup://directions/FAT Viewer?action=UPDATE&amp;creator=factset&amp;DYN_ARGS=TRUE&amp;DOC_NAME=FAT:FQL_AUDITING_CLIENT_TEMPLATE.FAT&amp;display_string=Audit&amp;VAR:KEY=GPUJYZYJAR&amp;VAR:QUERY=Q1NGX0VCSVRfT1BFUihBTk4sMTIvMzEvODAsMCk=&amp;WINDOW=FIRST_POPUP&amp;HEIGHT=450&amp;WIDTH=450&amp;STAR","T_MAXIMIZED=FALSE&amp;VAR:CALENDAR=US&amp;VAR:SYMBOL=LYO&amp;VAR:INDEX=25"}</definedName>
    <definedName name="_512__FDSAUDITLINK__" hidden="1">{"fdsup://directions/FAT Viewer?action=UPDATE&amp;creator=factset&amp;DYN_ARGS=TRUE&amp;DOC_NAME=FAT:FQL_AUDITING_CLIENT_TEMPLATE.FAT&amp;display_string=Audit&amp;VAR:KEY=GPUJYZYJAR&amp;VAR:QUERY=Q1NGX0VCSVRfT1BFUihBTk4sMTIvMzEvODAsMCk=&amp;WINDOW=FIRST_POPUP&amp;HEIGHT=450&amp;WIDTH=450&amp;STAR","T_MAXIMIZED=FALSE&amp;VAR:CALENDAR=US&amp;VAR:SYMBOL=LYO&amp;VAR:INDEX=24"}</definedName>
    <definedName name="_513__FDSAUDITLINK__" hidden="1">{"fdsup://directions/FAT Viewer?action=UPDATE&amp;creator=factset&amp;DYN_ARGS=TRUE&amp;DOC_NAME=FAT:FQL_AUDITING_CLIENT_TEMPLATE.FAT&amp;display_string=Audit&amp;VAR:KEY=GPUJYZYJAR&amp;VAR:QUERY=Q1NGX0VCSVRfT1BFUihBTk4sMTIvMzEvODAsMCk=&amp;WINDOW=FIRST_POPUP&amp;HEIGHT=450&amp;WIDTH=450&amp;STAR","T_MAXIMIZED=FALSE&amp;VAR:CALENDAR=US&amp;VAR:SYMBOL=LYO&amp;VAR:INDEX=23"}</definedName>
    <definedName name="_514__FDSAUDITLINK__" hidden="1">{"fdsup://directions/FAT Viewer?action=UPDATE&amp;creator=factset&amp;DYN_ARGS=TRUE&amp;DOC_NAME=FAT:FQL_AUDITING_CLIENT_TEMPLATE.FAT&amp;display_string=Audit&amp;VAR:KEY=GPUJYZYJAR&amp;VAR:QUERY=Q1NGX0VCSVRfT1BFUihBTk4sMTIvMzEvODAsMCk=&amp;WINDOW=FIRST_POPUP&amp;HEIGHT=450&amp;WIDTH=450&amp;STAR","T_MAXIMIZED=FALSE&amp;VAR:CALENDAR=US&amp;VAR:SYMBOL=LYO&amp;VAR:INDEX=22"}</definedName>
    <definedName name="_515__FDSAUDITLINK__" hidden="1">{"fdsup://directions/FAT Viewer?action=UPDATE&amp;creator=factset&amp;DYN_ARGS=TRUE&amp;DOC_NAME=FAT:FQL_AUDITING_CLIENT_TEMPLATE.FAT&amp;display_string=Audit&amp;VAR:KEY=GPUJYZYJAR&amp;VAR:QUERY=Q1NGX0VCSVRfT1BFUihBTk4sMTIvMzEvODAsMCk=&amp;WINDOW=FIRST_POPUP&amp;HEIGHT=450&amp;WIDTH=450&amp;STAR","T_MAXIMIZED=FALSE&amp;VAR:CALENDAR=US&amp;VAR:SYMBOL=LYO&amp;VAR:INDEX=21"}</definedName>
    <definedName name="_516__FDSAUDITLINK__" hidden="1">{"fdsup://directions/FAT Viewer?action=UPDATE&amp;creator=factset&amp;DYN_ARGS=TRUE&amp;DOC_NAME=FAT:FQL_AUDITING_CLIENT_TEMPLATE.FAT&amp;display_string=Audit&amp;VAR:KEY=GPUJYZYJAR&amp;VAR:QUERY=Q1NGX0VCSVRfT1BFUihBTk4sMTIvMzEvODAsMCk=&amp;WINDOW=FIRST_POPUP&amp;HEIGHT=450&amp;WIDTH=450&amp;STAR","T_MAXIMIZED=FALSE&amp;VAR:CALENDAR=US&amp;VAR:SYMBOL=LYO&amp;VAR:INDEX=20"}</definedName>
    <definedName name="_517__FDSAUDITLINK__" hidden="1">{"fdsup://directions/FAT Viewer?action=UPDATE&amp;creator=factset&amp;DYN_ARGS=TRUE&amp;DOC_NAME=FAT:FQL_AUDITING_CLIENT_TEMPLATE.FAT&amp;display_string=Audit&amp;VAR:KEY=GPUJYZYJAR&amp;VAR:QUERY=Q1NGX0VCSVRfT1BFUihBTk4sMTIvMzEvODAsMCk=&amp;WINDOW=FIRST_POPUP&amp;HEIGHT=450&amp;WIDTH=450&amp;STAR","T_MAXIMIZED=FALSE&amp;VAR:CALENDAR=US&amp;VAR:SYMBOL=LYO&amp;VAR:INDEX=19"}</definedName>
    <definedName name="_518__FDSAUDITLINK__" hidden="1">{"fdsup://directions/FAT Viewer?action=UPDATE&amp;creator=factset&amp;DYN_ARGS=TRUE&amp;DOC_NAME=FAT:FQL_AUDITING_CLIENT_TEMPLATE.FAT&amp;display_string=Audit&amp;VAR:KEY=GPUJYZYJAR&amp;VAR:QUERY=Q1NGX0VCSVRfT1BFUihBTk4sMTIvMzEvODAsMCk=&amp;WINDOW=FIRST_POPUP&amp;HEIGHT=450&amp;WIDTH=450&amp;STAR","T_MAXIMIZED=FALSE&amp;VAR:CALENDAR=US&amp;VAR:SYMBOL=LYO&amp;VAR:INDEX=18"}</definedName>
    <definedName name="_519__FDSAUDITLINK__" hidden="1">{"fdsup://directions/FAT Viewer?action=UPDATE&amp;creator=factset&amp;DYN_ARGS=TRUE&amp;DOC_NAME=FAT:FQL_AUDITING_CLIENT_TEMPLATE.FAT&amp;display_string=Audit&amp;VAR:KEY=GPUJYZYJAR&amp;VAR:QUERY=Q1NGX0VCSVRfT1BFUihBTk4sMTIvMzEvODAsMCk=&amp;WINDOW=FIRST_POPUP&amp;HEIGHT=450&amp;WIDTH=450&amp;STAR","T_MAXIMIZED=FALSE&amp;VAR:CALENDAR=US&amp;VAR:SYMBOL=LYO&amp;VAR:INDEX=17"}</definedName>
    <definedName name="_52__FDSAUDITLINK__" hidden="1">{"fdsup://directions/FAT Viewer?action=UPDATE&amp;creator=factset&amp;DYN_ARGS=TRUE&amp;DOC_NAME=FAT:FQL_AUDITING_CLIENT_TEMPLATE.FAT&amp;display_string=Audit&amp;VAR:KEY=CLYBOTEPEN&amp;VAR:QUERY=Q1NGX0dST1NTX0lOQyhRVFJfUiwtM0FZLDAsRlEp&amp;WINDOW=FIRST_POPUP&amp;HEIGHT=450&amp;WIDTH=450&amp;STAR","T_MAXIMIZED=FALSE&amp;VAR:CALENDAR=US&amp;VAR:SYMBOL=DOW&amp;VAR:INDEX=0"}</definedName>
    <definedName name="_520__FDSAUDITLINK__" hidden="1">{"fdsup://directions/FAT Viewer?action=UPDATE&amp;creator=factset&amp;DYN_ARGS=TRUE&amp;DOC_NAME=FAT:FQL_AUDITING_CLIENT_TEMPLATE.FAT&amp;display_string=Audit&amp;VAR:KEY=GPUJYZYJAR&amp;VAR:QUERY=Q1NGX0VCSVRfT1BFUihBTk4sMTIvMzEvODAsMCk=&amp;WINDOW=FIRST_POPUP&amp;HEIGHT=450&amp;WIDTH=450&amp;STAR","T_MAXIMIZED=FALSE&amp;VAR:CALENDAR=US&amp;VAR:SYMBOL=LYO&amp;VAR:INDEX=16"}</definedName>
    <definedName name="_521__FDSAUDITLINK__" hidden="1">{"fdsup://directions/FAT Viewer?action=UPDATE&amp;creator=factset&amp;DYN_ARGS=TRUE&amp;DOC_NAME=FAT:FQL_AUDITING_CLIENT_TEMPLATE.FAT&amp;display_string=Audit&amp;VAR:KEY=GPUJYZYJAR&amp;VAR:QUERY=Q1NGX0VCSVRfT1BFUihBTk4sMTIvMzEvODAsMCk=&amp;WINDOW=FIRST_POPUP&amp;HEIGHT=450&amp;WIDTH=450&amp;STAR","T_MAXIMIZED=FALSE&amp;VAR:CALENDAR=US&amp;VAR:SYMBOL=LYO&amp;VAR:INDEX=15"}</definedName>
    <definedName name="_522__FDSAUDITLINK__" hidden="1">{"fdsup://directions/FAT Viewer?action=UPDATE&amp;creator=factset&amp;DYN_ARGS=TRUE&amp;DOC_NAME=FAT:FQL_AUDITING_CLIENT_TEMPLATE.FAT&amp;display_string=Audit&amp;VAR:KEY=GPUJYZYJAR&amp;VAR:QUERY=Q1NGX0VCSVRfT1BFUihBTk4sMTIvMzEvODAsMCk=&amp;WINDOW=FIRST_POPUP&amp;HEIGHT=450&amp;WIDTH=450&amp;STAR","T_MAXIMIZED=FALSE&amp;VAR:CALENDAR=US&amp;VAR:SYMBOL=LYO&amp;VAR:INDEX=14"}</definedName>
    <definedName name="_523__FDSAUDITLINK__" hidden="1">{"fdsup://directions/FAT Viewer?action=UPDATE&amp;creator=factset&amp;DYN_ARGS=TRUE&amp;DOC_NAME=FAT:FQL_AUDITING_CLIENT_TEMPLATE.FAT&amp;display_string=Audit&amp;VAR:KEY=GPUJYZYJAR&amp;VAR:QUERY=Q1NGX0VCSVRfT1BFUihBTk4sMTIvMzEvODAsMCk=&amp;WINDOW=FIRST_POPUP&amp;HEIGHT=450&amp;WIDTH=450&amp;STAR","T_MAXIMIZED=FALSE&amp;VAR:CALENDAR=US&amp;VAR:SYMBOL=LYO&amp;VAR:INDEX=13"}</definedName>
    <definedName name="_524__FDSAUDITLINK__" hidden="1">{"fdsup://directions/FAT Viewer?action=UPDATE&amp;creator=factset&amp;DYN_ARGS=TRUE&amp;DOC_NAME=FAT:FQL_AUDITING_CLIENT_TEMPLATE.FAT&amp;display_string=Audit&amp;VAR:KEY=GPUJYZYJAR&amp;VAR:QUERY=Q1NGX0VCSVRfT1BFUihBTk4sMTIvMzEvODAsMCk=&amp;WINDOW=FIRST_POPUP&amp;HEIGHT=450&amp;WIDTH=450&amp;STAR","T_MAXIMIZED=FALSE&amp;VAR:CALENDAR=US&amp;VAR:SYMBOL=LYO&amp;VAR:INDEX=12"}</definedName>
    <definedName name="_525__FDSAUDITLINK__" hidden="1">{"fdsup://directions/FAT Viewer?action=UPDATE&amp;creator=factset&amp;DYN_ARGS=TRUE&amp;DOC_NAME=FAT:FQL_AUDITING_CLIENT_TEMPLATE.FAT&amp;display_string=Audit&amp;VAR:KEY=GPUJYZYJAR&amp;VAR:QUERY=Q1NGX0VCSVRfT1BFUihBTk4sMTIvMzEvODAsMCk=&amp;WINDOW=FIRST_POPUP&amp;HEIGHT=450&amp;WIDTH=450&amp;STAR","T_MAXIMIZED=FALSE&amp;VAR:CALENDAR=US&amp;VAR:SYMBOL=LYO&amp;VAR:INDEX=11"}</definedName>
    <definedName name="_526__FDSAUDITLINK__" hidden="1">{"fdsup://directions/FAT Viewer?action=UPDATE&amp;creator=factset&amp;DYN_ARGS=TRUE&amp;DOC_NAME=FAT:FQL_AUDITING_CLIENT_TEMPLATE.FAT&amp;display_string=Audit&amp;VAR:KEY=GPUJYZYJAR&amp;VAR:QUERY=Q1NGX0VCSVRfT1BFUihBTk4sMTIvMzEvODAsMCk=&amp;WINDOW=FIRST_POPUP&amp;HEIGHT=450&amp;WIDTH=450&amp;STAR","T_MAXIMIZED=FALSE&amp;VAR:CALENDAR=US&amp;VAR:SYMBOL=LYO&amp;VAR:INDEX=10"}</definedName>
    <definedName name="_527__FDSAUDITLINK__" hidden="1">{"fdsup://directions/FAT Viewer?action=UPDATE&amp;creator=factset&amp;DYN_ARGS=TRUE&amp;DOC_NAME=FAT:FQL_AUDITING_CLIENT_TEMPLATE.FAT&amp;display_string=Audit&amp;VAR:KEY=GPUJYZYJAR&amp;VAR:QUERY=Q1NGX0VCSVRfT1BFUihBTk4sMTIvMzEvODAsMCk=&amp;WINDOW=FIRST_POPUP&amp;HEIGHT=450&amp;WIDTH=450&amp;STAR","T_MAXIMIZED=FALSE&amp;VAR:CALENDAR=US&amp;VAR:SYMBOL=LYO&amp;VAR:INDEX=9"}</definedName>
    <definedName name="_528__FDSAUDITLINK__" hidden="1">{"fdsup://directions/FAT Viewer?action=UPDATE&amp;creator=factset&amp;DYN_ARGS=TRUE&amp;DOC_NAME=FAT:FQL_AUDITING_CLIENT_TEMPLATE.FAT&amp;display_string=Audit&amp;VAR:KEY=GPUJYZYJAR&amp;VAR:QUERY=Q1NGX0VCSVRfT1BFUihBTk4sMTIvMzEvODAsMCk=&amp;WINDOW=FIRST_POPUP&amp;HEIGHT=450&amp;WIDTH=450&amp;STAR","T_MAXIMIZED=FALSE&amp;VAR:CALENDAR=US&amp;VAR:SYMBOL=LYO&amp;VAR:INDEX=8"}</definedName>
    <definedName name="_529__FDSAUDITLINK__" hidden="1">{"fdsup://directions/FAT Viewer?action=UPDATE&amp;creator=factset&amp;DYN_ARGS=TRUE&amp;DOC_NAME=FAT:FQL_AUDITING_CLIENT_TEMPLATE.FAT&amp;display_string=Audit&amp;VAR:KEY=GPUJYZYJAR&amp;VAR:QUERY=Q1NGX0VCSVRfT1BFUihBTk4sMTIvMzEvODAsMCk=&amp;WINDOW=FIRST_POPUP&amp;HEIGHT=450&amp;WIDTH=450&amp;STAR","T_MAXIMIZED=FALSE&amp;VAR:CALENDAR=US&amp;VAR:SYMBOL=LYO&amp;VAR:INDEX=7"}</definedName>
    <definedName name="_53__FDSAUDITLINK__" hidden="1">{"fdsup://directions/FAT Viewer?action=UPDATE&amp;creator=factset&amp;DYN_ARGS=TRUE&amp;DOC_NAME=FAT:FQL_AUDITING_CLIENT_TEMPLATE.FAT&amp;display_string=Audit&amp;VAR:KEY=GZGPKVWBQR&amp;VAR:QUERY=Q1NGX0dST1NTX0lOQyhRVFJfUiwtM0FZLDAsRlEp&amp;WINDOW=FIRST_POPUP&amp;HEIGHT=450&amp;WIDTH=450&amp;STAR","T_MAXIMIZED=FALSE&amp;VAR:CALENDAR=US&amp;VAR:SYMBOL=DD&amp;VAR:INDEX=12"}</definedName>
    <definedName name="_530__FDSAUDITLINK__" hidden="1">{"fdsup://directions/FAT Viewer?action=UPDATE&amp;creator=factset&amp;DYN_ARGS=TRUE&amp;DOC_NAME=FAT:FQL_AUDITING_CLIENT_TEMPLATE.FAT&amp;display_string=Audit&amp;VAR:KEY=GPUJYZYJAR&amp;VAR:QUERY=Q1NGX0VCSVRfT1BFUihBTk4sMTIvMzEvODAsMCk=&amp;WINDOW=FIRST_POPUP&amp;HEIGHT=450&amp;WIDTH=450&amp;STAR","T_MAXIMIZED=FALSE&amp;VAR:CALENDAR=US&amp;VAR:SYMBOL=LYO&amp;VAR:INDEX=6"}</definedName>
    <definedName name="_531__FDSAUDITLINK__" hidden="1">{"fdsup://directions/FAT Viewer?action=UPDATE&amp;creator=factset&amp;DYN_ARGS=TRUE&amp;DOC_NAME=FAT:FQL_AUDITING_CLIENT_TEMPLATE.FAT&amp;display_string=Audit&amp;VAR:KEY=GPUJYZYJAR&amp;VAR:QUERY=Q1NGX0VCSVRfT1BFUihBTk4sMTIvMzEvODAsMCk=&amp;WINDOW=FIRST_POPUP&amp;HEIGHT=450&amp;WIDTH=450&amp;STAR","T_MAXIMIZED=FALSE&amp;VAR:CALENDAR=US&amp;VAR:SYMBOL=LYO&amp;VAR:INDEX=5"}</definedName>
    <definedName name="_532__FDSAUDITLINK__" hidden="1">{"fdsup://directions/FAT Viewer?action=UPDATE&amp;creator=factset&amp;DYN_ARGS=TRUE&amp;DOC_NAME=FAT:FQL_AUDITING_CLIENT_TEMPLATE.FAT&amp;display_string=Audit&amp;VAR:KEY=GPUJYZYJAR&amp;VAR:QUERY=Q1NGX0VCSVRfT1BFUihBTk4sMTIvMzEvODAsMCk=&amp;WINDOW=FIRST_POPUP&amp;HEIGHT=450&amp;WIDTH=450&amp;STAR","T_MAXIMIZED=FALSE&amp;VAR:CALENDAR=US&amp;VAR:SYMBOL=LYO&amp;VAR:INDEX=4"}</definedName>
    <definedName name="_533__FDSAUDITLINK__" hidden="1">{"fdsup://directions/FAT Viewer?action=UPDATE&amp;creator=factset&amp;DYN_ARGS=TRUE&amp;DOC_NAME=FAT:FQL_AUDITING_CLIENT_TEMPLATE.FAT&amp;display_string=Audit&amp;VAR:KEY=GPUJYZYJAR&amp;VAR:QUERY=Q1NGX0VCSVRfT1BFUihBTk4sMTIvMzEvODAsMCk=&amp;WINDOW=FIRST_POPUP&amp;HEIGHT=450&amp;WIDTH=450&amp;STAR","T_MAXIMIZED=FALSE&amp;VAR:CALENDAR=US&amp;VAR:SYMBOL=LYO&amp;VAR:INDEX=3"}</definedName>
    <definedName name="_534__FDSAUDITLINK__" hidden="1">{"fdsup://directions/FAT Viewer?action=UPDATE&amp;creator=factset&amp;DYN_ARGS=TRUE&amp;DOC_NAME=FAT:FQL_AUDITING_CLIENT_TEMPLATE.FAT&amp;display_string=Audit&amp;VAR:KEY=GPUJYZYJAR&amp;VAR:QUERY=Q1NGX0VCSVRfT1BFUihBTk4sMTIvMzEvODAsMCk=&amp;WINDOW=FIRST_POPUP&amp;HEIGHT=450&amp;WIDTH=450&amp;STAR","T_MAXIMIZED=FALSE&amp;VAR:CALENDAR=US&amp;VAR:SYMBOL=LYO&amp;VAR:INDEX=2"}</definedName>
    <definedName name="_535__FDSAUDITLINK__" hidden="1">{"fdsup://directions/FAT Viewer?action=UPDATE&amp;creator=factset&amp;DYN_ARGS=TRUE&amp;DOC_NAME=FAT:FQL_AUDITING_CLIENT_TEMPLATE.FAT&amp;display_string=Audit&amp;VAR:KEY=GPUJYZYJAR&amp;VAR:QUERY=Q1NGX0VCSVRfT1BFUihBTk4sMTIvMzEvODAsMCk=&amp;WINDOW=FIRST_POPUP&amp;HEIGHT=450&amp;WIDTH=450&amp;STAR","T_MAXIMIZED=FALSE&amp;VAR:CALENDAR=US&amp;VAR:SYMBOL=LYO&amp;VAR:INDEX=1"}</definedName>
    <definedName name="_536__FDSAUDITLINK__" hidden="1">{"fdsup://directions/FAT Viewer?action=UPDATE&amp;creator=factset&amp;DYN_ARGS=TRUE&amp;DOC_NAME=FAT:FQL_AUDITING_CLIENT_TEMPLATE.FAT&amp;display_string=Audit&amp;VAR:KEY=GPUJYZYJAR&amp;VAR:QUERY=Q1NGX0VCSVRfT1BFUihBTk4sMTIvMzEvODAsMCk=&amp;WINDOW=FIRST_POPUP&amp;HEIGHT=450&amp;WIDTH=450&amp;STAR","T_MAXIMIZED=FALSE&amp;VAR:CALENDAR=US&amp;VAR:SYMBOL=LYO&amp;VAR:INDEX=0"}</definedName>
    <definedName name="_537__FDSAUDITLINK__" hidden="1">{"fdsup://directions/FAT Viewer?action=UPDATE&amp;creator=factset&amp;DYN_ARGS=TRUE&amp;DOC_NAME=FAT:FQL_AUDITING_CLIENT_TEMPLATE.FAT&amp;display_string=Audit&amp;VAR:KEY=OTKRCDYTEJ&amp;VAR:QUERY=Q1NGX0VCSVRfT1BFUihMVE1fUiwwKQ==&amp;WINDOW=FIRST_POPUP&amp;HEIGHT=450&amp;WIDTH=450&amp;START_MAXIMI","ZED=FALSE&amp;VAR:CALENDAR=US&amp;VAR:SYMBOL=LZ&amp;VAR:INDEX=0"}</definedName>
    <definedName name="_538__FDSAUDITLINK__" hidden="1">{"fdsup://directions/FAT Viewer?action=UPDATE&amp;creator=factset&amp;DYN_ARGS=TRUE&amp;DOC_NAME=FAT:FQL_AUDITING_CLIENT_TEMPLATE.FAT&amp;display_string=Audit&amp;VAR:KEY=WLCXIVWRMF&amp;VAR:QUERY=Q1NGX0VCSVRfT1BFUihBTk4sMTIvMzEvODAsMCk=&amp;WINDOW=FIRST_POPUP&amp;HEIGHT=450&amp;WIDTH=450&amp;STAR","T_MAXIMIZED=FALSE&amp;VAR:CALENDAR=US&amp;VAR:SYMBOL=LZ&amp;VAR:INDEX=29"}</definedName>
    <definedName name="_539__FDSAUDITLINK__" hidden="1">{"fdsup://directions/FAT Viewer?action=UPDATE&amp;creator=factset&amp;DYN_ARGS=TRUE&amp;DOC_NAME=FAT:FQL_AUDITING_CLIENT_TEMPLATE.FAT&amp;display_string=Audit&amp;VAR:KEY=WLCXIVWRMF&amp;VAR:QUERY=Q1NGX0VCSVRfT1BFUihBTk4sMTIvMzEvODAsMCk=&amp;WINDOW=FIRST_POPUP&amp;HEIGHT=450&amp;WIDTH=450&amp;STAR","T_MAXIMIZED=FALSE&amp;VAR:CALENDAR=US&amp;VAR:SYMBOL=LZ&amp;VAR:INDEX=28"}</definedName>
    <definedName name="_54__FDSAUDITLINK__" hidden="1">{"fdsup://directions/FAT Viewer?action=UPDATE&amp;creator=factset&amp;DYN_ARGS=TRUE&amp;DOC_NAME=FAT:FQL_AUDITING_CLIENT_TEMPLATE.FAT&amp;display_string=Audit&amp;VAR:KEY=GZGPKVWBQR&amp;VAR:QUERY=Q1NGX0dST1NTX0lOQyhRVFJfUiwtM0FZLDAsRlEp&amp;WINDOW=FIRST_POPUP&amp;HEIGHT=450&amp;WIDTH=450&amp;STAR","T_MAXIMIZED=FALSE&amp;VAR:CALENDAR=US&amp;VAR:SYMBOL=DD&amp;VAR:INDEX=11"}</definedName>
    <definedName name="_540__FDSAUDITLINK__" hidden="1">{"fdsup://directions/FAT Viewer?action=UPDATE&amp;creator=factset&amp;DYN_ARGS=TRUE&amp;DOC_NAME=FAT:FQL_AUDITING_CLIENT_TEMPLATE.FAT&amp;display_string=Audit&amp;VAR:KEY=WLCXIVWRMF&amp;VAR:QUERY=Q1NGX0VCSVRfT1BFUihBTk4sMTIvMzEvODAsMCk=&amp;WINDOW=FIRST_POPUP&amp;HEIGHT=450&amp;WIDTH=450&amp;STAR","T_MAXIMIZED=FALSE&amp;VAR:CALENDAR=US&amp;VAR:SYMBOL=LZ&amp;VAR:INDEX=27"}</definedName>
    <definedName name="_541__FDSAUDITLINK__" hidden="1">{"fdsup://directions/FAT Viewer?action=UPDATE&amp;creator=factset&amp;DYN_ARGS=TRUE&amp;DOC_NAME=FAT:FQL_AUDITING_CLIENT_TEMPLATE.FAT&amp;display_string=Audit&amp;VAR:KEY=WLCXIVWRMF&amp;VAR:QUERY=Q1NGX0VCSVRfT1BFUihBTk4sMTIvMzEvODAsMCk=&amp;WINDOW=FIRST_POPUP&amp;HEIGHT=450&amp;WIDTH=450&amp;STAR","T_MAXIMIZED=FALSE&amp;VAR:CALENDAR=US&amp;VAR:SYMBOL=LZ&amp;VAR:INDEX=26"}</definedName>
    <definedName name="_542__FDSAUDITLINK__" hidden="1">{"fdsup://directions/FAT Viewer?action=UPDATE&amp;creator=factset&amp;DYN_ARGS=TRUE&amp;DOC_NAME=FAT:FQL_AUDITING_CLIENT_TEMPLATE.FAT&amp;display_string=Audit&amp;VAR:KEY=WLCXIVWRMF&amp;VAR:QUERY=Q1NGX0VCSVRfT1BFUihBTk4sMTIvMzEvODAsMCk=&amp;WINDOW=FIRST_POPUP&amp;HEIGHT=450&amp;WIDTH=450&amp;STAR","T_MAXIMIZED=FALSE&amp;VAR:CALENDAR=US&amp;VAR:SYMBOL=LZ&amp;VAR:INDEX=25"}</definedName>
    <definedName name="_543__FDSAUDITLINK__" hidden="1">{"fdsup://directions/FAT Viewer?action=UPDATE&amp;creator=factset&amp;DYN_ARGS=TRUE&amp;DOC_NAME=FAT:FQL_AUDITING_CLIENT_TEMPLATE.FAT&amp;display_string=Audit&amp;VAR:KEY=WLCXIVWRMF&amp;VAR:QUERY=Q1NGX0VCSVRfT1BFUihBTk4sMTIvMzEvODAsMCk=&amp;WINDOW=FIRST_POPUP&amp;HEIGHT=450&amp;WIDTH=450&amp;STAR","T_MAXIMIZED=FALSE&amp;VAR:CALENDAR=US&amp;VAR:SYMBOL=LZ&amp;VAR:INDEX=24"}</definedName>
    <definedName name="_544__FDSAUDITLINK__" hidden="1">{"fdsup://directions/FAT Viewer?action=UPDATE&amp;creator=factset&amp;DYN_ARGS=TRUE&amp;DOC_NAME=FAT:FQL_AUDITING_CLIENT_TEMPLATE.FAT&amp;display_string=Audit&amp;VAR:KEY=WLCXIVWRMF&amp;VAR:QUERY=Q1NGX0VCSVRfT1BFUihBTk4sMTIvMzEvODAsMCk=&amp;WINDOW=FIRST_POPUP&amp;HEIGHT=450&amp;WIDTH=450&amp;STAR","T_MAXIMIZED=FALSE&amp;VAR:CALENDAR=US&amp;VAR:SYMBOL=LZ&amp;VAR:INDEX=23"}</definedName>
    <definedName name="_545__FDSAUDITLINK__" hidden="1">{"fdsup://directions/FAT Viewer?action=UPDATE&amp;creator=factset&amp;DYN_ARGS=TRUE&amp;DOC_NAME=FAT:FQL_AUDITING_CLIENT_TEMPLATE.FAT&amp;display_string=Audit&amp;VAR:KEY=WLCXIVWRMF&amp;VAR:QUERY=Q1NGX0VCSVRfT1BFUihBTk4sMTIvMzEvODAsMCk=&amp;WINDOW=FIRST_POPUP&amp;HEIGHT=450&amp;WIDTH=450&amp;STAR","T_MAXIMIZED=FALSE&amp;VAR:CALENDAR=US&amp;VAR:SYMBOL=LZ&amp;VAR:INDEX=22"}</definedName>
    <definedName name="_546__FDSAUDITLINK__" hidden="1">{"fdsup://directions/FAT Viewer?action=UPDATE&amp;creator=factset&amp;DYN_ARGS=TRUE&amp;DOC_NAME=FAT:FQL_AUDITING_CLIENT_TEMPLATE.FAT&amp;display_string=Audit&amp;VAR:KEY=WLCXIVWRMF&amp;VAR:QUERY=Q1NGX0VCSVRfT1BFUihBTk4sMTIvMzEvODAsMCk=&amp;WINDOW=FIRST_POPUP&amp;HEIGHT=450&amp;WIDTH=450&amp;STAR","T_MAXIMIZED=FALSE&amp;VAR:CALENDAR=US&amp;VAR:SYMBOL=LZ&amp;VAR:INDEX=21"}</definedName>
    <definedName name="_547__FDSAUDITLINK__" hidden="1">{"fdsup://directions/FAT Viewer?action=UPDATE&amp;creator=factset&amp;DYN_ARGS=TRUE&amp;DOC_NAME=FAT:FQL_AUDITING_CLIENT_TEMPLATE.FAT&amp;display_string=Audit&amp;VAR:KEY=WLCXIVWRMF&amp;VAR:QUERY=Q1NGX0VCSVRfT1BFUihBTk4sMTIvMzEvODAsMCk=&amp;WINDOW=FIRST_POPUP&amp;HEIGHT=450&amp;WIDTH=450&amp;STAR","T_MAXIMIZED=FALSE&amp;VAR:CALENDAR=US&amp;VAR:SYMBOL=LZ&amp;VAR:INDEX=20"}</definedName>
    <definedName name="_548__FDSAUDITLINK__" hidden="1">{"fdsup://directions/FAT Viewer?action=UPDATE&amp;creator=factset&amp;DYN_ARGS=TRUE&amp;DOC_NAME=FAT:FQL_AUDITING_CLIENT_TEMPLATE.FAT&amp;display_string=Audit&amp;VAR:KEY=WLCXIVWRMF&amp;VAR:QUERY=Q1NGX0VCSVRfT1BFUihBTk4sMTIvMzEvODAsMCk=&amp;WINDOW=FIRST_POPUP&amp;HEIGHT=450&amp;WIDTH=450&amp;STAR","T_MAXIMIZED=FALSE&amp;VAR:CALENDAR=US&amp;VAR:SYMBOL=LZ&amp;VAR:INDEX=19"}</definedName>
    <definedName name="_549__FDSAUDITLINK__" hidden="1">{"fdsup://directions/FAT Viewer?action=UPDATE&amp;creator=factset&amp;DYN_ARGS=TRUE&amp;DOC_NAME=FAT:FQL_AUDITING_CLIENT_TEMPLATE.FAT&amp;display_string=Audit&amp;VAR:KEY=WLCXIVWRMF&amp;VAR:QUERY=Q1NGX0VCSVRfT1BFUihBTk4sMTIvMzEvODAsMCk=&amp;WINDOW=FIRST_POPUP&amp;HEIGHT=450&amp;WIDTH=450&amp;STAR","T_MAXIMIZED=FALSE&amp;VAR:CALENDAR=US&amp;VAR:SYMBOL=LZ&amp;VAR:INDEX=18"}</definedName>
    <definedName name="_55__FDSAUDITLINK__" hidden="1">{"fdsup://directions/FAT Viewer?action=UPDATE&amp;creator=factset&amp;DYN_ARGS=TRUE&amp;DOC_NAME=FAT:FQL_AUDITING_CLIENT_TEMPLATE.FAT&amp;display_string=Audit&amp;VAR:KEY=GZGPKVWBQR&amp;VAR:QUERY=Q1NGX0dST1NTX0lOQyhRVFJfUiwtM0FZLDAsRlEp&amp;WINDOW=FIRST_POPUP&amp;HEIGHT=450&amp;WIDTH=450&amp;STAR","T_MAXIMIZED=FALSE&amp;VAR:CALENDAR=US&amp;VAR:SYMBOL=DD&amp;VAR:INDEX=10"}</definedName>
    <definedName name="_550__FDSAUDITLINK__" hidden="1">{"fdsup://directions/FAT Viewer?action=UPDATE&amp;creator=factset&amp;DYN_ARGS=TRUE&amp;DOC_NAME=FAT:FQL_AUDITING_CLIENT_TEMPLATE.FAT&amp;display_string=Audit&amp;VAR:KEY=WLCXIVWRMF&amp;VAR:QUERY=Q1NGX0VCSVRfT1BFUihBTk4sMTIvMzEvODAsMCk=&amp;WINDOW=FIRST_POPUP&amp;HEIGHT=450&amp;WIDTH=450&amp;STAR","T_MAXIMIZED=FALSE&amp;VAR:CALENDAR=US&amp;VAR:SYMBOL=LZ&amp;VAR:INDEX=17"}</definedName>
    <definedName name="_551__FDSAUDITLINK__" hidden="1">{"fdsup://directions/FAT Viewer?action=UPDATE&amp;creator=factset&amp;DYN_ARGS=TRUE&amp;DOC_NAME=FAT:FQL_AUDITING_CLIENT_TEMPLATE.FAT&amp;display_string=Audit&amp;VAR:KEY=WLCXIVWRMF&amp;VAR:QUERY=Q1NGX0VCSVRfT1BFUihBTk4sMTIvMzEvODAsMCk=&amp;WINDOW=FIRST_POPUP&amp;HEIGHT=450&amp;WIDTH=450&amp;STAR","T_MAXIMIZED=FALSE&amp;VAR:CALENDAR=US&amp;VAR:SYMBOL=LZ&amp;VAR:INDEX=16"}</definedName>
    <definedName name="_552__FDSAUDITLINK__" hidden="1">{"fdsup://directions/FAT Viewer?action=UPDATE&amp;creator=factset&amp;DYN_ARGS=TRUE&amp;DOC_NAME=FAT:FQL_AUDITING_CLIENT_TEMPLATE.FAT&amp;display_string=Audit&amp;VAR:KEY=WLCXIVWRMF&amp;VAR:QUERY=Q1NGX0VCSVRfT1BFUihBTk4sMTIvMzEvODAsMCk=&amp;WINDOW=FIRST_POPUP&amp;HEIGHT=450&amp;WIDTH=450&amp;STAR","T_MAXIMIZED=FALSE&amp;VAR:CALENDAR=US&amp;VAR:SYMBOL=LZ&amp;VAR:INDEX=15"}</definedName>
    <definedName name="_553__FDSAUDITLINK__" hidden="1">{"fdsup://directions/FAT Viewer?action=UPDATE&amp;creator=factset&amp;DYN_ARGS=TRUE&amp;DOC_NAME=FAT:FQL_AUDITING_CLIENT_TEMPLATE.FAT&amp;display_string=Audit&amp;VAR:KEY=WLCXIVWRMF&amp;VAR:QUERY=Q1NGX0VCSVRfT1BFUihBTk4sMTIvMzEvODAsMCk=&amp;WINDOW=FIRST_POPUP&amp;HEIGHT=450&amp;WIDTH=450&amp;STAR","T_MAXIMIZED=FALSE&amp;VAR:CALENDAR=US&amp;VAR:SYMBOL=LZ&amp;VAR:INDEX=14"}</definedName>
    <definedName name="_554__FDSAUDITLINK__" hidden="1">{"fdsup://directions/FAT Viewer?action=UPDATE&amp;creator=factset&amp;DYN_ARGS=TRUE&amp;DOC_NAME=FAT:FQL_AUDITING_CLIENT_TEMPLATE.FAT&amp;display_string=Audit&amp;VAR:KEY=WLCXIVWRMF&amp;VAR:QUERY=Q1NGX0VCSVRfT1BFUihBTk4sMTIvMzEvODAsMCk=&amp;WINDOW=FIRST_POPUP&amp;HEIGHT=450&amp;WIDTH=450&amp;STAR","T_MAXIMIZED=FALSE&amp;VAR:CALENDAR=US&amp;VAR:SYMBOL=LZ&amp;VAR:INDEX=13"}</definedName>
    <definedName name="_555__FDSAUDITLINK__" hidden="1">{"fdsup://directions/FAT Viewer?action=UPDATE&amp;creator=factset&amp;DYN_ARGS=TRUE&amp;DOC_NAME=FAT:FQL_AUDITING_CLIENT_TEMPLATE.FAT&amp;display_string=Audit&amp;VAR:KEY=WLCXIVWRMF&amp;VAR:QUERY=Q1NGX0VCSVRfT1BFUihBTk4sMTIvMzEvODAsMCk=&amp;WINDOW=FIRST_POPUP&amp;HEIGHT=450&amp;WIDTH=450&amp;STAR","T_MAXIMIZED=FALSE&amp;VAR:CALENDAR=US&amp;VAR:SYMBOL=LZ&amp;VAR:INDEX=12"}</definedName>
    <definedName name="_556__FDSAUDITLINK__" hidden="1">{"fdsup://directions/FAT Viewer?action=UPDATE&amp;creator=factset&amp;DYN_ARGS=TRUE&amp;DOC_NAME=FAT:FQL_AUDITING_CLIENT_TEMPLATE.FAT&amp;display_string=Audit&amp;VAR:KEY=WLCXIVWRMF&amp;VAR:QUERY=Q1NGX0VCSVRfT1BFUihBTk4sMTIvMzEvODAsMCk=&amp;WINDOW=FIRST_POPUP&amp;HEIGHT=450&amp;WIDTH=450&amp;STAR","T_MAXIMIZED=FALSE&amp;VAR:CALENDAR=US&amp;VAR:SYMBOL=LZ&amp;VAR:INDEX=11"}</definedName>
    <definedName name="_557__FDSAUDITLINK__" hidden="1">{"fdsup://directions/FAT Viewer?action=UPDATE&amp;creator=factset&amp;DYN_ARGS=TRUE&amp;DOC_NAME=FAT:FQL_AUDITING_CLIENT_TEMPLATE.FAT&amp;display_string=Audit&amp;VAR:KEY=WLCXIVWRMF&amp;VAR:QUERY=Q1NGX0VCSVRfT1BFUihBTk4sMTIvMzEvODAsMCk=&amp;WINDOW=FIRST_POPUP&amp;HEIGHT=450&amp;WIDTH=450&amp;STAR","T_MAXIMIZED=FALSE&amp;VAR:CALENDAR=US&amp;VAR:SYMBOL=LZ&amp;VAR:INDEX=10"}</definedName>
    <definedName name="_558__FDSAUDITLINK__" hidden="1">{"fdsup://directions/FAT Viewer?action=UPDATE&amp;creator=factset&amp;DYN_ARGS=TRUE&amp;DOC_NAME=FAT:FQL_AUDITING_CLIENT_TEMPLATE.FAT&amp;display_string=Audit&amp;VAR:KEY=WLCXIVWRMF&amp;VAR:QUERY=Q1NGX0VCSVRfT1BFUihBTk4sMTIvMzEvODAsMCk=&amp;WINDOW=FIRST_POPUP&amp;HEIGHT=450&amp;WIDTH=450&amp;STAR","T_MAXIMIZED=FALSE&amp;VAR:CALENDAR=US&amp;VAR:SYMBOL=LZ&amp;VAR:INDEX=9"}</definedName>
    <definedName name="_559__FDSAUDITLINK__" hidden="1">{"fdsup://directions/FAT Viewer?action=UPDATE&amp;creator=factset&amp;DYN_ARGS=TRUE&amp;DOC_NAME=FAT:FQL_AUDITING_CLIENT_TEMPLATE.FAT&amp;display_string=Audit&amp;VAR:KEY=WLCXIVWRMF&amp;VAR:QUERY=Q1NGX0VCSVRfT1BFUihBTk4sMTIvMzEvODAsMCk=&amp;WINDOW=FIRST_POPUP&amp;HEIGHT=450&amp;WIDTH=450&amp;STAR","T_MAXIMIZED=FALSE&amp;VAR:CALENDAR=US&amp;VAR:SYMBOL=LZ&amp;VAR:INDEX=8"}</definedName>
    <definedName name="_56__FDSAUDITLINK__" hidden="1">{"fdsup://directions/FAT Viewer?action=UPDATE&amp;creator=factset&amp;DYN_ARGS=TRUE&amp;DOC_NAME=FAT:FQL_AUDITING_CLIENT_TEMPLATE.FAT&amp;display_string=Audit&amp;VAR:KEY=GZGPKVWBQR&amp;VAR:QUERY=Q1NGX0dST1NTX0lOQyhRVFJfUiwtM0FZLDAsRlEp&amp;WINDOW=FIRST_POPUP&amp;HEIGHT=450&amp;WIDTH=450&amp;STAR","T_MAXIMIZED=FALSE&amp;VAR:CALENDAR=US&amp;VAR:SYMBOL=DD&amp;VAR:INDEX=9"}</definedName>
    <definedName name="_560__FDSAUDITLINK__" hidden="1">{"fdsup://directions/FAT Viewer?action=UPDATE&amp;creator=factset&amp;DYN_ARGS=TRUE&amp;DOC_NAME=FAT:FQL_AUDITING_CLIENT_TEMPLATE.FAT&amp;display_string=Audit&amp;VAR:KEY=WLCXIVWRMF&amp;VAR:QUERY=Q1NGX0VCSVRfT1BFUihBTk4sMTIvMzEvODAsMCk=&amp;WINDOW=FIRST_POPUP&amp;HEIGHT=450&amp;WIDTH=450&amp;STAR","T_MAXIMIZED=FALSE&amp;VAR:CALENDAR=US&amp;VAR:SYMBOL=LZ&amp;VAR:INDEX=7"}</definedName>
    <definedName name="_561__FDSAUDITLINK__" hidden="1">{"fdsup://directions/FAT Viewer?action=UPDATE&amp;creator=factset&amp;DYN_ARGS=TRUE&amp;DOC_NAME=FAT:FQL_AUDITING_CLIENT_TEMPLATE.FAT&amp;display_string=Audit&amp;VAR:KEY=WLCXIVWRMF&amp;VAR:QUERY=Q1NGX0VCSVRfT1BFUihBTk4sMTIvMzEvODAsMCk=&amp;WINDOW=FIRST_POPUP&amp;HEIGHT=450&amp;WIDTH=450&amp;STAR","T_MAXIMIZED=FALSE&amp;VAR:CALENDAR=US&amp;VAR:SYMBOL=LZ&amp;VAR:INDEX=6"}</definedName>
    <definedName name="_562__FDSAUDITLINK__" hidden="1">{"fdsup://directions/FAT Viewer?action=UPDATE&amp;creator=factset&amp;DYN_ARGS=TRUE&amp;DOC_NAME=FAT:FQL_AUDITING_CLIENT_TEMPLATE.FAT&amp;display_string=Audit&amp;VAR:KEY=WLCXIVWRMF&amp;VAR:QUERY=Q1NGX0VCSVRfT1BFUihBTk4sMTIvMzEvODAsMCk=&amp;WINDOW=FIRST_POPUP&amp;HEIGHT=450&amp;WIDTH=450&amp;STAR","T_MAXIMIZED=FALSE&amp;VAR:CALENDAR=US&amp;VAR:SYMBOL=LZ&amp;VAR:INDEX=5"}</definedName>
    <definedName name="_563__FDSAUDITLINK__" hidden="1">{"fdsup://directions/FAT Viewer?action=UPDATE&amp;creator=factset&amp;DYN_ARGS=TRUE&amp;DOC_NAME=FAT:FQL_AUDITING_CLIENT_TEMPLATE.FAT&amp;display_string=Audit&amp;VAR:KEY=WLCXIVWRMF&amp;VAR:QUERY=Q1NGX0VCSVRfT1BFUihBTk4sMTIvMzEvODAsMCk=&amp;WINDOW=FIRST_POPUP&amp;HEIGHT=450&amp;WIDTH=450&amp;STAR","T_MAXIMIZED=FALSE&amp;VAR:CALENDAR=US&amp;VAR:SYMBOL=LZ&amp;VAR:INDEX=4"}</definedName>
    <definedName name="_564__FDSAUDITLINK__" hidden="1">{"fdsup://directions/FAT Viewer?action=UPDATE&amp;creator=factset&amp;DYN_ARGS=TRUE&amp;DOC_NAME=FAT:FQL_AUDITING_CLIENT_TEMPLATE.FAT&amp;display_string=Audit&amp;VAR:KEY=WLCXIVWRMF&amp;VAR:QUERY=Q1NGX0VCSVRfT1BFUihBTk4sMTIvMzEvODAsMCk=&amp;WINDOW=FIRST_POPUP&amp;HEIGHT=450&amp;WIDTH=450&amp;STAR","T_MAXIMIZED=FALSE&amp;VAR:CALENDAR=US&amp;VAR:SYMBOL=LZ&amp;VAR:INDEX=3"}</definedName>
    <definedName name="_565__FDSAUDITLINK__" hidden="1">{"fdsup://directions/FAT Viewer?action=UPDATE&amp;creator=factset&amp;DYN_ARGS=TRUE&amp;DOC_NAME=FAT:FQL_AUDITING_CLIENT_TEMPLATE.FAT&amp;display_string=Audit&amp;VAR:KEY=WLCXIVWRMF&amp;VAR:QUERY=Q1NGX0VCSVRfT1BFUihBTk4sMTIvMzEvODAsMCk=&amp;WINDOW=FIRST_POPUP&amp;HEIGHT=450&amp;WIDTH=450&amp;STAR","T_MAXIMIZED=FALSE&amp;VAR:CALENDAR=US&amp;VAR:SYMBOL=LZ&amp;VAR:INDEX=2"}</definedName>
    <definedName name="_566__FDSAUDITLINK__" hidden="1">{"fdsup://directions/FAT Viewer?action=UPDATE&amp;creator=factset&amp;DYN_ARGS=TRUE&amp;DOC_NAME=FAT:FQL_AUDITING_CLIENT_TEMPLATE.FAT&amp;display_string=Audit&amp;VAR:KEY=WLCXIVWRMF&amp;VAR:QUERY=Q1NGX0VCSVRfT1BFUihBTk4sMTIvMzEvODAsMCk=&amp;WINDOW=FIRST_POPUP&amp;HEIGHT=450&amp;WIDTH=450&amp;STAR","T_MAXIMIZED=FALSE&amp;VAR:CALENDAR=US&amp;VAR:SYMBOL=LZ&amp;VAR:INDEX=1"}</definedName>
    <definedName name="_567__FDSAUDITLINK__" hidden="1">{"fdsup://directions/FAT Viewer?action=UPDATE&amp;creator=factset&amp;DYN_ARGS=TRUE&amp;DOC_NAME=FAT:FQL_AUDITING_CLIENT_TEMPLATE.FAT&amp;display_string=Audit&amp;VAR:KEY=WLCXIVWRMF&amp;VAR:QUERY=Q1NGX0VCSVRfT1BFUihBTk4sMTIvMzEvODAsMCk=&amp;WINDOW=FIRST_POPUP&amp;HEIGHT=450&amp;WIDTH=450&amp;STAR","T_MAXIMIZED=FALSE&amp;VAR:CALENDAR=US&amp;VAR:SYMBOL=LZ&amp;VAR:INDEX=0"}</definedName>
    <definedName name="_568__FDSAUDITLINK__" hidden="1">{"fdsup://directions/FAT Viewer?action=UPDATE&amp;creator=factset&amp;DYN_ARGS=TRUE&amp;DOC_NAME=FAT:FQL_AUDITING_CLIENT_TEMPLATE.FAT&amp;display_string=Audit&amp;VAR:KEY=QPIPYNIZSZ&amp;VAR:QUERY=Q1NGX0VCSVRfT1BFUihBTk4sMTIvMzEvODAsMCk=&amp;WINDOW=FIRST_POPUP&amp;HEIGHT=450&amp;WIDTH=450&amp;STAR","T_MAXIMIZED=FALSE&amp;VAR:CALENDAR=US&amp;VAR:SYMBOL=HPC&amp;VAR:INDEX=27"}</definedName>
    <definedName name="_569__FDSAUDITLINK__" hidden="1">{"fdsup://directions/FAT Viewer?action=UPDATE&amp;creator=factset&amp;DYN_ARGS=TRUE&amp;DOC_NAME=FAT:FQL_AUDITING_CLIENT_TEMPLATE.FAT&amp;display_string=Audit&amp;VAR:KEY=QPIPYNIZSZ&amp;VAR:QUERY=Q1NGX0VCSVRfT1BFUihBTk4sMTIvMzEvODAsMCk=&amp;WINDOW=FIRST_POPUP&amp;HEIGHT=450&amp;WIDTH=450&amp;STAR","T_MAXIMIZED=FALSE&amp;VAR:CALENDAR=US&amp;VAR:SYMBOL=HPC&amp;VAR:INDEX=26"}</definedName>
    <definedName name="_57__FDSAUDITLINK__" hidden="1">{"fdsup://directions/FAT Viewer?action=UPDATE&amp;creator=factset&amp;DYN_ARGS=TRUE&amp;DOC_NAME=FAT:FQL_AUDITING_CLIENT_TEMPLATE.FAT&amp;display_string=Audit&amp;VAR:KEY=GZGPKVWBQR&amp;VAR:QUERY=Q1NGX0dST1NTX0lOQyhRVFJfUiwtM0FZLDAsRlEp&amp;WINDOW=FIRST_POPUP&amp;HEIGHT=450&amp;WIDTH=450&amp;STAR","T_MAXIMIZED=FALSE&amp;VAR:CALENDAR=US&amp;VAR:SYMBOL=DD&amp;VAR:INDEX=8"}</definedName>
    <definedName name="_570__FDSAUDITLINK__" hidden="1">{"fdsup://directions/FAT Viewer?action=UPDATE&amp;creator=factset&amp;DYN_ARGS=TRUE&amp;DOC_NAME=FAT:FQL_AUDITING_CLIENT_TEMPLATE.FAT&amp;display_string=Audit&amp;VAR:KEY=QPIPYNIZSZ&amp;VAR:QUERY=Q1NGX0VCSVRfT1BFUihBTk4sMTIvMzEvODAsMCk=&amp;WINDOW=FIRST_POPUP&amp;HEIGHT=450&amp;WIDTH=450&amp;STAR","T_MAXIMIZED=FALSE&amp;VAR:CALENDAR=US&amp;VAR:SYMBOL=HPC&amp;VAR:INDEX=25"}</definedName>
    <definedName name="_571__FDSAUDITLINK__" hidden="1">{"fdsup://directions/FAT Viewer?action=UPDATE&amp;creator=factset&amp;DYN_ARGS=TRUE&amp;DOC_NAME=FAT:FQL_AUDITING_CLIENT_TEMPLATE.FAT&amp;display_string=Audit&amp;VAR:KEY=QPIPYNIZSZ&amp;VAR:QUERY=Q1NGX0VCSVRfT1BFUihBTk4sMTIvMzEvODAsMCk=&amp;WINDOW=FIRST_POPUP&amp;HEIGHT=450&amp;WIDTH=450&amp;STAR","T_MAXIMIZED=FALSE&amp;VAR:CALENDAR=US&amp;VAR:SYMBOL=HPC&amp;VAR:INDEX=24"}</definedName>
    <definedName name="_572__FDSAUDITLINK__" hidden="1">{"fdsup://directions/FAT Viewer?action=UPDATE&amp;creator=factset&amp;DYN_ARGS=TRUE&amp;DOC_NAME=FAT:FQL_AUDITING_CLIENT_TEMPLATE.FAT&amp;display_string=Audit&amp;VAR:KEY=QPIPYNIZSZ&amp;VAR:QUERY=Q1NGX0VCSVRfT1BFUihBTk4sMTIvMzEvODAsMCk=&amp;WINDOW=FIRST_POPUP&amp;HEIGHT=450&amp;WIDTH=450&amp;STAR","T_MAXIMIZED=FALSE&amp;VAR:CALENDAR=US&amp;VAR:SYMBOL=HPC&amp;VAR:INDEX=23"}</definedName>
    <definedName name="_573__FDSAUDITLINK__" hidden="1">{"fdsup://directions/FAT Viewer?action=UPDATE&amp;creator=factset&amp;DYN_ARGS=TRUE&amp;DOC_NAME=FAT:FQL_AUDITING_CLIENT_TEMPLATE.FAT&amp;display_string=Audit&amp;VAR:KEY=QPIPYNIZSZ&amp;VAR:QUERY=Q1NGX0VCSVRfT1BFUihBTk4sMTIvMzEvODAsMCk=&amp;WINDOW=FIRST_POPUP&amp;HEIGHT=450&amp;WIDTH=450&amp;STAR","T_MAXIMIZED=FALSE&amp;VAR:CALENDAR=US&amp;VAR:SYMBOL=HPC&amp;VAR:INDEX=22"}</definedName>
    <definedName name="_574__FDSAUDITLINK__" hidden="1">{"fdsup://directions/FAT Viewer?action=UPDATE&amp;creator=factset&amp;DYN_ARGS=TRUE&amp;DOC_NAME=FAT:FQL_AUDITING_CLIENT_TEMPLATE.FAT&amp;display_string=Audit&amp;VAR:KEY=QPIPYNIZSZ&amp;VAR:QUERY=Q1NGX0VCSVRfT1BFUihBTk4sMTIvMzEvODAsMCk=&amp;WINDOW=FIRST_POPUP&amp;HEIGHT=450&amp;WIDTH=450&amp;STAR","T_MAXIMIZED=FALSE&amp;VAR:CALENDAR=US&amp;VAR:SYMBOL=HPC&amp;VAR:INDEX=21"}</definedName>
    <definedName name="_575__FDSAUDITLINK__" hidden="1">{"fdsup://directions/FAT Viewer?action=UPDATE&amp;creator=factset&amp;DYN_ARGS=TRUE&amp;DOC_NAME=FAT:FQL_AUDITING_CLIENT_TEMPLATE.FAT&amp;display_string=Audit&amp;VAR:KEY=QPIPYNIZSZ&amp;VAR:QUERY=Q1NGX0VCSVRfT1BFUihBTk4sMTIvMzEvODAsMCk=&amp;WINDOW=FIRST_POPUP&amp;HEIGHT=450&amp;WIDTH=450&amp;STAR","T_MAXIMIZED=FALSE&amp;VAR:CALENDAR=US&amp;VAR:SYMBOL=HPC&amp;VAR:INDEX=20"}</definedName>
    <definedName name="_576__FDSAUDITLINK__" hidden="1">{"fdsup://directions/FAT Viewer?action=UPDATE&amp;creator=factset&amp;DYN_ARGS=TRUE&amp;DOC_NAME=FAT:FQL_AUDITING_CLIENT_TEMPLATE.FAT&amp;display_string=Audit&amp;VAR:KEY=QPIPYNIZSZ&amp;VAR:QUERY=Q1NGX0VCSVRfT1BFUihBTk4sMTIvMzEvODAsMCk=&amp;WINDOW=FIRST_POPUP&amp;HEIGHT=450&amp;WIDTH=450&amp;STAR","T_MAXIMIZED=FALSE&amp;VAR:CALENDAR=US&amp;VAR:SYMBOL=HPC&amp;VAR:INDEX=19"}</definedName>
    <definedName name="_577__FDSAUDITLINK__" hidden="1">{"fdsup://directions/FAT Viewer?action=UPDATE&amp;creator=factset&amp;DYN_ARGS=TRUE&amp;DOC_NAME=FAT:FQL_AUDITING_CLIENT_TEMPLATE.FAT&amp;display_string=Audit&amp;VAR:KEY=QPIPYNIZSZ&amp;VAR:QUERY=Q1NGX0VCSVRfT1BFUihBTk4sMTIvMzEvODAsMCk=&amp;WINDOW=FIRST_POPUP&amp;HEIGHT=450&amp;WIDTH=450&amp;STAR","T_MAXIMIZED=FALSE&amp;VAR:CALENDAR=US&amp;VAR:SYMBOL=HPC&amp;VAR:INDEX=18"}</definedName>
    <definedName name="_578__FDSAUDITLINK__" hidden="1">{"fdsup://directions/FAT Viewer?action=UPDATE&amp;creator=factset&amp;DYN_ARGS=TRUE&amp;DOC_NAME=FAT:FQL_AUDITING_CLIENT_TEMPLATE.FAT&amp;display_string=Audit&amp;VAR:KEY=QPIPYNIZSZ&amp;VAR:QUERY=Q1NGX0VCSVRfT1BFUihBTk4sMTIvMzEvODAsMCk=&amp;WINDOW=FIRST_POPUP&amp;HEIGHT=450&amp;WIDTH=450&amp;STAR","T_MAXIMIZED=FALSE&amp;VAR:CALENDAR=US&amp;VAR:SYMBOL=HPC&amp;VAR:INDEX=17"}</definedName>
    <definedName name="_579__FDSAUDITLINK__" hidden="1">{"fdsup://directions/FAT Viewer?action=UPDATE&amp;creator=factset&amp;DYN_ARGS=TRUE&amp;DOC_NAME=FAT:FQL_AUDITING_CLIENT_TEMPLATE.FAT&amp;display_string=Audit&amp;VAR:KEY=QPIPYNIZSZ&amp;VAR:QUERY=Q1NGX0VCSVRfT1BFUihBTk4sMTIvMzEvODAsMCk=&amp;WINDOW=FIRST_POPUP&amp;HEIGHT=450&amp;WIDTH=450&amp;STAR","T_MAXIMIZED=FALSE&amp;VAR:CALENDAR=US&amp;VAR:SYMBOL=HPC&amp;VAR:INDEX=16"}</definedName>
    <definedName name="_58__FDSAUDITLINK__" hidden="1">{"fdsup://directions/FAT Viewer?action=UPDATE&amp;creator=factset&amp;DYN_ARGS=TRUE&amp;DOC_NAME=FAT:FQL_AUDITING_CLIENT_TEMPLATE.FAT&amp;display_string=Audit&amp;VAR:KEY=GZGPKVWBQR&amp;VAR:QUERY=Q1NGX0dST1NTX0lOQyhRVFJfUiwtM0FZLDAsRlEp&amp;WINDOW=FIRST_POPUP&amp;HEIGHT=450&amp;WIDTH=450&amp;STAR","T_MAXIMIZED=FALSE&amp;VAR:CALENDAR=US&amp;VAR:SYMBOL=DD&amp;VAR:INDEX=7"}</definedName>
    <definedName name="_580__FDSAUDITLINK__" hidden="1">{"fdsup://directions/FAT Viewer?action=UPDATE&amp;creator=factset&amp;DYN_ARGS=TRUE&amp;DOC_NAME=FAT:FQL_AUDITING_CLIENT_TEMPLATE.FAT&amp;display_string=Audit&amp;VAR:KEY=QPIPYNIZSZ&amp;VAR:QUERY=Q1NGX0VCSVRfT1BFUihBTk4sMTIvMzEvODAsMCk=&amp;WINDOW=FIRST_POPUP&amp;HEIGHT=450&amp;WIDTH=450&amp;STAR","T_MAXIMIZED=FALSE&amp;VAR:CALENDAR=US&amp;VAR:SYMBOL=HPC&amp;VAR:INDEX=15"}</definedName>
    <definedName name="_581__FDSAUDITLINK__" hidden="1">{"fdsup://directions/FAT Viewer?action=UPDATE&amp;creator=factset&amp;DYN_ARGS=TRUE&amp;DOC_NAME=FAT:FQL_AUDITING_CLIENT_TEMPLATE.FAT&amp;display_string=Audit&amp;VAR:KEY=QPIPYNIZSZ&amp;VAR:QUERY=Q1NGX0VCSVRfT1BFUihBTk4sMTIvMzEvODAsMCk=&amp;WINDOW=FIRST_POPUP&amp;HEIGHT=450&amp;WIDTH=450&amp;STAR","T_MAXIMIZED=FALSE&amp;VAR:CALENDAR=US&amp;VAR:SYMBOL=HPC&amp;VAR:INDEX=14"}</definedName>
    <definedName name="_582__FDSAUDITLINK__" hidden="1">{"fdsup://directions/FAT Viewer?action=UPDATE&amp;creator=factset&amp;DYN_ARGS=TRUE&amp;DOC_NAME=FAT:FQL_AUDITING_CLIENT_TEMPLATE.FAT&amp;display_string=Audit&amp;VAR:KEY=QPIPYNIZSZ&amp;VAR:QUERY=Q1NGX0VCSVRfT1BFUihBTk4sMTIvMzEvODAsMCk=&amp;WINDOW=FIRST_POPUP&amp;HEIGHT=450&amp;WIDTH=450&amp;STAR","T_MAXIMIZED=FALSE&amp;VAR:CALENDAR=US&amp;VAR:SYMBOL=HPC&amp;VAR:INDEX=13"}</definedName>
    <definedName name="_583__FDSAUDITLINK__" hidden="1">{"fdsup://directions/FAT Viewer?action=UPDATE&amp;creator=factset&amp;DYN_ARGS=TRUE&amp;DOC_NAME=FAT:FQL_AUDITING_CLIENT_TEMPLATE.FAT&amp;display_string=Audit&amp;VAR:KEY=QPIPYNIZSZ&amp;VAR:QUERY=Q1NGX0VCSVRfT1BFUihBTk4sMTIvMzEvODAsMCk=&amp;WINDOW=FIRST_POPUP&amp;HEIGHT=450&amp;WIDTH=450&amp;STAR","T_MAXIMIZED=FALSE&amp;VAR:CALENDAR=US&amp;VAR:SYMBOL=HPC&amp;VAR:INDEX=12"}</definedName>
    <definedName name="_584__FDSAUDITLINK__" hidden="1">{"fdsup://directions/FAT Viewer?action=UPDATE&amp;creator=factset&amp;DYN_ARGS=TRUE&amp;DOC_NAME=FAT:FQL_AUDITING_CLIENT_TEMPLATE.FAT&amp;display_string=Audit&amp;VAR:KEY=QPIPYNIZSZ&amp;VAR:QUERY=Q1NGX0VCSVRfT1BFUihBTk4sMTIvMzEvODAsMCk=&amp;WINDOW=FIRST_POPUP&amp;HEIGHT=450&amp;WIDTH=450&amp;STAR","T_MAXIMIZED=FALSE&amp;VAR:CALENDAR=US&amp;VAR:SYMBOL=HPC&amp;VAR:INDEX=11"}</definedName>
    <definedName name="_585__FDSAUDITLINK__" hidden="1">{"fdsup://directions/FAT Viewer?action=UPDATE&amp;creator=factset&amp;DYN_ARGS=TRUE&amp;DOC_NAME=FAT:FQL_AUDITING_CLIENT_TEMPLATE.FAT&amp;display_string=Audit&amp;VAR:KEY=QPIPYNIZSZ&amp;VAR:QUERY=Q1NGX0VCSVRfT1BFUihBTk4sMTIvMzEvODAsMCk=&amp;WINDOW=FIRST_POPUP&amp;HEIGHT=450&amp;WIDTH=450&amp;STAR","T_MAXIMIZED=FALSE&amp;VAR:CALENDAR=US&amp;VAR:SYMBOL=HPC&amp;VAR:INDEX=10"}</definedName>
    <definedName name="_586__FDSAUDITLINK__" hidden="1">{"fdsup://directions/FAT Viewer?action=UPDATE&amp;creator=factset&amp;DYN_ARGS=TRUE&amp;DOC_NAME=FAT:FQL_AUDITING_CLIENT_TEMPLATE.FAT&amp;display_string=Audit&amp;VAR:KEY=QPIPYNIZSZ&amp;VAR:QUERY=Q1NGX0VCSVRfT1BFUihBTk4sMTIvMzEvODAsMCk=&amp;WINDOW=FIRST_POPUP&amp;HEIGHT=450&amp;WIDTH=450&amp;STAR","T_MAXIMIZED=FALSE&amp;VAR:CALENDAR=US&amp;VAR:SYMBOL=HPC&amp;VAR:INDEX=9"}</definedName>
    <definedName name="_587__FDSAUDITLINK__" hidden="1">{"fdsup://directions/FAT Viewer?action=UPDATE&amp;creator=factset&amp;DYN_ARGS=TRUE&amp;DOC_NAME=FAT:FQL_AUDITING_CLIENT_TEMPLATE.FAT&amp;display_string=Audit&amp;VAR:KEY=QPIPYNIZSZ&amp;VAR:QUERY=Q1NGX0VCSVRfT1BFUihBTk4sMTIvMzEvODAsMCk=&amp;WINDOW=FIRST_POPUP&amp;HEIGHT=450&amp;WIDTH=450&amp;STAR","T_MAXIMIZED=FALSE&amp;VAR:CALENDAR=US&amp;VAR:SYMBOL=HPC&amp;VAR:INDEX=8"}</definedName>
    <definedName name="_588__FDSAUDITLINK__" hidden="1">{"fdsup://directions/FAT Viewer?action=UPDATE&amp;creator=factset&amp;DYN_ARGS=TRUE&amp;DOC_NAME=FAT:FQL_AUDITING_CLIENT_TEMPLATE.FAT&amp;display_string=Audit&amp;VAR:KEY=QPIPYNIZSZ&amp;VAR:QUERY=Q1NGX0VCSVRfT1BFUihBTk4sMTIvMzEvODAsMCk=&amp;WINDOW=FIRST_POPUP&amp;HEIGHT=450&amp;WIDTH=450&amp;STAR","T_MAXIMIZED=FALSE&amp;VAR:CALENDAR=US&amp;VAR:SYMBOL=HPC&amp;VAR:INDEX=7"}</definedName>
    <definedName name="_589__FDSAUDITLINK__" hidden="1">{"fdsup://directions/FAT Viewer?action=UPDATE&amp;creator=factset&amp;DYN_ARGS=TRUE&amp;DOC_NAME=FAT:FQL_AUDITING_CLIENT_TEMPLATE.FAT&amp;display_string=Audit&amp;VAR:KEY=QPIPYNIZSZ&amp;VAR:QUERY=Q1NGX0VCSVRfT1BFUihBTk4sMTIvMzEvODAsMCk=&amp;WINDOW=FIRST_POPUP&amp;HEIGHT=450&amp;WIDTH=450&amp;STAR","T_MAXIMIZED=FALSE&amp;VAR:CALENDAR=US&amp;VAR:SYMBOL=HPC&amp;VAR:INDEX=6"}</definedName>
    <definedName name="_59__FDSAUDITLINK__" hidden="1">{"fdsup://directions/FAT Viewer?action=UPDATE&amp;creator=factset&amp;DYN_ARGS=TRUE&amp;DOC_NAME=FAT:FQL_AUDITING_CLIENT_TEMPLATE.FAT&amp;display_string=Audit&amp;VAR:KEY=WRAJWVMPGZ&amp;VAR:QUERY=Q1NGX0VCSVREQV9PUEVSKEFOTiwwKQ==&amp;WINDOW=FIRST_POPUP&amp;HEIGHT=450&amp;WIDTH=450&amp;START_MAXIMI","ZED=FALSE&amp;VAR:CALENDAR=US&amp;VAR:SYMBOL=GGC&amp;VAR:INDEX=0"}</definedName>
    <definedName name="_590__FDSAUDITLINK__" hidden="1">{"fdsup://directions/FAT Viewer?action=UPDATE&amp;creator=factset&amp;DYN_ARGS=TRUE&amp;DOC_NAME=FAT:FQL_AUDITING_CLIENT_TEMPLATE.FAT&amp;display_string=Audit&amp;VAR:KEY=QPIPYNIZSZ&amp;VAR:QUERY=Q1NGX0VCSVRfT1BFUihBTk4sMTIvMzEvODAsMCk=&amp;WINDOW=FIRST_POPUP&amp;HEIGHT=450&amp;WIDTH=450&amp;STAR","T_MAXIMIZED=FALSE&amp;VAR:CALENDAR=US&amp;VAR:SYMBOL=HPC&amp;VAR:INDEX=5"}</definedName>
    <definedName name="_591__FDSAUDITLINK__" hidden="1">{"fdsup://directions/FAT Viewer?action=UPDATE&amp;creator=factset&amp;DYN_ARGS=TRUE&amp;DOC_NAME=FAT:FQL_AUDITING_CLIENT_TEMPLATE.FAT&amp;display_string=Audit&amp;VAR:KEY=QPIPYNIZSZ&amp;VAR:QUERY=Q1NGX0VCSVRfT1BFUihBTk4sMTIvMzEvODAsMCk=&amp;WINDOW=FIRST_POPUP&amp;HEIGHT=450&amp;WIDTH=450&amp;STAR","T_MAXIMIZED=FALSE&amp;VAR:CALENDAR=US&amp;VAR:SYMBOL=HPC&amp;VAR:INDEX=4"}</definedName>
    <definedName name="_592__FDSAUDITLINK__" hidden="1">{"fdsup://directions/FAT Viewer?action=UPDATE&amp;creator=factset&amp;DYN_ARGS=TRUE&amp;DOC_NAME=FAT:FQL_AUDITING_CLIENT_TEMPLATE.FAT&amp;display_string=Audit&amp;VAR:KEY=QPIPYNIZSZ&amp;VAR:QUERY=Q1NGX0VCSVRfT1BFUihBTk4sMTIvMzEvODAsMCk=&amp;WINDOW=FIRST_POPUP&amp;HEIGHT=450&amp;WIDTH=450&amp;STAR","T_MAXIMIZED=FALSE&amp;VAR:CALENDAR=US&amp;VAR:SYMBOL=HPC&amp;VAR:INDEX=3"}</definedName>
    <definedName name="_593__FDSAUDITLINK__" hidden="1">{"fdsup://directions/FAT Viewer?action=UPDATE&amp;creator=factset&amp;DYN_ARGS=TRUE&amp;DOC_NAME=FAT:FQL_AUDITING_CLIENT_TEMPLATE.FAT&amp;display_string=Audit&amp;VAR:KEY=QPIPYNIZSZ&amp;VAR:QUERY=Q1NGX0VCSVRfT1BFUihBTk4sMTIvMzEvODAsMCk=&amp;WINDOW=FIRST_POPUP&amp;HEIGHT=450&amp;WIDTH=450&amp;STAR","T_MAXIMIZED=FALSE&amp;VAR:CALENDAR=US&amp;VAR:SYMBOL=HPC&amp;VAR:INDEX=2"}</definedName>
    <definedName name="_594__FDSAUDITLINK__" hidden="1">{"fdsup://directions/FAT Viewer?action=UPDATE&amp;creator=factset&amp;DYN_ARGS=TRUE&amp;DOC_NAME=FAT:FQL_AUDITING_CLIENT_TEMPLATE.FAT&amp;display_string=Audit&amp;VAR:KEY=QPIPYNIZSZ&amp;VAR:QUERY=Q1NGX0VCSVRfT1BFUihBTk4sMTIvMzEvODAsMCk=&amp;WINDOW=FIRST_POPUP&amp;HEIGHT=450&amp;WIDTH=450&amp;STAR","T_MAXIMIZED=FALSE&amp;VAR:CALENDAR=US&amp;VAR:SYMBOL=HPC&amp;VAR:INDEX=1"}</definedName>
    <definedName name="_595__FDSAUDITLINK__" hidden="1">{"fdsup://directions/FAT Viewer?action=UPDATE&amp;creator=factset&amp;DYN_ARGS=TRUE&amp;DOC_NAME=FAT:FQL_AUDITING_CLIENT_TEMPLATE.FAT&amp;display_string=Audit&amp;VAR:KEY=QPIPYNIZSZ&amp;VAR:QUERY=Q1NGX0VCSVRfT1BFUihBTk4sMTIvMzEvODAsMCk=&amp;WINDOW=FIRST_POPUP&amp;HEIGHT=450&amp;WIDTH=450&amp;STAR","T_MAXIMIZED=FALSE&amp;VAR:CALENDAR=US&amp;VAR:SYMBOL=HPC&amp;VAR:INDEX=0"}</definedName>
    <definedName name="_596__FDSAUDITLINK__" hidden="1">{"fdsup://directions/FAT Viewer?action=UPDATE&amp;creator=factset&amp;DYN_ARGS=TRUE&amp;DOC_NAME=FAT:FQL_AUDITING_CLIENT_TEMPLATE.FAT&amp;display_string=Audit&amp;VAR:KEY=QLAVMJIXWH&amp;VAR:QUERY=Q1NGX0VCSVRfT1BFUihMVE1fUiwwKQ==&amp;WINDOW=FIRST_POPUP&amp;HEIGHT=450&amp;WIDTH=450&amp;START_MAXIMI","ZED=FALSE&amp;VAR:CALENDAR=US&amp;VAR:SYMBOL=EMN&amp;VAR:INDEX=0"}</definedName>
    <definedName name="_597__FDSAUDITLINK__" hidden="1">{"fdsup://directions/FAT Viewer?action=UPDATE&amp;creator=factset&amp;DYN_ARGS=TRUE&amp;DOC_NAME=FAT:FQL_AUDITING_CLIENT_TEMPLATE.FAT&amp;display_string=Audit&amp;VAR:KEY=SBGRUJWPAB&amp;VAR:QUERY=Q1NGX0VCSVRfT1BFUihBTk4sMTIvMzEvODAsMCk=&amp;WINDOW=FIRST_POPUP&amp;HEIGHT=450&amp;WIDTH=450&amp;STAR","T_MAXIMIZED=FALSE&amp;VAR:CALENDAR=US&amp;VAR:SYMBOL=EMN&amp;VAR:INDEX=29"}</definedName>
    <definedName name="_598__FDSAUDITLINK__" hidden="1">{"fdsup://directions/FAT Viewer?action=UPDATE&amp;creator=factset&amp;DYN_ARGS=TRUE&amp;DOC_NAME=FAT:FQL_AUDITING_CLIENT_TEMPLATE.FAT&amp;display_string=Audit&amp;VAR:KEY=SBGRUJWPAB&amp;VAR:QUERY=Q1NGX0VCSVRfT1BFUihBTk4sMTIvMzEvODAsMCk=&amp;WINDOW=FIRST_POPUP&amp;HEIGHT=450&amp;WIDTH=450&amp;STAR","T_MAXIMIZED=FALSE&amp;VAR:CALENDAR=US&amp;VAR:SYMBOL=EMN&amp;VAR:INDEX=28"}</definedName>
    <definedName name="_599__FDSAUDITLINK__" hidden="1">{"fdsup://directions/FAT Viewer?action=UPDATE&amp;creator=factset&amp;DYN_ARGS=TRUE&amp;DOC_NAME=FAT:FQL_AUDITING_CLIENT_TEMPLATE.FAT&amp;display_string=Audit&amp;VAR:KEY=SBGRUJWPAB&amp;VAR:QUERY=Q1NGX0VCSVRfT1BFUihBTk4sMTIvMzEvODAsMCk=&amp;WINDOW=FIRST_POPUP&amp;HEIGHT=450&amp;WIDTH=450&amp;STAR","T_MAXIMIZED=FALSE&amp;VAR:CALENDAR=US&amp;VAR:SYMBOL=EMN&amp;VAR:INDEX=27"}</definedName>
    <definedName name="_6__FDSAUDITLINK__" hidden="1">{"fdsup://directions/FAT Viewer?action=UPDATE&amp;creator=factset&amp;DYN_ARGS=TRUE&amp;DOC_NAME=FAT:FQL_AUDITING_CLIENT_TEMPLATE.FAT&amp;display_string=Audit&amp;VAR:KEY=OXYJGLUPON&amp;VAR:QUERY=Q1NGX0VCSVREQV9PUEVSKExUTV9SLDAp&amp;WINDOW=FIRST_POPUP&amp;HEIGHT=450&amp;WIDTH=450&amp;START_MAXIMI","ZED=FALSE&amp;VAR:CALENDAR=US&amp;VAR:SYMBOL=DOW&amp;VAR:INDEX=0"}</definedName>
    <definedName name="_60__FDSAUDITLINK__" hidden="1">{"fdsup://directions/FAT Viewer?action=UPDATE&amp;creator=factset&amp;DYN_ARGS=TRUE&amp;DOC_NAME=FAT:FQL_AUDITING_CLIENT_TEMPLATE.FAT&amp;display_string=Audit&amp;VAR:KEY=GZGPKVWBQR&amp;VAR:QUERY=Q1NGX0dST1NTX0lOQyhRVFJfUiwtM0FZLDAsRlEp&amp;WINDOW=FIRST_POPUP&amp;HEIGHT=450&amp;WIDTH=450&amp;STAR","T_MAXIMIZED=FALSE&amp;VAR:CALENDAR=US&amp;VAR:SYMBOL=DD&amp;VAR:INDEX=5"}</definedName>
    <definedName name="_600__FDSAUDITLINK__" hidden="1">{"fdsup://directions/FAT Viewer?action=UPDATE&amp;creator=factset&amp;DYN_ARGS=TRUE&amp;DOC_NAME=FAT:FQL_AUDITING_CLIENT_TEMPLATE.FAT&amp;display_string=Audit&amp;VAR:KEY=SBGRUJWPAB&amp;VAR:QUERY=Q1NGX0VCSVRfT1BFUihBTk4sMTIvMzEvODAsMCk=&amp;WINDOW=FIRST_POPUP&amp;HEIGHT=450&amp;WIDTH=450&amp;STAR","T_MAXIMIZED=FALSE&amp;VAR:CALENDAR=US&amp;VAR:SYMBOL=EMN&amp;VAR:INDEX=26"}</definedName>
    <definedName name="_601__FDSAUDITLINK__" hidden="1">{"fdsup://directions/FAT Viewer?action=UPDATE&amp;creator=factset&amp;DYN_ARGS=TRUE&amp;DOC_NAME=FAT:FQL_AUDITING_CLIENT_TEMPLATE.FAT&amp;display_string=Audit&amp;VAR:KEY=SBGRUJWPAB&amp;VAR:QUERY=Q1NGX0VCSVRfT1BFUihBTk4sMTIvMzEvODAsMCk=&amp;WINDOW=FIRST_POPUP&amp;HEIGHT=450&amp;WIDTH=450&amp;STAR","T_MAXIMIZED=FALSE&amp;VAR:CALENDAR=US&amp;VAR:SYMBOL=EMN&amp;VAR:INDEX=25"}</definedName>
    <definedName name="_602__FDSAUDITLINK__" hidden="1">{"fdsup://directions/FAT Viewer?action=UPDATE&amp;creator=factset&amp;DYN_ARGS=TRUE&amp;DOC_NAME=FAT:FQL_AUDITING_CLIENT_TEMPLATE.FAT&amp;display_string=Audit&amp;VAR:KEY=SBGRUJWPAB&amp;VAR:QUERY=Q1NGX0VCSVRfT1BFUihBTk4sMTIvMzEvODAsMCk=&amp;WINDOW=FIRST_POPUP&amp;HEIGHT=450&amp;WIDTH=450&amp;STAR","T_MAXIMIZED=FALSE&amp;VAR:CALENDAR=US&amp;VAR:SYMBOL=EMN&amp;VAR:INDEX=24"}</definedName>
    <definedName name="_603__FDSAUDITLINK__" hidden="1">{"fdsup://directions/FAT Viewer?action=UPDATE&amp;creator=factset&amp;DYN_ARGS=TRUE&amp;DOC_NAME=FAT:FQL_AUDITING_CLIENT_TEMPLATE.FAT&amp;display_string=Audit&amp;VAR:KEY=SBGRUJWPAB&amp;VAR:QUERY=Q1NGX0VCSVRfT1BFUihBTk4sMTIvMzEvODAsMCk=&amp;WINDOW=FIRST_POPUP&amp;HEIGHT=450&amp;WIDTH=450&amp;STAR","T_MAXIMIZED=FALSE&amp;VAR:CALENDAR=US&amp;VAR:SYMBOL=EMN&amp;VAR:INDEX=23"}</definedName>
    <definedName name="_604__FDSAUDITLINK__" hidden="1">{"fdsup://directions/FAT Viewer?action=UPDATE&amp;creator=factset&amp;DYN_ARGS=TRUE&amp;DOC_NAME=FAT:FQL_AUDITING_CLIENT_TEMPLATE.FAT&amp;display_string=Audit&amp;VAR:KEY=SBGRUJWPAB&amp;VAR:QUERY=Q1NGX0VCSVRfT1BFUihBTk4sMTIvMzEvODAsMCk=&amp;WINDOW=FIRST_POPUP&amp;HEIGHT=450&amp;WIDTH=450&amp;STAR","T_MAXIMIZED=FALSE&amp;VAR:CALENDAR=US&amp;VAR:SYMBOL=EMN&amp;VAR:INDEX=22"}</definedName>
    <definedName name="_605__FDSAUDITLINK__" hidden="1">{"fdsup://directions/FAT Viewer?action=UPDATE&amp;creator=factset&amp;DYN_ARGS=TRUE&amp;DOC_NAME=FAT:FQL_AUDITING_CLIENT_TEMPLATE.FAT&amp;display_string=Audit&amp;VAR:KEY=SBGRUJWPAB&amp;VAR:QUERY=Q1NGX0VCSVRfT1BFUihBTk4sMTIvMzEvODAsMCk=&amp;WINDOW=FIRST_POPUP&amp;HEIGHT=450&amp;WIDTH=450&amp;STAR","T_MAXIMIZED=FALSE&amp;VAR:CALENDAR=US&amp;VAR:SYMBOL=EMN&amp;VAR:INDEX=21"}</definedName>
    <definedName name="_606__FDSAUDITLINK__" hidden="1">{"fdsup://directions/FAT Viewer?action=UPDATE&amp;creator=factset&amp;DYN_ARGS=TRUE&amp;DOC_NAME=FAT:FQL_AUDITING_CLIENT_TEMPLATE.FAT&amp;display_string=Audit&amp;VAR:KEY=SBGRUJWPAB&amp;VAR:QUERY=Q1NGX0VCSVRfT1BFUihBTk4sMTIvMzEvODAsMCk=&amp;WINDOW=FIRST_POPUP&amp;HEIGHT=450&amp;WIDTH=450&amp;STAR","T_MAXIMIZED=FALSE&amp;VAR:CALENDAR=US&amp;VAR:SYMBOL=EMN&amp;VAR:INDEX=20"}</definedName>
    <definedName name="_607__FDSAUDITLINK__" hidden="1">{"fdsup://directions/FAT Viewer?action=UPDATE&amp;creator=factset&amp;DYN_ARGS=TRUE&amp;DOC_NAME=FAT:FQL_AUDITING_CLIENT_TEMPLATE.FAT&amp;display_string=Audit&amp;VAR:KEY=SBGRUJWPAB&amp;VAR:QUERY=Q1NGX0VCSVRfT1BFUihBTk4sMTIvMzEvODAsMCk=&amp;WINDOW=FIRST_POPUP&amp;HEIGHT=450&amp;WIDTH=450&amp;STAR","T_MAXIMIZED=FALSE&amp;VAR:CALENDAR=US&amp;VAR:SYMBOL=EMN&amp;VAR:INDEX=19"}</definedName>
    <definedName name="_608__FDSAUDITLINK__" hidden="1">{"fdsup://directions/FAT Viewer?action=UPDATE&amp;creator=factset&amp;DYN_ARGS=TRUE&amp;DOC_NAME=FAT:FQL_AUDITING_CLIENT_TEMPLATE.FAT&amp;display_string=Audit&amp;VAR:KEY=SBGRUJWPAB&amp;VAR:QUERY=Q1NGX0VCSVRfT1BFUihBTk4sMTIvMzEvODAsMCk=&amp;WINDOW=FIRST_POPUP&amp;HEIGHT=450&amp;WIDTH=450&amp;STAR","T_MAXIMIZED=FALSE&amp;VAR:CALENDAR=US&amp;VAR:SYMBOL=EMN&amp;VAR:INDEX=18"}</definedName>
    <definedName name="_609__FDSAUDITLINK__" hidden="1">{"fdsup://directions/FAT Viewer?action=UPDATE&amp;creator=factset&amp;DYN_ARGS=TRUE&amp;DOC_NAME=FAT:FQL_AUDITING_CLIENT_TEMPLATE.FAT&amp;display_string=Audit&amp;VAR:KEY=SBGRUJWPAB&amp;VAR:QUERY=Q1NGX0VCSVRfT1BFUihBTk4sMTIvMzEvODAsMCk=&amp;WINDOW=FIRST_POPUP&amp;HEIGHT=450&amp;WIDTH=450&amp;STAR","T_MAXIMIZED=FALSE&amp;VAR:CALENDAR=US&amp;VAR:SYMBOL=EMN&amp;VAR:INDEX=17"}</definedName>
    <definedName name="_61__FDSAUDITLINK__" hidden="1">{"fdsup://directions/FAT Viewer?action=UPDATE&amp;creator=factset&amp;DYN_ARGS=TRUE&amp;DOC_NAME=FAT:FQL_AUDITING_CLIENT_TEMPLATE.FAT&amp;display_string=Audit&amp;VAR:KEY=GZGPKVWBQR&amp;VAR:QUERY=Q1NGX0dST1NTX0lOQyhRVFJfUiwtM0FZLDAsRlEp&amp;WINDOW=FIRST_POPUP&amp;HEIGHT=450&amp;WIDTH=450&amp;STAR","T_MAXIMIZED=FALSE&amp;VAR:CALENDAR=US&amp;VAR:SYMBOL=DD&amp;VAR:INDEX=4"}</definedName>
    <definedName name="_610__FDSAUDITLINK__" hidden="1">{"fdsup://directions/FAT Viewer?action=UPDATE&amp;creator=factset&amp;DYN_ARGS=TRUE&amp;DOC_NAME=FAT:FQL_AUDITING_CLIENT_TEMPLATE.FAT&amp;display_string=Audit&amp;VAR:KEY=SBGRUJWPAB&amp;VAR:QUERY=Q1NGX0VCSVRfT1BFUihBTk4sMTIvMzEvODAsMCk=&amp;WINDOW=FIRST_POPUP&amp;HEIGHT=450&amp;WIDTH=450&amp;STAR","T_MAXIMIZED=FALSE&amp;VAR:CALENDAR=US&amp;VAR:SYMBOL=EMN&amp;VAR:INDEX=16"}</definedName>
    <definedName name="_611__FDSAUDITLINK__" hidden="1">{"fdsup://directions/FAT Viewer?action=UPDATE&amp;creator=factset&amp;DYN_ARGS=TRUE&amp;DOC_NAME=FAT:FQL_AUDITING_CLIENT_TEMPLATE.FAT&amp;display_string=Audit&amp;VAR:KEY=SBGRUJWPAB&amp;VAR:QUERY=Q1NGX0VCSVRfT1BFUihBTk4sMTIvMzEvODAsMCk=&amp;WINDOW=FIRST_POPUP&amp;HEIGHT=450&amp;WIDTH=450&amp;STAR","T_MAXIMIZED=FALSE&amp;VAR:CALENDAR=US&amp;VAR:SYMBOL=EMN&amp;VAR:INDEX=15"}</definedName>
    <definedName name="_612__FDSAUDITLINK__" hidden="1">{"fdsup://directions/FAT Viewer?action=UPDATE&amp;creator=factset&amp;DYN_ARGS=TRUE&amp;DOC_NAME=FAT:FQL_AUDITING_CLIENT_TEMPLATE.FAT&amp;display_string=Audit&amp;VAR:KEY=SBGRUJWPAB&amp;VAR:QUERY=Q1NGX0VCSVRfT1BFUihBTk4sMTIvMzEvODAsMCk=&amp;WINDOW=FIRST_POPUP&amp;HEIGHT=450&amp;WIDTH=450&amp;STAR","T_MAXIMIZED=FALSE&amp;VAR:CALENDAR=US&amp;VAR:SYMBOL=EMN&amp;VAR:INDEX=14"}</definedName>
    <definedName name="_613__FDSAUDITLINK__" hidden="1">{"fdsup://directions/FAT Viewer?action=UPDATE&amp;creator=factset&amp;DYN_ARGS=TRUE&amp;DOC_NAME=FAT:FQL_AUDITING_CLIENT_TEMPLATE.FAT&amp;display_string=Audit&amp;VAR:KEY=SBGRUJWPAB&amp;VAR:QUERY=Q1NGX0VCSVRfT1BFUihBTk4sMTIvMzEvODAsMCk=&amp;WINDOW=FIRST_POPUP&amp;HEIGHT=450&amp;WIDTH=450&amp;STAR","T_MAXIMIZED=FALSE&amp;VAR:CALENDAR=US&amp;VAR:SYMBOL=EMN&amp;VAR:INDEX=13"}</definedName>
    <definedName name="_614__FDSAUDITLINK__" hidden="1">{"fdsup://directions/FAT Viewer?action=UPDATE&amp;creator=factset&amp;DYN_ARGS=TRUE&amp;DOC_NAME=FAT:FQL_AUDITING_CLIENT_TEMPLATE.FAT&amp;display_string=Audit&amp;VAR:KEY=SBGRUJWPAB&amp;VAR:QUERY=Q1NGX0VCSVRfT1BFUihBTk4sMTIvMzEvODAsMCk=&amp;WINDOW=FIRST_POPUP&amp;HEIGHT=450&amp;WIDTH=450&amp;STAR","T_MAXIMIZED=FALSE&amp;VAR:CALENDAR=US&amp;VAR:SYMBOL=EMN&amp;VAR:INDEX=12"}</definedName>
    <definedName name="_615__FDSAUDITLINK__" hidden="1">{"fdsup://directions/FAT Viewer?action=UPDATE&amp;creator=factset&amp;DYN_ARGS=TRUE&amp;DOC_NAME=FAT:FQL_AUDITING_CLIENT_TEMPLATE.FAT&amp;display_string=Audit&amp;VAR:KEY=SBGRUJWPAB&amp;VAR:QUERY=Q1NGX0VCSVRfT1BFUihBTk4sMTIvMzEvODAsMCk=&amp;WINDOW=FIRST_POPUP&amp;HEIGHT=450&amp;WIDTH=450&amp;STAR","T_MAXIMIZED=FALSE&amp;VAR:CALENDAR=US&amp;VAR:SYMBOL=EMN&amp;VAR:INDEX=11"}</definedName>
    <definedName name="_616__FDSAUDITLINK__" hidden="1">{"fdsup://directions/FAT Viewer?action=UPDATE&amp;creator=factset&amp;DYN_ARGS=TRUE&amp;DOC_NAME=FAT:FQL_AUDITING_CLIENT_TEMPLATE.FAT&amp;display_string=Audit&amp;VAR:KEY=SBGRUJWPAB&amp;VAR:QUERY=Q1NGX0VCSVRfT1BFUihBTk4sMTIvMzEvODAsMCk=&amp;WINDOW=FIRST_POPUP&amp;HEIGHT=450&amp;WIDTH=450&amp;STAR","T_MAXIMIZED=FALSE&amp;VAR:CALENDAR=US&amp;VAR:SYMBOL=EMN&amp;VAR:INDEX=10"}</definedName>
    <definedName name="_617__FDSAUDITLINK__" hidden="1">{"fdsup://directions/FAT Viewer?action=UPDATE&amp;creator=factset&amp;DYN_ARGS=TRUE&amp;DOC_NAME=FAT:FQL_AUDITING_CLIENT_TEMPLATE.FAT&amp;display_string=Audit&amp;VAR:KEY=SBGRUJWPAB&amp;VAR:QUERY=Q1NGX0VCSVRfT1BFUihBTk4sMTIvMzEvODAsMCk=&amp;WINDOW=FIRST_POPUP&amp;HEIGHT=450&amp;WIDTH=450&amp;STAR","T_MAXIMIZED=FALSE&amp;VAR:CALENDAR=US&amp;VAR:SYMBOL=EMN&amp;VAR:INDEX=9"}</definedName>
    <definedName name="_618__FDSAUDITLINK__" hidden="1">{"fdsup://directions/FAT Viewer?action=UPDATE&amp;creator=factset&amp;DYN_ARGS=TRUE&amp;DOC_NAME=FAT:FQL_AUDITING_CLIENT_TEMPLATE.FAT&amp;display_string=Audit&amp;VAR:KEY=SBGRUJWPAB&amp;VAR:QUERY=Q1NGX0VCSVRfT1BFUihBTk4sMTIvMzEvODAsMCk=&amp;WINDOW=FIRST_POPUP&amp;HEIGHT=450&amp;WIDTH=450&amp;STAR","T_MAXIMIZED=FALSE&amp;VAR:CALENDAR=US&amp;VAR:SYMBOL=EMN&amp;VAR:INDEX=8"}</definedName>
    <definedName name="_619__FDSAUDITLINK__" hidden="1">{"fdsup://directions/FAT Viewer?action=UPDATE&amp;creator=factset&amp;DYN_ARGS=TRUE&amp;DOC_NAME=FAT:FQL_AUDITING_CLIENT_TEMPLATE.FAT&amp;display_string=Audit&amp;VAR:KEY=SBGRUJWPAB&amp;VAR:QUERY=Q1NGX0VCSVRfT1BFUihBTk4sMTIvMzEvODAsMCk=&amp;WINDOW=FIRST_POPUP&amp;HEIGHT=450&amp;WIDTH=450&amp;STAR","T_MAXIMIZED=FALSE&amp;VAR:CALENDAR=US&amp;VAR:SYMBOL=EMN&amp;VAR:INDEX=7"}</definedName>
    <definedName name="_62__FDSAUDITLINK__" hidden="1">{"fdsup://directions/FAT Viewer?action=UPDATE&amp;creator=factset&amp;DYN_ARGS=TRUE&amp;DOC_NAME=FAT:FQL_AUDITING_CLIENT_TEMPLATE.FAT&amp;display_string=Audit&amp;VAR:KEY=GZGPKVWBQR&amp;VAR:QUERY=Q1NGX0dST1NTX0lOQyhRVFJfUiwtM0FZLDAsRlEp&amp;WINDOW=FIRST_POPUP&amp;HEIGHT=450&amp;WIDTH=450&amp;STAR","T_MAXIMIZED=FALSE&amp;VAR:CALENDAR=US&amp;VAR:SYMBOL=DD&amp;VAR:INDEX=3"}</definedName>
    <definedName name="_620__FDSAUDITLINK__" hidden="1">{"fdsup://directions/FAT Viewer?action=UPDATE&amp;creator=factset&amp;DYN_ARGS=TRUE&amp;DOC_NAME=FAT:FQL_AUDITING_CLIENT_TEMPLATE.FAT&amp;display_string=Audit&amp;VAR:KEY=SBGRUJWPAB&amp;VAR:QUERY=Q1NGX0VCSVRfT1BFUihBTk4sMTIvMzEvODAsMCk=&amp;WINDOW=FIRST_POPUP&amp;HEIGHT=450&amp;WIDTH=450&amp;STAR","T_MAXIMIZED=FALSE&amp;VAR:CALENDAR=US&amp;VAR:SYMBOL=EMN&amp;VAR:INDEX=6"}</definedName>
    <definedName name="_621__FDSAUDITLINK__" hidden="1">{"fdsup://directions/FAT Viewer?action=UPDATE&amp;creator=factset&amp;DYN_ARGS=TRUE&amp;DOC_NAME=FAT:FQL_AUDITING_CLIENT_TEMPLATE.FAT&amp;display_string=Audit&amp;VAR:KEY=SBGRUJWPAB&amp;VAR:QUERY=Q1NGX0VCSVRfT1BFUihBTk4sMTIvMzEvODAsMCk=&amp;WINDOW=FIRST_POPUP&amp;HEIGHT=450&amp;WIDTH=450&amp;STAR","T_MAXIMIZED=FALSE&amp;VAR:CALENDAR=US&amp;VAR:SYMBOL=EMN&amp;VAR:INDEX=5"}</definedName>
    <definedName name="_622__FDSAUDITLINK__" hidden="1">{"fdsup://directions/FAT Viewer?action=UPDATE&amp;creator=factset&amp;DYN_ARGS=TRUE&amp;DOC_NAME=FAT:FQL_AUDITING_CLIENT_TEMPLATE.FAT&amp;display_string=Audit&amp;VAR:KEY=SBGRUJWPAB&amp;VAR:QUERY=Q1NGX0VCSVRfT1BFUihBTk4sMTIvMzEvODAsMCk=&amp;WINDOW=FIRST_POPUP&amp;HEIGHT=450&amp;WIDTH=450&amp;STAR","T_MAXIMIZED=FALSE&amp;VAR:CALENDAR=US&amp;VAR:SYMBOL=EMN&amp;VAR:INDEX=4"}</definedName>
    <definedName name="_623__FDSAUDITLINK__" hidden="1">{"fdsup://directions/FAT Viewer?action=UPDATE&amp;creator=factset&amp;DYN_ARGS=TRUE&amp;DOC_NAME=FAT:FQL_AUDITING_CLIENT_TEMPLATE.FAT&amp;display_string=Audit&amp;VAR:KEY=SBGRUJWPAB&amp;VAR:QUERY=Q1NGX0VCSVRfT1BFUihBTk4sMTIvMzEvODAsMCk=&amp;WINDOW=FIRST_POPUP&amp;HEIGHT=450&amp;WIDTH=450&amp;STAR","T_MAXIMIZED=FALSE&amp;VAR:CALENDAR=US&amp;VAR:SYMBOL=EMN&amp;VAR:INDEX=3"}</definedName>
    <definedName name="_624__FDSAUDITLINK__" hidden="1">{"fdsup://directions/FAT Viewer?action=UPDATE&amp;creator=factset&amp;DYN_ARGS=TRUE&amp;DOC_NAME=FAT:FQL_AUDITING_CLIENT_TEMPLATE.FAT&amp;display_string=Audit&amp;VAR:KEY=SBGRUJWPAB&amp;VAR:QUERY=Q1NGX0VCSVRfT1BFUihBTk4sMTIvMzEvODAsMCk=&amp;WINDOW=FIRST_POPUP&amp;HEIGHT=450&amp;WIDTH=450&amp;STAR","T_MAXIMIZED=FALSE&amp;VAR:CALENDAR=US&amp;VAR:SYMBOL=EMN&amp;VAR:INDEX=2"}</definedName>
    <definedName name="_625__FDSAUDITLINK__" hidden="1">{"fdsup://directions/FAT Viewer?action=UPDATE&amp;creator=factset&amp;DYN_ARGS=TRUE&amp;DOC_NAME=FAT:FQL_AUDITING_CLIENT_TEMPLATE.FAT&amp;display_string=Audit&amp;VAR:KEY=SBGRUJWPAB&amp;VAR:QUERY=Q1NGX0VCSVRfT1BFUihBTk4sMTIvMzEvODAsMCk=&amp;WINDOW=FIRST_POPUP&amp;HEIGHT=450&amp;WIDTH=450&amp;STAR","T_MAXIMIZED=FALSE&amp;VAR:CALENDAR=US&amp;VAR:SYMBOL=EMN&amp;VAR:INDEX=1"}</definedName>
    <definedName name="_626__FDSAUDITLINK__" hidden="1">{"fdsup://directions/FAT Viewer?action=UPDATE&amp;creator=factset&amp;DYN_ARGS=TRUE&amp;DOC_NAME=FAT:FQL_AUDITING_CLIENT_TEMPLATE.FAT&amp;display_string=Audit&amp;VAR:KEY=SBGRUJWPAB&amp;VAR:QUERY=Q1NGX0VCSVRfT1BFUihBTk4sMTIvMzEvODAsMCk=&amp;WINDOW=FIRST_POPUP&amp;HEIGHT=450&amp;WIDTH=450&amp;STAR","T_MAXIMIZED=FALSE&amp;VAR:CALENDAR=US&amp;VAR:SYMBOL=EMN&amp;VAR:INDEX=0"}</definedName>
    <definedName name="_627__FDSAUDITLINK__" hidden="1">{"fdsup://directions/FAT Viewer?action=UPDATE&amp;creator=factset&amp;DYN_ARGS=TRUE&amp;DOC_NAME=FAT:FQL_AUDITING_CLIENT_TEMPLATE.FAT&amp;display_string=Audit&amp;VAR:KEY=ATUBCZAXQB&amp;VAR:QUERY=Q1NGX0VCSVRfT1BFUihMVE1fUiwwKQ==&amp;WINDOW=FIRST_POPUP&amp;HEIGHT=450&amp;WIDTH=450&amp;START_MAXIMI","ZED=FALSE&amp;VAR:CALENDAR=US&amp;VAR:SYMBOL=DD&amp;VAR:INDEX=0"}</definedName>
    <definedName name="_628__FDSAUDITLINK__" hidden="1">{"fdsup://directions/FAT Viewer?action=UPDATE&amp;creator=factset&amp;DYN_ARGS=TRUE&amp;DOC_NAME=FAT:FQL_AUDITING_CLIENT_TEMPLATE.FAT&amp;display_string=Audit&amp;VAR:KEY=EDGRYNKPUZ&amp;VAR:QUERY=Q1NGX0VCSVRfT1BFUihBTk4sMTIvMzEvODAsMCk=&amp;WINDOW=FIRST_POPUP&amp;HEIGHT=450&amp;WIDTH=450&amp;STAR","T_MAXIMIZED=FALSE&amp;VAR:CALENDAR=US&amp;VAR:SYMBOL=DD&amp;VAR:INDEX=29"}</definedName>
    <definedName name="_629__FDSAUDITLINK__" hidden="1">{"fdsup://directions/FAT Viewer?action=UPDATE&amp;creator=factset&amp;DYN_ARGS=TRUE&amp;DOC_NAME=FAT:FQL_AUDITING_CLIENT_TEMPLATE.FAT&amp;display_string=Audit&amp;VAR:KEY=EDGRYNKPUZ&amp;VAR:QUERY=Q1NGX0VCSVRfT1BFUihBTk4sMTIvMzEvODAsMCk=&amp;WINDOW=FIRST_POPUP&amp;HEIGHT=450&amp;WIDTH=450&amp;STAR","T_MAXIMIZED=FALSE&amp;VAR:CALENDAR=US&amp;VAR:SYMBOL=DD&amp;VAR:INDEX=28"}</definedName>
    <definedName name="_63__FDSAUDITLINK__" hidden="1">{"fdsup://directions/FAT Viewer?action=UPDATE&amp;creator=factset&amp;DYN_ARGS=TRUE&amp;DOC_NAME=FAT:FQL_AUDITING_CLIENT_TEMPLATE.FAT&amp;display_string=Audit&amp;VAR:KEY=GZGPKVWBQR&amp;VAR:QUERY=Q1NGX0dST1NTX0lOQyhRVFJfUiwtM0FZLDAsRlEp&amp;WINDOW=FIRST_POPUP&amp;HEIGHT=450&amp;WIDTH=450&amp;STAR","T_MAXIMIZED=FALSE&amp;VAR:CALENDAR=US&amp;VAR:SYMBOL=DD&amp;VAR:INDEX=2"}</definedName>
    <definedName name="_630__FDSAUDITLINK__" hidden="1">{"fdsup://directions/FAT Viewer?action=UPDATE&amp;creator=factset&amp;DYN_ARGS=TRUE&amp;DOC_NAME=FAT:FQL_AUDITING_CLIENT_TEMPLATE.FAT&amp;display_string=Audit&amp;VAR:KEY=EDGRYNKPUZ&amp;VAR:QUERY=Q1NGX0VCSVRfT1BFUihBTk4sMTIvMzEvODAsMCk=&amp;WINDOW=FIRST_POPUP&amp;HEIGHT=450&amp;WIDTH=450&amp;STAR","T_MAXIMIZED=FALSE&amp;VAR:CALENDAR=US&amp;VAR:SYMBOL=DD&amp;VAR:INDEX=27"}</definedName>
    <definedName name="_631__FDSAUDITLINK__" hidden="1">{"fdsup://directions/FAT Viewer?action=UPDATE&amp;creator=factset&amp;DYN_ARGS=TRUE&amp;DOC_NAME=FAT:FQL_AUDITING_CLIENT_TEMPLATE.FAT&amp;display_string=Audit&amp;VAR:KEY=EDGRYNKPUZ&amp;VAR:QUERY=Q1NGX0VCSVRfT1BFUihBTk4sMTIvMzEvODAsMCk=&amp;WINDOW=FIRST_POPUP&amp;HEIGHT=450&amp;WIDTH=450&amp;STAR","T_MAXIMIZED=FALSE&amp;VAR:CALENDAR=US&amp;VAR:SYMBOL=DD&amp;VAR:INDEX=26"}</definedName>
    <definedName name="_632__FDSAUDITLINK__" hidden="1">{"fdsup://directions/FAT Viewer?action=UPDATE&amp;creator=factset&amp;DYN_ARGS=TRUE&amp;DOC_NAME=FAT:FQL_AUDITING_CLIENT_TEMPLATE.FAT&amp;display_string=Audit&amp;VAR:KEY=EDGRYNKPUZ&amp;VAR:QUERY=Q1NGX0VCSVRfT1BFUihBTk4sMTIvMzEvODAsMCk=&amp;WINDOW=FIRST_POPUP&amp;HEIGHT=450&amp;WIDTH=450&amp;STAR","T_MAXIMIZED=FALSE&amp;VAR:CALENDAR=US&amp;VAR:SYMBOL=DD&amp;VAR:INDEX=25"}</definedName>
    <definedName name="_633__FDSAUDITLINK__" hidden="1">{"fdsup://directions/FAT Viewer?action=UPDATE&amp;creator=factset&amp;DYN_ARGS=TRUE&amp;DOC_NAME=FAT:FQL_AUDITING_CLIENT_TEMPLATE.FAT&amp;display_string=Audit&amp;VAR:KEY=EDGRYNKPUZ&amp;VAR:QUERY=Q1NGX0VCSVRfT1BFUihBTk4sMTIvMzEvODAsMCk=&amp;WINDOW=FIRST_POPUP&amp;HEIGHT=450&amp;WIDTH=450&amp;STAR","T_MAXIMIZED=FALSE&amp;VAR:CALENDAR=US&amp;VAR:SYMBOL=DD&amp;VAR:INDEX=24"}</definedName>
    <definedName name="_634__FDSAUDITLINK__" hidden="1">{"fdsup://directions/FAT Viewer?action=UPDATE&amp;creator=factset&amp;DYN_ARGS=TRUE&amp;DOC_NAME=FAT:FQL_AUDITING_CLIENT_TEMPLATE.FAT&amp;display_string=Audit&amp;VAR:KEY=EDGRYNKPUZ&amp;VAR:QUERY=Q1NGX0VCSVRfT1BFUihBTk4sMTIvMzEvODAsMCk=&amp;WINDOW=FIRST_POPUP&amp;HEIGHT=450&amp;WIDTH=450&amp;STAR","T_MAXIMIZED=FALSE&amp;VAR:CALENDAR=US&amp;VAR:SYMBOL=DD&amp;VAR:INDEX=23"}</definedName>
    <definedName name="_635__FDSAUDITLINK__" hidden="1">{"fdsup://directions/FAT Viewer?action=UPDATE&amp;creator=factset&amp;DYN_ARGS=TRUE&amp;DOC_NAME=FAT:FQL_AUDITING_CLIENT_TEMPLATE.FAT&amp;display_string=Audit&amp;VAR:KEY=EDGRYNKPUZ&amp;VAR:QUERY=Q1NGX0VCSVRfT1BFUihBTk4sMTIvMzEvODAsMCk=&amp;WINDOW=FIRST_POPUP&amp;HEIGHT=450&amp;WIDTH=450&amp;STAR","T_MAXIMIZED=FALSE&amp;VAR:CALENDAR=US&amp;VAR:SYMBOL=DD&amp;VAR:INDEX=22"}</definedName>
    <definedName name="_636__FDSAUDITLINK__" hidden="1">{"fdsup://directions/FAT Viewer?action=UPDATE&amp;creator=factset&amp;DYN_ARGS=TRUE&amp;DOC_NAME=FAT:FQL_AUDITING_CLIENT_TEMPLATE.FAT&amp;display_string=Audit&amp;VAR:KEY=EDGRYNKPUZ&amp;VAR:QUERY=Q1NGX0VCSVRfT1BFUihBTk4sMTIvMzEvODAsMCk=&amp;WINDOW=FIRST_POPUP&amp;HEIGHT=450&amp;WIDTH=450&amp;STAR","T_MAXIMIZED=FALSE&amp;VAR:CALENDAR=US&amp;VAR:SYMBOL=DD&amp;VAR:INDEX=21"}</definedName>
    <definedName name="_637__FDSAUDITLINK__" hidden="1">{"fdsup://directions/FAT Viewer?action=UPDATE&amp;creator=factset&amp;DYN_ARGS=TRUE&amp;DOC_NAME=FAT:FQL_AUDITING_CLIENT_TEMPLATE.FAT&amp;display_string=Audit&amp;VAR:KEY=EDGRYNKPUZ&amp;VAR:QUERY=Q1NGX0VCSVRfT1BFUihBTk4sMTIvMzEvODAsMCk=&amp;WINDOW=FIRST_POPUP&amp;HEIGHT=450&amp;WIDTH=450&amp;STAR","T_MAXIMIZED=FALSE&amp;VAR:CALENDAR=US&amp;VAR:SYMBOL=DD&amp;VAR:INDEX=20"}</definedName>
    <definedName name="_638__FDSAUDITLINK__" hidden="1">{"fdsup://directions/FAT Viewer?action=UPDATE&amp;creator=factset&amp;DYN_ARGS=TRUE&amp;DOC_NAME=FAT:FQL_AUDITING_CLIENT_TEMPLATE.FAT&amp;display_string=Audit&amp;VAR:KEY=EDGRYNKPUZ&amp;VAR:QUERY=Q1NGX0VCSVRfT1BFUihBTk4sMTIvMzEvODAsMCk=&amp;WINDOW=FIRST_POPUP&amp;HEIGHT=450&amp;WIDTH=450&amp;STAR","T_MAXIMIZED=FALSE&amp;VAR:CALENDAR=US&amp;VAR:SYMBOL=DD&amp;VAR:INDEX=19"}</definedName>
    <definedName name="_639__FDSAUDITLINK__" hidden="1">{"fdsup://directions/FAT Viewer?action=UPDATE&amp;creator=factset&amp;DYN_ARGS=TRUE&amp;DOC_NAME=FAT:FQL_AUDITING_CLIENT_TEMPLATE.FAT&amp;display_string=Audit&amp;VAR:KEY=EDGRYNKPUZ&amp;VAR:QUERY=Q1NGX0VCSVRfT1BFUihBTk4sMTIvMzEvODAsMCk=&amp;WINDOW=FIRST_POPUP&amp;HEIGHT=450&amp;WIDTH=450&amp;STAR","T_MAXIMIZED=FALSE&amp;VAR:CALENDAR=US&amp;VAR:SYMBOL=DD&amp;VAR:INDEX=18"}</definedName>
    <definedName name="_64__FDSAUDITLINK__" hidden="1">{"fdsup://directions/FAT Viewer?action=UPDATE&amp;creator=factset&amp;DYN_ARGS=TRUE&amp;DOC_NAME=FAT:FQL_AUDITING_CLIENT_TEMPLATE.FAT&amp;display_string=Audit&amp;VAR:KEY=GZGPKVWBQR&amp;VAR:QUERY=Q1NGX0dST1NTX0lOQyhRVFJfUiwtM0FZLDAsRlEp&amp;WINDOW=FIRST_POPUP&amp;HEIGHT=450&amp;WIDTH=450&amp;STAR","T_MAXIMIZED=FALSE&amp;VAR:CALENDAR=US&amp;VAR:SYMBOL=DD&amp;VAR:INDEX=1"}</definedName>
    <definedName name="_640__FDSAUDITLINK__" hidden="1">{"fdsup://directions/FAT Viewer?action=UPDATE&amp;creator=factset&amp;DYN_ARGS=TRUE&amp;DOC_NAME=FAT:FQL_AUDITING_CLIENT_TEMPLATE.FAT&amp;display_string=Audit&amp;VAR:KEY=EDGRYNKPUZ&amp;VAR:QUERY=Q1NGX0VCSVRfT1BFUihBTk4sMTIvMzEvODAsMCk=&amp;WINDOW=FIRST_POPUP&amp;HEIGHT=450&amp;WIDTH=450&amp;STAR","T_MAXIMIZED=FALSE&amp;VAR:CALENDAR=US&amp;VAR:SYMBOL=DD&amp;VAR:INDEX=17"}</definedName>
    <definedName name="_641__FDSAUDITLINK__" hidden="1">{"fdsup://directions/FAT Viewer?action=UPDATE&amp;creator=factset&amp;DYN_ARGS=TRUE&amp;DOC_NAME=FAT:FQL_AUDITING_CLIENT_TEMPLATE.FAT&amp;display_string=Audit&amp;VAR:KEY=EDGRYNKPUZ&amp;VAR:QUERY=Q1NGX0VCSVRfT1BFUihBTk4sMTIvMzEvODAsMCk=&amp;WINDOW=FIRST_POPUP&amp;HEIGHT=450&amp;WIDTH=450&amp;STAR","T_MAXIMIZED=FALSE&amp;VAR:CALENDAR=US&amp;VAR:SYMBOL=DD&amp;VAR:INDEX=16"}</definedName>
    <definedName name="_642__FDSAUDITLINK__" hidden="1">{"fdsup://directions/FAT Viewer?action=UPDATE&amp;creator=factset&amp;DYN_ARGS=TRUE&amp;DOC_NAME=FAT:FQL_AUDITING_CLIENT_TEMPLATE.FAT&amp;display_string=Audit&amp;VAR:KEY=EDGRYNKPUZ&amp;VAR:QUERY=Q1NGX0VCSVRfT1BFUihBTk4sMTIvMzEvODAsMCk=&amp;WINDOW=FIRST_POPUP&amp;HEIGHT=450&amp;WIDTH=450&amp;STAR","T_MAXIMIZED=FALSE&amp;VAR:CALENDAR=US&amp;VAR:SYMBOL=DD&amp;VAR:INDEX=15"}</definedName>
    <definedName name="_643__FDSAUDITLINK__" hidden="1">{"fdsup://directions/FAT Viewer?action=UPDATE&amp;creator=factset&amp;DYN_ARGS=TRUE&amp;DOC_NAME=FAT:FQL_AUDITING_CLIENT_TEMPLATE.FAT&amp;display_string=Audit&amp;VAR:KEY=EDGRYNKPUZ&amp;VAR:QUERY=Q1NGX0VCSVRfT1BFUihBTk4sMTIvMzEvODAsMCk=&amp;WINDOW=FIRST_POPUP&amp;HEIGHT=450&amp;WIDTH=450&amp;STAR","T_MAXIMIZED=FALSE&amp;VAR:CALENDAR=US&amp;VAR:SYMBOL=DD&amp;VAR:INDEX=14"}</definedName>
    <definedName name="_644__FDSAUDITLINK__" hidden="1">{"fdsup://directions/FAT Viewer?action=UPDATE&amp;creator=factset&amp;DYN_ARGS=TRUE&amp;DOC_NAME=FAT:FQL_AUDITING_CLIENT_TEMPLATE.FAT&amp;display_string=Audit&amp;VAR:KEY=EDGRYNKPUZ&amp;VAR:QUERY=Q1NGX0VCSVRfT1BFUihBTk4sMTIvMzEvODAsMCk=&amp;WINDOW=FIRST_POPUP&amp;HEIGHT=450&amp;WIDTH=450&amp;STAR","T_MAXIMIZED=FALSE&amp;VAR:CALENDAR=US&amp;VAR:SYMBOL=DD&amp;VAR:INDEX=13"}</definedName>
    <definedName name="_645__FDSAUDITLINK__" hidden="1">{"fdsup://directions/FAT Viewer?action=UPDATE&amp;creator=factset&amp;DYN_ARGS=TRUE&amp;DOC_NAME=FAT:FQL_AUDITING_CLIENT_TEMPLATE.FAT&amp;display_string=Audit&amp;VAR:KEY=EDGRYNKPUZ&amp;VAR:QUERY=Q1NGX0VCSVRfT1BFUihBTk4sMTIvMzEvODAsMCk=&amp;WINDOW=FIRST_POPUP&amp;HEIGHT=450&amp;WIDTH=450&amp;STAR","T_MAXIMIZED=FALSE&amp;VAR:CALENDAR=US&amp;VAR:SYMBOL=DD&amp;VAR:INDEX=12"}</definedName>
    <definedName name="_646__FDSAUDITLINK__" hidden="1">{"fdsup://directions/FAT Viewer?action=UPDATE&amp;creator=factset&amp;DYN_ARGS=TRUE&amp;DOC_NAME=FAT:FQL_AUDITING_CLIENT_TEMPLATE.FAT&amp;display_string=Audit&amp;VAR:KEY=EDGRYNKPUZ&amp;VAR:QUERY=Q1NGX0VCSVRfT1BFUihBTk4sMTIvMzEvODAsMCk=&amp;WINDOW=FIRST_POPUP&amp;HEIGHT=450&amp;WIDTH=450&amp;STAR","T_MAXIMIZED=FALSE&amp;VAR:CALENDAR=US&amp;VAR:SYMBOL=DD&amp;VAR:INDEX=11"}</definedName>
    <definedName name="_647__FDSAUDITLINK__" hidden="1">{"fdsup://directions/FAT Viewer?action=UPDATE&amp;creator=factset&amp;DYN_ARGS=TRUE&amp;DOC_NAME=FAT:FQL_AUDITING_CLIENT_TEMPLATE.FAT&amp;display_string=Audit&amp;VAR:KEY=EDGRYNKPUZ&amp;VAR:QUERY=Q1NGX0VCSVRfT1BFUihBTk4sMTIvMzEvODAsMCk=&amp;WINDOW=FIRST_POPUP&amp;HEIGHT=450&amp;WIDTH=450&amp;STAR","T_MAXIMIZED=FALSE&amp;VAR:CALENDAR=US&amp;VAR:SYMBOL=DD&amp;VAR:INDEX=10"}</definedName>
    <definedName name="_648__FDSAUDITLINK__" hidden="1">{"fdsup://directions/FAT Viewer?action=UPDATE&amp;creator=factset&amp;DYN_ARGS=TRUE&amp;DOC_NAME=FAT:FQL_AUDITING_CLIENT_TEMPLATE.FAT&amp;display_string=Audit&amp;VAR:KEY=EDGRYNKPUZ&amp;VAR:QUERY=Q1NGX0VCSVRfT1BFUihBTk4sMTIvMzEvODAsMCk=&amp;WINDOW=FIRST_POPUP&amp;HEIGHT=450&amp;WIDTH=450&amp;STAR","T_MAXIMIZED=FALSE&amp;VAR:CALENDAR=US&amp;VAR:SYMBOL=DD&amp;VAR:INDEX=9"}</definedName>
    <definedName name="_649__FDSAUDITLINK__" hidden="1">{"fdsup://directions/FAT Viewer?action=UPDATE&amp;creator=factset&amp;DYN_ARGS=TRUE&amp;DOC_NAME=FAT:FQL_AUDITING_CLIENT_TEMPLATE.FAT&amp;display_string=Audit&amp;VAR:KEY=EDGRYNKPUZ&amp;VAR:QUERY=Q1NGX0VCSVRfT1BFUihBTk4sMTIvMzEvODAsMCk=&amp;WINDOW=FIRST_POPUP&amp;HEIGHT=450&amp;WIDTH=450&amp;STAR","T_MAXIMIZED=FALSE&amp;VAR:CALENDAR=US&amp;VAR:SYMBOL=DD&amp;VAR:INDEX=8"}</definedName>
    <definedName name="_65__FDSAUDITLINK__" hidden="1">{"fdsup://directions/FAT Viewer?action=UPDATE&amp;creator=factset&amp;DYN_ARGS=TRUE&amp;DOC_NAME=FAT:FQL_AUDITING_CLIENT_TEMPLATE.FAT&amp;display_string=Audit&amp;VAR:KEY=GZGPKVWBQR&amp;VAR:QUERY=Q1NGX0dST1NTX0lOQyhRVFJfUiwtM0FZLDAsRlEp&amp;WINDOW=FIRST_POPUP&amp;HEIGHT=450&amp;WIDTH=450&amp;STAR","T_MAXIMIZED=FALSE&amp;VAR:CALENDAR=US&amp;VAR:SYMBOL=DD&amp;VAR:INDEX=0"}</definedName>
    <definedName name="_650__FDSAUDITLINK__" hidden="1">{"fdsup://directions/FAT Viewer?action=UPDATE&amp;creator=factset&amp;DYN_ARGS=TRUE&amp;DOC_NAME=FAT:FQL_AUDITING_CLIENT_TEMPLATE.FAT&amp;display_string=Audit&amp;VAR:KEY=EDGRYNKPUZ&amp;VAR:QUERY=Q1NGX0VCSVRfT1BFUihBTk4sMTIvMzEvODAsMCk=&amp;WINDOW=FIRST_POPUP&amp;HEIGHT=450&amp;WIDTH=450&amp;STAR","T_MAXIMIZED=FALSE&amp;VAR:CALENDAR=US&amp;VAR:SYMBOL=DD&amp;VAR:INDEX=7"}</definedName>
    <definedName name="_651__FDSAUDITLINK__" hidden="1">{"fdsup://directions/FAT Viewer?action=UPDATE&amp;creator=factset&amp;DYN_ARGS=TRUE&amp;DOC_NAME=FAT:FQL_AUDITING_CLIENT_TEMPLATE.FAT&amp;display_string=Audit&amp;VAR:KEY=EDGRYNKPUZ&amp;VAR:QUERY=Q1NGX0VCSVRfT1BFUihBTk4sMTIvMzEvODAsMCk=&amp;WINDOW=FIRST_POPUP&amp;HEIGHT=450&amp;WIDTH=450&amp;STAR","T_MAXIMIZED=FALSE&amp;VAR:CALENDAR=US&amp;VAR:SYMBOL=DD&amp;VAR:INDEX=6"}</definedName>
    <definedName name="_652__FDSAUDITLINK__" hidden="1">{"fdsup://directions/FAT Viewer?action=UPDATE&amp;creator=factset&amp;DYN_ARGS=TRUE&amp;DOC_NAME=FAT:FQL_AUDITING_CLIENT_TEMPLATE.FAT&amp;display_string=Audit&amp;VAR:KEY=EDGRYNKPUZ&amp;VAR:QUERY=Q1NGX0VCSVRfT1BFUihBTk4sMTIvMzEvODAsMCk=&amp;WINDOW=FIRST_POPUP&amp;HEIGHT=450&amp;WIDTH=450&amp;STAR","T_MAXIMIZED=FALSE&amp;VAR:CALENDAR=US&amp;VAR:SYMBOL=DD&amp;VAR:INDEX=5"}</definedName>
    <definedName name="_653__FDSAUDITLINK__" hidden="1">{"fdsup://directions/FAT Viewer?action=UPDATE&amp;creator=factset&amp;DYN_ARGS=TRUE&amp;DOC_NAME=FAT:FQL_AUDITING_CLIENT_TEMPLATE.FAT&amp;display_string=Audit&amp;VAR:KEY=EDGRYNKPUZ&amp;VAR:QUERY=Q1NGX0VCSVRfT1BFUihBTk4sMTIvMzEvODAsMCk=&amp;WINDOW=FIRST_POPUP&amp;HEIGHT=450&amp;WIDTH=450&amp;STAR","T_MAXIMIZED=FALSE&amp;VAR:CALENDAR=US&amp;VAR:SYMBOL=DD&amp;VAR:INDEX=4"}</definedName>
    <definedName name="_654__FDSAUDITLINK__" hidden="1">{"fdsup://directions/FAT Viewer?action=UPDATE&amp;creator=factset&amp;DYN_ARGS=TRUE&amp;DOC_NAME=FAT:FQL_AUDITING_CLIENT_TEMPLATE.FAT&amp;display_string=Audit&amp;VAR:KEY=EDGRYNKPUZ&amp;VAR:QUERY=Q1NGX0VCSVRfT1BFUihBTk4sMTIvMzEvODAsMCk=&amp;WINDOW=FIRST_POPUP&amp;HEIGHT=450&amp;WIDTH=450&amp;STAR","T_MAXIMIZED=FALSE&amp;VAR:CALENDAR=US&amp;VAR:SYMBOL=DD&amp;VAR:INDEX=3"}</definedName>
    <definedName name="_655__FDSAUDITLINK__" hidden="1">{"fdsup://directions/FAT Viewer?action=UPDATE&amp;creator=factset&amp;DYN_ARGS=TRUE&amp;DOC_NAME=FAT:FQL_AUDITING_CLIENT_TEMPLATE.FAT&amp;display_string=Audit&amp;VAR:KEY=EDGRYNKPUZ&amp;VAR:QUERY=Q1NGX0VCSVRfT1BFUihBTk4sMTIvMzEvODAsMCk=&amp;WINDOW=FIRST_POPUP&amp;HEIGHT=450&amp;WIDTH=450&amp;STAR","T_MAXIMIZED=FALSE&amp;VAR:CALENDAR=US&amp;VAR:SYMBOL=DD&amp;VAR:INDEX=2"}</definedName>
    <definedName name="_656__FDSAUDITLINK__" hidden="1">{"fdsup://directions/FAT Viewer?action=UPDATE&amp;creator=factset&amp;DYN_ARGS=TRUE&amp;DOC_NAME=FAT:FQL_AUDITING_CLIENT_TEMPLATE.FAT&amp;display_string=Audit&amp;VAR:KEY=EDGRYNKPUZ&amp;VAR:QUERY=Q1NGX0VCSVRfT1BFUihBTk4sMTIvMzEvODAsMCk=&amp;WINDOW=FIRST_POPUP&amp;HEIGHT=450&amp;WIDTH=450&amp;STAR","T_MAXIMIZED=FALSE&amp;VAR:CALENDAR=US&amp;VAR:SYMBOL=DD&amp;VAR:INDEX=1"}</definedName>
    <definedName name="_657__FDSAUDITLINK__" hidden="1">{"fdsup://directions/FAT Viewer?action=UPDATE&amp;creator=factset&amp;DYN_ARGS=TRUE&amp;DOC_NAME=FAT:FQL_AUDITING_CLIENT_TEMPLATE.FAT&amp;display_string=Audit&amp;VAR:KEY=EDGRYNKPUZ&amp;VAR:QUERY=Q1NGX0VCSVRfT1BFUihBTk4sMTIvMzEvODAsMCk=&amp;WINDOW=FIRST_POPUP&amp;HEIGHT=450&amp;WIDTH=450&amp;STAR","T_MAXIMIZED=FALSE&amp;VAR:CALENDAR=US&amp;VAR:SYMBOL=DD&amp;VAR:INDEX=0"}</definedName>
    <definedName name="_658__FDSAUDITLINK__" hidden="1">{"fdsup://directions/FAT Viewer?action=UPDATE&amp;creator=factset&amp;DYN_ARGS=TRUE&amp;DOC_NAME=FAT:FQL_AUDITING_CLIENT_TEMPLATE.FAT&amp;display_string=Audit&amp;VAR:KEY=KXKJGZAVWB&amp;VAR:QUERY=Q1NGX0VCSVRfT1BFUihMVE1fUiwwKQ==&amp;WINDOW=FIRST_POPUP&amp;HEIGHT=450&amp;WIDTH=450&amp;START_MAXIMI","ZED=FALSE&amp;VAR:CALENDAR=US&amp;VAR:SYMBOL=DOW&amp;VAR:INDEX=0"}</definedName>
    <definedName name="_659__FDSAUDITLINK__" hidden="1">{"fdsup://directions/FAT Viewer?action=UPDATE&amp;creator=factset&amp;DYN_ARGS=TRUE&amp;DOC_NAME=FAT:FQL_AUDITING_CLIENT_TEMPLATE.FAT&amp;display_string=Audit&amp;VAR:KEY=QNCLURCHUB&amp;VAR:QUERY=Q1NGX0VCSVRfT1BFUihBTk4sMTIvMzEvODAsMCk=&amp;WINDOW=FIRST_POPUP&amp;HEIGHT=450&amp;WIDTH=450&amp;STAR","T_MAXIMIZED=FALSE&amp;VAR:CALENDAR=US&amp;VAR:SYMBOL=DOW&amp;VAR:INDEX=29"}</definedName>
    <definedName name="_66__FDSAUDITLINK__" hidden="1">{"fdsup://directions/FAT Viewer?action=UPDATE&amp;creator=factset&amp;DYN_ARGS=TRUE&amp;DOC_NAME=FAT:FQL_AUDITING_CLIENT_TEMPLATE.FAT&amp;display_string=Audit&amp;VAR:KEY=EHAPAZCHGT&amp;VAR:QUERY=Q1NGX0VCSVRfT1BFUihRVFJfUiwtM0FZLDAsRlEp&amp;WINDOW=FIRST_POPUP&amp;HEIGHT=450&amp;WIDTH=450&amp;STAR","T_MAXIMIZED=FALSE&amp;VAR:CALENDAR=US&amp;VAR:SYMBOL=EMN&amp;VAR:INDEX=12"}</definedName>
    <definedName name="_660__FDSAUDITLINK__" hidden="1">{"fdsup://directions/FAT Viewer?action=UPDATE&amp;creator=factset&amp;DYN_ARGS=TRUE&amp;DOC_NAME=FAT:FQL_AUDITING_CLIENT_TEMPLATE.FAT&amp;display_string=Audit&amp;VAR:KEY=QNCLURCHUB&amp;VAR:QUERY=Q1NGX0VCSVRfT1BFUihBTk4sMTIvMzEvODAsMCk=&amp;WINDOW=FIRST_POPUP&amp;HEIGHT=450&amp;WIDTH=450&amp;STAR","T_MAXIMIZED=FALSE&amp;VAR:CALENDAR=US&amp;VAR:SYMBOL=DOW&amp;VAR:INDEX=28"}</definedName>
    <definedName name="_661__FDSAUDITLINK__" hidden="1">{"fdsup://directions/FAT Viewer?action=UPDATE&amp;creator=factset&amp;DYN_ARGS=TRUE&amp;DOC_NAME=FAT:FQL_AUDITING_CLIENT_TEMPLATE.FAT&amp;display_string=Audit&amp;VAR:KEY=QNCLURCHUB&amp;VAR:QUERY=Q1NGX0VCSVRfT1BFUihBTk4sMTIvMzEvODAsMCk=&amp;WINDOW=FIRST_POPUP&amp;HEIGHT=450&amp;WIDTH=450&amp;STAR","T_MAXIMIZED=FALSE&amp;VAR:CALENDAR=US&amp;VAR:SYMBOL=DOW&amp;VAR:INDEX=27"}</definedName>
    <definedName name="_662__FDSAUDITLINK__" hidden="1">{"fdsup://directions/FAT Viewer?action=UPDATE&amp;creator=factset&amp;DYN_ARGS=TRUE&amp;DOC_NAME=FAT:FQL_AUDITING_CLIENT_TEMPLATE.FAT&amp;display_string=Audit&amp;VAR:KEY=QNCLURCHUB&amp;VAR:QUERY=Q1NGX0VCSVRfT1BFUihBTk4sMTIvMzEvODAsMCk=&amp;WINDOW=FIRST_POPUP&amp;HEIGHT=450&amp;WIDTH=450&amp;STAR","T_MAXIMIZED=FALSE&amp;VAR:CALENDAR=US&amp;VAR:SYMBOL=DOW&amp;VAR:INDEX=26"}</definedName>
    <definedName name="_663__FDSAUDITLINK__" hidden="1">{"fdsup://directions/FAT Viewer?action=UPDATE&amp;creator=factset&amp;DYN_ARGS=TRUE&amp;DOC_NAME=FAT:FQL_AUDITING_CLIENT_TEMPLATE.FAT&amp;display_string=Audit&amp;VAR:KEY=QNCLURCHUB&amp;VAR:QUERY=Q1NGX0VCSVRfT1BFUihBTk4sMTIvMzEvODAsMCk=&amp;WINDOW=FIRST_POPUP&amp;HEIGHT=450&amp;WIDTH=450&amp;STAR","T_MAXIMIZED=FALSE&amp;VAR:CALENDAR=US&amp;VAR:SYMBOL=DOW&amp;VAR:INDEX=25"}</definedName>
    <definedName name="_664__FDSAUDITLINK__" hidden="1">{"fdsup://directions/FAT Viewer?action=UPDATE&amp;creator=factset&amp;DYN_ARGS=TRUE&amp;DOC_NAME=FAT:FQL_AUDITING_CLIENT_TEMPLATE.FAT&amp;display_string=Audit&amp;VAR:KEY=QNCLURCHUB&amp;VAR:QUERY=Q1NGX0VCSVRfT1BFUihBTk4sMTIvMzEvODAsMCk=&amp;WINDOW=FIRST_POPUP&amp;HEIGHT=450&amp;WIDTH=450&amp;STAR","T_MAXIMIZED=FALSE&amp;VAR:CALENDAR=US&amp;VAR:SYMBOL=DOW&amp;VAR:INDEX=24"}</definedName>
    <definedName name="_665__FDSAUDITLINK__" hidden="1">{"fdsup://directions/FAT Viewer?action=UPDATE&amp;creator=factset&amp;DYN_ARGS=TRUE&amp;DOC_NAME=FAT:FQL_AUDITING_CLIENT_TEMPLATE.FAT&amp;display_string=Audit&amp;VAR:KEY=QNCLURCHUB&amp;VAR:QUERY=Q1NGX0VCSVRfT1BFUihBTk4sMTIvMzEvODAsMCk=&amp;WINDOW=FIRST_POPUP&amp;HEIGHT=450&amp;WIDTH=450&amp;STAR","T_MAXIMIZED=FALSE&amp;VAR:CALENDAR=US&amp;VAR:SYMBOL=DOW&amp;VAR:INDEX=23"}</definedName>
    <definedName name="_666__FDSAUDITLINK__" hidden="1">{"fdsup://directions/FAT Viewer?action=UPDATE&amp;creator=factset&amp;DYN_ARGS=TRUE&amp;DOC_NAME=FAT:FQL_AUDITING_CLIENT_TEMPLATE.FAT&amp;display_string=Audit&amp;VAR:KEY=QNCLURCHUB&amp;VAR:QUERY=Q1NGX0VCSVRfT1BFUihBTk4sMTIvMzEvODAsMCk=&amp;WINDOW=FIRST_POPUP&amp;HEIGHT=450&amp;WIDTH=450&amp;STAR","T_MAXIMIZED=FALSE&amp;VAR:CALENDAR=US&amp;VAR:SYMBOL=DOW&amp;VAR:INDEX=22"}</definedName>
    <definedName name="_667__FDSAUDITLINK__" hidden="1">{"fdsup://directions/FAT Viewer?action=UPDATE&amp;creator=factset&amp;DYN_ARGS=TRUE&amp;DOC_NAME=FAT:FQL_AUDITING_CLIENT_TEMPLATE.FAT&amp;display_string=Audit&amp;VAR:KEY=QNCLURCHUB&amp;VAR:QUERY=Q1NGX0VCSVRfT1BFUihBTk4sMTIvMzEvODAsMCk=&amp;WINDOW=FIRST_POPUP&amp;HEIGHT=450&amp;WIDTH=450&amp;STAR","T_MAXIMIZED=FALSE&amp;VAR:CALENDAR=US&amp;VAR:SYMBOL=DOW&amp;VAR:INDEX=21"}</definedName>
    <definedName name="_668__FDSAUDITLINK__" hidden="1">{"fdsup://directions/FAT Viewer?action=UPDATE&amp;creator=factset&amp;DYN_ARGS=TRUE&amp;DOC_NAME=FAT:FQL_AUDITING_CLIENT_TEMPLATE.FAT&amp;display_string=Audit&amp;VAR:KEY=QNCLURCHUB&amp;VAR:QUERY=Q1NGX0VCSVRfT1BFUihBTk4sMTIvMzEvODAsMCk=&amp;WINDOW=FIRST_POPUP&amp;HEIGHT=450&amp;WIDTH=450&amp;STAR","T_MAXIMIZED=FALSE&amp;VAR:CALENDAR=US&amp;VAR:SYMBOL=DOW&amp;VAR:INDEX=20"}</definedName>
    <definedName name="_669__FDSAUDITLINK__" hidden="1">{"fdsup://directions/FAT Viewer?action=UPDATE&amp;creator=factset&amp;DYN_ARGS=TRUE&amp;DOC_NAME=FAT:FQL_AUDITING_CLIENT_TEMPLATE.FAT&amp;display_string=Audit&amp;VAR:KEY=QNCLURCHUB&amp;VAR:QUERY=Q1NGX0VCSVRfT1BFUihBTk4sMTIvMzEvODAsMCk=&amp;WINDOW=FIRST_POPUP&amp;HEIGHT=450&amp;WIDTH=450&amp;STAR","T_MAXIMIZED=FALSE&amp;VAR:CALENDAR=US&amp;VAR:SYMBOL=DOW&amp;VAR:INDEX=19"}</definedName>
    <definedName name="_67__FDSAUDITLINK__" hidden="1">{"fdsup://directions/FAT Viewer?action=UPDATE&amp;creator=factset&amp;DYN_ARGS=TRUE&amp;DOC_NAME=FAT:FQL_AUDITING_CLIENT_TEMPLATE.FAT&amp;display_string=Audit&amp;VAR:KEY=EHAPAZCHGT&amp;VAR:QUERY=Q1NGX0VCSVRfT1BFUihRVFJfUiwtM0FZLDAsRlEp&amp;WINDOW=FIRST_POPUP&amp;HEIGHT=450&amp;WIDTH=450&amp;STAR","T_MAXIMIZED=FALSE&amp;VAR:CALENDAR=US&amp;VAR:SYMBOL=EMN&amp;VAR:INDEX=11"}</definedName>
    <definedName name="_670__FDSAUDITLINK__" hidden="1">{"fdsup://directions/FAT Viewer?action=UPDATE&amp;creator=factset&amp;DYN_ARGS=TRUE&amp;DOC_NAME=FAT:FQL_AUDITING_CLIENT_TEMPLATE.FAT&amp;display_string=Audit&amp;VAR:KEY=QNCLURCHUB&amp;VAR:QUERY=Q1NGX0VCSVRfT1BFUihBTk4sMTIvMzEvODAsMCk=&amp;WINDOW=FIRST_POPUP&amp;HEIGHT=450&amp;WIDTH=450&amp;STAR","T_MAXIMIZED=FALSE&amp;VAR:CALENDAR=US&amp;VAR:SYMBOL=DOW&amp;VAR:INDEX=18"}</definedName>
    <definedName name="_671__FDSAUDITLINK__" hidden="1">{"fdsup://directions/FAT Viewer?action=UPDATE&amp;creator=factset&amp;DYN_ARGS=TRUE&amp;DOC_NAME=FAT:FQL_AUDITING_CLIENT_TEMPLATE.FAT&amp;display_string=Audit&amp;VAR:KEY=QNCLURCHUB&amp;VAR:QUERY=Q1NGX0VCSVRfT1BFUihBTk4sMTIvMzEvODAsMCk=&amp;WINDOW=FIRST_POPUP&amp;HEIGHT=450&amp;WIDTH=450&amp;STAR","T_MAXIMIZED=FALSE&amp;VAR:CALENDAR=US&amp;VAR:SYMBOL=DOW&amp;VAR:INDEX=17"}</definedName>
    <definedName name="_672__FDSAUDITLINK__" hidden="1">{"fdsup://directions/FAT Viewer?action=UPDATE&amp;creator=factset&amp;DYN_ARGS=TRUE&amp;DOC_NAME=FAT:FQL_AUDITING_CLIENT_TEMPLATE.FAT&amp;display_string=Audit&amp;VAR:KEY=QNCLURCHUB&amp;VAR:QUERY=Q1NGX0VCSVRfT1BFUihBTk4sMTIvMzEvODAsMCk=&amp;WINDOW=FIRST_POPUP&amp;HEIGHT=450&amp;WIDTH=450&amp;STAR","T_MAXIMIZED=FALSE&amp;VAR:CALENDAR=US&amp;VAR:SYMBOL=DOW&amp;VAR:INDEX=16"}</definedName>
    <definedName name="_673__FDSAUDITLINK__" hidden="1">{"fdsup://directions/FAT Viewer?action=UPDATE&amp;creator=factset&amp;DYN_ARGS=TRUE&amp;DOC_NAME=FAT:FQL_AUDITING_CLIENT_TEMPLATE.FAT&amp;display_string=Audit&amp;VAR:KEY=QNCLURCHUB&amp;VAR:QUERY=Q1NGX0VCSVRfT1BFUihBTk4sMTIvMzEvODAsMCk=&amp;WINDOW=FIRST_POPUP&amp;HEIGHT=450&amp;WIDTH=450&amp;STAR","T_MAXIMIZED=FALSE&amp;VAR:CALENDAR=US&amp;VAR:SYMBOL=DOW&amp;VAR:INDEX=15"}</definedName>
    <definedName name="_674__FDSAUDITLINK__" hidden="1">{"fdsup://directions/FAT Viewer?action=UPDATE&amp;creator=factset&amp;DYN_ARGS=TRUE&amp;DOC_NAME=FAT:FQL_AUDITING_CLIENT_TEMPLATE.FAT&amp;display_string=Audit&amp;VAR:KEY=QNCLURCHUB&amp;VAR:QUERY=Q1NGX0VCSVRfT1BFUihBTk4sMTIvMzEvODAsMCk=&amp;WINDOW=FIRST_POPUP&amp;HEIGHT=450&amp;WIDTH=450&amp;STAR","T_MAXIMIZED=FALSE&amp;VAR:CALENDAR=US&amp;VAR:SYMBOL=DOW&amp;VAR:INDEX=14"}</definedName>
    <definedName name="_675__FDSAUDITLINK__" hidden="1">{"fdsup://directions/FAT Viewer?action=UPDATE&amp;creator=factset&amp;DYN_ARGS=TRUE&amp;DOC_NAME=FAT:FQL_AUDITING_CLIENT_TEMPLATE.FAT&amp;display_string=Audit&amp;VAR:KEY=QNCLURCHUB&amp;VAR:QUERY=Q1NGX0VCSVRfT1BFUihBTk4sMTIvMzEvODAsMCk=&amp;WINDOW=FIRST_POPUP&amp;HEIGHT=450&amp;WIDTH=450&amp;STAR","T_MAXIMIZED=FALSE&amp;VAR:CALENDAR=US&amp;VAR:SYMBOL=DOW&amp;VAR:INDEX=13"}</definedName>
    <definedName name="_676__FDSAUDITLINK__" hidden="1">{"fdsup://directions/FAT Viewer?action=UPDATE&amp;creator=factset&amp;DYN_ARGS=TRUE&amp;DOC_NAME=FAT:FQL_AUDITING_CLIENT_TEMPLATE.FAT&amp;display_string=Audit&amp;VAR:KEY=QNCLURCHUB&amp;VAR:QUERY=Q1NGX0VCSVRfT1BFUihBTk4sMTIvMzEvODAsMCk=&amp;WINDOW=FIRST_POPUP&amp;HEIGHT=450&amp;WIDTH=450&amp;STAR","T_MAXIMIZED=FALSE&amp;VAR:CALENDAR=US&amp;VAR:SYMBOL=DOW&amp;VAR:INDEX=12"}</definedName>
    <definedName name="_677__FDSAUDITLINK__" hidden="1">{"fdsup://directions/FAT Viewer?action=UPDATE&amp;creator=factset&amp;DYN_ARGS=TRUE&amp;DOC_NAME=FAT:FQL_AUDITING_CLIENT_TEMPLATE.FAT&amp;display_string=Audit&amp;VAR:KEY=QNCLURCHUB&amp;VAR:QUERY=Q1NGX0VCSVRfT1BFUihBTk4sMTIvMzEvODAsMCk=&amp;WINDOW=FIRST_POPUP&amp;HEIGHT=450&amp;WIDTH=450&amp;STAR","T_MAXIMIZED=FALSE&amp;VAR:CALENDAR=US&amp;VAR:SYMBOL=DOW&amp;VAR:INDEX=11"}</definedName>
    <definedName name="_678__FDSAUDITLINK__" hidden="1">{"fdsup://directions/FAT Viewer?action=UPDATE&amp;creator=factset&amp;DYN_ARGS=TRUE&amp;DOC_NAME=FAT:FQL_AUDITING_CLIENT_TEMPLATE.FAT&amp;display_string=Audit&amp;VAR:KEY=QNCLURCHUB&amp;VAR:QUERY=Q1NGX0VCSVRfT1BFUihBTk4sMTIvMzEvODAsMCk=&amp;WINDOW=FIRST_POPUP&amp;HEIGHT=450&amp;WIDTH=450&amp;STAR","T_MAXIMIZED=FALSE&amp;VAR:CALENDAR=US&amp;VAR:SYMBOL=DOW&amp;VAR:INDEX=10"}</definedName>
    <definedName name="_679__FDSAUDITLINK__" hidden="1">{"fdsup://directions/FAT Viewer?action=UPDATE&amp;creator=factset&amp;DYN_ARGS=TRUE&amp;DOC_NAME=FAT:FQL_AUDITING_CLIENT_TEMPLATE.FAT&amp;display_string=Audit&amp;VAR:KEY=QNCLURCHUB&amp;VAR:QUERY=Q1NGX0VCSVRfT1BFUihBTk4sMTIvMzEvODAsMCk=&amp;WINDOW=FIRST_POPUP&amp;HEIGHT=450&amp;WIDTH=450&amp;STAR","T_MAXIMIZED=FALSE&amp;VAR:CALENDAR=US&amp;VAR:SYMBOL=DOW&amp;VAR:INDEX=9"}</definedName>
    <definedName name="_68__FDSAUDITLINK__" hidden="1">{"fdsup://directions/FAT Viewer?action=UPDATE&amp;creator=factset&amp;DYN_ARGS=TRUE&amp;DOC_NAME=FAT:FQL_AUDITING_CLIENT_TEMPLATE.FAT&amp;display_string=Audit&amp;VAR:KEY=EHAPAZCHGT&amp;VAR:QUERY=Q1NGX0VCSVRfT1BFUihRVFJfUiwtM0FZLDAsRlEp&amp;WINDOW=FIRST_POPUP&amp;HEIGHT=450&amp;WIDTH=450&amp;STAR","T_MAXIMIZED=FALSE&amp;VAR:CALENDAR=US&amp;VAR:SYMBOL=EMN&amp;VAR:INDEX=10"}</definedName>
    <definedName name="_680__FDSAUDITLINK__" hidden="1">{"fdsup://directions/FAT Viewer?action=UPDATE&amp;creator=factset&amp;DYN_ARGS=TRUE&amp;DOC_NAME=FAT:FQL_AUDITING_CLIENT_TEMPLATE.FAT&amp;display_string=Audit&amp;VAR:KEY=QNCLURCHUB&amp;VAR:QUERY=Q1NGX0VCSVRfT1BFUihBTk4sMTIvMzEvODAsMCk=&amp;WINDOW=FIRST_POPUP&amp;HEIGHT=450&amp;WIDTH=450&amp;STAR","T_MAXIMIZED=FALSE&amp;VAR:CALENDAR=US&amp;VAR:SYMBOL=DOW&amp;VAR:INDEX=8"}</definedName>
    <definedName name="_681__FDSAUDITLINK__" hidden="1">{"fdsup://directions/FAT Viewer?action=UPDATE&amp;creator=factset&amp;DYN_ARGS=TRUE&amp;DOC_NAME=FAT:FQL_AUDITING_CLIENT_TEMPLATE.FAT&amp;display_string=Audit&amp;VAR:KEY=QNCLURCHUB&amp;VAR:QUERY=Q1NGX0VCSVRfT1BFUihBTk4sMTIvMzEvODAsMCk=&amp;WINDOW=FIRST_POPUP&amp;HEIGHT=450&amp;WIDTH=450&amp;STAR","T_MAXIMIZED=FALSE&amp;VAR:CALENDAR=US&amp;VAR:SYMBOL=DOW&amp;VAR:INDEX=7"}</definedName>
    <definedName name="_682__FDSAUDITLINK__" hidden="1">{"fdsup://directions/FAT Viewer?action=UPDATE&amp;creator=factset&amp;DYN_ARGS=TRUE&amp;DOC_NAME=FAT:FQL_AUDITING_CLIENT_TEMPLATE.FAT&amp;display_string=Audit&amp;VAR:KEY=QNCLURCHUB&amp;VAR:QUERY=Q1NGX0VCSVRfT1BFUihBTk4sMTIvMzEvODAsMCk=&amp;WINDOW=FIRST_POPUP&amp;HEIGHT=450&amp;WIDTH=450&amp;STAR","T_MAXIMIZED=FALSE&amp;VAR:CALENDAR=US&amp;VAR:SYMBOL=DOW&amp;VAR:INDEX=6"}</definedName>
    <definedName name="_683__FDSAUDITLINK__" hidden="1">{"fdsup://directions/FAT Viewer?action=UPDATE&amp;creator=factset&amp;DYN_ARGS=TRUE&amp;DOC_NAME=FAT:FQL_AUDITING_CLIENT_TEMPLATE.FAT&amp;display_string=Audit&amp;VAR:KEY=QNCLURCHUB&amp;VAR:QUERY=Q1NGX0VCSVRfT1BFUihBTk4sMTIvMzEvODAsMCk=&amp;WINDOW=FIRST_POPUP&amp;HEIGHT=450&amp;WIDTH=450&amp;STAR","T_MAXIMIZED=FALSE&amp;VAR:CALENDAR=US&amp;VAR:SYMBOL=DOW&amp;VAR:INDEX=5"}</definedName>
    <definedName name="_684__FDSAUDITLINK__" hidden="1">{"fdsup://directions/FAT Viewer?action=UPDATE&amp;creator=factset&amp;DYN_ARGS=TRUE&amp;DOC_NAME=FAT:FQL_AUDITING_CLIENT_TEMPLATE.FAT&amp;display_string=Audit&amp;VAR:KEY=QNCLURCHUB&amp;VAR:QUERY=Q1NGX0VCSVRfT1BFUihBTk4sMTIvMzEvODAsMCk=&amp;WINDOW=FIRST_POPUP&amp;HEIGHT=450&amp;WIDTH=450&amp;STAR","T_MAXIMIZED=FALSE&amp;VAR:CALENDAR=US&amp;VAR:SYMBOL=DOW&amp;VAR:INDEX=4"}</definedName>
    <definedName name="_685__FDSAUDITLINK__" hidden="1">{"fdsup://directions/FAT Viewer?action=UPDATE&amp;creator=factset&amp;DYN_ARGS=TRUE&amp;DOC_NAME=FAT:FQL_AUDITING_CLIENT_TEMPLATE.FAT&amp;display_string=Audit&amp;VAR:KEY=QNCLURCHUB&amp;VAR:QUERY=Q1NGX0VCSVRfT1BFUihBTk4sMTIvMzEvODAsMCk=&amp;WINDOW=FIRST_POPUP&amp;HEIGHT=450&amp;WIDTH=450&amp;STAR","T_MAXIMIZED=FALSE&amp;VAR:CALENDAR=US&amp;VAR:SYMBOL=DOW&amp;VAR:INDEX=3"}</definedName>
    <definedName name="_686__FDSAUDITLINK__" hidden="1">{"fdsup://directions/FAT Viewer?action=UPDATE&amp;creator=factset&amp;DYN_ARGS=TRUE&amp;DOC_NAME=FAT:FQL_AUDITING_CLIENT_TEMPLATE.FAT&amp;display_string=Audit&amp;VAR:KEY=QNCLURCHUB&amp;VAR:QUERY=Q1NGX0VCSVRfT1BFUihBTk4sMTIvMzEvODAsMCk=&amp;WINDOW=FIRST_POPUP&amp;HEIGHT=450&amp;WIDTH=450&amp;STAR","T_MAXIMIZED=FALSE&amp;VAR:CALENDAR=US&amp;VAR:SYMBOL=DOW&amp;VAR:INDEX=2"}</definedName>
    <definedName name="_687__FDSAUDITLINK__" hidden="1">{"fdsup://directions/FAT Viewer?action=UPDATE&amp;creator=factset&amp;DYN_ARGS=TRUE&amp;DOC_NAME=FAT:FQL_AUDITING_CLIENT_TEMPLATE.FAT&amp;display_string=Audit&amp;VAR:KEY=QNCLURCHUB&amp;VAR:QUERY=Q1NGX0VCSVRfT1BFUihBTk4sMTIvMzEvODAsMCk=&amp;WINDOW=FIRST_POPUP&amp;HEIGHT=450&amp;WIDTH=450&amp;STAR","T_MAXIMIZED=FALSE&amp;VAR:CALENDAR=US&amp;VAR:SYMBOL=DOW&amp;VAR:INDEX=1"}</definedName>
    <definedName name="_688__FDSAUDITLINK__" hidden="1">{"fdsup://directions/FAT Viewer?action=UPDATE&amp;creator=factset&amp;DYN_ARGS=TRUE&amp;DOC_NAME=FAT:FQL_AUDITING_CLIENT_TEMPLATE.FAT&amp;display_string=Audit&amp;VAR:KEY=QNCLURCHUB&amp;VAR:QUERY=Q1NGX0VCSVRfT1BFUihBTk4sMTIvMzEvODAsMCk=&amp;WINDOW=FIRST_POPUP&amp;HEIGHT=450&amp;WIDTH=450&amp;STAR","T_MAXIMIZED=FALSE&amp;VAR:CALENDAR=US&amp;VAR:SYMBOL=DOW&amp;VAR:INDEX=0"}</definedName>
    <definedName name="_689__FDSAUDITLINK__" hidden="1">{"fdsup://directions/FAT Viewer?action=UPDATE&amp;creator=factset&amp;DYN_ARGS=TRUE&amp;DOC_NAME=FAT:FQL_AUDITING_CLIENT_TEMPLATE.FAT&amp;display_string=Audit&amp;VAR:KEY=OPONWZKVKN&amp;VAR:QUERY=Q1NGX0VCSVRfT1BFUihMVE1fUiwwKQ==&amp;WINDOW=FIRST_POPUP&amp;HEIGHT=450&amp;WIDTH=450&amp;START_MAXIMI","ZED=FALSE&amp;VAR:CALENDAR=US&amp;VAR:SYMBOL=APD&amp;VAR:INDEX=0"}</definedName>
    <definedName name="_69__FDSAUDITLINK__" hidden="1">{"fdsup://directions/FAT Viewer?action=UPDATE&amp;creator=factset&amp;DYN_ARGS=TRUE&amp;DOC_NAME=FAT:FQL_AUDITING_CLIENT_TEMPLATE.FAT&amp;display_string=Audit&amp;VAR:KEY=EHAPAZCHGT&amp;VAR:QUERY=Q1NGX0VCSVRfT1BFUihRVFJfUiwtM0FZLDAsRlEp&amp;WINDOW=FIRST_POPUP&amp;HEIGHT=450&amp;WIDTH=450&amp;STAR","T_MAXIMIZED=FALSE&amp;VAR:CALENDAR=US&amp;VAR:SYMBOL=EMN&amp;VAR:INDEX=9"}</definedName>
    <definedName name="_690__FDSAUDITLINK__" hidden="1">{"fdsup://directions/FAT Viewer?action=UPDATE&amp;creator=factset&amp;DYN_ARGS=TRUE&amp;DOC_NAME=FAT:FQL_AUDITING_CLIENT_TEMPLATE.FAT&amp;display_string=Audit&amp;VAR:KEY=MTMNIZSBGH&amp;VAR:QUERY=Q1NGX0VCSVRfT1BFUihBTk4sOS8zMC8xOTgwLDAp&amp;WINDOW=FIRST_POPUP&amp;HEIGHT=450&amp;WIDTH=450&amp;STAR","T_MAXIMIZED=FALSE&amp;VAR:CALENDAR=US&amp;VAR:SYMBOL=APD&amp;VAR:INDEX=29"}</definedName>
    <definedName name="_691__FDSAUDITLINK__" hidden="1">{"fdsup://directions/FAT Viewer?action=UPDATE&amp;creator=factset&amp;DYN_ARGS=TRUE&amp;DOC_NAME=FAT:FQL_AUDITING_CLIENT_TEMPLATE.FAT&amp;display_string=Audit&amp;VAR:KEY=MTMNIZSBGH&amp;VAR:QUERY=Q1NGX0VCSVRfT1BFUihBTk4sOS8zMC8xOTgwLDAp&amp;WINDOW=FIRST_POPUP&amp;HEIGHT=450&amp;WIDTH=450&amp;STAR","T_MAXIMIZED=FALSE&amp;VAR:CALENDAR=US&amp;VAR:SYMBOL=APD&amp;VAR:INDEX=28"}</definedName>
    <definedName name="_692__FDSAUDITLINK__" hidden="1">{"fdsup://directions/FAT Viewer?action=UPDATE&amp;creator=factset&amp;DYN_ARGS=TRUE&amp;DOC_NAME=FAT:FQL_AUDITING_CLIENT_TEMPLATE.FAT&amp;display_string=Audit&amp;VAR:KEY=MTMNIZSBGH&amp;VAR:QUERY=Q1NGX0VCSVRfT1BFUihBTk4sOS8zMC8xOTgwLDAp&amp;WINDOW=FIRST_POPUP&amp;HEIGHT=450&amp;WIDTH=450&amp;STAR","T_MAXIMIZED=FALSE&amp;VAR:CALENDAR=US&amp;VAR:SYMBOL=APD&amp;VAR:INDEX=27"}</definedName>
    <definedName name="_693__FDSAUDITLINK__" hidden="1">{"fdsup://directions/FAT Viewer?action=UPDATE&amp;creator=factset&amp;DYN_ARGS=TRUE&amp;DOC_NAME=FAT:FQL_AUDITING_CLIENT_TEMPLATE.FAT&amp;display_string=Audit&amp;VAR:KEY=MTMNIZSBGH&amp;VAR:QUERY=Q1NGX0VCSVRfT1BFUihBTk4sOS8zMC8xOTgwLDAp&amp;WINDOW=FIRST_POPUP&amp;HEIGHT=450&amp;WIDTH=450&amp;STAR","T_MAXIMIZED=FALSE&amp;VAR:CALENDAR=US&amp;VAR:SYMBOL=APD&amp;VAR:INDEX=26"}</definedName>
    <definedName name="_694__FDSAUDITLINK__" hidden="1">{"fdsup://directions/FAT Viewer?action=UPDATE&amp;creator=factset&amp;DYN_ARGS=TRUE&amp;DOC_NAME=FAT:FQL_AUDITING_CLIENT_TEMPLATE.FAT&amp;display_string=Audit&amp;VAR:KEY=MTMNIZSBGH&amp;VAR:QUERY=Q1NGX0VCSVRfT1BFUihBTk4sOS8zMC8xOTgwLDAp&amp;WINDOW=FIRST_POPUP&amp;HEIGHT=450&amp;WIDTH=450&amp;STAR","T_MAXIMIZED=FALSE&amp;VAR:CALENDAR=US&amp;VAR:SYMBOL=APD&amp;VAR:INDEX=25"}</definedName>
    <definedName name="_695__FDSAUDITLINK__" hidden="1">{"fdsup://directions/FAT Viewer?action=UPDATE&amp;creator=factset&amp;DYN_ARGS=TRUE&amp;DOC_NAME=FAT:FQL_AUDITING_CLIENT_TEMPLATE.FAT&amp;display_string=Audit&amp;VAR:KEY=MTMNIZSBGH&amp;VAR:QUERY=Q1NGX0VCSVRfT1BFUihBTk4sOS8zMC8xOTgwLDAp&amp;WINDOW=FIRST_POPUP&amp;HEIGHT=450&amp;WIDTH=450&amp;STAR","T_MAXIMIZED=FALSE&amp;VAR:CALENDAR=US&amp;VAR:SYMBOL=APD&amp;VAR:INDEX=24"}</definedName>
    <definedName name="_696__FDSAUDITLINK__" hidden="1">{"fdsup://directions/FAT Viewer?action=UPDATE&amp;creator=factset&amp;DYN_ARGS=TRUE&amp;DOC_NAME=FAT:FQL_AUDITING_CLIENT_TEMPLATE.FAT&amp;display_string=Audit&amp;VAR:KEY=MTMNIZSBGH&amp;VAR:QUERY=Q1NGX0VCSVRfT1BFUihBTk4sOS8zMC8xOTgwLDAp&amp;WINDOW=FIRST_POPUP&amp;HEIGHT=450&amp;WIDTH=450&amp;STAR","T_MAXIMIZED=FALSE&amp;VAR:CALENDAR=US&amp;VAR:SYMBOL=APD&amp;VAR:INDEX=23"}</definedName>
    <definedName name="_697__FDSAUDITLINK__" hidden="1">{"fdsup://directions/FAT Viewer?action=UPDATE&amp;creator=factset&amp;DYN_ARGS=TRUE&amp;DOC_NAME=FAT:FQL_AUDITING_CLIENT_TEMPLATE.FAT&amp;display_string=Audit&amp;VAR:KEY=MTMNIZSBGH&amp;VAR:QUERY=Q1NGX0VCSVRfT1BFUihBTk4sOS8zMC8xOTgwLDAp&amp;WINDOW=FIRST_POPUP&amp;HEIGHT=450&amp;WIDTH=450&amp;STAR","T_MAXIMIZED=FALSE&amp;VAR:CALENDAR=US&amp;VAR:SYMBOL=APD&amp;VAR:INDEX=22"}</definedName>
    <definedName name="_698__FDSAUDITLINK__" hidden="1">{"fdsup://directions/FAT Viewer?action=UPDATE&amp;creator=factset&amp;DYN_ARGS=TRUE&amp;DOC_NAME=FAT:FQL_AUDITING_CLIENT_TEMPLATE.FAT&amp;display_string=Audit&amp;VAR:KEY=MTMNIZSBGH&amp;VAR:QUERY=Q1NGX0VCSVRfT1BFUihBTk4sOS8zMC8xOTgwLDAp&amp;WINDOW=FIRST_POPUP&amp;HEIGHT=450&amp;WIDTH=450&amp;STAR","T_MAXIMIZED=FALSE&amp;VAR:CALENDAR=US&amp;VAR:SYMBOL=APD&amp;VAR:INDEX=21"}</definedName>
    <definedName name="_699__FDSAUDITLINK__" hidden="1">{"fdsup://directions/FAT Viewer?action=UPDATE&amp;creator=factset&amp;DYN_ARGS=TRUE&amp;DOC_NAME=FAT:FQL_AUDITING_CLIENT_TEMPLATE.FAT&amp;display_string=Audit&amp;VAR:KEY=MTMNIZSBGH&amp;VAR:QUERY=Q1NGX0VCSVRfT1BFUihBTk4sOS8zMC8xOTgwLDAp&amp;WINDOW=FIRST_POPUP&amp;HEIGHT=450&amp;WIDTH=450&amp;STAR","T_MAXIMIZED=FALSE&amp;VAR:CALENDAR=US&amp;VAR:SYMBOL=APD&amp;VAR:INDEX=20"}</definedName>
    <definedName name="_7__FDSAUDITLINK__" hidden="1">{"fdsup://directions/FAT Viewer?action=UPDATE&amp;creator=factset&amp;DYN_ARGS=TRUE&amp;DOC_NAME=FAT:FQL_AUDITING_CLIENT_TEMPLATE.FAT&amp;display_string=Audit&amp;VAR:KEY=YXSJYLYXUV&amp;VAR:QUERY=Q1NGX0dST1NTX0lOQyhRVFJfUiwtM0FZLDAsRlEp&amp;WINDOW=FIRST_POPUP&amp;HEIGHT=450&amp;WIDTH=450&amp;STAR","T_MAXIMIZED=FALSE&amp;VAR:CALENDAR=US&amp;VAR:SYMBOL=EMN&amp;VAR:INDEX=6"}</definedName>
    <definedName name="_70__FDSAUDITLINK__" hidden="1">{"fdsup://directions/FAT Viewer?action=UPDATE&amp;creator=factset&amp;DYN_ARGS=TRUE&amp;DOC_NAME=FAT:FQL_AUDITING_CLIENT_TEMPLATE.FAT&amp;display_string=Audit&amp;VAR:KEY=EHAPAZCHGT&amp;VAR:QUERY=Q1NGX0VCSVRfT1BFUihRVFJfUiwtM0FZLDAsRlEp&amp;WINDOW=FIRST_POPUP&amp;HEIGHT=450&amp;WIDTH=450&amp;STAR","T_MAXIMIZED=FALSE&amp;VAR:CALENDAR=US&amp;VAR:SYMBOL=EMN&amp;VAR:INDEX=8"}</definedName>
    <definedName name="_700__FDSAUDITLINK__" hidden="1">{"fdsup://directions/FAT Viewer?action=UPDATE&amp;creator=factset&amp;DYN_ARGS=TRUE&amp;DOC_NAME=FAT:FQL_AUDITING_CLIENT_TEMPLATE.FAT&amp;display_string=Audit&amp;VAR:KEY=MTMNIZSBGH&amp;VAR:QUERY=Q1NGX0VCSVRfT1BFUihBTk4sOS8zMC8xOTgwLDAp&amp;WINDOW=FIRST_POPUP&amp;HEIGHT=450&amp;WIDTH=450&amp;STAR","T_MAXIMIZED=FALSE&amp;VAR:CALENDAR=US&amp;VAR:SYMBOL=APD&amp;VAR:INDEX=19"}</definedName>
    <definedName name="_701__FDSAUDITLINK__" hidden="1">{"fdsup://directions/FAT Viewer?action=UPDATE&amp;creator=factset&amp;DYN_ARGS=TRUE&amp;DOC_NAME=FAT:FQL_AUDITING_CLIENT_TEMPLATE.FAT&amp;display_string=Audit&amp;VAR:KEY=MTMNIZSBGH&amp;VAR:QUERY=Q1NGX0VCSVRfT1BFUihBTk4sOS8zMC8xOTgwLDAp&amp;WINDOW=FIRST_POPUP&amp;HEIGHT=450&amp;WIDTH=450&amp;STAR","T_MAXIMIZED=FALSE&amp;VAR:CALENDAR=US&amp;VAR:SYMBOL=APD&amp;VAR:INDEX=18"}</definedName>
    <definedName name="_702__FDSAUDITLINK__" hidden="1">{"fdsup://directions/FAT Viewer?action=UPDATE&amp;creator=factset&amp;DYN_ARGS=TRUE&amp;DOC_NAME=FAT:FQL_AUDITING_CLIENT_TEMPLATE.FAT&amp;display_string=Audit&amp;VAR:KEY=MTMNIZSBGH&amp;VAR:QUERY=Q1NGX0VCSVRfT1BFUihBTk4sOS8zMC8xOTgwLDAp&amp;WINDOW=FIRST_POPUP&amp;HEIGHT=450&amp;WIDTH=450&amp;STAR","T_MAXIMIZED=FALSE&amp;VAR:CALENDAR=US&amp;VAR:SYMBOL=APD&amp;VAR:INDEX=17"}</definedName>
    <definedName name="_703__FDSAUDITLINK__" hidden="1">{"fdsup://directions/FAT Viewer?action=UPDATE&amp;creator=factset&amp;DYN_ARGS=TRUE&amp;DOC_NAME=FAT:FQL_AUDITING_CLIENT_TEMPLATE.FAT&amp;display_string=Audit&amp;VAR:KEY=MTMNIZSBGH&amp;VAR:QUERY=Q1NGX0VCSVRfT1BFUihBTk4sOS8zMC8xOTgwLDAp&amp;WINDOW=FIRST_POPUP&amp;HEIGHT=450&amp;WIDTH=450&amp;STAR","T_MAXIMIZED=FALSE&amp;VAR:CALENDAR=US&amp;VAR:SYMBOL=APD&amp;VAR:INDEX=16"}</definedName>
    <definedName name="_704__FDSAUDITLINK__" hidden="1">{"fdsup://directions/FAT Viewer?action=UPDATE&amp;creator=factset&amp;DYN_ARGS=TRUE&amp;DOC_NAME=FAT:FQL_AUDITING_CLIENT_TEMPLATE.FAT&amp;display_string=Audit&amp;VAR:KEY=MTMNIZSBGH&amp;VAR:QUERY=Q1NGX0VCSVRfT1BFUihBTk4sOS8zMC8xOTgwLDAp&amp;WINDOW=FIRST_POPUP&amp;HEIGHT=450&amp;WIDTH=450&amp;STAR","T_MAXIMIZED=FALSE&amp;VAR:CALENDAR=US&amp;VAR:SYMBOL=APD&amp;VAR:INDEX=15"}</definedName>
    <definedName name="_705__FDSAUDITLINK__" hidden="1">{"fdsup://directions/FAT Viewer?action=UPDATE&amp;creator=factset&amp;DYN_ARGS=TRUE&amp;DOC_NAME=FAT:FQL_AUDITING_CLIENT_TEMPLATE.FAT&amp;display_string=Audit&amp;VAR:KEY=MTMNIZSBGH&amp;VAR:QUERY=Q1NGX0VCSVRfT1BFUihBTk4sOS8zMC8xOTgwLDAp&amp;WINDOW=FIRST_POPUP&amp;HEIGHT=450&amp;WIDTH=450&amp;STAR","T_MAXIMIZED=FALSE&amp;VAR:CALENDAR=US&amp;VAR:SYMBOL=APD&amp;VAR:INDEX=14"}</definedName>
    <definedName name="_706__FDSAUDITLINK__" hidden="1">{"fdsup://directions/FAT Viewer?action=UPDATE&amp;creator=factset&amp;DYN_ARGS=TRUE&amp;DOC_NAME=FAT:FQL_AUDITING_CLIENT_TEMPLATE.FAT&amp;display_string=Audit&amp;VAR:KEY=MTMNIZSBGH&amp;VAR:QUERY=Q1NGX0VCSVRfT1BFUihBTk4sOS8zMC8xOTgwLDAp&amp;WINDOW=FIRST_POPUP&amp;HEIGHT=450&amp;WIDTH=450&amp;STAR","T_MAXIMIZED=FALSE&amp;VAR:CALENDAR=US&amp;VAR:SYMBOL=APD&amp;VAR:INDEX=13"}</definedName>
    <definedName name="_707__FDSAUDITLINK__" hidden="1">{"fdsup://directions/FAT Viewer?action=UPDATE&amp;creator=factset&amp;DYN_ARGS=TRUE&amp;DOC_NAME=FAT:FQL_AUDITING_CLIENT_TEMPLATE.FAT&amp;display_string=Audit&amp;VAR:KEY=MTMNIZSBGH&amp;VAR:QUERY=Q1NGX0VCSVRfT1BFUihBTk4sOS8zMC8xOTgwLDAp&amp;WINDOW=FIRST_POPUP&amp;HEIGHT=450&amp;WIDTH=450&amp;STAR","T_MAXIMIZED=FALSE&amp;VAR:CALENDAR=US&amp;VAR:SYMBOL=APD&amp;VAR:INDEX=12"}</definedName>
    <definedName name="_708__FDSAUDITLINK__" hidden="1">{"fdsup://directions/FAT Viewer?action=UPDATE&amp;creator=factset&amp;DYN_ARGS=TRUE&amp;DOC_NAME=FAT:FQL_AUDITING_CLIENT_TEMPLATE.FAT&amp;display_string=Audit&amp;VAR:KEY=MTMNIZSBGH&amp;VAR:QUERY=Q1NGX0VCSVRfT1BFUihBTk4sOS8zMC8xOTgwLDAp&amp;WINDOW=FIRST_POPUP&amp;HEIGHT=450&amp;WIDTH=450&amp;STAR","T_MAXIMIZED=FALSE&amp;VAR:CALENDAR=US&amp;VAR:SYMBOL=APD&amp;VAR:INDEX=11"}</definedName>
    <definedName name="_709__FDSAUDITLINK__" hidden="1">{"fdsup://directions/FAT Viewer?action=UPDATE&amp;creator=factset&amp;DYN_ARGS=TRUE&amp;DOC_NAME=FAT:FQL_AUDITING_CLIENT_TEMPLATE.FAT&amp;display_string=Audit&amp;VAR:KEY=MTMNIZSBGH&amp;VAR:QUERY=Q1NGX0VCSVRfT1BFUihBTk4sOS8zMC8xOTgwLDAp&amp;WINDOW=FIRST_POPUP&amp;HEIGHT=450&amp;WIDTH=450&amp;STAR","T_MAXIMIZED=FALSE&amp;VAR:CALENDAR=US&amp;VAR:SYMBOL=APD&amp;VAR:INDEX=10"}</definedName>
    <definedName name="_71__FDSAUDITLINK__" hidden="1">{"fdsup://directions/FAT Viewer?action=UPDATE&amp;creator=factset&amp;DYN_ARGS=TRUE&amp;DOC_NAME=FAT:FQL_AUDITING_CLIENT_TEMPLATE.FAT&amp;display_string=Audit&amp;VAR:KEY=EHAPAZCHGT&amp;VAR:QUERY=Q1NGX0VCSVRfT1BFUihRVFJfUiwtM0FZLDAsRlEp&amp;WINDOW=FIRST_POPUP&amp;HEIGHT=450&amp;WIDTH=450&amp;STAR","T_MAXIMIZED=FALSE&amp;VAR:CALENDAR=US&amp;VAR:SYMBOL=EMN&amp;VAR:INDEX=7"}</definedName>
    <definedName name="_710__FDSAUDITLINK__" hidden="1">{"fdsup://directions/FAT Viewer?action=UPDATE&amp;creator=factset&amp;DYN_ARGS=TRUE&amp;DOC_NAME=FAT:FQL_AUDITING_CLIENT_TEMPLATE.FAT&amp;display_string=Audit&amp;VAR:KEY=MTMNIZSBGH&amp;VAR:QUERY=Q1NGX0VCSVRfT1BFUihBTk4sOS8zMC8xOTgwLDAp&amp;WINDOW=FIRST_POPUP&amp;HEIGHT=450&amp;WIDTH=450&amp;STAR","T_MAXIMIZED=FALSE&amp;VAR:CALENDAR=US&amp;VAR:SYMBOL=APD&amp;VAR:INDEX=9"}</definedName>
    <definedName name="_711__FDSAUDITLINK__" hidden="1">{"fdsup://directions/FAT Viewer?action=UPDATE&amp;creator=factset&amp;DYN_ARGS=TRUE&amp;DOC_NAME=FAT:FQL_AUDITING_CLIENT_TEMPLATE.FAT&amp;display_string=Audit&amp;VAR:KEY=MTMNIZSBGH&amp;VAR:QUERY=Q1NGX0VCSVRfT1BFUihBTk4sOS8zMC8xOTgwLDAp&amp;WINDOW=FIRST_POPUP&amp;HEIGHT=450&amp;WIDTH=450&amp;STAR","T_MAXIMIZED=FALSE&amp;VAR:CALENDAR=US&amp;VAR:SYMBOL=APD&amp;VAR:INDEX=8"}</definedName>
    <definedName name="_712__FDSAUDITLINK__" hidden="1">{"fdsup://directions/FAT Viewer?action=UPDATE&amp;creator=factset&amp;DYN_ARGS=TRUE&amp;DOC_NAME=FAT:FQL_AUDITING_CLIENT_TEMPLATE.FAT&amp;display_string=Audit&amp;VAR:KEY=MTMNIZSBGH&amp;VAR:QUERY=Q1NGX0VCSVRfT1BFUihBTk4sOS8zMC8xOTgwLDAp&amp;WINDOW=FIRST_POPUP&amp;HEIGHT=450&amp;WIDTH=450&amp;STAR","T_MAXIMIZED=FALSE&amp;VAR:CALENDAR=US&amp;VAR:SYMBOL=APD&amp;VAR:INDEX=7"}</definedName>
    <definedName name="_713__FDSAUDITLINK__" hidden="1">{"fdsup://directions/FAT Viewer?action=UPDATE&amp;creator=factset&amp;DYN_ARGS=TRUE&amp;DOC_NAME=FAT:FQL_AUDITING_CLIENT_TEMPLATE.FAT&amp;display_string=Audit&amp;VAR:KEY=MTMNIZSBGH&amp;VAR:QUERY=Q1NGX0VCSVRfT1BFUihBTk4sOS8zMC8xOTgwLDAp&amp;WINDOW=FIRST_POPUP&amp;HEIGHT=450&amp;WIDTH=450&amp;STAR","T_MAXIMIZED=FALSE&amp;VAR:CALENDAR=US&amp;VAR:SYMBOL=APD&amp;VAR:INDEX=6"}</definedName>
    <definedName name="_714__FDSAUDITLINK__" hidden="1">{"fdsup://directions/FAT Viewer?action=UPDATE&amp;creator=factset&amp;DYN_ARGS=TRUE&amp;DOC_NAME=FAT:FQL_AUDITING_CLIENT_TEMPLATE.FAT&amp;display_string=Audit&amp;VAR:KEY=MTMNIZSBGH&amp;VAR:QUERY=Q1NGX0VCSVRfT1BFUihBTk4sOS8zMC8xOTgwLDAp&amp;WINDOW=FIRST_POPUP&amp;HEIGHT=450&amp;WIDTH=450&amp;STAR","T_MAXIMIZED=FALSE&amp;VAR:CALENDAR=US&amp;VAR:SYMBOL=APD&amp;VAR:INDEX=5"}</definedName>
    <definedName name="_715__FDSAUDITLINK__" hidden="1">{"fdsup://directions/FAT Viewer?action=UPDATE&amp;creator=factset&amp;DYN_ARGS=TRUE&amp;DOC_NAME=FAT:FQL_AUDITING_CLIENT_TEMPLATE.FAT&amp;display_string=Audit&amp;VAR:KEY=MTMNIZSBGH&amp;VAR:QUERY=Q1NGX0VCSVRfT1BFUihBTk4sOS8zMC8xOTgwLDAp&amp;WINDOW=FIRST_POPUP&amp;HEIGHT=450&amp;WIDTH=450&amp;STAR","T_MAXIMIZED=FALSE&amp;VAR:CALENDAR=US&amp;VAR:SYMBOL=APD&amp;VAR:INDEX=4"}</definedName>
    <definedName name="_716__FDSAUDITLINK__" hidden="1">{"fdsup://directions/FAT Viewer?action=UPDATE&amp;creator=factset&amp;DYN_ARGS=TRUE&amp;DOC_NAME=FAT:FQL_AUDITING_CLIENT_TEMPLATE.FAT&amp;display_string=Audit&amp;VAR:KEY=MTMNIZSBGH&amp;VAR:QUERY=Q1NGX0VCSVRfT1BFUihBTk4sOS8zMC8xOTgwLDAp&amp;WINDOW=FIRST_POPUP&amp;HEIGHT=450&amp;WIDTH=450&amp;STAR","T_MAXIMIZED=FALSE&amp;VAR:CALENDAR=US&amp;VAR:SYMBOL=APD&amp;VAR:INDEX=3"}</definedName>
    <definedName name="_717__FDSAUDITLINK__" hidden="1">{"fdsup://directions/FAT Viewer?action=UPDATE&amp;creator=factset&amp;DYN_ARGS=TRUE&amp;DOC_NAME=FAT:FQL_AUDITING_CLIENT_TEMPLATE.FAT&amp;display_string=Audit&amp;VAR:KEY=MTMNIZSBGH&amp;VAR:QUERY=Q1NGX0VCSVRfT1BFUihBTk4sOS8zMC8xOTgwLDAp&amp;WINDOW=FIRST_POPUP&amp;HEIGHT=450&amp;WIDTH=450&amp;STAR","T_MAXIMIZED=FALSE&amp;VAR:CALENDAR=US&amp;VAR:SYMBOL=APD&amp;VAR:INDEX=2"}</definedName>
    <definedName name="_718__FDSAUDITLINK__" hidden="1">{"fdsup://directions/FAT Viewer?action=UPDATE&amp;creator=factset&amp;DYN_ARGS=TRUE&amp;DOC_NAME=FAT:FQL_AUDITING_CLIENT_TEMPLATE.FAT&amp;display_string=Audit&amp;VAR:KEY=MTMNIZSBGH&amp;VAR:QUERY=Q1NGX0VCSVRfT1BFUihBTk4sOS8zMC8xOTgwLDAp&amp;WINDOW=FIRST_POPUP&amp;HEIGHT=450&amp;WIDTH=450&amp;STAR","T_MAXIMIZED=FALSE&amp;VAR:CALENDAR=US&amp;VAR:SYMBOL=APD&amp;VAR:INDEX=1"}</definedName>
    <definedName name="_719__FDSAUDITLINK__" hidden="1">{"fdsup://directions/FAT Viewer?action=UPDATE&amp;creator=factset&amp;DYN_ARGS=TRUE&amp;DOC_NAME=FAT:FQL_AUDITING_CLIENT_TEMPLATE.FAT&amp;display_string=Audit&amp;VAR:KEY=MTMNIZSBGH&amp;VAR:QUERY=Q1NGX0VCSVRfT1BFUihBTk4sOS8zMC8xOTgwLDAp&amp;WINDOW=FIRST_POPUP&amp;HEIGHT=450&amp;WIDTH=450&amp;STAR","T_MAXIMIZED=FALSE&amp;VAR:CALENDAR=US&amp;VAR:SYMBOL=APD&amp;VAR:INDEX=0"}</definedName>
    <definedName name="_72__FDSAUDITLINK__" hidden="1">{"fdsup://directions/FAT Viewer?action=UPDATE&amp;creator=factset&amp;DYN_ARGS=TRUE&amp;DOC_NAME=FAT:FQL_AUDITING_CLIENT_TEMPLATE.FAT&amp;display_string=Audit&amp;VAR:KEY=EHAPAZCHGT&amp;VAR:QUERY=Q1NGX0VCSVRfT1BFUihRVFJfUiwtM0FZLDAsRlEp&amp;WINDOW=FIRST_POPUP&amp;HEIGHT=450&amp;WIDTH=450&amp;STAR","T_MAXIMIZED=FALSE&amp;VAR:CALENDAR=US&amp;VAR:SYMBOL=EMN&amp;VAR:INDEX=6"}</definedName>
    <definedName name="_720__FDSAUDITLINK__" hidden="1">{"fdsup://directions/FAT Viewer?action=UPDATE&amp;creator=factset&amp;DYN_ARGS=TRUE&amp;DOC_NAME=FAT:FQL_AUDITING_CLIENT_TEMPLATE.FAT&amp;display_string=Audit&amp;VAR:KEY=KFIDOTAFCB&amp;VAR:QUERY=Q1NGX0VCSVRfT1BFUihMVE1fUiwwKQ==&amp;WINDOW=FIRST_POPUP&amp;HEIGHT=450&amp;WIDTH=450&amp;START_MAXIMI","ZED=FALSE&amp;VAR:CALENDAR=US&amp;VAR:SYMBOL=ARG&amp;VAR:INDEX=0"}</definedName>
    <definedName name="_721__FDSAUDITLINK__" hidden="1">{"fdsup://directions/FAT Viewer?action=UPDATE&amp;creator=factset&amp;DYN_ARGS=TRUE&amp;DOC_NAME=FAT:FQL_AUDITING_CLIENT_TEMPLATE.FAT&amp;display_string=Audit&amp;VAR:KEY=YXOPCTIRUF&amp;VAR:QUERY=Q1NGX0VCSVRfT1BFUihBTk4sMy8zMS8xOTgxLDAp&amp;WINDOW=FIRST_POPUP&amp;HEIGHT=450&amp;WIDTH=450&amp;STAR","T_MAXIMIZED=FALSE&amp;VAR:CALENDAR=US&amp;VAR:SYMBOL=ARG&amp;VAR:INDEX=29"}</definedName>
    <definedName name="_722__FDSAUDITLINK__" hidden="1">{"fdsup://directions/FAT Viewer?action=UPDATE&amp;creator=factset&amp;DYN_ARGS=TRUE&amp;DOC_NAME=FAT:FQL_AUDITING_CLIENT_TEMPLATE.FAT&amp;display_string=Audit&amp;VAR:KEY=YXOPCTIRUF&amp;VAR:QUERY=Q1NGX0VCSVRfT1BFUihBTk4sMy8zMS8xOTgxLDAp&amp;WINDOW=FIRST_POPUP&amp;HEIGHT=450&amp;WIDTH=450&amp;STAR","T_MAXIMIZED=FALSE&amp;VAR:CALENDAR=US&amp;VAR:SYMBOL=ARG&amp;VAR:INDEX=28"}</definedName>
    <definedName name="_723__FDSAUDITLINK__" hidden="1">{"fdsup://directions/FAT Viewer?action=UPDATE&amp;creator=factset&amp;DYN_ARGS=TRUE&amp;DOC_NAME=FAT:FQL_AUDITING_CLIENT_TEMPLATE.FAT&amp;display_string=Audit&amp;VAR:KEY=YXOPCTIRUF&amp;VAR:QUERY=Q1NGX0VCSVRfT1BFUihBTk4sMy8zMS8xOTgxLDAp&amp;WINDOW=FIRST_POPUP&amp;HEIGHT=450&amp;WIDTH=450&amp;STAR","T_MAXIMIZED=FALSE&amp;VAR:CALENDAR=US&amp;VAR:SYMBOL=ARG&amp;VAR:INDEX=27"}</definedName>
    <definedName name="_724__FDSAUDITLINK__" hidden="1">{"fdsup://directions/FAT Viewer?action=UPDATE&amp;creator=factset&amp;DYN_ARGS=TRUE&amp;DOC_NAME=FAT:FQL_AUDITING_CLIENT_TEMPLATE.FAT&amp;display_string=Audit&amp;VAR:KEY=YXOPCTIRUF&amp;VAR:QUERY=Q1NGX0VCSVRfT1BFUihBTk4sMy8zMS8xOTgxLDAp&amp;WINDOW=FIRST_POPUP&amp;HEIGHT=450&amp;WIDTH=450&amp;STAR","T_MAXIMIZED=FALSE&amp;VAR:CALENDAR=US&amp;VAR:SYMBOL=ARG&amp;VAR:INDEX=26"}</definedName>
    <definedName name="_725__FDSAUDITLINK__" hidden="1">{"fdsup://directions/FAT Viewer?action=UPDATE&amp;creator=factset&amp;DYN_ARGS=TRUE&amp;DOC_NAME=FAT:FQL_AUDITING_CLIENT_TEMPLATE.FAT&amp;display_string=Audit&amp;VAR:KEY=YXOPCTIRUF&amp;VAR:QUERY=Q1NGX0VCSVRfT1BFUihBTk4sMy8zMS8xOTgxLDAp&amp;WINDOW=FIRST_POPUP&amp;HEIGHT=450&amp;WIDTH=450&amp;STAR","T_MAXIMIZED=FALSE&amp;VAR:CALENDAR=US&amp;VAR:SYMBOL=ARG&amp;VAR:INDEX=25"}</definedName>
    <definedName name="_726__FDSAUDITLINK__" hidden="1">{"fdsup://directions/FAT Viewer?action=UPDATE&amp;creator=factset&amp;DYN_ARGS=TRUE&amp;DOC_NAME=FAT:FQL_AUDITING_CLIENT_TEMPLATE.FAT&amp;display_string=Audit&amp;VAR:KEY=YXOPCTIRUF&amp;VAR:QUERY=Q1NGX0VCSVRfT1BFUihBTk4sMy8zMS8xOTgxLDAp&amp;WINDOW=FIRST_POPUP&amp;HEIGHT=450&amp;WIDTH=450&amp;STAR","T_MAXIMIZED=FALSE&amp;VAR:CALENDAR=US&amp;VAR:SYMBOL=ARG&amp;VAR:INDEX=24"}</definedName>
    <definedName name="_727__FDSAUDITLINK__" hidden="1">{"fdsup://directions/FAT Viewer?action=UPDATE&amp;creator=factset&amp;DYN_ARGS=TRUE&amp;DOC_NAME=FAT:FQL_AUDITING_CLIENT_TEMPLATE.FAT&amp;display_string=Audit&amp;VAR:KEY=YXOPCTIRUF&amp;VAR:QUERY=Q1NGX0VCSVRfT1BFUihBTk4sMy8zMS8xOTgxLDAp&amp;WINDOW=FIRST_POPUP&amp;HEIGHT=450&amp;WIDTH=450&amp;STAR","T_MAXIMIZED=FALSE&amp;VAR:CALENDAR=US&amp;VAR:SYMBOL=ARG&amp;VAR:INDEX=23"}</definedName>
    <definedName name="_728__FDSAUDITLINK__" hidden="1">{"fdsup://directions/FAT Viewer?action=UPDATE&amp;creator=factset&amp;DYN_ARGS=TRUE&amp;DOC_NAME=FAT:FQL_AUDITING_CLIENT_TEMPLATE.FAT&amp;display_string=Audit&amp;VAR:KEY=YXOPCTIRUF&amp;VAR:QUERY=Q1NGX0VCSVRfT1BFUihBTk4sMy8zMS8xOTgxLDAp&amp;WINDOW=FIRST_POPUP&amp;HEIGHT=450&amp;WIDTH=450&amp;STAR","T_MAXIMIZED=FALSE&amp;VAR:CALENDAR=US&amp;VAR:SYMBOL=ARG&amp;VAR:INDEX=22"}</definedName>
    <definedName name="_729__FDSAUDITLINK__" hidden="1">{"fdsup://directions/FAT Viewer?action=UPDATE&amp;creator=factset&amp;DYN_ARGS=TRUE&amp;DOC_NAME=FAT:FQL_AUDITING_CLIENT_TEMPLATE.FAT&amp;display_string=Audit&amp;VAR:KEY=YXOPCTIRUF&amp;VAR:QUERY=Q1NGX0VCSVRfT1BFUihBTk4sMy8zMS8xOTgxLDAp&amp;WINDOW=FIRST_POPUP&amp;HEIGHT=450&amp;WIDTH=450&amp;STAR","T_MAXIMIZED=FALSE&amp;VAR:CALENDAR=US&amp;VAR:SYMBOL=ARG&amp;VAR:INDEX=21"}</definedName>
    <definedName name="_73__FDSAUDITLINK__" hidden="1">{"fdsup://directions/FAT Viewer?action=UPDATE&amp;creator=factset&amp;DYN_ARGS=TRUE&amp;DOC_NAME=FAT:FQL_AUDITING_CLIENT_TEMPLATE.FAT&amp;display_string=Audit&amp;VAR:KEY=EHAPAZCHGT&amp;VAR:QUERY=Q1NGX0VCSVRfT1BFUihRVFJfUiwtM0FZLDAsRlEp&amp;WINDOW=FIRST_POPUP&amp;HEIGHT=450&amp;WIDTH=450&amp;STAR","T_MAXIMIZED=FALSE&amp;VAR:CALENDAR=US&amp;VAR:SYMBOL=EMN&amp;VAR:INDEX=5"}</definedName>
    <definedName name="_730__FDSAUDITLINK__" hidden="1">{"fdsup://directions/FAT Viewer?action=UPDATE&amp;creator=factset&amp;DYN_ARGS=TRUE&amp;DOC_NAME=FAT:FQL_AUDITING_CLIENT_TEMPLATE.FAT&amp;display_string=Audit&amp;VAR:KEY=YXOPCTIRUF&amp;VAR:QUERY=Q1NGX0VCSVRfT1BFUihBTk4sMy8zMS8xOTgxLDAp&amp;WINDOW=FIRST_POPUP&amp;HEIGHT=450&amp;WIDTH=450&amp;STAR","T_MAXIMIZED=FALSE&amp;VAR:CALENDAR=US&amp;VAR:SYMBOL=ARG&amp;VAR:INDEX=20"}</definedName>
    <definedName name="_731__FDSAUDITLINK__" hidden="1">{"fdsup://directions/FAT Viewer?action=UPDATE&amp;creator=factset&amp;DYN_ARGS=TRUE&amp;DOC_NAME=FAT:FQL_AUDITING_CLIENT_TEMPLATE.FAT&amp;display_string=Audit&amp;VAR:KEY=YXOPCTIRUF&amp;VAR:QUERY=Q1NGX0VCSVRfT1BFUihBTk4sMy8zMS8xOTgxLDAp&amp;WINDOW=FIRST_POPUP&amp;HEIGHT=450&amp;WIDTH=450&amp;STAR","T_MAXIMIZED=FALSE&amp;VAR:CALENDAR=US&amp;VAR:SYMBOL=ARG&amp;VAR:INDEX=19"}</definedName>
    <definedName name="_732__FDSAUDITLINK__" hidden="1">{"fdsup://directions/FAT Viewer?action=UPDATE&amp;creator=factset&amp;DYN_ARGS=TRUE&amp;DOC_NAME=FAT:FQL_AUDITING_CLIENT_TEMPLATE.FAT&amp;display_string=Audit&amp;VAR:KEY=YXOPCTIRUF&amp;VAR:QUERY=Q1NGX0VCSVRfT1BFUihBTk4sMy8zMS8xOTgxLDAp&amp;WINDOW=FIRST_POPUP&amp;HEIGHT=450&amp;WIDTH=450&amp;STAR","T_MAXIMIZED=FALSE&amp;VAR:CALENDAR=US&amp;VAR:SYMBOL=ARG&amp;VAR:INDEX=18"}</definedName>
    <definedName name="_733__FDSAUDITLINK__" hidden="1">{"fdsup://directions/FAT Viewer?action=UPDATE&amp;creator=factset&amp;DYN_ARGS=TRUE&amp;DOC_NAME=FAT:FQL_AUDITING_CLIENT_TEMPLATE.FAT&amp;display_string=Audit&amp;VAR:KEY=YXOPCTIRUF&amp;VAR:QUERY=Q1NGX0VCSVRfT1BFUihBTk4sMy8zMS8xOTgxLDAp&amp;WINDOW=FIRST_POPUP&amp;HEIGHT=450&amp;WIDTH=450&amp;STAR","T_MAXIMIZED=FALSE&amp;VAR:CALENDAR=US&amp;VAR:SYMBOL=ARG&amp;VAR:INDEX=17"}</definedName>
    <definedName name="_734__FDSAUDITLINK__" hidden="1">{"fdsup://directions/FAT Viewer?action=UPDATE&amp;creator=factset&amp;DYN_ARGS=TRUE&amp;DOC_NAME=FAT:FQL_AUDITING_CLIENT_TEMPLATE.FAT&amp;display_string=Audit&amp;VAR:KEY=YXOPCTIRUF&amp;VAR:QUERY=Q1NGX0VCSVRfT1BFUihBTk4sMy8zMS8xOTgxLDAp&amp;WINDOW=FIRST_POPUP&amp;HEIGHT=450&amp;WIDTH=450&amp;STAR","T_MAXIMIZED=FALSE&amp;VAR:CALENDAR=US&amp;VAR:SYMBOL=ARG&amp;VAR:INDEX=16"}</definedName>
    <definedName name="_735__FDSAUDITLINK__" hidden="1">{"fdsup://directions/FAT Viewer?action=UPDATE&amp;creator=factset&amp;DYN_ARGS=TRUE&amp;DOC_NAME=FAT:FQL_AUDITING_CLIENT_TEMPLATE.FAT&amp;display_string=Audit&amp;VAR:KEY=YXOPCTIRUF&amp;VAR:QUERY=Q1NGX0VCSVRfT1BFUihBTk4sMy8zMS8xOTgxLDAp&amp;WINDOW=FIRST_POPUP&amp;HEIGHT=450&amp;WIDTH=450&amp;STAR","T_MAXIMIZED=FALSE&amp;VAR:CALENDAR=US&amp;VAR:SYMBOL=ARG&amp;VAR:INDEX=15"}</definedName>
    <definedName name="_736__FDSAUDITLINK__" hidden="1">{"fdsup://directions/FAT Viewer?action=UPDATE&amp;creator=factset&amp;DYN_ARGS=TRUE&amp;DOC_NAME=FAT:FQL_AUDITING_CLIENT_TEMPLATE.FAT&amp;display_string=Audit&amp;VAR:KEY=YXOPCTIRUF&amp;VAR:QUERY=Q1NGX0VCSVRfT1BFUihBTk4sMy8zMS8xOTgxLDAp&amp;WINDOW=FIRST_POPUP&amp;HEIGHT=450&amp;WIDTH=450&amp;STAR","T_MAXIMIZED=FALSE&amp;VAR:CALENDAR=US&amp;VAR:SYMBOL=ARG&amp;VAR:INDEX=14"}</definedName>
    <definedName name="_737__FDSAUDITLINK__" hidden="1">{"fdsup://directions/FAT Viewer?action=UPDATE&amp;creator=factset&amp;DYN_ARGS=TRUE&amp;DOC_NAME=FAT:FQL_AUDITING_CLIENT_TEMPLATE.FAT&amp;display_string=Audit&amp;VAR:KEY=YXOPCTIRUF&amp;VAR:QUERY=Q1NGX0VCSVRfT1BFUihBTk4sMy8zMS8xOTgxLDAp&amp;WINDOW=FIRST_POPUP&amp;HEIGHT=450&amp;WIDTH=450&amp;STAR","T_MAXIMIZED=FALSE&amp;VAR:CALENDAR=US&amp;VAR:SYMBOL=ARG&amp;VAR:INDEX=13"}</definedName>
    <definedName name="_738__FDSAUDITLINK__" hidden="1">{"fdsup://directions/FAT Viewer?action=UPDATE&amp;creator=factset&amp;DYN_ARGS=TRUE&amp;DOC_NAME=FAT:FQL_AUDITING_CLIENT_TEMPLATE.FAT&amp;display_string=Audit&amp;VAR:KEY=YXOPCTIRUF&amp;VAR:QUERY=Q1NGX0VCSVRfT1BFUihBTk4sMy8zMS8xOTgxLDAp&amp;WINDOW=FIRST_POPUP&amp;HEIGHT=450&amp;WIDTH=450&amp;STAR","T_MAXIMIZED=FALSE&amp;VAR:CALENDAR=US&amp;VAR:SYMBOL=ARG&amp;VAR:INDEX=12"}</definedName>
    <definedName name="_739__FDSAUDITLINK__" hidden="1">{"fdsup://directions/FAT Viewer?action=UPDATE&amp;creator=factset&amp;DYN_ARGS=TRUE&amp;DOC_NAME=FAT:FQL_AUDITING_CLIENT_TEMPLATE.FAT&amp;display_string=Audit&amp;VAR:KEY=YXOPCTIRUF&amp;VAR:QUERY=Q1NGX0VCSVRfT1BFUihBTk4sMy8zMS8xOTgxLDAp&amp;WINDOW=FIRST_POPUP&amp;HEIGHT=450&amp;WIDTH=450&amp;STAR","T_MAXIMIZED=FALSE&amp;VAR:CALENDAR=US&amp;VAR:SYMBOL=ARG&amp;VAR:INDEX=11"}</definedName>
    <definedName name="_74__FDSAUDITLINK__" hidden="1">{"fdsup://directions/FAT Viewer?action=UPDATE&amp;creator=factset&amp;DYN_ARGS=TRUE&amp;DOC_NAME=FAT:FQL_AUDITING_CLIENT_TEMPLATE.FAT&amp;display_string=Audit&amp;VAR:KEY=EHAPAZCHGT&amp;VAR:QUERY=Q1NGX0VCSVRfT1BFUihRVFJfUiwtM0FZLDAsRlEp&amp;WINDOW=FIRST_POPUP&amp;HEIGHT=450&amp;WIDTH=450&amp;STAR","T_MAXIMIZED=FALSE&amp;VAR:CALENDAR=US&amp;VAR:SYMBOL=EMN&amp;VAR:INDEX=4"}</definedName>
    <definedName name="_740__FDSAUDITLINK__" hidden="1">{"fdsup://directions/FAT Viewer?action=UPDATE&amp;creator=factset&amp;DYN_ARGS=TRUE&amp;DOC_NAME=FAT:FQL_AUDITING_CLIENT_TEMPLATE.FAT&amp;display_string=Audit&amp;VAR:KEY=YXOPCTIRUF&amp;VAR:QUERY=Q1NGX0VCSVRfT1BFUihBTk4sMy8zMS8xOTgxLDAp&amp;WINDOW=FIRST_POPUP&amp;HEIGHT=450&amp;WIDTH=450&amp;STAR","T_MAXIMIZED=FALSE&amp;VAR:CALENDAR=US&amp;VAR:SYMBOL=ARG&amp;VAR:INDEX=10"}</definedName>
    <definedName name="_741__FDSAUDITLINK__" hidden="1">{"fdsup://directions/FAT Viewer?action=UPDATE&amp;creator=factset&amp;DYN_ARGS=TRUE&amp;DOC_NAME=FAT:FQL_AUDITING_CLIENT_TEMPLATE.FAT&amp;display_string=Audit&amp;VAR:KEY=YXOPCTIRUF&amp;VAR:QUERY=Q1NGX0VCSVRfT1BFUihBTk4sMy8zMS8xOTgxLDAp&amp;WINDOW=FIRST_POPUP&amp;HEIGHT=450&amp;WIDTH=450&amp;STAR","T_MAXIMIZED=FALSE&amp;VAR:CALENDAR=US&amp;VAR:SYMBOL=ARG&amp;VAR:INDEX=9"}</definedName>
    <definedName name="_742__FDSAUDITLINK__" hidden="1">{"fdsup://directions/FAT Viewer?action=UPDATE&amp;creator=factset&amp;DYN_ARGS=TRUE&amp;DOC_NAME=FAT:FQL_AUDITING_CLIENT_TEMPLATE.FAT&amp;display_string=Audit&amp;VAR:KEY=YXOPCTIRUF&amp;VAR:QUERY=Q1NGX0VCSVRfT1BFUihBTk4sMy8zMS8xOTgxLDAp&amp;WINDOW=FIRST_POPUP&amp;HEIGHT=450&amp;WIDTH=450&amp;STAR","T_MAXIMIZED=FALSE&amp;VAR:CALENDAR=US&amp;VAR:SYMBOL=ARG&amp;VAR:INDEX=8"}</definedName>
    <definedName name="_743__FDSAUDITLINK__" hidden="1">{"fdsup://directions/FAT Viewer?action=UPDATE&amp;creator=factset&amp;DYN_ARGS=TRUE&amp;DOC_NAME=FAT:FQL_AUDITING_CLIENT_TEMPLATE.FAT&amp;display_string=Audit&amp;VAR:KEY=YXOPCTIRUF&amp;VAR:QUERY=Q1NGX0VCSVRfT1BFUihBTk4sMy8zMS8xOTgxLDAp&amp;WINDOW=FIRST_POPUP&amp;HEIGHT=450&amp;WIDTH=450&amp;STAR","T_MAXIMIZED=FALSE&amp;VAR:CALENDAR=US&amp;VAR:SYMBOL=ARG&amp;VAR:INDEX=7"}</definedName>
    <definedName name="_744__FDSAUDITLINK__" hidden="1">{"fdsup://directions/FAT Viewer?action=UPDATE&amp;creator=factset&amp;DYN_ARGS=TRUE&amp;DOC_NAME=FAT:FQL_AUDITING_CLIENT_TEMPLATE.FAT&amp;display_string=Audit&amp;VAR:KEY=YXOPCTIRUF&amp;VAR:QUERY=Q1NGX0VCSVRfT1BFUihBTk4sMy8zMS8xOTgxLDAp&amp;WINDOW=FIRST_POPUP&amp;HEIGHT=450&amp;WIDTH=450&amp;STAR","T_MAXIMIZED=FALSE&amp;VAR:CALENDAR=US&amp;VAR:SYMBOL=ARG&amp;VAR:INDEX=6"}</definedName>
    <definedName name="_745__FDSAUDITLINK__" hidden="1">{"fdsup://directions/FAT Viewer?action=UPDATE&amp;creator=factset&amp;DYN_ARGS=TRUE&amp;DOC_NAME=FAT:FQL_AUDITING_CLIENT_TEMPLATE.FAT&amp;display_string=Audit&amp;VAR:KEY=YXOPCTIRUF&amp;VAR:QUERY=Q1NGX0VCSVRfT1BFUihBTk4sMy8zMS8xOTgxLDAp&amp;WINDOW=FIRST_POPUP&amp;HEIGHT=450&amp;WIDTH=450&amp;STAR","T_MAXIMIZED=FALSE&amp;VAR:CALENDAR=US&amp;VAR:SYMBOL=ARG&amp;VAR:INDEX=5"}</definedName>
    <definedName name="_746__FDSAUDITLINK__" hidden="1">{"fdsup://directions/FAT Viewer?action=UPDATE&amp;creator=factset&amp;DYN_ARGS=TRUE&amp;DOC_NAME=FAT:FQL_AUDITING_CLIENT_TEMPLATE.FAT&amp;display_string=Audit&amp;VAR:KEY=YXOPCTIRUF&amp;VAR:QUERY=Q1NGX0VCSVRfT1BFUihBTk4sMy8zMS8xOTgxLDAp&amp;WINDOW=FIRST_POPUP&amp;HEIGHT=450&amp;WIDTH=450&amp;STAR","T_MAXIMIZED=FALSE&amp;VAR:CALENDAR=US&amp;VAR:SYMBOL=ARG&amp;VAR:INDEX=4"}</definedName>
    <definedName name="_747__FDSAUDITLINK__" hidden="1">{"fdsup://directions/FAT Viewer?action=UPDATE&amp;creator=factset&amp;DYN_ARGS=TRUE&amp;DOC_NAME=FAT:FQL_AUDITING_CLIENT_TEMPLATE.FAT&amp;display_string=Audit&amp;VAR:KEY=YXOPCTIRUF&amp;VAR:QUERY=Q1NGX0VCSVRfT1BFUihBTk4sMy8zMS8xOTgxLDAp&amp;WINDOW=FIRST_POPUP&amp;HEIGHT=450&amp;WIDTH=450&amp;STAR","T_MAXIMIZED=FALSE&amp;VAR:CALENDAR=US&amp;VAR:SYMBOL=ARG&amp;VAR:INDEX=3"}</definedName>
    <definedName name="_748__FDSAUDITLINK__" hidden="1">{"fdsup://directions/FAT Viewer?action=UPDATE&amp;creator=factset&amp;DYN_ARGS=TRUE&amp;DOC_NAME=FAT:FQL_AUDITING_CLIENT_TEMPLATE.FAT&amp;display_string=Audit&amp;VAR:KEY=YXOPCTIRUF&amp;VAR:QUERY=Q1NGX0VCSVRfT1BFUihBTk4sMy8zMS8xOTgxLDAp&amp;WINDOW=FIRST_POPUP&amp;HEIGHT=450&amp;WIDTH=450&amp;STAR","T_MAXIMIZED=FALSE&amp;VAR:CALENDAR=US&amp;VAR:SYMBOL=ARG&amp;VAR:INDEX=2"}</definedName>
    <definedName name="_749__FDSAUDITLINK__" hidden="1">{"fdsup://directions/FAT Viewer?action=UPDATE&amp;creator=factset&amp;DYN_ARGS=TRUE&amp;DOC_NAME=FAT:FQL_AUDITING_CLIENT_TEMPLATE.FAT&amp;display_string=Audit&amp;VAR:KEY=YXOPCTIRUF&amp;VAR:QUERY=Q1NGX0VCSVRfT1BFUihBTk4sMy8zMS8xOTgxLDAp&amp;WINDOW=FIRST_POPUP&amp;HEIGHT=450&amp;WIDTH=450&amp;STAR","T_MAXIMIZED=FALSE&amp;VAR:CALENDAR=US&amp;VAR:SYMBOL=ARG&amp;VAR:INDEX=1"}</definedName>
    <definedName name="_75__FDSAUDITLINK__" hidden="1">{"fdsup://directions/FAT Viewer?action=UPDATE&amp;creator=factset&amp;DYN_ARGS=TRUE&amp;DOC_NAME=FAT:FQL_AUDITING_CLIENT_TEMPLATE.FAT&amp;display_string=Audit&amp;VAR:KEY=EHAPAZCHGT&amp;VAR:QUERY=Q1NGX0VCSVRfT1BFUihRVFJfUiwtM0FZLDAsRlEp&amp;WINDOW=FIRST_POPUP&amp;HEIGHT=450&amp;WIDTH=450&amp;STAR","T_MAXIMIZED=FALSE&amp;VAR:CALENDAR=US&amp;VAR:SYMBOL=EMN&amp;VAR:INDEX=3"}</definedName>
    <definedName name="_750__FDSAUDITLINK__" hidden="1">{"fdsup://directions/FAT Viewer?action=UPDATE&amp;creator=factset&amp;DYN_ARGS=TRUE&amp;DOC_NAME=FAT:FQL_AUDITING_CLIENT_TEMPLATE.FAT&amp;display_string=Audit&amp;VAR:KEY=YXOPCTIRUF&amp;VAR:QUERY=Q1NGX0VCSVRfT1BFUihBTk4sMy8zMS8xOTgxLDAp&amp;WINDOW=FIRST_POPUP&amp;HEIGHT=450&amp;WIDTH=450&amp;STAR","T_MAXIMIZED=FALSE&amp;VAR:CALENDAR=US&amp;VAR:SYMBOL=ARG&amp;VAR:INDEX=0"}</definedName>
    <definedName name="_751__FDSAUDITLINK__" hidden="1">{"fdsup://directions/FAT Viewer?action=UPDATE&amp;creator=factset&amp;DYN_ARGS=TRUE&amp;DOC_NAME=FAT:FQL_AUDITING_CLIENT_TEMPLATE.FAT&amp;display_string=Audit&amp;VAR:KEY=SRYTKBSFWJ&amp;VAR:QUERY=Q1NGX0VCSVRfT1BFUihMVE1fUiwwKQ==&amp;WINDOW=FIRST_POPUP&amp;HEIGHT=450&amp;WIDTH=450&amp;START_MAXIMI","ZED=FALSE&amp;VAR:CALENDAR=US&amp;VAR:SYMBOL=AGU&amp;VAR:INDEX=0"}</definedName>
    <definedName name="_752__FDSAUDITLINK__" hidden="1">{"fdsup://directions/FAT Viewer?action=UPDATE&amp;creator=factset&amp;DYN_ARGS=TRUE&amp;DOC_NAME=FAT:FQL_AUDITING_CLIENT_TEMPLATE.FAT&amp;display_string=Audit&amp;VAR:KEY=SXYLEBAFKP&amp;VAR:QUERY=Q1NGX0VCSVRfT1BFUihBTk4sMTIvMzEvMTk4MCwxMi8zMS8yMDA5KQ==&amp;WINDOW=FIRST_POPUP&amp;HEIGHT=45","0&amp;WIDTH=450&amp;START_MAXIMIZED=FALSE&amp;VAR:CALENDAR=US&amp;VAR:SYMBOL=AGU&amp;VAR:INDEX=29"}</definedName>
    <definedName name="_753__FDSAUDITLINK__" hidden="1">{"fdsup://directions/FAT Viewer?action=UPDATE&amp;creator=factset&amp;DYN_ARGS=TRUE&amp;DOC_NAME=FAT:FQL_AUDITING_CLIENT_TEMPLATE.FAT&amp;display_string=Audit&amp;VAR:KEY=SXYLEBAFKP&amp;VAR:QUERY=Q1NGX0VCSVRfT1BFUihBTk4sMTIvMzEvMTk4MCwxMi8zMS8yMDA5KQ==&amp;WINDOW=FIRST_POPUP&amp;HEIGHT=45","0&amp;WIDTH=450&amp;START_MAXIMIZED=FALSE&amp;VAR:CALENDAR=US&amp;VAR:SYMBOL=AGU&amp;VAR:INDEX=28"}</definedName>
    <definedName name="_754__FDSAUDITLINK__" hidden="1">{"fdsup://directions/FAT Viewer?action=UPDATE&amp;creator=factset&amp;DYN_ARGS=TRUE&amp;DOC_NAME=FAT:FQL_AUDITING_CLIENT_TEMPLATE.FAT&amp;display_string=Audit&amp;VAR:KEY=SXYLEBAFKP&amp;VAR:QUERY=Q1NGX0VCSVRfT1BFUihBTk4sMTIvMzEvMTk4MCwxMi8zMS8yMDA5KQ==&amp;WINDOW=FIRST_POPUP&amp;HEIGHT=45","0&amp;WIDTH=450&amp;START_MAXIMIZED=FALSE&amp;VAR:CALENDAR=US&amp;VAR:SYMBOL=AGU&amp;VAR:INDEX=27"}</definedName>
    <definedName name="_755__FDSAUDITLINK__" hidden="1">{"fdsup://directions/FAT Viewer?action=UPDATE&amp;creator=factset&amp;DYN_ARGS=TRUE&amp;DOC_NAME=FAT:FQL_AUDITING_CLIENT_TEMPLATE.FAT&amp;display_string=Audit&amp;VAR:KEY=SXYLEBAFKP&amp;VAR:QUERY=Q1NGX0VCSVRfT1BFUihBTk4sMTIvMzEvMTk4MCwxMi8zMS8yMDA5KQ==&amp;WINDOW=FIRST_POPUP&amp;HEIGHT=45","0&amp;WIDTH=450&amp;START_MAXIMIZED=FALSE&amp;VAR:CALENDAR=US&amp;VAR:SYMBOL=AGU&amp;VAR:INDEX=26"}</definedName>
    <definedName name="_756__FDSAUDITLINK__" hidden="1">{"fdsup://directions/FAT Viewer?action=UPDATE&amp;creator=factset&amp;DYN_ARGS=TRUE&amp;DOC_NAME=FAT:FQL_AUDITING_CLIENT_TEMPLATE.FAT&amp;display_string=Audit&amp;VAR:KEY=SXYLEBAFKP&amp;VAR:QUERY=Q1NGX0VCSVRfT1BFUihBTk4sMTIvMzEvMTk4MCwxMi8zMS8yMDA5KQ==&amp;WINDOW=FIRST_POPUP&amp;HEIGHT=45","0&amp;WIDTH=450&amp;START_MAXIMIZED=FALSE&amp;VAR:CALENDAR=US&amp;VAR:SYMBOL=AGU&amp;VAR:INDEX=25"}</definedName>
    <definedName name="_757__FDSAUDITLINK__" hidden="1">{"fdsup://directions/FAT Viewer?action=UPDATE&amp;creator=factset&amp;DYN_ARGS=TRUE&amp;DOC_NAME=FAT:FQL_AUDITING_CLIENT_TEMPLATE.FAT&amp;display_string=Audit&amp;VAR:KEY=SXYLEBAFKP&amp;VAR:QUERY=Q1NGX0VCSVRfT1BFUihBTk4sMTIvMzEvMTk4MCwxMi8zMS8yMDA5KQ==&amp;WINDOW=FIRST_POPUP&amp;HEIGHT=45","0&amp;WIDTH=450&amp;START_MAXIMIZED=FALSE&amp;VAR:CALENDAR=US&amp;VAR:SYMBOL=AGU&amp;VAR:INDEX=24"}</definedName>
    <definedName name="_758__FDSAUDITLINK__" hidden="1">{"fdsup://directions/FAT Viewer?action=UPDATE&amp;creator=factset&amp;DYN_ARGS=TRUE&amp;DOC_NAME=FAT:FQL_AUDITING_CLIENT_TEMPLATE.FAT&amp;display_string=Audit&amp;VAR:KEY=SXYLEBAFKP&amp;VAR:QUERY=Q1NGX0VCSVRfT1BFUihBTk4sMTIvMzEvMTk4MCwxMi8zMS8yMDA5KQ==&amp;WINDOW=FIRST_POPUP&amp;HEIGHT=45","0&amp;WIDTH=450&amp;START_MAXIMIZED=FALSE&amp;VAR:CALENDAR=US&amp;VAR:SYMBOL=AGU&amp;VAR:INDEX=23"}</definedName>
    <definedName name="_759__FDSAUDITLINK__" hidden="1">{"fdsup://directions/FAT Viewer?action=UPDATE&amp;creator=factset&amp;DYN_ARGS=TRUE&amp;DOC_NAME=FAT:FQL_AUDITING_CLIENT_TEMPLATE.FAT&amp;display_string=Audit&amp;VAR:KEY=SXYLEBAFKP&amp;VAR:QUERY=Q1NGX0VCSVRfT1BFUihBTk4sMTIvMzEvMTk4MCwxMi8zMS8yMDA5KQ==&amp;WINDOW=FIRST_POPUP&amp;HEIGHT=45","0&amp;WIDTH=450&amp;START_MAXIMIZED=FALSE&amp;VAR:CALENDAR=US&amp;VAR:SYMBOL=AGU&amp;VAR:INDEX=22"}</definedName>
    <definedName name="_76__FDSAUDITLINK__" hidden="1">{"fdsup://directions/FAT Viewer?action=UPDATE&amp;creator=factset&amp;DYN_ARGS=TRUE&amp;DOC_NAME=FAT:FQL_AUDITING_CLIENT_TEMPLATE.FAT&amp;display_string=Audit&amp;VAR:KEY=EHAPAZCHGT&amp;VAR:QUERY=Q1NGX0VCSVRfT1BFUihRVFJfUiwtM0FZLDAsRlEp&amp;WINDOW=FIRST_POPUP&amp;HEIGHT=450&amp;WIDTH=450&amp;STAR","T_MAXIMIZED=FALSE&amp;VAR:CALENDAR=US&amp;VAR:SYMBOL=EMN&amp;VAR:INDEX=2"}</definedName>
    <definedName name="_760__FDSAUDITLINK__" hidden="1">{"fdsup://directions/FAT Viewer?action=UPDATE&amp;creator=factset&amp;DYN_ARGS=TRUE&amp;DOC_NAME=FAT:FQL_AUDITING_CLIENT_TEMPLATE.FAT&amp;display_string=Audit&amp;VAR:KEY=SXYLEBAFKP&amp;VAR:QUERY=Q1NGX0VCSVRfT1BFUihBTk4sMTIvMzEvMTk4MCwxMi8zMS8yMDA5KQ==&amp;WINDOW=FIRST_POPUP&amp;HEIGHT=45","0&amp;WIDTH=450&amp;START_MAXIMIZED=FALSE&amp;VAR:CALENDAR=US&amp;VAR:SYMBOL=AGU&amp;VAR:INDEX=21"}</definedName>
    <definedName name="_761__FDSAUDITLINK__" hidden="1">{"fdsup://directions/FAT Viewer?action=UPDATE&amp;creator=factset&amp;DYN_ARGS=TRUE&amp;DOC_NAME=FAT:FQL_AUDITING_CLIENT_TEMPLATE.FAT&amp;display_string=Audit&amp;VAR:KEY=SXYLEBAFKP&amp;VAR:QUERY=Q1NGX0VCSVRfT1BFUihBTk4sMTIvMzEvMTk4MCwxMi8zMS8yMDA5KQ==&amp;WINDOW=FIRST_POPUP&amp;HEIGHT=45","0&amp;WIDTH=450&amp;START_MAXIMIZED=FALSE&amp;VAR:CALENDAR=US&amp;VAR:SYMBOL=AGU&amp;VAR:INDEX=20"}</definedName>
    <definedName name="_762__FDSAUDITLINK__" hidden="1">{"fdsup://directions/FAT Viewer?action=UPDATE&amp;creator=factset&amp;DYN_ARGS=TRUE&amp;DOC_NAME=FAT:FQL_AUDITING_CLIENT_TEMPLATE.FAT&amp;display_string=Audit&amp;VAR:KEY=SXYLEBAFKP&amp;VAR:QUERY=Q1NGX0VCSVRfT1BFUihBTk4sMTIvMzEvMTk4MCwxMi8zMS8yMDA5KQ==&amp;WINDOW=FIRST_POPUP&amp;HEIGHT=45","0&amp;WIDTH=450&amp;START_MAXIMIZED=FALSE&amp;VAR:CALENDAR=US&amp;VAR:SYMBOL=AGU&amp;VAR:INDEX=19"}</definedName>
    <definedName name="_763__FDSAUDITLINK__" hidden="1">{"fdsup://directions/FAT Viewer?action=UPDATE&amp;creator=factset&amp;DYN_ARGS=TRUE&amp;DOC_NAME=FAT:FQL_AUDITING_CLIENT_TEMPLATE.FAT&amp;display_string=Audit&amp;VAR:KEY=SXYLEBAFKP&amp;VAR:QUERY=Q1NGX0VCSVRfT1BFUihBTk4sMTIvMzEvMTk4MCwxMi8zMS8yMDA5KQ==&amp;WINDOW=FIRST_POPUP&amp;HEIGHT=45","0&amp;WIDTH=450&amp;START_MAXIMIZED=FALSE&amp;VAR:CALENDAR=US&amp;VAR:SYMBOL=AGU&amp;VAR:INDEX=18"}</definedName>
    <definedName name="_764__FDSAUDITLINK__" hidden="1">{"fdsup://directions/FAT Viewer?action=UPDATE&amp;creator=factset&amp;DYN_ARGS=TRUE&amp;DOC_NAME=FAT:FQL_AUDITING_CLIENT_TEMPLATE.FAT&amp;display_string=Audit&amp;VAR:KEY=SXYLEBAFKP&amp;VAR:QUERY=Q1NGX0VCSVRfT1BFUihBTk4sMTIvMzEvMTk4MCwxMi8zMS8yMDA5KQ==&amp;WINDOW=FIRST_POPUP&amp;HEIGHT=45","0&amp;WIDTH=450&amp;START_MAXIMIZED=FALSE&amp;VAR:CALENDAR=US&amp;VAR:SYMBOL=AGU&amp;VAR:INDEX=17"}</definedName>
    <definedName name="_765__FDSAUDITLINK__" hidden="1">{"fdsup://directions/FAT Viewer?action=UPDATE&amp;creator=factset&amp;DYN_ARGS=TRUE&amp;DOC_NAME=FAT:FQL_AUDITING_CLIENT_TEMPLATE.FAT&amp;display_string=Audit&amp;VAR:KEY=SXYLEBAFKP&amp;VAR:QUERY=Q1NGX0VCSVRfT1BFUihBTk4sMTIvMzEvMTk4MCwxMi8zMS8yMDA5KQ==&amp;WINDOW=FIRST_POPUP&amp;HEIGHT=45","0&amp;WIDTH=450&amp;START_MAXIMIZED=FALSE&amp;VAR:CALENDAR=US&amp;VAR:SYMBOL=AGU&amp;VAR:INDEX=16"}</definedName>
    <definedName name="_766__FDSAUDITLINK__" hidden="1">{"fdsup://directions/FAT Viewer?action=UPDATE&amp;creator=factset&amp;DYN_ARGS=TRUE&amp;DOC_NAME=FAT:FQL_AUDITING_CLIENT_TEMPLATE.FAT&amp;display_string=Audit&amp;VAR:KEY=SXYLEBAFKP&amp;VAR:QUERY=Q1NGX0VCSVRfT1BFUihBTk4sMTIvMzEvMTk4MCwxMi8zMS8yMDA5KQ==&amp;WINDOW=FIRST_POPUP&amp;HEIGHT=45","0&amp;WIDTH=450&amp;START_MAXIMIZED=FALSE&amp;VAR:CALENDAR=US&amp;VAR:SYMBOL=AGU&amp;VAR:INDEX=15"}</definedName>
    <definedName name="_767__FDSAUDITLINK__" hidden="1">{"fdsup://directions/FAT Viewer?action=UPDATE&amp;creator=factset&amp;DYN_ARGS=TRUE&amp;DOC_NAME=FAT:FQL_AUDITING_CLIENT_TEMPLATE.FAT&amp;display_string=Audit&amp;VAR:KEY=SXYLEBAFKP&amp;VAR:QUERY=Q1NGX0VCSVRfT1BFUihBTk4sMTIvMzEvMTk4MCwxMi8zMS8yMDA5KQ==&amp;WINDOW=FIRST_POPUP&amp;HEIGHT=45","0&amp;WIDTH=450&amp;START_MAXIMIZED=FALSE&amp;VAR:CALENDAR=US&amp;VAR:SYMBOL=AGU&amp;VAR:INDEX=14"}</definedName>
    <definedName name="_768__FDSAUDITLINK__" hidden="1">{"fdsup://directions/FAT Viewer?action=UPDATE&amp;creator=factset&amp;DYN_ARGS=TRUE&amp;DOC_NAME=FAT:FQL_AUDITING_CLIENT_TEMPLATE.FAT&amp;display_string=Audit&amp;VAR:KEY=SXYLEBAFKP&amp;VAR:QUERY=Q1NGX0VCSVRfT1BFUihBTk4sMTIvMzEvMTk4MCwxMi8zMS8yMDA5KQ==&amp;WINDOW=FIRST_POPUP&amp;HEIGHT=45","0&amp;WIDTH=450&amp;START_MAXIMIZED=FALSE&amp;VAR:CALENDAR=US&amp;VAR:SYMBOL=AGU&amp;VAR:INDEX=13"}</definedName>
    <definedName name="_769__FDSAUDITLINK__" hidden="1">{"fdsup://directions/FAT Viewer?action=UPDATE&amp;creator=factset&amp;DYN_ARGS=TRUE&amp;DOC_NAME=FAT:FQL_AUDITING_CLIENT_TEMPLATE.FAT&amp;display_string=Audit&amp;VAR:KEY=SXYLEBAFKP&amp;VAR:QUERY=Q1NGX0VCSVRfT1BFUihBTk4sMTIvMzEvMTk4MCwxMi8zMS8yMDA5KQ==&amp;WINDOW=FIRST_POPUP&amp;HEIGHT=45","0&amp;WIDTH=450&amp;START_MAXIMIZED=FALSE&amp;VAR:CALENDAR=US&amp;VAR:SYMBOL=AGU&amp;VAR:INDEX=12"}</definedName>
    <definedName name="_77__FDSAUDITLINK__" hidden="1">{"fdsup://directions/FAT Viewer?action=UPDATE&amp;creator=factset&amp;DYN_ARGS=TRUE&amp;DOC_NAME=FAT:FQL_AUDITING_CLIENT_TEMPLATE.FAT&amp;display_string=Audit&amp;VAR:KEY=EHAPAZCHGT&amp;VAR:QUERY=Q1NGX0VCSVRfT1BFUihRVFJfUiwtM0FZLDAsRlEp&amp;WINDOW=FIRST_POPUP&amp;HEIGHT=450&amp;WIDTH=450&amp;STAR","T_MAXIMIZED=FALSE&amp;VAR:CALENDAR=US&amp;VAR:SYMBOL=EMN&amp;VAR:INDEX=1"}</definedName>
    <definedName name="_770__FDSAUDITLINK__" hidden="1">{"fdsup://directions/FAT Viewer?action=UPDATE&amp;creator=factset&amp;DYN_ARGS=TRUE&amp;DOC_NAME=FAT:FQL_AUDITING_CLIENT_TEMPLATE.FAT&amp;display_string=Audit&amp;VAR:KEY=SXYLEBAFKP&amp;VAR:QUERY=Q1NGX0VCSVRfT1BFUihBTk4sMTIvMzEvMTk4MCwxMi8zMS8yMDA5KQ==&amp;WINDOW=FIRST_POPUP&amp;HEIGHT=45","0&amp;WIDTH=450&amp;START_MAXIMIZED=FALSE&amp;VAR:CALENDAR=US&amp;VAR:SYMBOL=AGU&amp;VAR:INDEX=11"}</definedName>
    <definedName name="_771__FDSAUDITLINK__" hidden="1">{"fdsup://directions/FAT Viewer?action=UPDATE&amp;creator=factset&amp;DYN_ARGS=TRUE&amp;DOC_NAME=FAT:FQL_AUDITING_CLIENT_TEMPLATE.FAT&amp;display_string=Audit&amp;VAR:KEY=SXYLEBAFKP&amp;VAR:QUERY=Q1NGX0VCSVRfT1BFUihBTk4sMTIvMzEvMTk4MCwxMi8zMS8yMDA5KQ==&amp;WINDOW=FIRST_POPUP&amp;HEIGHT=45","0&amp;WIDTH=450&amp;START_MAXIMIZED=FALSE&amp;VAR:CALENDAR=US&amp;VAR:SYMBOL=AGU&amp;VAR:INDEX=10"}</definedName>
    <definedName name="_772__FDSAUDITLINK__" hidden="1">{"fdsup://directions/FAT Viewer?action=UPDATE&amp;creator=factset&amp;DYN_ARGS=TRUE&amp;DOC_NAME=FAT:FQL_AUDITING_CLIENT_TEMPLATE.FAT&amp;display_string=Audit&amp;VAR:KEY=SXYLEBAFKP&amp;VAR:QUERY=Q1NGX0VCSVRfT1BFUihBTk4sMTIvMzEvMTk4MCwxMi8zMS8yMDA5KQ==&amp;WINDOW=FIRST_POPUP&amp;HEIGHT=45","0&amp;WIDTH=450&amp;START_MAXIMIZED=FALSE&amp;VAR:CALENDAR=US&amp;VAR:SYMBOL=AGU&amp;VAR:INDEX=9"}</definedName>
    <definedName name="_773__FDSAUDITLINK__" hidden="1">{"fdsup://directions/FAT Viewer?action=UPDATE&amp;creator=factset&amp;DYN_ARGS=TRUE&amp;DOC_NAME=FAT:FQL_AUDITING_CLIENT_TEMPLATE.FAT&amp;display_string=Audit&amp;VAR:KEY=SXYLEBAFKP&amp;VAR:QUERY=Q1NGX0VCSVRfT1BFUihBTk4sMTIvMzEvMTk4MCwxMi8zMS8yMDA5KQ==&amp;WINDOW=FIRST_POPUP&amp;HEIGHT=45","0&amp;WIDTH=450&amp;START_MAXIMIZED=FALSE&amp;VAR:CALENDAR=US&amp;VAR:SYMBOL=AGU&amp;VAR:INDEX=8"}</definedName>
    <definedName name="_774__FDSAUDITLINK__" hidden="1">{"fdsup://directions/FAT Viewer?action=UPDATE&amp;creator=factset&amp;DYN_ARGS=TRUE&amp;DOC_NAME=FAT:FQL_AUDITING_CLIENT_TEMPLATE.FAT&amp;display_string=Audit&amp;VAR:KEY=SXYLEBAFKP&amp;VAR:QUERY=Q1NGX0VCSVRfT1BFUihBTk4sMTIvMzEvMTk4MCwxMi8zMS8yMDA5KQ==&amp;WINDOW=FIRST_POPUP&amp;HEIGHT=45","0&amp;WIDTH=450&amp;START_MAXIMIZED=FALSE&amp;VAR:CALENDAR=US&amp;VAR:SYMBOL=AGU&amp;VAR:INDEX=7"}</definedName>
    <definedName name="_775__FDSAUDITLINK__" hidden="1">{"fdsup://directions/FAT Viewer?action=UPDATE&amp;creator=factset&amp;DYN_ARGS=TRUE&amp;DOC_NAME=FAT:FQL_AUDITING_CLIENT_TEMPLATE.FAT&amp;display_string=Audit&amp;VAR:KEY=SXYLEBAFKP&amp;VAR:QUERY=Q1NGX0VCSVRfT1BFUihBTk4sMTIvMzEvMTk4MCwxMi8zMS8yMDA5KQ==&amp;WINDOW=FIRST_POPUP&amp;HEIGHT=45","0&amp;WIDTH=450&amp;START_MAXIMIZED=FALSE&amp;VAR:CALENDAR=US&amp;VAR:SYMBOL=AGU&amp;VAR:INDEX=6"}</definedName>
    <definedName name="_776__FDSAUDITLINK__" hidden="1">{"fdsup://directions/FAT Viewer?action=UPDATE&amp;creator=factset&amp;DYN_ARGS=TRUE&amp;DOC_NAME=FAT:FQL_AUDITING_CLIENT_TEMPLATE.FAT&amp;display_string=Audit&amp;VAR:KEY=SXYLEBAFKP&amp;VAR:QUERY=Q1NGX0VCSVRfT1BFUihBTk4sMTIvMzEvMTk4MCwxMi8zMS8yMDA5KQ==&amp;WINDOW=FIRST_POPUP&amp;HEIGHT=45","0&amp;WIDTH=450&amp;START_MAXIMIZED=FALSE&amp;VAR:CALENDAR=US&amp;VAR:SYMBOL=AGU&amp;VAR:INDEX=5"}</definedName>
    <definedName name="_777__FDSAUDITLINK__" hidden="1">{"fdsup://directions/FAT Viewer?action=UPDATE&amp;creator=factset&amp;DYN_ARGS=TRUE&amp;DOC_NAME=FAT:FQL_AUDITING_CLIENT_TEMPLATE.FAT&amp;display_string=Audit&amp;VAR:KEY=SXYLEBAFKP&amp;VAR:QUERY=Q1NGX0VCSVRfT1BFUihBTk4sMTIvMzEvMTk4MCwxMi8zMS8yMDA5KQ==&amp;WINDOW=FIRST_POPUP&amp;HEIGHT=45","0&amp;WIDTH=450&amp;START_MAXIMIZED=FALSE&amp;VAR:CALENDAR=US&amp;VAR:SYMBOL=AGU&amp;VAR:INDEX=4"}</definedName>
    <definedName name="_778__FDSAUDITLINK__" hidden="1">{"fdsup://directions/FAT Viewer?action=UPDATE&amp;creator=factset&amp;DYN_ARGS=TRUE&amp;DOC_NAME=FAT:FQL_AUDITING_CLIENT_TEMPLATE.FAT&amp;display_string=Audit&amp;VAR:KEY=SXYLEBAFKP&amp;VAR:QUERY=Q1NGX0VCSVRfT1BFUihBTk4sMTIvMzEvMTk4MCwxMi8zMS8yMDA5KQ==&amp;WINDOW=FIRST_POPUP&amp;HEIGHT=45","0&amp;WIDTH=450&amp;START_MAXIMIZED=FALSE&amp;VAR:CALENDAR=US&amp;VAR:SYMBOL=AGU&amp;VAR:INDEX=3"}</definedName>
    <definedName name="_779__FDSAUDITLINK__" hidden="1">{"fdsup://directions/FAT Viewer?action=UPDATE&amp;creator=factset&amp;DYN_ARGS=TRUE&amp;DOC_NAME=FAT:FQL_AUDITING_CLIENT_TEMPLATE.FAT&amp;display_string=Audit&amp;VAR:KEY=SXYLEBAFKP&amp;VAR:QUERY=Q1NGX0VCSVRfT1BFUihBTk4sMTIvMzEvMTk4MCwxMi8zMS8yMDA5KQ==&amp;WINDOW=FIRST_POPUP&amp;HEIGHT=45","0&amp;WIDTH=450&amp;START_MAXIMIZED=FALSE&amp;VAR:CALENDAR=US&amp;VAR:SYMBOL=AGU&amp;VAR:INDEX=2"}</definedName>
    <definedName name="_78__FDSAUDITLINK__" hidden="1">{"fdsup://directions/FAT Viewer?action=UPDATE&amp;creator=factset&amp;DYN_ARGS=TRUE&amp;DOC_NAME=FAT:FQL_AUDITING_CLIENT_TEMPLATE.FAT&amp;display_string=Audit&amp;VAR:KEY=EHAPAZCHGT&amp;VAR:QUERY=Q1NGX0VCSVRfT1BFUihRVFJfUiwtM0FZLDAsRlEp&amp;WINDOW=FIRST_POPUP&amp;HEIGHT=450&amp;WIDTH=450&amp;STAR","T_MAXIMIZED=FALSE&amp;VAR:CALENDAR=US&amp;VAR:SYMBOL=EMN&amp;VAR:INDEX=0"}</definedName>
    <definedName name="_780__FDSAUDITLINK__" hidden="1">{"fdsup://directions/FAT Viewer?action=UPDATE&amp;creator=factset&amp;DYN_ARGS=TRUE&amp;DOC_NAME=FAT:FQL_AUDITING_CLIENT_TEMPLATE.FAT&amp;display_string=Audit&amp;VAR:KEY=SXYLEBAFKP&amp;VAR:QUERY=Q1NGX0VCSVRfT1BFUihBTk4sMTIvMzEvMTk4MCwxMi8zMS8yMDA5KQ==&amp;WINDOW=FIRST_POPUP&amp;HEIGHT=45","0&amp;WIDTH=450&amp;START_MAXIMIZED=FALSE&amp;VAR:CALENDAR=US&amp;VAR:SYMBOL=AGU&amp;VAR:INDEX=1"}</definedName>
    <definedName name="_781__FDSAUDITLINK__" hidden="1">{"fdsup://directions/FAT Viewer?action=UPDATE&amp;creator=factset&amp;DYN_ARGS=TRUE&amp;DOC_NAME=FAT:FQL_AUDITING_CLIENT_TEMPLATE.FAT&amp;display_string=Audit&amp;VAR:KEY=SXYLEBAFKP&amp;VAR:QUERY=Q1NGX0VCSVRfT1BFUihBTk4sMTIvMzEvMTk4MCwxMi8zMS8yMDA5KQ==&amp;WINDOW=FIRST_POPUP&amp;HEIGHT=45","0&amp;WIDTH=450&amp;START_MAXIMIZED=FALSE&amp;VAR:CALENDAR=US&amp;VAR:SYMBOL=AGU&amp;VAR:INDEX=0"}</definedName>
    <definedName name="_782__FDSAUDITLINK__" hidden="1">{"fdsup://directions/FAT Viewer?action=UPDATE&amp;creator=factset&amp;DYN_ARGS=TRUE&amp;DOC_NAME=FAT:FQL_AUDITING_CLIENT_TEMPLATE.FAT&amp;display_string=Audit&amp;VAR:KEY=UJODSDCPGV&amp;VAR:QUERY=Q1NGX1NBTEVTKEFOTiwxMi8zMS8xOTgwLDAp&amp;WINDOW=FIRST_POPUP&amp;HEIGHT=450&amp;WIDTH=450&amp;START_MA","XIMIZED=FALSE&amp;VAR:CALENDAR=US&amp;VAR:SYMBOL=NLC&amp;VAR:INDEX=29"}</definedName>
    <definedName name="_783__FDSAUDITLINK__" hidden="1">{"fdsup://directions/FAT Viewer?action=UPDATE&amp;creator=factset&amp;DYN_ARGS=TRUE&amp;DOC_NAME=FAT:FQL_AUDITING_CLIENT_TEMPLATE.FAT&amp;display_string=Audit&amp;VAR:KEY=UJODSDCPGV&amp;VAR:QUERY=Q1NGX1NBTEVTKEFOTiwxMi8zMS8xOTgwLDAp&amp;WINDOW=FIRST_POPUP&amp;HEIGHT=450&amp;WIDTH=450&amp;START_MA","XIMIZED=FALSE&amp;VAR:CALENDAR=US&amp;VAR:SYMBOL=NLC&amp;VAR:INDEX=28"}</definedName>
    <definedName name="_784__FDSAUDITLINK__" hidden="1">{"fdsup://directions/FAT Viewer?action=UPDATE&amp;creator=factset&amp;DYN_ARGS=TRUE&amp;DOC_NAME=FAT:FQL_AUDITING_CLIENT_TEMPLATE.FAT&amp;display_string=Audit&amp;VAR:KEY=UJODSDCPGV&amp;VAR:QUERY=Q1NGX1NBTEVTKEFOTiwxMi8zMS8xOTgwLDAp&amp;WINDOW=FIRST_POPUP&amp;HEIGHT=450&amp;WIDTH=450&amp;START_MA","XIMIZED=FALSE&amp;VAR:CALENDAR=US&amp;VAR:SYMBOL=NLC&amp;VAR:INDEX=27"}</definedName>
    <definedName name="_785__FDSAUDITLINK__" hidden="1">{"fdsup://directions/FAT Viewer?action=UPDATE&amp;creator=factset&amp;DYN_ARGS=TRUE&amp;DOC_NAME=FAT:FQL_AUDITING_CLIENT_TEMPLATE.FAT&amp;display_string=Audit&amp;VAR:KEY=UJODSDCPGV&amp;VAR:QUERY=Q1NGX1NBTEVTKEFOTiwxMi8zMS8xOTgwLDAp&amp;WINDOW=FIRST_POPUP&amp;HEIGHT=450&amp;WIDTH=450&amp;START_MA","XIMIZED=FALSE&amp;VAR:CALENDAR=US&amp;VAR:SYMBOL=NLC&amp;VAR:INDEX=26"}</definedName>
    <definedName name="_786__FDSAUDITLINK__" hidden="1">{"fdsup://directions/FAT Viewer?action=UPDATE&amp;creator=factset&amp;DYN_ARGS=TRUE&amp;DOC_NAME=FAT:FQL_AUDITING_CLIENT_TEMPLATE.FAT&amp;display_string=Audit&amp;VAR:KEY=UJODSDCPGV&amp;VAR:QUERY=Q1NGX1NBTEVTKEFOTiwxMi8zMS8xOTgwLDAp&amp;WINDOW=FIRST_POPUP&amp;HEIGHT=450&amp;WIDTH=450&amp;START_MA","XIMIZED=FALSE&amp;VAR:CALENDAR=US&amp;VAR:SYMBOL=NLC&amp;VAR:INDEX=25"}</definedName>
    <definedName name="_787__FDSAUDITLINK__" hidden="1">{"fdsup://directions/FAT Viewer?action=UPDATE&amp;creator=factset&amp;DYN_ARGS=TRUE&amp;DOC_NAME=FAT:FQL_AUDITING_CLIENT_TEMPLATE.FAT&amp;display_string=Audit&amp;VAR:KEY=UJODSDCPGV&amp;VAR:QUERY=Q1NGX1NBTEVTKEFOTiwxMi8zMS8xOTgwLDAp&amp;WINDOW=FIRST_POPUP&amp;HEIGHT=450&amp;WIDTH=450&amp;START_MA","XIMIZED=FALSE&amp;VAR:CALENDAR=US&amp;VAR:SYMBOL=NLC&amp;VAR:INDEX=24"}</definedName>
    <definedName name="_788__FDSAUDITLINK__" hidden="1">{"fdsup://directions/FAT Viewer?action=UPDATE&amp;creator=factset&amp;DYN_ARGS=TRUE&amp;DOC_NAME=FAT:FQL_AUDITING_CLIENT_TEMPLATE.FAT&amp;display_string=Audit&amp;VAR:KEY=UJODSDCPGV&amp;VAR:QUERY=Q1NGX1NBTEVTKEFOTiwxMi8zMS8xOTgwLDAp&amp;WINDOW=FIRST_POPUP&amp;HEIGHT=450&amp;WIDTH=450&amp;START_MA","XIMIZED=FALSE&amp;VAR:CALENDAR=US&amp;VAR:SYMBOL=NLC&amp;VAR:INDEX=23"}</definedName>
    <definedName name="_789__FDSAUDITLINK__" hidden="1">{"fdsup://directions/FAT Viewer?action=UPDATE&amp;creator=factset&amp;DYN_ARGS=TRUE&amp;DOC_NAME=FAT:FQL_AUDITING_CLIENT_TEMPLATE.FAT&amp;display_string=Audit&amp;VAR:KEY=UJODSDCPGV&amp;VAR:QUERY=Q1NGX1NBTEVTKEFOTiwxMi8zMS8xOTgwLDAp&amp;WINDOW=FIRST_POPUP&amp;HEIGHT=450&amp;WIDTH=450&amp;START_MA","XIMIZED=FALSE&amp;VAR:CALENDAR=US&amp;VAR:SYMBOL=NLC&amp;VAR:INDEX=22"}</definedName>
    <definedName name="_79__FDSAUDITLINK__" hidden="1">{"fdsup://directions/FAT Viewer?action=UPDATE&amp;creator=factset&amp;DYN_ARGS=TRUE&amp;DOC_NAME=FAT:FQL_AUDITING_CLIENT_TEMPLATE.FAT&amp;display_string=Audit&amp;VAR:KEY=EBYREFMDAZ&amp;VAR:QUERY=Q1NGX0VCSVRfT1BFUihRVFJfUiwtM0FZLDAsRlEp&amp;WINDOW=FIRST_POPUP&amp;HEIGHT=450&amp;WIDTH=450&amp;STAR","T_MAXIMIZED=FALSE&amp;VAR:CALENDAR=US&amp;VAR:SYMBOL=CE&amp;VAR:INDEX=12"}</definedName>
    <definedName name="_790__FDSAUDITLINK__" hidden="1">{"fdsup://directions/FAT Viewer?action=UPDATE&amp;creator=factset&amp;DYN_ARGS=TRUE&amp;DOC_NAME=FAT:FQL_AUDITING_CLIENT_TEMPLATE.FAT&amp;display_string=Audit&amp;VAR:KEY=UJODSDCPGV&amp;VAR:QUERY=Q1NGX1NBTEVTKEFOTiwxMi8zMS8xOTgwLDAp&amp;WINDOW=FIRST_POPUP&amp;HEIGHT=450&amp;WIDTH=450&amp;START_MA","XIMIZED=FALSE&amp;VAR:CALENDAR=US&amp;VAR:SYMBOL=NLC&amp;VAR:INDEX=21"}</definedName>
    <definedName name="_791__FDSAUDITLINK__" hidden="1">{"fdsup://directions/FAT Viewer?action=UPDATE&amp;creator=factset&amp;DYN_ARGS=TRUE&amp;DOC_NAME=FAT:FQL_AUDITING_CLIENT_TEMPLATE.FAT&amp;display_string=Audit&amp;VAR:KEY=UJODSDCPGV&amp;VAR:QUERY=Q1NGX1NBTEVTKEFOTiwxMi8zMS8xOTgwLDAp&amp;WINDOW=FIRST_POPUP&amp;HEIGHT=450&amp;WIDTH=450&amp;START_MA","XIMIZED=FALSE&amp;VAR:CALENDAR=US&amp;VAR:SYMBOL=NLC&amp;VAR:INDEX=20"}</definedName>
    <definedName name="_792__FDSAUDITLINK__" hidden="1">{"fdsup://directions/FAT Viewer?action=UPDATE&amp;creator=factset&amp;DYN_ARGS=TRUE&amp;DOC_NAME=FAT:FQL_AUDITING_CLIENT_TEMPLATE.FAT&amp;display_string=Audit&amp;VAR:KEY=UJODSDCPGV&amp;VAR:QUERY=Q1NGX1NBTEVTKEFOTiwxMi8zMS8xOTgwLDAp&amp;WINDOW=FIRST_POPUP&amp;HEIGHT=450&amp;WIDTH=450&amp;START_MA","XIMIZED=FALSE&amp;VAR:CALENDAR=US&amp;VAR:SYMBOL=NLC&amp;VAR:INDEX=19"}</definedName>
    <definedName name="_793__FDSAUDITLINK__" hidden="1">{"fdsup://directions/FAT Viewer?action=UPDATE&amp;creator=factset&amp;DYN_ARGS=TRUE&amp;DOC_NAME=FAT:FQL_AUDITING_CLIENT_TEMPLATE.FAT&amp;display_string=Audit&amp;VAR:KEY=UJODSDCPGV&amp;VAR:QUERY=Q1NGX1NBTEVTKEFOTiwxMi8zMS8xOTgwLDAp&amp;WINDOW=FIRST_POPUP&amp;HEIGHT=450&amp;WIDTH=450&amp;START_MA","XIMIZED=FALSE&amp;VAR:CALENDAR=US&amp;VAR:SYMBOL=NLC&amp;VAR:INDEX=18"}</definedName>
    <definedName name="_794__FDSAUDITLINK__" hidden="1">{"fdsup://directions/FAT Viewer?action=UPDATE&amp;creator=factset&amp;DYN_ARGS=TRUE&amp;DOC_NAME=FAT:FQL_AUDITING_CLIENT_TEMPLATE.FAT&amp;display_string=Audit&amp;VAR:KEY=UJODSDCPGV&amp;VAR:QUERY=Q1NGX1NBTEVTKEFOTiwxMi8zMS8xOTgwLDAp&amp;WINDOW=FIRST_POPUP&amp;HEIGHT=450&amp;WIDTH=450&amp;START_MA","XIMIZED=FALSE&amp;VAR:CALENDAR=US&amp;VAR:SYMBOL=NLC&amp;VAR:INDEX=17"}</definedName>
    <definedName name="_795__FDSAUDITLINK__" hidden="1">{"fdsup://directions/FAT Viewer?action=UPDATE&amp;creator=factset&amp;DYN_ARGS=TRUE&amp;DOC_NAME=FAT:FQL_AUDITING_CLIENT_TEMPLATE.FAT&amp;display_string=Audit&amp;VAR:KEY=UJODSDCPGV&amp;VAR:QUERY=Q1NGX1NBTEVTKEFOTiwxMi8zMS8xOTgwLDAp&amp;WINDOW=FIRST_POPUP&amp;HEIGHT=450&amp;WIDTH=450&amp;START_MA","XIMIZED=FALSE&amp;VAR:CALENDAR=US&amp;VAR:SYMBOL=NLC&amp;VAR:INDEX=16"}</definedName>
    <definedName name="_796__FDSAUDITLINK__" hidden="1">{"fdsup://directions/FAT Viewer?action=UPDATE&amp;creator=factset&amp;DYN_ARGS=TRUE&amp;DOC_NAME=FAT:FQL_AUDITING_CLIENT_TEMPLATE.FAT&amp;display_string=Audit&amp;VAR:KEY=UJODSDCPGV&amp;VAR:QUERY=Q1NGX1NBTEVTKEFOTiwxMi8zMS8xOTgwLDAp&amp;WINDOW=FIRST_POPUP&amp;HEIGHT=450&amp;WIDTH=450&amp;START_MA","XIMIZED=FALSE&amp;VAR:CALENDAR=US&amp;VAR:SYMBOL=NLC&amp;VAR:INDEX=15"}</definedName>
    <definedName name="_797__FDSAUDITLINK__" hidden="1">{"fdsup://directions/FAT Viewer?action=UPDATE&amp;creator=factset&amp;DYN_ARGS=TRUE&amp;DOC_NAME=FAT:FQL_AUDITING_CLIENT_TEMPLATE.FAT&amp;display_string=Audit&amp;VAR:KEY=UJODSDCPGV&amp;VAR:QUERY=Q1NGX1NBTEVTKEFOTiwxMi8zMS8xOTgwLDAp&amp;WINDOW=FIRST_POPUP&amp;HEIGHT=450&amp;WIDTH=450&amp;START_MA","XIMIZED=FALSE&amp;VAR:CALENDAR=US&amp;VAR:SYMBOL=NLC&amp;VAR:INDEX=14"}</definedName>
    <definedName name="_798__FDSAUDITLINK__" hidden="1">{"fdsup://directions/FAT Viewer?action=UPDATE&amp;creator=factset&amp;DYN_ARGS=TRUE&amp;DOC_NAME=FAT:FQL_AUDITING_CLIENT_TEMPLATE.FAT&amp;display_string=Audit&amp;VAR:KEY=UJODSDCPGV&amp;VAR:QUERY=Q1NGX1NBTEVTKEFOTiwxMi8zMS8xOTgwLDAp&amp;WINDOW=FIRST_POPUP&amp;HEIGHT=450&amp;WIDTH=450&amp;START_MA","XIMIZED=FALSE&amp;VAR:CALENDAR=US&amp;VAR:SYMBOL=NLC&amp;VAR:INDEX=13"}</definedName>
    <definedName name="_799__FDSAUDITLINK__" hidden="1">{"fdsup://directions/FAT Viewer?action=UPDATE&amp;creator=factset&amp;DYN_ARGS=TRUE&amp;DOC_NAME=FAT:FQL_AUDITING_CLIENT_TEMPLATE.FAT&amp;display_string=Audit&amp;VAR:KEY=UJODSDCPGV&amp;VAR:QUERY=Q1NGX1NBTEVTKEFOTiwxMi8zMS8xOTgwLDAp&amp;WINDOW=FIRST_POPUP&amp;HEIGHT=450&amp;WIDTH=450&amp;START_MA","XIMIZED=FALSE&amp;VAR:CALENDAR=US&amp;VAR:SYMBOL=NLC&amp;VAR:INDEX=12"}</definedName>
    <definedName name="_8__FDSAUDITLINK__" hidden="1">{"fdsup://directions/FAT Viewer?action=UPDATE&amp;creator=factset&amp;DYN_ARGS=TRUE&amp;DOC_NAME=FAT:FQL_AUDITING_CLIENT_TEMPLATE.FAT&amp;display_string=Audit&amp;VAR:KEY=KRUZSNADKB&amp;VAR:QUERY=Q1NGX0VCSVREQV9PUEVSKEFOTiwtMSk=&amp;WINDOW=FIRST_POPUP&amp;HEIGHT=450&amp;WIDTH=450&amp;START_MAXIMI","ZED=FALSE&amp;VAR:CALENDAR=US&amp;VAR:SYMBOL=DOW&amp;VAR:INDEX=0"}</definedName>
    <definedName name="_80__FDSAUDITLINK__" hidden="1">{"fdsup://directions/FAT Viewer?action=UPDATE&amp;creator=factset&amp;DYN_ARGS=TRUE&amp;DOC_NAME=FAT:FQL_AUDITING_CLIENT_TEMPLATE.FAT&amp;display_string=Audit&amp;VAR:KEY=EBYREFMDAZ&amp;VAR:QUERY=Q1NGX0VCSVRfT1BFUihRVFJfUiwtM0FZLDAsRlEp&amp;WINDOW=FIRST_POPUP&amp;HEIGHT=450&amp;WIDTH=450&amp;STAR","T_MAXIMIZED=FALSE&amp;VAR:CALENDAR=US&amp;VAR:SYMBOL=CE&amp;VAR:INDEX=11"}</definedName>
    <definedName name="_800__FDSAUDITLINK__" hidden="1">{"fdsup://directions/FAT Viewer?action=UPDATE&amp;creator=factset&amp;DYN_ARGS=TRUE&amp;DOC_NAME=FAT:FQL_AUDITING_CLIENT_TEMPLATE.FAT&amp;display_string=Audit&amp;VAR:KEY=UJODSDCPGV&amp;VAR:QUERY=Q1NGX1NBTEVTKEFOTiwxMi8zMS8xOTgwLDAp&amp;WINDOW=FIRST_POPUP&amp;HEIGHT=450&amp;WIDTH=450&amp;START_MA","XIMIZED=FALSE&amp;VAR:CALENDAR=US&amp;VAR:SYMBOL=NLC&amp;VAR:INDEX=11"}</definedName>
    <definedName name="_801__FDSAUDITLINK__" hidden="1">{"fdsup://directions/FAT Viewer?action=UPDATE&amp;creator=factset&amp;DYN_ARGS=TRUE&amp;DOC_NAME=FAT:FQL_AUDITING_CLIENT_TEMPLATE.FAT&amp;display_string=Audit&amp;VAR:KEY=UJODSDCPGV&amp;VAR:QUERY=Q1NGX1NBTEVTKEFOTiwxMi8zMS8xOTgwLDAp&amp;WINDOW=FIRST_POPUP&amp;HEIGHT=450&amp;WIDTH=450&amp;START_MA","XIMIZED=FALSE&amp;VAR:CALENDAR=US&amp;VAR:SYMBOL=NLC&amp;VAR:INDEX=10"}</definedName>
    <definedName name="_802__FDSAUDITLINK__" hidden="1">{"fdsup://directions/FAT Viewer?action=UPDATE&amp;creator=factset&amp;DYN_ARGS=TRUE&amp;DOC_NAME=FAT:FQL_AUDITING_CLIENT_TEMPLATE.FAT&amp;display_string=Audit&amp;VAR:KEY=UJODSDCPGV&amp;VAR:QUERY=Q1NGX1NBTEVTKEFOTiwxMi8zMS8xOTgwLDAp&amp;WINDOW=FIRST_POPUP&amp;HEIGHT=450&amp;WIDTH=450&amp;START_MA","XIMIZED=FALSE&amp;VAR:CALENDAR=US&amp;VAR:SYMBOL=NLC&amp;VAR:INDEX=9"}</definedName>
    <definedName name="_803__FDSAUDITLINK__" hidden="1">{"fdsup://directions/FAT Viewer?action=UPDATE&amp;creator=factset&amp;DYN_ARGS=TRUE&amp;DOC_NAME=FAT:FQL_AUDITING_CLIENT_TEMPLATE.FAT&amp;display_string=Audit&amp;VAR:KEY=UJODSDCPGV&amp;VAR:QUERY=Q1NGX1NBTEVTKEFOTiwxMi8zMS8xOTgwLDAp&amp;WINDOW=FIRST_POPUP&amp;HEIGHT=450&amp;WIDTH=450&amp;START_MA","XIMIZED=FALSE&amp;VAR:CALENDAR=US&amp;VAR:SYMBOL=NLC&amp;VAR:INDEX=8"}</definedName>
    <definedName name="_804__FDSAUDITLINK__" hidden="1">{"fdsup://directions/FAT Viewer?action=UPDATE&amp;creator=factset&amp;DYN_ARGS=TRUE&amp;DOC_NAME=FAT:FQL_AUDITING_CLIENT_TEMPLATE.FAT&amp;display_string=Audit&amp;VAR:KEY=UJODSDCPGV&amp;VAR:QUERY=Q1NGX1NBTEVTKEFOTiwxMi8zMS8xOTgwLDAp&amp;WINDOW=FIRST_POPUP&amp;HEIGHT=450&amp;WIDTH=450&amp;START_MA","XIMIZED=FALSE&amp;VAR:CALENDAR=US&amp;VAR:SYMBOL=NLC&amp;VAR:INDEX=7"}</definedName>
    <definedName name="_805__FDSAUDITLINK__" hidden="1">{"fdsup://directions/FAT Viewer?action=UPDATE&amp;creator=factset&amp;DYN_ARGS=TRUE&amp;DOC_NAME=FAT:FQL_AUDITING_CLIENT_TEMPLATE.FAT&amp;display_string=Audit&amp;VAR:KEY=UJODSDCPGV&amp;VAR:QUERY=Q1NGX1NBTEVTKEFOTiwxMi8zMS8xOTgwLDAp&amp;WINDOW=FIRST_POPUP&amp;HEIGHT=450&amp;WIDTH=450&amp;START_MA","XIMIZED=FALSE&amp;VAR:CALENDAR=US&amp;VAR:SYMBOL=NLC&amp;VAR:INDEX=6"}</definedName>
    <definedName name="_806__FDSAUDITLINK__" hidden="1">{"fdsup://directions/FAT Viewer?action=UPDATE&amp;creator=factset&amp;DYN_ARGS=TRUE&amp;DOC_NAME=FAT:FQL_AUDITING_CLIENT_TEMPLATE.FAT&amp;display_string=Audit&amp;VAR:KEY=UJODSDCPGV&amp;VAR:QUERY=Q1NGX1NBTEVTKEFOTiwxMi8zMS8xOTgwLDAp&amp;WINDOW=FIRST_POPUP&amp;HEIGHT=450&amp;WIDTH=450&amp;START_MA","XIMIZED=FALSE&amp;VAR:CALENDAR=US&amp;VAR:SYMBOL=NLC&amp;VAR:INDEX=5"}</definedName>
    <definedName name="_807__FDSAUDITLINK__" hidden="1">{"fdsup://directions/FAT Viewer?action=UPDATE&amp;creator=factset&amp;DYN_ARGS=TRUE&amp;DOC_NAME=FAT:FQL_AUDITING_CLIENT_TEMPLATE.FAT&amp;display_string=Audit&amp;VAR:KEY=UJODSDCPGV&amp;VAR:QUERY=Q1NGX1NBTEVTKEFOTiwxMi8zMS8xOTgwLDAp&amp;WINDOW=FIRST_POPUP&amp;HEIGHT=450&amp;WIDTH=450&amp;START_MA","XIMIZED=FALSE&amp;VAR:CALENDAR=US&amp;VAR:SYMBOL=NLC&amp;VAR:INDEX=4"}</definedName>
    <definedName name="_808__FDSAUDITLINK__" hidden="1">{"fdsup://directions/FAT Viewer?action=UPDATE&amp;creator=factset&amp;DYN_ARGS=TRUE&amp;DOC_NAME=FAT:FQL_AUDITING_CLIENT_TEMPLATE.FAT&amp;display_string=Audit&amp;VAR:KEY=UJODSDCPGV&amp;VAR:QUERY=Q1NGX1NBTEVTKEFOTiwxMi8zMS8xOTgwLDAp&amp;WINDOW=FIRST_POPUP&amp;HEIGHT=450&amp;WIDTH=450&amp;START_MA","XIMIZED=FALSE&amp;VAR:CALENDAR=US&amp;VAR:SYMBOL=NLC&amp;VAR:INDEX=3"}</definedName>
    <definedName name="_809__FDSAUDITLINK__" hidden="1">{"fdsup://directions/FAT Viewer?action=UPDATE&amp;creator=factset&amp;DYN_ARGS=TRUE&amp;DOC_NAME=FAT:FQL_AUDITING_CLIENT_TEMPLATE.FAT&amp;display_string=Audit&amp;VAR:KEY=UJODSDCPGV&amp;VAR:QUERY=Q1NGX1NBTEVTKEFOTiwxMi8zMS8xOTgwLDAp&amp;WINDOW=FIRST_POPUP&amp;HEIGHT=450&amp;WIDTH=450&amp;START_MA","XIMIZED=FALSE&amp;VAR:CALENDAR=US&amp;VAR:SYMBOL=NLC&amp;VAR:INDEX=2"}</definedName>
    <definedName name="_81__FDSAUDITLINK__" hidden="1">{"fdsup://directions/FAT Viewer?action=UPDATE&amp;creator=factset&amp;DYN_ARGS=TRUE&amp;DOC_NAME=FAT:FQL_AUDITING_CLIENT_TEMPLATE.FAT&amp;display_string=Audit&amp;VAR:KEY=EBYREFMDAZ&amp;VAR:QUERY=Q1NGX0VCSVRfT1BFUihRVFJfUiwtM0FZLDAsRlEp&amp;WINDOW=FIRST_POPUP&amp;HEIGHT=450&amp;WIDTH=450&amp;STAR","T_MAXIMIZED=FALSE&amp;VAR:CALENDAR=US&amp;VAR:SYMBOL=CE&amp;VAR:INDEX=10"}</definedName>
    <definedName name="_810__FDSAUDITLINK__" hidden="1">{"fdsup://directions/FAT Viewer?action=UPDATE&amp;creator=factset&amp;DYN_ARGS=TRUE&amp;DOC_NAME=FAT:FQL_AUDITING_CLIENT_TEMPLATE.FAT&amp;display_string=Audit&amp;VAR:KEY=UJODSDCPGV&amp;VAR:QUERY=Q1NGX1NBTEVTKEFOTiwxMi8zMS8xOTgwLDAp&amp;WINDOW=FIRST_POPUP&amp;HEIGHT=450&amp;WIDTH=450&amp;START_MA","XIMIZED=FALSE&amp;VAR:CALENDAR=US&amp;VAR:SYMBOL=NLC&amp;VAR:INDEX=1"}</definedName>
    <definedName name="_811__FDSAUDITLINK__" hidden="1">{"fdsup://directions/FAT Viewer?action=UPDATE&amp;creator=factset&amp;DYN_ARGS=TRUE&amp;DOC_NAME=FAT:FQL_AUDITING_CLIENT_TEMPLATE.FAT&amp;display_string=Audit&amp;VAR:KEY=UJODSDCPGV&amp;VAR:QUERY=Q1NGX1NBTEVTKEFOTiwxMi8zMS8xOTgwLDAp&amp;WINDOW=FIRST_POPUP&amp;HEIGHT=450&amp;WIDTH=450&amp;START_MA","XIMIZED=FALSE&amp;VAR:CALENDAR=US&amp;VAR:SYMBOL=NLC&amp;VAR:INDEX=0"}</definedName>
    <definedName name="_812__FDSAUDITLINK__" hidden="1">{"fdsup://directions/FAT Viewer?action=UPDATE&amp;creator=factset&amp;DYN_ARGS=TRUE&amp;DOC_NAME=FAT:FQL_AUDITING_CLIENT_TEMPLATE.FAT&amp;display_string=Audit&amp;VAR:KEY=WRCXYFSDAF&amp;VAR:QUERY=Q1NGX1NBTEVTKEFOTiwxMi8zMS8xOTgwLDAp&amp;WINDOW=FIRST_POPUP&amp;HEIGHT=450&amp;WIDTH=450&amp;START_MA","XIMIZED=FALSE&amp;VAR:CALENDAR=US&amp;VAR:SYMBOL=CYT&amp;VAR:INDEX=29"}</definedName>
    <definedName name="_813__FDSAUDITLINK__" hidden="1">{"fdsup://directions/FAT Viewer?action=UPDATE&amp;creator=factset&amp;DYN_ARGS=TRUE&amp;DOC_NAME=FAT:FQL_AUDITING_CLIENT_TEMPLATE.FAT&amp;display_string=Audit&amp;VAR:KEY=WRCXYFSDAF&amp;VAR:QUERY=Q1NGX1NBTEVTKEFOTiwxMi8zMS8xOTgwLDAp&amp;WINDOW=FIRST_POPUP&amp;HEIGHT=450&amp;WIDTH=450&amp;START_MA","XIMIZED=FALSE&amp;VAR:CALENDAR=US&amp;VAR:SYMBOL=CYT&amp;VAR:INDEX=28"}</definedName>
    <definedName name="_814__FDSAUDITLINK__" hidden="1">{"fdsup://directions/FAT Viewer?action=UPDATE&amp;creator=factset&amp;DYN_ARGS=TRUE&amp;DOC_NAME=FAT:FQL_AUDITING_CLIENT_TEMPLATE.FAT&amp;display_string=Audit&amp;VAR:KEY=WRCXYFSDAF&amp;VAR:QUERY=Q1NGX1NBTEVTKEFOTiwxMi8zMS8xOTgwLDAp&amp;WINDOW=FIRST_POPUP&amp;HEIGHT=450&amp;WIDTH=450&amp;START_MA","XIMIZED=FALSE&amp;VAR:CALENDAR=US&amp;VAR:SYMBOL=CYT&amp;VAR:INDEX=27"}</definedName>
    <definedName name="_815__FDSAUDITLINK__" hidden="1">{"fdsup://directions/FAT Viewer?action=UPDATE&amp;creator=factset&amp;DYN_ARGS=TRUE&amp;DOC_NAME=FAT:FQL_AUDITING_CLIENT_TEMPLATE.FAT&amp;display_string=Audit&amp;VAR:KEY=WRCXYFSDAF&amp;VAR:QUERY=Q1NGX1NBTEVTKEFOTiwxMi8zMS8xOTgwLDAp&amp;WINDOW=FIRST_POPUP&amp;HEIGHT=450&amp;WIDTH=450&amp;START_MA","XIMIZED=FALSE&amp;VAR:CALENDAR=US&amp;VAR:SYMBOL=CYT&amp;VAR:INDEX=26"}</definedName>
    <definedName name="_816__FDSAUDITLINK__" hidden="1">{"fdsup://directions/FAT Viewer?action=UPDATE&amp;creator=factset&amp;DYN_ARGS=TRUE&amp;DOC_NAME=FAT:FQL_AUDITING_CLIENT_TEMPLATE.FAT&amp;display_string=Audit&amp;VAR:KEY=WRCXYFSDAF&amp;VAR:QUERY=Q1NGX1NBTEVTKEFOTiwxMi8zMS8xOTgwLDAp&amp;WINDOW=FIRST_POPUP&amp;HEIGHT=450&amp;WIDTH=450&amp;START_MA","XIMIZED=FALSE&amp;VAR:CALENDAR=US&amp;VAR:SYMBOL=CYT&amp;VAR:INDEX=25"}</definedName>
    <definedName name="_817__FDSAUDITLINK__" hidden="1">{"fdsup://directions/FAT Viewer?action=UPDATE&amp;creator=factset&amp;DYN_ARGS=TRUE&amp;DOC_NAME=FAT:FQL_AUDITING_CLIENT_TEMPLATE.FAT&amp;display_string=Audit&amp;VAR:KEY=WRCXYFSDAF&amp;VAR:QUERY=Q1NGX1NBTEVTKEFOTiwxMi8zMS8xOTgwLDAp&amp;WINDOW=FIRST_POPUP&amp;HEIGHT=450&amp;WIDTH=450&amp;START_MA","XIMIZED=FALSE&amp;VAR:CALENDAR=US&amp;VAR:SYMBOL=CYT&amp;VAR:INDEX=24"}</definedName>
    <definedName name="_818__FDSAUDITLINK__" hidden="1">{"fdsup://directions/FAT Viewer?action=UPDATE&amp;creator=factset&amp;DYN_ARGS=TRUE&amp;DOC_NAME=FAT:FQL_AUDITING_CLIENT_TEMPLATE.FAT&amp;display_string=Audit&amp;VAR:KEY=WRCXYFSDAF&amp;VAR:QUERY=Q1NGX1NBTEVTKEFOTiwxMi8zMS8xOTgwLDAp&amp;WINDOW=FIRST_POPUP&amp;HEIGHT=450&amp;WIDTH=450&amp;START_MA","XIMIZED=FALSE&amp;VAR:CALENDAR=US&amp;VAR:SYMBOL=CYT&amp;VAR:INDEX=23"}</definedName>
    <definedName name="_819__FDSAUDITLINK__" hidden="1">{"fdsup://directions/FAT Viewer?action=UPDATE&amp;creator=factset&amp;DYN_ARGS=TRUE&amp;DOC_NAME=FAT:FQL_AUDITING_CLIENT_TEMPLATE.FAT&amp;display_string=Audit&amp;VAR:KEY=WRCXYFSDAF&amp;VAR:QUERY=Q1NGX1NBTEVTKEFOTiwxMi8zMS8xOTgwLDAp&amp;WINDOW=FIRST_POPUP&amp;HEIGHT=450&amp;WIDTH=450&amp;START_MA","XIMIZED=FALSE&amp;VAR:CALENDAR=US&amp;VAR:SYMBOL=CYT&amp;VAR:INDEX=22"}</definedName>
    <definedName name="_82__FDSAUDITLINK__" hidden="1">{"fdsup://directions/FAT Viewer?action=UPDATE&amp;creator=factset&amp;DYN_ARGS=TRUE&amp;DOC_NAME=FAT:FQL_AUDITING_CLIENT_TEMPLATE.FAT&amp;display_string=Audit&amp;VAR:KEY=EBYREFMDAZ&amp;VAR:QUERY=Q1NGX0VCSVRfT1BFUihRVFJfUiwtM0FZLDAsRlEp&amp;WINDOW=FIRST_POPUP&amp;HEIGHT=450&amp;WIDTH=450&amp;STAR","T_MAXIMIZED=FALSE&amp;VAR:CALENDAR=US&amp;VAR:SYMBOL=CE&amp;VAR:INDEX=9"}</definedName>
    <definedName name="_820__FDSAUDITLINK__" hidden="1">{"fdsup://directions/FAT Viewer?action=UPDATE&amp;creator=factset&amp;DYN_ARGS=TRUE&amp;DOC_NAME=FAT:FQL_AUDITING_CLIENT_TEMPLATE.FAT&amp;display_string=Audit&amp;VAR:KEY=WRCXYFSDAF&amp;VAR:QUERY=Q1NGX1NBTEVTKEFOTiwxMi8zMS8xOTgwLDAp&amp;WINDOW=FIRST_POPUP&amp;HEIGHT=450&amp;WIDTH=450&amp;START_MA","XIMIZED=FALSE&amp;VAR:CALENDAR=US&amp;VAR:SYMBOL=CYT&amp;VAR:INDEX=21"}</definedName>
    <definedName name="_821__FDSAUDITLINK__" hidden="1">{"fdsup://directions/FAT Viewer?action=UPDATE&amp;creator=factset&amp;DYN_ARGS=TRUE&amp;DOC_NAME=FAT:FQL_AUDITING_CLIENT_TEMPLATE.FAT&amp;display_string=Audit&amp;VAR:KEY=WRCXYFSDAF&amp;VAR:QUERY=Q1NGX1NBTEVTKEFOTiwxMi8zMS8xOTgwLDAp&amp;WINDOW=FIRST_POPUP&amp;HEIGHT=450&amp;WIDTH=450&amp;START_MA","XIMIZED=FALSE&amp;VAR:CALENDAR=US&amp;VAR:SYMBOL=CYT&amp;VAR:INDEX=20"}</definedName>
    <definedName name="_822__FDSAUDITLINK__" hidden="1">{"fdsup://directions/FAT Viewer?action=UPDATE&amp;creator=factset&amp;DYN_ARGS=TRUE&amp;DOC_NAME=FAT:FQL_AUDITING_CLIENT_TEMPLATE.FAT&amp;display_string=Audit&amp;VAR:KEY=WRCXYFSDAF&amp;VAR:QUERY=Q1NGX1NBTEVTKEFOTiwxMi8zMS8xOTgwLDAp&amp;WINDOW=FIRST_POPUP&amp;HEIGHT=450&amp;WIDTH=450&amp;START_MA","XIMIZED=FALSE&amp;VAR:CALENDAR=US&amp;VAR:SYMBOL=CYT&amp;VAR:INDEX=19"}</definedName>
    <definedName name="_823__FDSAUDITLINK__" hidden="1">{"fdsup://directions/FAT Viewer?action=UPDATE&amp;creator=factset&amp;DYN_ARGS=TRUE&amp;DOC_NAME=FAT:FQL_AUDITING_CLIENT_TEMPLATE.FAT&amp;display_string=Audit&amp;VAR:KEY=WRCXYFSDAF&amp;VAR:QUERY=Q1NGX1NBTEVTKEFOTiwxMi8zMS8xOTgwLDAp&amp;WINDOW=FIRST_POPUP&amp;HEIGHT=450&amp;WIDTH=450&amp;START_MA","XIMIZED=FALSE&amp;VAR:CALENDAR=US&amp;VAR:SYMBOL=CYT&amp;VAR:INDEX=18"}</definedName>
    <definedName name="_824__FDSAUDITLINK__" hidden="1">{"fdsup://directions/FAT Viewer?action=UPDATE&amp;creator=factset&amp;DYN_ARGS=TRUE&amp;DOC_NAME=FAT:FQL_AUDITING_CLIENT_TEMPLATE.FAT&amp;display_string=Audit&amp;VAR:KEY=WRCXYFSDAF&amp;VAR:QUERY=Q1NGX1NBTEVTKEFOTiwxMi8zMS8xOTgwLDAp&amp;WINDOW=FIRST_POPUP&amp;HEIGHT=450&amp;WIDTH=450&amp;START_MA","XIMIZED=FALSE&amp;VAR:CALENDAR=US&amp;VAR:SYMBOL=CYT&amp;VAR:INDEX=17"}</definedName>
    <definedName name="_825__FDSAUDITLINK__" hidden="1">{"fdsup://directions/FAT Viewer?action=UPDATE&amp;creator=factset&amp;DYN_ARGS=TRUE&amp;DOC_NAME=FAT:FQL_AUDITING_CLIENT_TEMPLATE.FAT&amp;display_string=Audit&amp;VAR:KEY=WRCXYFSDAF&amp;VAR:QUERY=Q1NGX1NBTEVTKEFOTiwxMi8zMS8xOTgwLDAp&amp;WINDOW=FIRST_POPUP&amp;HEIGHT=450&amp;WIDTH=450&amp;START_MA","XIMIZED=FALSE&amp;VAR:CALENDAR=US&amp;VAR:SYMBOL=CYT&amp;VAR:INDEX=16"}</definedName>
    <definedName name="_826__FDSAUDITLINK__" hidden="1">{"fdsup://directions/FAT Viewer?action=UPDATE&amp;creator=factset&amp;DYN_ARGS=TRUE&amp;DOC_NAME=FAT:FQL_AUDITING_CLIENT_TEMPLATE.FAT&amp;display_string=Audit&amp;VAR:KEY=WRCXYFSDAF&amp;VAR:QUERY=Q1NGX1NBTEVTKEFOTiwxMi8zMS8xOTgwLDAp&amp;WINDOW=FIRST_POPUP&amp;HEIGHT=450&amp;WIDTH=450&amp;START_MA","XIMIZED=FALSE&amp;VAR:CALENDAR=US&amp;VAR:SYMBOL=CYT&amp;VAR:INDEX=15"}</definedName>
    <definedName name="_827__FDSAUDITLINK__" hidden="1">{"fdsup://directions/FAT Viewer?action=UPDATE&amp;creator=factset&amp;DYN_ARGS=TRUE&amp;DOC_NAME=FAT:FQL_AUDITING_CLIENT_TEMPLATE.FAT&amp;display_string=Audit&amp;VAR:KEY=WRCXYFSDAF&amp;VAR:QUERY=Q1NGX1NBTEVTKEFOTiwxMi8zMS8xOTgwLDAp&amp;WINDOW=FIRST_POPUP&amp;HEIGHT=450&amp;WIDTH=450&amp;START_MA","XIMIZED=FALSE&amp;VAR:CALENDAR=US&amp;VAR:SYMBOL=CYT&amp;VAR:INDEX=14"}</definedName>
    <definedName name="_828__FDSAUDITLINK__" hidden="1">{"fdsup://directions/FAT Viewer?action=UPDATE&amp;creator=factset&amp;DYN_ARGS=TRUE&amp;DOC_NAME=FAT:FQL_AUDITING_CLIENT_TEMPLATE.FAT&amp;display_string=Audit&amp;VAR:KEY=WRCXYFSDAF&amp;VAR:QUERY=Q1NGX1NBTEVTKEFOTiwxMi8zMS8xOTgwLDAp&amp;WINDOW=FIRST_POPUP&amp;HEIGHT=450&amp;WIDTH=450&amp;START_MA","XIMIZED=FALSE&amp;VAR:CALENDAR=US&amp;VAR:SYMBOL=CYT&amp;VAR:INDEX=13"}</definedName>
    <definedName name="_829__FDSAUDITLINK__" hidden="1">{"fdsup://directions/FAT Viewer?action=UPDATE&amp;creator=factset&amp;DYN_ARGS=TRUE&amp;DOC_NAME=FAT:FQL_AUDITING_CLIENT_TEMPLATE.FAT&amp;display_string=Audit&amp;VAR:KEY=WRCXYFSDAF&amp;VAR:QUERY=Q1NGX1NBTEVTKEFOTiwxMi8zMS8xOTgwLDAp&amp;WINDOW=FIRST_POPUP&amp;HEIGHT=450&amp;WIDTH=450&amp;START_MA","XIMIZED=FALSE&amp;VAR:CALENDAR=US&amp;VAR:SYMBOL=CYT&amp;VAR:INDEX=12"}</definedName>
    <definedName name="_83__FDSAUDITLINK__" hidden="1">{"fdsup://directions/FAT Viewer?action=UPDATE&amp;creator=factset&amp;DYN_ARGS=TRUE&amp;DOC_NAME=FAT:FQL_AUDITING_CLIENT_TEMPLATE.FAT&amp;display_string=Audit&amp;VAR:KEY=EBYREFMDAZ&amp;VAR:QUERY=Q1NGX0VCSVRfT1BFUihRVFJfUiwtM0FZLDAsRlEp&amp;WINDOW=FIRST_POPUP&amp;HEIGHT=450&amp;WIDTH=450&amp;STAR","T_MAXIMIZED=FALSE&amp;VAR:CALENDAR=US&amp;VAR:SYMBOL=CE&amp;VAR:INDEX=8"}</definedName>
    <definedName name="_830__FDSAUDITLINK__" hidden="1">{"fdsup://directions/FAT Viewer?action=UPDATE&amp;creator=factset&amp;DYN_ARGS=TRUE&amp;DOC_NAME=FAT:FQL_AUDITING_CLIENT_TEMPLATE.FAT&amp;display_string=Audit&amp;VAR:KEY=WRCXYFSDAF&amp;VAR:QUERY=Q1NGX1NBTEVTKEFOTiwxMi8zMS8xOTgwLDAp&amp;WINDOW=FIRST_POPUP&amp;HEIGHT=450&amp;WIDTH=450&amp;START_MA","XIMIZED=FALSE&amp;VAR:CALENDAR=US&amp;VAR:SYMBOL=CYT&amp;VAR:INDEX=11"}</definedName>
    <definedName name="_831__FDSAUDITLINK__" hidden="1">{"fdsup://directions/FAT Viewer?action=UPDATE&amp;creator=factset&amp;DYN_ARGS=TRUE&amp;DOC_NAME=FAT:FQL_AUDITING_CLIENT_TEMPLATE.FAT&amp;display_string=Audit&amp;VAR:KEY=WRCXYFSDAF&amp;VAR:QUERY=Q1NGX1NBTEVTKEFOTiwxMi8zMS8xOTgwLDAp&amp;WINDOW=FIRST_POPUP&amp;HEIGHT=450&amp;WIDTH=450&amp;START_MA","XIMIZED=FALSE&amp;VAR:CALENDAR=US&amp;VAR:SYMBOL=CYT&amp;VAR:INDEX=10"}</definedName>
    <definedName name="_832__FDSAUDITLINK__" hidden="1">{"fdsup://directions/FAT Viewer?action=UPDATE&amp;creator=factset&amp;DYN_ARGS=TRUE&amp;DOC_NAME=FAT:FQL_AUDITING_CLIENT_TEMPLATE.FAT&amp;display_string=Audit&amp;VAR:KEY=WRCXYFSDAF&amp;VAR:QUERY=Q1NGX1NBTEVTKEFOTiwxMi8zMS8xOTgwLDAp&amp;WINDOW=FIRST_POPUP&amp;HEIGHT=450&amp;WIDTH=450&amp;START_MA","XIMIZED=FALSE&amp;VAR:CALENDAR=US&amp;VAR:SYMBOL=CYT&amp;VAR:INDEX=9"}</definedName>
    <definedName name="_833__FDSAUDITLINK__" hidden="1">{"fdsup://directions/FAT Viewer?action=UPDATE&amp;creator=factset&amp;DYN_ARGS=TRUE&amp;DOC_NAME=FAT:FQL_AUDITING_CLIENT_TEMPLATE.FAT&amp;display_string=Audit&amp;VAR:KEY=WRCXYFSDAF&amp;VAR:QUERY=Q1NGX1NBTEVTKEFOTiwxMi8zMS8xOTgwLDAp&amp;WINDOW=FIRST_POPUP&amp;HEIGHT=450&amp;WIDTH=450&amp;START_MA","XIMIZED=FALSE&amp;VAR:CALENDAR=US&amp;VAR:SYMBOL=CYT&amp;VAR:INDEX=8"}</definedName>
    <definedName name="_834__FDSAUDITLINK__" hidden="1">{"fdsup://directions/FAT Viewer?action=UPDATE&amp;creator=factset&amp;DYN_ARGS=TRUE&amp;DOC_NAME=FAT:FQL_AUDITING_CLIENT_TEMPLATE.FAT&amp;display_string=Audit&amp;VAR:KEY=WRCXYFSDAF&amp;VAR:QUERY=Q1NGX1NBTEVTKEFOTiwxMi8zMS8xOTgwLDAp&amp;WINDOW=FIRST_POPUP&amp;HEIGHT=450&amp;WIDTH=450&amp;START_MA","XIMIZED=FALSE&amp;VAR:CALENDAR=US&amp;VAR:SYMBOL=CYT&amp;VAR:INDEX=7"}</definedName>
    <definedName name="_835__FDSAUDITLINK__" hidden="1">{"fdsup://directions/FAT Viewer?action=UPDATE&amp;creator=factset&amp;DYN_ARGS=TRUE&amp;DOC_NAME=FAT:FQL_AUDITING_CLIENT_TEMPLATE.FAT&amp;display_string=Audit&amp;VAR:KEY=WRCXYFSDAF&amp;VAR:QUERY=Q1NGX1NBTEVTKEFOTiwxMi8zMS8xOTgwLDAp&amp;WINDOW=FIRST_POPUP&amp;HEIGHT=450&amp;WIDTH=450&amp;START_MA","XIMIZED=FALSE&amp;VAR:CALENDAR=US&amp;VAR:SYMBOL=CYT&amp;VAR:INDEX=6"}</definedName>
    <definedName name="_836__FDSAUDITLINK__" hidden="1">{"fdsup://directions/FAT Viewer?action=UPDATE&amp;creator=factset&amp;DYN_ARGS=TRUE&amp;DOC_NAME=FAT:FQL_AUDITING_CLIENT_TEMPLATE.FAT&amp;display_string=Audit&amp;VAR:KEY=WRCXYFSDAF&amp;VAR:QUERY=Q1NGX1NBTEVTKEFOTiwxMi8zMS8xOTgwLDAp&amp;WINDOW=FIRST_POPUP&amp;HEIGHT=450&amp;WIDTH=450&amp;START_MA","XIMIZED=FALSE&amp;VAR:CALENDAR=US&amp;VAR:SYMBOL=CYT&amp;VAR:INDEX=5"}</definedName>
    <definedName name="_837__FDSAUDITLINK__" hidden="1">{"fdsup://directions/FAT Viewer?action=UPDATE&amp;creator=factset&amp;DYN_ARGS=TRUE&amp;DOC_NAME=FAT:FQL_AUDITING_CLIENT_TEMPLATE.FAT&amp;display_string=Audit&amp;VAR:KEY=WRCXYFSDAF&amp;VAR:QUERY=Q1NGX1NBTEVTKEFOTiwxMi8zMS8xOTgwLDAp&amp;WINDOW=FIRST_POPUP&amp;HEIGHT=450&amp;WIDTH=450&amp;START_MA","XIMIZED=FALSE&amp;VAR:CALENDAR=US&amp;VAR:SYMBOL=CYT&amp;VAR:INDEX=4"}</definedName>
    <definedName name="_838__FDSAUDITLINK__" hidden="1">{"fdsup://directions/FAT Viewer?action=UPDATE&amp;creator=factset&amp;DYN_ARGS=TRUE&amp;DOC_NAME=FAT:FQL_AUDITING_CLIENT_TEMPLATE.FAT&amp;display_string=Audit&amp;VAR:KEY=WRCXYFSDAF&amp;VAR:QUERY=Q1NGX1NBTEVTKEFOTiwxMi8zMS8xOTgwLDAp&amp;WINDOW=FIRST_POPUP&amp;HEIGHT=450&amp;WIDTH=450&amp;START_MA","XIMIZED=FALSE&amp;VAR:CALENDAR=US&amp;VAR:SYMBOL=CYT&amp;VAR:INDEX=3"}</definedName>
    <definedName name="_839__FDSAUDITLINK__" hidden="1">{"fdsup://directions/FAT Viewer?action=UPDATE&amp;creator=factset&amp;DYN_ARGS=TRUE&amp;DOC_NAME=FAT:FQL_AUDITING_CLIENT_TEMPLATE.FAT&amp;display_string=Audit&amp;VAR:KEY=WRCXYFSDAF&amp;VAR:QUERY=Q1NGX1NBTEVTKEFOTiwxMi8zMS8xOTgwLDAp&amp;WINDOW=FIRST_POPUP&amp;HEIGHT=450&amp;WIDTH=450&amp;START_MA","XIMIZED=FALSE&amp;VAR:CALENDAR=US&amp;VAR:SYMBOL=CYT&amp;VAR:INDEX=2"}</definedName>
    <definedName name="_84__FDSAUDITLINK__" hidden="1">{"fdsup://directions/FAT Viewer?action=UPDATE&amp;creator=factset&amp;DYN_ARGS=TRUE&amp;DOC_NAME=FAT:FQL_AUDITING_CLIENT_TEMPLATE.FAT&amp;display_string=Audit&amp;VAR:KEY=EBYREFMDAZ&amp;VAR:QUERY=Q1NGX0VCSVRfT1BFUihRVFJfUiwtM0FZLDAsRlEp&amp;WINDOW=FIRST_POPUP&amp;HEIGHT=450&amp;WIDTH=450&amp;STAR","T_MAXIMIZED=FALSE&amp;VAR:CALENDAR=US&amp;VAR:SYMBOL=CE&amp;VAR:INDEX=7"}</definedName>
    <definedName name="_840__FDSAUDITLINK__" hidden="1">{"fdsup://directions/FAT Viewer?action=UPDATE&amp;creator=factset&amp;DYN_ARGS=TRUE&amp;DOC_NAME=FAT:FQL_AUDITING_CLIENT_TEMPLATE.FAT&amp;display_string=Audit&amp;VAR:KEY=WRCXYFSDAF&amp;VAR:QUERY=Q1NGX1NBTEVTKEFOTiwxMi8zMS8xOTgwLDAp&amp;WINDOW=FIRST_POPUP&amp;HEIGHT=450&amp;WIDTH=450&amp;START_MA","XIMIZED=FALSE&amp;VAR:CALENDAR=US&amp;VAR:SYMBOL=CYT&amp;VAR:INDEX=1"}</definedName>
    <definedName name="_841__FDSAUDITLINK__" hidden="1">{"fdsup://directions/FAT Viewer?action=UPDATE&amp;creator=factset&amp;DYN_ARGS=TRUE&amp;DOC_NAME=FAT:FQL_AUDITING_CLIENT_TEMPLATE.FAT&amp;display_string=Audit&amp;VAR:KEY=WRCXYFSDAF&amp;VAR:QUERY=Q1NGX1NBTEVTKEFOTiwxMi8zMS8xOTgwLDAp&amp;WINDOW=FIRST_POPUP&amp;HEIGHT=450&amp;WIDTH=450&amp;START_MA","XIMIZED=FALSE&amp;VAR:CALENDAR=US&amp;VAR:SYMBOL=CYT&amp;VAR:INDEX=0"}</definedName>
    <definedName name="_842__FDSAUDITLINK__" hidden="1">{"fdsup://directions/FAT Viewer?action=UPDATE&amp;creator=factset&amp;DYN_ARGS=TRUE&amp;DOC_NAME=FAT:FQL_AUDITING_CLIENT_TEMPLATE.FAT&amp;display_string=Audit&amp;VAR:KEY=EHWBWXMNUD&amp;VAR:QUERY=Q1NGX1NBTEVTKEFOTiwxMi8zMS8xOTgwLDAp&amp;WINDOW=FIRST_POPUP&amp;HEIGHT=450&amp;WIDTH=450&amp;START_MA","XIMIZED=FALSE&amp;VAR:CALENDAR=US&amp;VAR:SYMBOL=GGC&amp;VAR:INDEX=29"}</definedName>
    <definedName name="_843__FDSAUDITLINK__" hidden="1">{"fdsup://directions/FAT Viewer?action=UPDATE&amp;creator=factset&amp;DYN_ARGS=TRUE&amp;DOC_NAME=FAT:FQL_AUDITING_CLIENT_TEMPLATE.FAT&amp;display_string=Audit&amp;VAR:KEY=EHWBWXMNUD&amp;VAR:QUERY=Q1NGX1NBTEVTKEFOTiwxMi8zMS8xOTgwLDAp&amp;WINDOW=FIRST_POPUP&amp;HEIGHT=450&amp;WIDTH=450&amp;START_MA","XIMIZED=FALSE&amp;VAR:CALENDAR=US&amp;VAR:SYMBOL=GGC&amp;VAR:INDEX=28"}</definedName>
    <definedName name="_844__FDSAUDITLINK__" hidden="1">{"fdsup://directions/FAT Viewer?action=UPDATE&amp;creator=factset&amp;DYN_ARGS=TRUE&amp;DOC_NAME=FAT:FQL_AUDITING_CLIENT_TEMPLATE.FAT&amp;display_string=Audit&amp;VAR:KEY=EHWBWXMNUD&amp;VAR:QUERY=Q1NGX1NBTEVTKEFOTiwxMi8zMS8xOTgwLDAp&amp;WINDOW=FIRST_POPUP&amp;HEIGHT=450&amp;WIDTH=450&amp;START_MA","XIMIZED=FALSE&amp;VAR:CALENDAR=US&amp;VAR:SYMBOL=GGC&amp;VAR:INDEX=27"}</definedName>
    <definedName name="_845__FDSAUDITLINK__" hidden="1">{"fdsup://directions/FAT Viewer?action=UPDATE&amp;creator=factset&amp;DYN_ARGS=TRUE&amp;DOC_NAME=FAT:FQL_AUDITING_CLIENT_TEMPLATE.FAT&amp;display_string=Audit&amp;VAR:KEY=EHWBWXMNUD&amp;VAR:QUERY=Q1NGX1NBTEVTKEFOTiwxMi8zMS8xOTgwLDAp&amp;WINDOW=FIRST_POPUP&amp;HEIGHT=450&amp;WIDTH=450&amp;START_MA","XIMIZED=FALSE&amp;VAR:CALENDAR=US&amp;VAR:SYMBOL=GGC&amp;VAR:INDEX=26"}</definedName>
    <definedName name="_846__FDSAUDITLINK__" hidden="1">{"fdsup://directions/FAT Viewer?action=UPDATE&amp;creator=factset&amp;DYN_ARGS=TRUE&amp;DOC_NAME=FAT:FQL_AUDITING_CLIENT_TEMPLATE.FAT&amp;display_string=Audit&amp;VAR:KEY=EHWBWXMNUD&amp;VAR:QUERY=Q1NGX1NBTEVTKEFOTiwxMi8zMS8xOTgwLDAp&amp;WINDOW=FIRST_POPUP&amp;HEIGHT=450&amp;WIDTH=450&amp;START_MA","XIMIZED=FALSE&amp;VAR:CALENDAR=US&amp;VAR:SYMBOL=GGC&amp;VAR:INDEX=25"}</definedName>
    <definedName name="_847__FDSAUDITLINK__" hidden="1">{"fdsup://directions/FAT Viewer?action=UPDATE&amp;creator=factset&amp;DYN_ARGS=TRUE&amp;DOC_NAME=FAT:FQL_AUDITING_CLIENT_TEMPLATE.FAT&amp;display_string=Audit&amp;VAR:KEY=EHWBWXMNUD&amp;VAR:QUERY=Q1NGX1NBTEVTKEFOTiwxMi8zMS8xOTgwLDAp&amp;WINDOW=FIRST_POPUP&amp;HEIGHT=450&amp;WIDTH=450&amp;START_MA","XIMIZED=FALSE&amp;VAR:CALENDAR=US&amp;VAR:SYMBOL=GGC&amp;VAR:INDEX=24"}</definedName>
    <definedName name="_848__FDSAUDITLINK__" hidden="1">{"fdsup://directions/FAT Viewer?action=UPDATE&amp;creator=factset&amp;DYN_ARGS=TRUE&amp;DOC_NAME=FAT:FQL_AUDITING_CLIENT_TEMPLATE.FAT&amp;display_string=Audit&amp;VAR:KEY=EHWBWXMNUD&amp;VAR:QUERY=Q1NGX1NBTEVTKEFOTiwxMi8zMS8xOTgwLDAp&amp;WINDOW=FIRST_POPUP&amp;HEIGHT=450&amp;WIDTH=450&amp;START_MA","XIMIZED=FALSE&amp;VAR:CALENDAR=US&amp;VAR:SYMBOL=GGC&amp;VAR:INDEX=23"}</definedName>
    <definedName name="_849__FDSAUDITLINK__" hidden="1">{"fdsup://directions/FAT Viewer?action=UPDATE&amp;creator=factset&amp;DYN_ARGS=TRUE&amp;DOC_NAME=FAT:FQL_AUDITING_CLIENT_TEMPLATE.FAT&amp;display_string=Audit&amp;VAR:KEY=EHWBWXMNUD&amp;VAR:QUERY=Q1NGX1NBTEVTKEFOTiwxMi8zMS8xOTgwLDAp&amp;WINDOW=FIRST_POPUP&amp;HEIGHT=450&amp;WIDTH=450&amp;START_MA","XIMIZED=FALSE&amp;VAR:CALENDAR=US&amp;VAR:SYMBOL=GGC&amp;VAR:INDEX=22"}</definedName>
    <definedName name="_85__FDSAUDITLINK__" hidden="1">{"fdsup://directions/FAT Viewer?action=UPDATE&amp;creator=factset&amp;DYN_ARGS=TRUE&amp;DOC_NAME=FAT:FQL_AUDITING_CLIENT_TEMPLATE.FAT&amp;display_string=Audit&amp;VAR:KEY=EBYREFMDAZ&amp;VAR:QUERY=Q1NGX0VCSVRfT1BFUihRVFJfUiwtM0FZLDAsRlEp&amp;WINDOW=FIRST_POPUP&amp;HEIGHT=450&amp;WIDTH=450&amp;STAR","T_MAXIMIZED=FALSE&amp;VAR:CALENDAR=US&amp;VAR:SYMBOL=CE&amp;VAR:INDEX=6"}</definedName>
    <definedName name="_850__FDSAUDITLINK__" hidden="1">{"fdsup://directions/FAT Viewer?action=UPDATE&amp;creator=factset&amp;DYN_ARGS=TRUE&amp;DOC_NAME=FAT:FQL_AUDITING_CLIENT_TEMPLATE.FAT&amp;display_string=Audit&amp;VAR:KEY=EHWBWXMNUD&amp;VAR:QUERY=Q1NGX1NBTEVTKEFOTiwxMi8zMS8xOTgwLDAp&amp;WINDOW=FIRST_POPUP&amp;HEIGHT=450&amp;WIDTH=450&amp;START_MA","XIMIZED=FALSE&amp;VAR:CALENDAR=US&amp;VAR:SYMBOL=GGC&amp;VAR:INDEX=21"}</definedName>
    <definedName name="_851__FDSAUDITLINK__" hidden="1">{"fdsup://directions/FAT Viewer?action=UPDATE&amp;creator=factset&amp;DYN_ARGS=TRUE&amp;DOC_NAME=FAT:FQL_AUDITING_CLIENT_TEMPLATE.FAT&amp;display_string=Audit&amp;VAR:KEY=EHWBWXMNUD&amp;VAR:QUERY=Q1NGX1NBTEVTKEFOTiwxMi8zMS8xOTgwLDAp&amp;WINDOW=FIRST_POPUP&amp;HEIGHT=450&amp;WIDTH=450&amp;START_MA","XIMIZED=FALSE&amp;VAR:CALENDAR=US&amp;VAR:SYMBOL=GGC&amp;VAR:INDEX=20"}</definedName>
    <definedName name="_852__FDSAUDITLINK__" hidden="1">{"fdsup://directions/FAT Viewer?action=UPDATE&amp;creator=factset&amp;DYN_ARGS=TRUE&amp;DOC_NAME=FAT:FQL_AUDITING_CLIENT_TEMPLATE.FAT&amp;display_string=Audit&amp;VAR:KEY=EHWBWXMNUD&amp;VAR:QUERY=Q1NGX1NBTEVTKEFOTiwxMi8zMS8xOTgwLDAp&amp;WINDOW=FIRST_POPUP&amp;HEIGHT=450&amp;WIDTH=450&amp;START_MA","XIMIZED=FALSE&amp;VAR:CALENDAR=US&amp;VAR:SYMBOL=GGC&amp;VAR:INDEX=19"}</definedName>
    <definedName name="_853__FDSAUDITLINK__" hidden="1">{"fdsup://directions/FAT Viewer?action=UPDATE&amp;creator=factset&amp;DYN_ARGS=TRUE&amp;DOC_NAME=FAT:FQL_AUDITING_CLIENT_TEMPLATE.FAT&amp;display_string=Audit&amp;VAR:KEY=EHWBWXMNUD&amp;VAR:QUERY=Q1NGX1NBTEVTKEFOTiwxMi8zMS8xOTgwLDAp&amp;WINDOW=FIRST_POPUP&amp;HEIGHT=450&amp;WIDTH=450&amp;START_MA","XIMIZED=FALSE&amp;VAR:CALENDAR=US&amp;VAR:SYMBOL=GGC&amp;VAR:INDEX=18"}</definedName>
    <definedName name="_854__FDSAUDITLINK__" hidden="1">{"fdsup://directions/FAT Viewer?action=UPDATE&amp;creator=factset&amp;DYN_ARGS=TRUE&amp;DOC_NAME=FAT:FQL_AUDITING_CLIENT_TEMPLATE.FAT&amp;display_string=Audit&amp;VAR:KEY=EHWBWXMNUD&amp;VAR:QUERY=Q1NGX1NBTEVTKEFOTiwxMi8zMS8xOTgwLDAp&amp;WINDOW=FIRST_POPUP&amp;HEIGHT=450&amp;WIDTH=450&amp;START_MA","XIMIZED=FALSE&amp;VAR:CALENDAR=US&amp;VAR:SYMBOL=GGC&amp;VAR:INDEX=17"}</definedName>
    <definedName name="_855__FDSAUDITLINK__" hidden="1">{"fdsup://directions/FAT Viewer?action=UPDATE&amp;creator=factset&amp;DYN_ARGS=TRUE&amp;DOC_NAME=FAT:FQL_AUDITING_CLIENT_TEMPLATE.FAT&amp;display_string=Audit&amp;VAR:KEY=EHWBWXMNUD&amp;VAR:QUERY=Q1NGX1NBTEVTKEFOTiwxMi8zMS8xOTgwLDAp&amp;WINDOW=FIRST_POPUP&amp;HEIGHT=450&amp;WIDTH=450&amp;START_MA","XIMIZED=FALSE&amp;VAR:CALENDAR=US&amp;VAR:SYMBOL=GGC&amp;VAR:INDEX=16"}</definedName>
    <definedName name="_856__FDSAUDITLINK__" hidden="1">{"fdsup://directions/FAT Viewer?action=UPDATE&amp;creator=factset&amp;DYN_ARGS=TRUE&amp;DOC_NAME=FAT:FQL_AUDITING_CLIENT_TEMPLATE.FAT&amp;display_string=Audit&amp;VAR:KEY=EHWBWXMNUD&amp;VAR:QUERY=Q1NGX1NBTEVTKEFOTiwxMi8zMS8xOTgwLDAp&amp;WINDOW=FIRST_POPUP&amp;HEIGHT=450&amp;WIDTH=450&amp;START_MA","XIMIZED=FALSE&amp;VAR:CALENDAR=US&amp;VAR:SYMBOL=GGC&amp;VAR:INDEX=15"}</definedName>
    <definedName name="_857__FDSAUDITLINK__" hidden="1">{"fdsup://directions/FAT Viewer?action=UPDATE&amp;creator=factset&amp;DYN_ARGS=TRUE&amp;DOC_NAME=FAT:FQL_AUDITING_CLIENT_TEMPLATE.FAT&amp;display_string=Audit&amp;VAR:KEY=EHWBWXMNUD&amp;VAR:QUERY=Q1NGX1NBTEVTKEFOTiwxMi8zMS8xOTgwLDAp&amp;WINDOW=FIRST_POPUP&amp;HEIGHT=450&amp;WIDTH=450&amp;START_MA","XIMIZED=FALSE&amp;VAR:CALENDAR=US&amp;VAR:SYMBOL=GGC&amp;VAR:INDEX=14"}</definedName>
    <definedName name="_858__FDSAUDITLINK__" hidden="1">{"fdsup://directions/FAT Viewer?action=UPDATE&amp;creator=factset&amp;DYN_ARGS=TRUE&amp;DOC_NAME=FAT:FQL_AUDITING_CLIENT_TEMPLATE.FAT&amp;display_string=Audit&amp;VAR:KEY=EHWBWXMNUD&amp;VAR:QUERY=Q1NGX1NBTEVTKEFOTiwxMi8zMS8xOTgwLDAp&amp;WINDOW=FIRST_POPUP&amp;HEIGHT=450&amp;WIDTH=450&amp;START_MA","XIMIZED=FALSE&amp;VAR:CALENDAR=US&amp;VAR:SYMBOL=GGC&amp;VAR:INDEX=13"}</definedName>
    <definedName name="_859__FDSAUDITLINK__" hidden="1">{"fdsup://directions/FAT Viewer?action=UPDATE&amp;creator=factset&amp;DYN_ARGS=TRUE&amp;DOC_NAME=FAT:FQL_AUDITING_CLIENT_TEMPLATE.FAT&amp;display_string=Audit&amp;VAR:KEY=EHWBWXMNUD&amp;VAR:QUERY=Q1NGX1NBTEVTKEFOTiwxMi8zMS8xOTgwLDAp&amp;WINDOW=FIRST_POPUP&amp;HEIGHT=450&amp;WIDTH=450&amp;START_MA","XIMIZED=FALSE&amp;VAR:CALENDAR=US&amp;VAR:SYMBOL=GGC&amp;VAR:INDEX=12"}</definedName>
    <definedName name="_86__FDSAUDITLINK__" hidden="1">{"fdsup://directions/FAT Viewer?action=UPDATE&amp;creator=factset&amp;DYN_ARGS=TRUE&amp;DOC_NAME=FAT:FQL_AUDITING_CLIENT_TEMPLATE.FAT&amp;display_string=Audit&amp;VAR:KEY=EBYREFMDAZ&amp;VAR:QUERY=Q1NGX0VCSVRfT1BFUihRVFJfUiwtM0FZLDAsRlEp&amp;WINDOW=FIRST_POPUP&amp;HEIGHT=450&amp;WIDTH=450&amp;STAR","T_MAXIMIZED=FALSE&amp;VAR:CALENDAR=US&amp;VAR:SYMBOL=CE&amp;VAR:INDEX=5"}</definedName>
    <definedName name="_860__FDSAUDITLINK__" hidden="1">{"fdsup://directions/FAT Viewer?action=UPDATE&amp;creator=factset&amp;DYN_ARGS=TRUE&amp;DOC_NAME=FAT:FQL_AUDITING_CLIENT_TEMPLATE.FAT&amp;display_string=Audit&amp;VAR:KEY=EHWBWXMNUD&amp;VAR:QUERY=Q1NGX1NBTEVTKEFOTiwxMi8zMS8xOTgwLDAp&amp;WINDOW=FIRST_POPUP&amp;HEIGHT=450&amp;WIDTH=450&amp;START_MA","XIMIZED=FALSE&amp;VAR:CALENDAR=US&amp;VAR:SYMBOL=GGC&amp;VAR:INDEX=11"}</definedName>
    <definedName name="_861__FDSAUDITLINK__" hidden="1">{"fdsup://directions/FAT Viewer?action=UPDATE&amp;creator=factset&amp;DYN_ARGS=TRUE&amp;DOC_NAME=FAT:FQL_AUDITING_CLIENT_TEMPLATE.FAT&amp;display_string=Audit&amp;VAR:KEY=EHWBWXMNUD&amp;VAR:QUERY=Q1NGX1NBTEVTKEFOTiwxMi8zMS8xOTgwLDAp&amp;WINDOW=FIRST_POPUP&amp;HEIGHT=450&amp;WIDTH=450&amp;START_MA","XIMIZED=FALSE&amp;VAR:CALENDAR=US&amp;VAR:SYMBOL=GGC&amp;VAR:INDEX=10"}</definedName>
    <definedName name="_862__FDSAUDITLINK__" hidden="1">{"fdsup://directions/FAT Viewer?action=UPDATE&amp;creator=factset&amp;DYN_ARGS=TRUE&amp;DOC_NAME=FAT:FQL_AUDITING_CLIENT_TEMPLATE.FAT&amp;display_string=Audit&amp;VAR:KEY=EHWBWXMNUD&amp;VAR:QUERY=Q1NGX1NBTEVTKEFOTiwxMi8zMS8xOTgwLDAp&amp;WINDOW=FIRST_POPUP&amp;HEIGHT=450&amp;WIDTH=450&amp;START_MA","XIMIZED=FALSE&amp;VAR:CALENDAR=US&amp;VAR:SYMBOL=GGC&amp;VAR:INDEX=9"}</definedName>
    <definedName name="_863__FDSAUDITLINK__" hidden="1">{"fdsup://directions/FAT Viewer?action=UPDATE&amp;creator=factset&amp;DYN_ARGS=TRUE&amp;DOC_NAME=FAT:FQL_AUDITING_CLIENT_TEMPLATE.FAT&amp;display_string=Audit&amp;VAR:KEY=EHWBWXMNUD&amp;VAR:QUERY=Q1NGX1NBTEVTKEFOTiwxMi8zMS8xOTgwLDAp&amp;WINDOW=FIRST_POPUP&amp;HEIGHT=450&amp;WIDTH=450&amp;START_MA","XIMIZED=FALSE&amp;VAR:CALENDAR=US&amp;VAR:SYMBOL=GGC&amp;VAR:INDEX=8"}</definedName>
    <definedName name="_864__FDSAUDITLINK__" hidden="1">{"fdsup://directions/FAT Viewer?action=UPDATE&amp;creator=factset&amp;DYN_ARGS=TRUE&amp;DOC_NAME=FAT:FQL_AUDITING_CLIENT_TEMPLATE.FAT&amp;display_string=Audit&amp;VAR:KEY=EHWBWXMNUD&amp;VAR:QUERY=Q1NGX1NBTEVTKEFOTiwxMi8zMS8xOTgwLDAp&amp;WINDOW=FIRST_POPUP&amp;HEIGHT=450&amp;WIDTH=450&amp;START_MA","XIMIZED=FALSE&amp;VAR:CALENDAR=US&amp;VAR:SYMBOL=GGC&amp;VAR:INDEX=7"}</definedName>
    <definedName name="_865__FDSAUDITLINK__" hidden="1">{"fdsup://directions/FAT Viewer?action=UPDATE&amp;creator=factset&amp;DYN_ARGS=TRUE&amp;DOC_NAME=FAT:FQL_AUDITING_CLIENT_TEMPLATE.FAT&amp;display_string=Audit&amp;VAR:KEY=EHWBWXMNUD&amp;VAR:QUERY=Q1NGX1NBTEVTKEFOTiwxMi8zMS8xOTgwLDAp&amp;WINDOW=FIRST_POPUP&amp;HEIGHT=450&amp;WIDTH=450&amp;START_MA","XIMIZED=FALSE&amp;VAR:CALENDAR=US&amp;VAR:SYMBOL=GGC&amp;VAR:INDEX=6"}</definedName>
    <definedName name="_866__FDSAUDITLINK__" hidden="1">{"fdsup://directions/FAT Viewer?action=UPDATE&amp;creator=factset&amp;DYN_ARGS=TRUE&amp;DOC_NAME=FAT:FQL_AUDITING_CLIENT_TEMPLATE.FAT&amp;display_string=Audit&amp;VAR:KEY=EHWBWXMNUD&amp;VAR:QUERY=Q1NGX1NBTEVTKEFOTiwxMi8zMS8xOTgwLDAp&amp;WINDOW=FIRST_POPUP&amp;HEIGHT=450&amp;WIDTH=450&amp;START_MA","XIMIZED=FALSE&amp;VAR:CALENDAR=US&amp;VAR:SYMBOL=GGC&amp;VAR:INDEX=5"}</definedName>
    <definedName name="_867__FDSAUDITLINK__" hidden="1">{"fdsup://directions/FAT Viewer?action=UPDATE&amp;creator=factset&amp;DYN_ARGS=TRUE&amp;DOC_NAME=FAT:FQL_AUDITING_CLIENT_TEMPLATE.FAT&amp;display_string=Audit&amp;VAR:KEY=EHWBWXMNUD&amp;VAR:QUERY=Q1NGX1NBTEVTKEFOTiwxMi8zMS8xOTgwLDAp&amp;WINDOW=FIRST_POPUP&amp;HEIGHT=450&amp;WIDTH=450&amp;START_MA","XIMIZED=FALSE&amp;VAR:CALENDAR=US&amp;VAR:SYMBOL=GGC&amp;VAR:INDEX=4"}</definedName>
    <definedName name="_868__FDSAUDITLINK__" hidden="1">{"fdsup://directions/FAT Viewer?action=UPDATE&amp;creator=factset&amp;DYN_ARGS=TRUE&amp;DOC_NAME=FAT:FQL_AUDITING_CLIENT_TEMPLATE.FAT&amp;display_string=Audit&amp;VAR:KEY=EHWBWXMNUD&amp;VAR:QUERY=Q1NGX1NBTEVTKEFOTiwxMi8zMS8xOTgwLDAp&amp;WINDOW=FIRST_POPUP&amp;HEIGHT=450&amp;WIDTH=450&amp;START_MA","XIMIZED=FALSE&amp;VAR:CALENDAR=US&amp;VAR:SYMBOL=GGC&amp;VAR:INDEX=3"}</definedName>
    <definedName name="_869__FDSAUDITLINK__" hidden="1">{"fdsup://directions/FAT Viewer?action=UPDATE&amp;creator=factset&amp;DYN_ARGS=TRUE&amp;DOC_NAME=FAT:FQL_AUDITING_CLIENT_TEMPLATE.FAT&amp;display_string=Audit&amp;VAR:KEY=EHWBWXMNUD&amp;VAR:QUERY=Q1NGX1NBTEVTKEFOTiwxMi8zMS8xOTgwLDAp&amp;WINDOW=FIRST_POPUP&amp;HEIGHT=450&amp;WIDTH=450&amp;START_MA","XIMIZED=FALSE&amp;VAR:CALENDAR=US&amp;VAR:SYMBOL=GGC&amp;VAR:INDEX=2"}</definedName>
    <definedName name="_87__FDSAUDITLINK__" hidden="1">{"fdsup://directions/FAT Viewer?action=UPDATE&amp;creator=factset&amp;DYN_ARGS=TRUE&amp;DOC_NAME=FAT:FQL_AUDITING_CLIENT_TEMPLATE.FAT&amp;display_string=Audit&amp;VAR:KEY=EBYREFMDAZ&amp;VAR:QUERY=Q1NGX0VCSVRfT1BFUihRVFJfUiwtM0FZLDAsRlEp&amp;WINDOW=FIRST_POPUP&amp;HEIGHT=450&amp;WIDTH=450&amp;STAR","T_MAXIMIZED=FALSE&amp;VAR:CALENDAR=US&amp;VAR:SYMBOL=CE&amp;VAR:INDEX=4"}</definedName>
    <definedName name="_870__FDSAUDITLINK__" hidden="1">{"fdsup://directions/FAT Viewer?action=UPDATE&amp;creator=factset&amp;DYN_ARGS=TRUE&amp;DOC_NAME=FAT:FQL_AUDITING_CLIENT_TEMPLATE.FAT&amp;display_string=Audit&amp;VAR:KEY=EHWBWXMNUD&amp;VAR:QUERY=Q1NGX1NBTEVTKEFOTiwxMi8zMS8xOTgwLDAp&amp;WINDOW=FIRST_POPUP&amp;HEIGHT=450&amp;WIDTH=450&amp;START_MA","XIMIZED=FALSE&amp;VAR:CALENDAR=US&amp;VAR:SYMBOL=GGC&amp;VAR:INDEX=1"}</definedName>
    <definedName name="_871__FDSAUDITLINK__" hidden="1">{"fdsup://directions/FAT Viewer?action=UPDATE&amp;creator=factset&amp;DYN_ARGS=TRUE&amp;DOC_NAME=FAT:FQL_AUDITING_CLIENT_TEMPLATE.FAT&amp;display_string=Audit&amp;VAR:KEY=EHWBWXMNUD&amp;VAR:QUERY=Q1NGX1NBTEVTKEFOTiwxMi8zMS8xOTgwLDAp&amp;WINDOW=FIRST_POPUP&amp;HEIGHT=450&amp;WIDTH=450&amp;START_MA","XIMIZED=FALSE&amp;VAR:CALENDAR=US&amp;VAR:SYMBOL=GGC&amp;VAR:INDEX=0"}</definedName>
    <definedName name="_872__FDSAUDITLINK__" hidden="1">{"fdsup://directions/FAT Viewer?action=UPDATE&amp;creator=factset&amp;DYN_ARGS=TRUE&amp;DOC_NAME=FAT:FQL_AUDITING_CLIENT_TEMPLATE.FAT&amp;display_string=Audit&amp;VAR:KEY=ENIVGRQBYH&amp;VAR:QUERY=Q1NGX1NBTEVTKEFOTiwxMi8zMS8xOTgwLDAp&amp;WINDOW=FIRST_POPUP&amp;HEIGHT=450&amp;WIDTH=450&amp;START_MA","XIMIZED=FALSE&amp;VAR:CALENDAR=US&amp;VAR:SYMBOL=WLK&amp;VAR:INDEX=29"}</definedName>
    <definedName name="_873__FDSAUDITLINK__" hidden="1">{"fdsup://directions/FAT Viewer?action=UPDATE&amp;creator=factset&amp;DYN_ARGS=TRUE&amp;DOC_NAME=FAT:FQL_AUDITING_CLIENT_TEMPLATE.FAT&amp;display_string=Audit&amp;VAR:KEY=ENIVGRQBYH&amp;VAR:QUERY=Q1NGX1NBTEVTKEFOTiwxMi8zMS8xOTgwLDAp&amp;WINDOW=FIRST_POPUP&amp;HEIGHT=450&amp;WIDTH=450&amp;START_MA","XIMIZED=FALSE&amp;VAR:CALENDAR=US&amp;VAR:SYMBOL=WLK&amp;VAR:INDEX=28"}</definedName>
    <definedName name="_874__FDSAUDITLINK__" hidden="1">{"fdsup://directions/FAT Viewer?action=UPDATE&amp;creator=factset&amp;DYN_ARGS=TRUE&amp;DOC_NAME=FAT:FQL_AUDITING_CLIENT_TEMPLATE.FAT&amp;display_string=Audit&amp;VAR:KEY=ENIVGRQBYH&amp;VAR:QUERY=Q1NGX1NBTEVTKEFOTiwxMi8zMS8xOTgwLDAp&amp;WINDOW=FIRST_POPUP&amp;HEIGHT=450&amp;WIDTH=450&amp;START_MA","XIMIZED=FALSE&amp;VAR:CALENDAR=US&amp;VAR:SYMBOL=WLK&amp;VAR:INDEX=27"}</definedName>
    <definedName name="_875__FDSAUDITLINK__" hidden="1">{"fdsup://directions/FAT Viewer?action=UPDATE&amp;creator=factset&amp;DYN_ARGS=TRUE&amp;DOC_NAME=FAT:FQL_AUDITING_CLIENT_TEMPLATE.FAT&amp;display_string=Audit&amp;VAR:KEY=ENIVGRQBYH&amp;VAR:QUERY=Q1NGX1NBTEVTKEFOTiwxMi8zMS8xOTgwLDAp&amp;WINDOW=FIRST_POPUP&amp;HEIGHT=450&amp;WIDTH=450&amp;START_MA","XIMIZED=FALSE&amp;VAR:CALENDAR=US&amp;VAR:SYMBOL=WLK&amp;VAR:INDEX=26"}</definedName>
    <definedName name="_876__FDSAUDITLINK__" hidden="1">{"fdsup://directions/FAT Viewer?action=UPDATE&amp;creator=factset&amp;DYN_ARGS=TRUE&amp;DOC_NAME=FAT:FQL_AUDITING_CLIENT_TEMPLATE.FAT&amp;display_string=Audit&amp;VAR:KEY=ENIVGRQBYH&amp;VAR:QUERY=Q1NGX1NBTEVTKEFOTiwxMi8zMS8xOTgwLDAp&amp;WINDOW=FIRST_POPUP&amp;HEIGHT=450&amp;WIDTH=450&amp;START_MA","XIMIZED=FALSE&amp;VAR:CALENDAR=US&amp;VAR:SYMBOL=WLK&amp;VAR:INDEX=25"}</definedName>
    <definedName name="_877__FDSAUDITLINK__" hidden="1">{"fdsup://directions/FAT Viewer?action=UPDATE&amp;creator=factset&amp;DYN_ARGS=TRUE&amp;DOC_NAME=FAT:FQL_AUDITING_CLIENT_TEMPLATE.FAT&amp;display_string=Audit&amp;VAR:KEY=ENIVGRQBYH&amp;VAR:QUERY=Q1NGX1NBTEVTKEFOTiwxMi8zMS8xOTgwLDAp&amp;WINDOW=FIRST_POPUP&amp;HEIGHT=450&amp;WIDTH=450&amp;START_MA","XIMIZED=FALSE&amp;VAR:CALENDAR=US&amp;VAR:SYMBOL=WLK&amp;VAR:INDEX=24"}</definedName>
    <definedName name="_878__FDSAUDITLINK__" hidden="1">{"fdsup://directions/FAT Viewer?action=UPDATE&amp;creator=factset&amp;DYN_ARGS=TRUE&amp;DOC_NAME=FAT:FQL_AUDITING_CLIENT_TEMPLATE.FAT&amp;display_string=Audit&amp;VAR:KEY=ENIVGRQBYH&amp;VAR:QUERY=Q1NGX1NBTEVTKEFOTiwxMi8zMS8xOTgwLDAp&amp;WINDOW=FIRST_POPUP&amp;HEIGHT=450&amp;WIDTH=450&amp;START_MA","XIMIZED=FALSE&amp;VAR:CALENDAR=US&amp;VAR:SYMBOL=WLK&amp;VAR:INDEX=23"}</definedName>
    <definedName name="_879__FDSAUDITLINK__" hidden="1">{"fdsup://directions/FAT Viewer?action=UPDATE&amp;creator=factset&amp;DYN_ARGS=TRUE&amp;DOC_NAME=FAT:FQL_AUDITING_CLIENT_TEMPLATE.FAT&amp;display_string=Audit&amp;VAR:KEY=ENIVGRQBYH&amp;VAR:QUERY=Q1NGX1NBTEVTKEFOTiwxMi8zMS8xOTgwLDAp&amp;WINDOW=FIRST_POPUP&amp;HEIGHT=450&amp;WIDTH=450&amp;START_MA","XIMIZED=FALSE&amp;VAR:CALENDAR=US&amp;VAR:SYMBOL=WLK&amp;VAR:INDEX=22"}</definedName>
    <definedName name="_88__FDSAUDITLINK__" hidden="1">{"fdsup://directions/FAT Viewer?action=UPDATE&amp;creator=factset&amp;DYN_ARGS=TRUE&amp;DOC_NAME=FAT:FQL_AUDITING_CLIENT_TEMPLATE.FAT&amp;display_string=Audit&amp;VAR:KEY=EBYREFMDAZ&amp;VAR:QUERY=Q1NGX0VCSVRfT1BFUihRVFJfUiwtM0FZLDAsRlEp&amp;WINDOW=FIRST_POPUP&amp;HEIGHT=450&amp;WIDTH=450&amp;STAR","T_MAXIMIZED=FALSE&amp;VAR:CALENDAR=US&amp;VAR:SYMBOL=CE&amp;VAR:INDEX=3"}</definedName>
    <definedName name="_880__FDSAUDITLINK__" hidden="1">{"fdsup://directions/FAT Viewer?action=UPDATE&amp;creator=factset&amp;DYN_ARGS=TRUE&amp;DOC_NAME=FAT:FQL_AUDITING_CLIENT_TEMPLATE.FAT&amp;display_string=Audit&amp;VAR:KEY=ENIVGRQBYH&amp;VAR:QUERY=Q1NGX1NBTEVTKEFOTiwxMi8zMS8xOTgwLDAp&amp;WINDOW=FIRST_POPUP&amp;HEIGHT=450&amp;WIDTH=450&amp;START_MA","XIMIZED=FALSE&amp;VAR:CALENDAR=US&amp;VAR:SYMBOL=WLK&amp;VAR:INDEX=21"}</definedName>
    <definedName name="_881__FDSAUDITLINK__" hidden="1">{"fdsup://directions/FAT Viewer?action=UPDATE&amp;creator=factset&amp;DYN_ARGS=TRUE&amp;DOC_NAME=FAT:FQL_AUDITING_CLIENT_TEMPLATE.FAT&amp;display_string=Audit&amp;VAR:KEY=ENIVGRQBYH&amp;VAR:QUERY=Q1NGX1NBTEVTKEFOTiwxMi8zMS8xOTgwLDAp&amp;WINDOW=FIRST_POPUP&amp;HEIGHT=450&amp;WIDTH=450&amp;START_MA","XIMIZED=FALSE&amp;VAR:CALENDAR=US&amp;VAR:SYMBOL=WLK&amp;VAR:INDEX=20"}</definedName>
    <definedName name="_882__FDSAUDITLINK__" hidden="1">{"fdsup://directions/FAT Viewer?action=UPDATE&amp;creator=factset&amp;DYN_ARGS=TRUE&amp;DOC_NAME=FAT:FQL_AUDITING_CLIENT_TEMPLATE.FAT&amp;display_string=Audit&amp;VAR:KEY=ENIVGRQBYH&amp;VAR:QUERY=Q1NGX1NBTEVTKEFOTiwxMi8zMS8xOTgwLDAp&amp;WINDOW=FIRST_POPUP&amp;HEIGHT=450&amp;WIDTH=450&amp;START_MA","XIMIZED=FALSE&amp;VAR:CALENDAR=US&amp;VAR:SYMBOL=WLK&amp;VAR:INDEX=19"}</definedName>
    <definedName name="_883__FDSAUDITLINK__" hidden="1">{"fdsup://directions/FAT Viewer?action=UPDATE&amp;creator=factset&amp;DYN_ARGS=TRUE&amp;DOC_NAME=FAT:FQL_AUDITING_CLIENT_TEMPLATE.FAT&amp;display_string=Audit&amp;VAR:KEY=ENIVGRQBYH&amp;VAR:QUERY=Q1NGX1NBTEVTKEFOTiwxMi8zMS8xOTgwLDAp&amp;WINDOW=FIRST_POPUP&amp;HEIGHT=450&amp;WIDTH=450&amp;START_MA","XIMIZED=FALSE&amp;VAR:CALENDAR=US&amp;VAR:SYMBOL=WLK&amp;VAR:INDEX=18"}</definedName>
    <definedName name="_884__FDSAUDITLINK__" hidden="1">{"fdsup://directions/FAT Viewer?action=UPDATE&amp;creator=factset&amp;DYN_ARGS=TRUE&amp;DOC_NAME=FAT:FQL_AUDITING_CLIENT_TEMPLATE.FAT&amp;display_string=Audit&amp;VAR:KEY=ENIVGRQBYH&amp;VAR:QUERY=Q1NGX1NBTEVTKEFOTiwxMi8zMS8xOTgwLDAp&amp;WINDOW=FIRST_POPUP&amp;HEIGHT=450&amp;WIDTH=450&amp;START_MA","XIMIZED=FALSE&amp;VAR:CALENDAR=US&amp;VAR:SYMBOL=WLK&amp;VAR:INDEX=17"}</definedName>
    <definedName name="_885__FDSAUDITLINK__" hidden="1">{"fdsup://directions/FAT Viewer?action=UPDATE&amp;creator=factset&amp;DYN_ARGS=TRUE&amp;DOC_NAME=FAT:FQL_AUDITING_CLIENT_TEMPLATE.FAT&amp;display_string=Audit&amp;VAR:KEY=ENIVGRQBYH&amp;VAR:QUERY=Q1NGX1NBTEVTKEFOTiwxMi8zMS8xOTgwLDAp&amp;WINDOW=FIRST_POPUP&amp;HEIGHT=450&amp;WIDTH=450&amp;START_MA","XIMIZED=FALSE&amp;VAR:CALENDAR=US&amp;VAR:SYMBOL=WLK&amp;VAR:INDEX=16"}</definedName>
    <definedName name="_886__FDSAUDITLINK__" hidden="1">{"fdsup://directions/FAT Viewer?action=UPDATE&amp;creator=factset&amp;DYN_ARGS=TRUE&amp;DOC_NAME=FAT:FQL_AUDITING_CLIENT_TEMPLATE.FAT&amp;display_string=Audit&amp;VAR:KEY=ENIVGRQBYH&amp;VAR:QUERY=Q1NGX1NBTEVTKEFOTiwxMi8zMS8xOTgwLDAp&amp;WINDOW=FIRST_POPUP&amp;HEIGHT=450&amp;WIDTH=450&amp;START_MA","XIMIZED=FALSE&amp;VAR:CALENDAR=US&amp;VAR:SYMBOL=WLK&amp;VAR:INDEX=15"}</definedName>
    <definedName name="_887__FDSAUDITLINK__" hidden="1">{"fdsup://directions/FAT Viewer?action=UPDATE&amp;creator=factset&amp;DYN_ARGS=TRUE&amp;DOC_NAME=FAT:FQL_AUDITING_CLIENT_TEMPLATE.FAT&amp;display_string=Audit&amp;VAR:KEY=ENIVGRQBYH&amp;VAR:QUERY=Q1NGX1NBTEVTKEFOTiwxMi8zMS8xOTgwLDAp&amp;WINDOW=FIRST_POPUP&amp;HEIGHT=450&amp;WIDTH=450&amp;START_MA","XIMIZED=FALSE&amp;VAR:CALENDAR=US&amp;VAR:SYMBOL=WLK&amp;VAR:INDEX=14"}</definedName>
    <definedName name="_888__FDSAUDITLINK__" hidden="1">{"fdsup://directions/FAT Viewer?action=UPDATE&amp;creator=factset&amp;DYN_ARGS=TRUE&amp;DOC_NAME=FAT:FQL_AUDITING_CLIENT_TEMPLATE.FAT&amp;display_string=Audit&amp;VAR:KEY=ENIVGRQBYH&amp;VAR:QUERY=Q1NGX1NBTEVTKEFOTiwxMi8zMS8xOTgwLDAp&amp;WINDOW=FIRST_POPUP&amp;HEIGHT=450&amp;WIDTH=450&amp;START_MA","XIMIZED=FALSE&amp;VAR:CALENDAR=US&amp;VAR:SYMBOL=WLK&amp;VAR:INDEX=13"}</definedName>
    <definedName name="_889__FDSAUDITLINK__" hidden="1">{"fdsup://directions/FAT Viewer?action=UPDATE&amp;creator=factset&amp;DYN_ARGS=TRUE&amp;DOC_NAME=FAT:FQL_AUDITING_CLIENT_TEMPLATE.FAT&amp;display_string=Audit&amp;VAR:KEY=ENIVGRQBYH&amp;VAR:QUERY=Q1NGX1NBTEVTKEFOTiwxMi8zMS8xOTgwLDAp&amp;WINDOW=FIRST_POPUP&amp;HEIGHT=450&amp;WIDTH=450&amp;START_MA","XIMIZED=FALSE&amp;VAR:CALENDAR=US&amp;VAR:SYMBOL=WLK&amp;VAR:INDEX=12"}</definedName>
    <definedName name="_89__FDSAUDITLINK__" hidden="1">{"fdsup://directions/FAT Viewer?action=UPDATE&amp;creator=factset&amp;DYN_ARGS=TRUE&amp;DOC_NAME=FAT:FQL_AUDITING_CLIENT_TEMPLATE.FAT&amp;display_string=Audit&amp;VAR:KEY=EBYREFMDAZ&amp;VAR:QUERY=Q1NGX0VCSVRfT1BFUihRVFJfUiwtM0FZLDAsRlEp&amp;WINDOW=FIRST_POPUP&amp;HEIGHT=450&amp;WIDTH=450&amp;STAR","T_MAXIMIZED=FALSE&amp;VAR:CALENDAR=US&amp;VAR:SYMBOL=CE&amp;VAR:INDEX=2"}</definedName>
    <definedName name="_890__FDSAUDITLINK__" hidden="1">{"fdsup://directions/FAT Viewer?action=UPDATE&amp;creator=factset&amp;DYN_ARGS=TRUE&amp;DOC_NAME=FAT:FQL_AUDITING_CLIENT_TEMPLATE.FAT&amp;display_string=Audit&amp;VAR:KEY=ENIVGRQBYH&amp;VAR:QUERY=Q1NGX1NBTEVTKEFOTiwxMi8zMS8xOTgwLDAp&amp;WINDOW=FIRST_POPUP&amp;HEIGHT=450&amp;WIDTH=450&amp;START_MA","XIMIZED=FALSE&amp;VAR:CALENDAR=US&amp;VAR:SYMBOL=WLK&amp;VAR:INDEX=11"}</definedName>
    <definedName name="_891__FDSAUDITLINK__" hidden="1">{"fdsup://directions/FAT Viewer?action=UPDATE&amp;creator=factset&amp;DYN_ARGS=TRUE&amp;DOC_NAME=FAT:FQL_AUDITING_CLIENT_TEMPLATE.FAT&amp;display_string=Audit&amp;VAR:KEY=ENIVGRQBYH&amp;VAR:QUERY=Q1NGX1NBTEVTKEFOTiwxMi8zMS8xOTgwLDAp&amp;WINDOW=FIRST_POPUP&amp;HEIGHT=450&amp;WIDTH=450&amp;START_MA","XIMIZED=FALSE&amp;VAR:CALENDAR=US&amp;VAR:SYMBOL=WLK&amp;VAR:INDEX=10"}</definedName>
    <definedName name="_892__FDSAUDITLINK__" hidden="1">{"fdsup://directions/FAT Viewer?action=UPDATE&amp;creator=factset&amp;DYN_ARGS=TRUE&amp;DOC_NAME=FAT:FQL_AUDITING_CLIENT_TEMPLATE.FAT&amp;display_string=Audit&amp;VAR:KEY=ENIVGRQBYH&amp;VAR:QUERY=Q1NGX1NBTEVTKEFOTiwxMi8zMS8xOTgwLDAp&amp;WINDOW=FIRST_POPUP&amp;HEIGHT=450&amp;WIDTH=450&amp;START_MA","XIMIZED=FALSE&amp;VAR:CALENDAR=US&amp;VAR:SYMBOL=WLK&amp;VAR:INDEX=9"}</definedName>
    <definedName name="_893__FDSAUDITLINK__" hidden="1">{"fdsup://directions/FAT Viewer?action=UPDATE&amp;creator=factset&amp;DYN_ARGS=TRUE&amp;DOC_NAME=FAT:FQL_AUDITING_CLIENT_TEMPLATE.FAT&amp;display_string=Audit&amp;VAR:KEY=ENIVGRQBYH&amp;VAR:QUERY=Q1NGX1NBTEVTKEFOTiwxMi8zMS8xOTgwLDAp&amp;WINDOW=FIRST_POPUP&amp;HEIGHT=450&amp;WIDTH=450&amp;START_MA","XIMIZED=FALSE&amp;VAR:CALENDAR=US&amp;VAR:SYMBOL=WLK&amp;VAR:INDEX=8"}</definedName>
    <definedName name="_894__FDSAUDITLINK__" hidden="1">{"fdsup://directions/FAT Viewer?action=UPDATE&amp;creator=factset&amp;DYN_ARGS=TRUE&amp;DOC_NAME=FAT:FQL_AUDITING_CLIENT_TEMPLATE.FAT&amp;display_string=Audit&amp;VAR:KEY=ENIVGRQBYH&amp;VAR:QUERY=Q1NGX1NBTEVTKEFOTiwxMi8zMS8xOTgwLDAp&amp;WINDOW=FIRST_POPUP&amp;HEIGHT=450&amp;WIDTH=450&amp;START_MA","XIMIZED=FALSE&amp;VAR:CALENDAR=US&amp;VAR:SYMBOL=WLK&amp;VAR:INDEX=7"}</definedName>
    <definedName name="_895__FDSAUDITLINK__" hidden="1">{"fdsup://directions/FAT Viewer?action=UPDATE&amp;creator=factset&amp;DYN_ARGS=TRUE&amp;DOC_NAME=FAT:FQL_AUDITING_CLIENT_TEMPLATE.FAT&amp;display_string=Audit&amp;VAR:KEY=ENIVGRQBYH&amp;VAR:QUERY=Q1NGX1NBTEVTKEFOTiwxMi8zMS8xOTgwLDAp&amp;WINDOW=FIRST_POPUP&amp;HEIGHT=450&amp;WIDTH=450&amp;START_MA","XIMIZED=FALSE&amp;VAR:CALENDAR=US&amp;VAR:SYMBOL=WLK&amp;VAR:INDEX=6"}</definedName>
    <definedName name="_896__FDSAUDITLINK__" hidden="1">{"fdsup://directions/FAT Viewer?action=UPDATE&amp;creator=factset&amp;DYN_ARGS=TRUE&amp;DOC_NAME=FAT:FQL_AUDITING_CLIENT_TEMPLATE.FAT&amp;display_string=Audit&amp;VAR:KEY=ENIVGRQBYH&amp;VAR:QUERY=Q1NGX1NBTEVTKEFOTiwxMi8zMS8xOTgwLDAp&amp;WINDOW=FIRST_POPUP&amp;HEIGHT=450&amp;WIDTH=450&amp;START_MA","XIMIZED=FALSE&amp;VAR:CALENDAR=US&amp;VAR:SYMBOL=WLK&amp;VAR:INDEX=5"}</definedName>
    <definedName name="_897__FDSAUDITLINK__" hidden="1">{"fdsup://directions/FAT Viewer?action=UPDATE&amp;creator=factset&amp;DYN_ARGS=TRUE&amp;DOC_NAME=FAT:FQL_AUDITING_CLIENT_TEMPLATE.FAT&amp;display_string=Audit&amp;VAR:KEY=ENIVGRQBYH&amp;VAR:QUERY=Q1NGX1NBTEVTKEFOTiwxMi8zMS8xOTgwLDAp&amp;WINDOW=FIRST_POPUP&amp;HEIGHT=450&amp;WIDTH=450&amp;START_MA","XIMIZED=FALSE&amp;VAR:CALENDAR=US&amp;VAR:SYMBOL=WLK&amp;VAR:INDEX=4"}</definedName>
    <definedName name="_898__FDSAUDITLINK__" hidden="1">{"fdsup://directions/FAT Viewer?action=UPDATE&amp;creator=factset&amp;DYN_ARGS=TRUE&amp;DOC_NAME=FAT:FQL_AUDITING_CLIENT_TEMPLATE.FAT&amp;display_string=Audit&amp;VAR:KEY=ENIVGRQBYH&amp;VAR:QUERY=Q1NGX1NBTEVTKEFOTiwxMi8zMS8xOTgwLDAp&amp;WINDOW=FIRST_POPUP&amp;HEIGHT=450&amp;WIDTH=450&amp;START_MA","XIMIZED=FALSE&amp;VAR:CALENDAR=US&amp;VAR:SYMBOL=WLK&amp;VAR:INDEX=3"}</definedName>
    <definedName name="_899__FDSAUDITLINK__" hidden="1">{"fdsup://directions/FAT Viewer?action=UPDATE&amp;creator=factset&amp;DYN_ARGS=TRUE&amp;DOC_NAME=FAT:FQL_AUDITING_CLIENT_TEMPLATE.FAT&amp;display_string=Audit&amp;VAR:KEY=ENIVGRQBYH&amp;VAR:QUERY=Q1NGX1NBTEVTKEFOTiwxMi8zMS8xOTgwLDAp&amp;WINDOW=FIRST_POPUP&amp;HEIGHT=450&amp;WIDTH=450&amp;START_MA","XIMIZED=FALSE&amp;VAR:CALENDAR=US&amp;VAR:SYMBOL=WLK&amp;VAR:INDEX=2"}</definedName>
    <definedName name="_9__FDSAUDITLINK__" hidden="1">{"fdsup://directions/FAT Viewer?action=UPDATE&amp;creator=factset&amp;DYN_ARGS=TRUE&amp;DOC_NAME=FAT:FQL_AUDITING_CLIENT_TEMPLATE.FAT&amp;display_string=Audit&amp;VAR:KEY=YXSJYLYXUV&amp;VAR:QUERY=Q1NGX0dST1NTX0lOQyhRVFJfUiwtM0FZLDAsRlEp&amp;WINDOW=FIRST_POPUP&amp;HEIGHT=450&amp;WIDTH=450&amp;STAR","T_MAXIMIZED=FALSE&amp;VAR:CALENDAR=US&amp;VAR:SYMBOL=EMN&amp;VAR:INDEX=4"}</definedName>
    <definedName name="_90__FDSAUDITLINK__" hidden="1">{"fdsup://directions/FAT Viewer?action=UPDATE&amp;creator=factset&amp;DYN_ARGS=TRUE&amp;DOC_NAME=FAT:FQL_AUDITING_CLIENT_TEMPLATE.FAT&amp;display_string=Audit&amp;VAR:KEY=EBYREFMDAZ&amp;VAR:QUERY=Q1NGX0VCSVRfT1BFUihRVFJfUiwtM0FZLDAsRlEp&amp;WINDOW=FIRST_POPUP&amp;HEIGHT=450&amp;WIDTH=450&amp;STAR","T_MAXIMIZED=FALSE&amp;VAR:CALENDAR=US&amp;VAR:SYMBOL=CE&amp;VAR:INDEX=1"}</definedName>
    <definedName name="_900__FDSAUDITLINK__" hidden="1">{"fdsup://directions/FAT Viewer?action=UPDATE&amp;creator=factset&amp;DYN_ARGS=TRUE&amp;DOC_NAME=FAT:FQL_AUDITING_CLIENT_TEMPLATE.FAT&amp;display_string=Audit&amp;VAR:KEY=ENIVGRQBYH&amp;VAR:QUERY=Q1NGX1NBTEVTKEFOTiwxMi8zMS8xOTgwLDAp&amp;WINDOW=FIRST_POPUP&amp;HEIGHT=450&amp;WIDTH=450&amp;START_MA","XIMIZED=FALSE&amp;VAR:CALENDAR=US&amp;VAR:SYMBOL=WLK&amp;VAR:INDEX=1"}</definedName>
    <definedName name="_901__FDSAUDITLINK__" hidden="1">{"fdsup://directions/FAT Viewer?action=UPDATE&amp;creator=factset&amp;DYN_ARGS=TRUE&amp;DOC_NAME=FAT:FQL_AUDITING_CLIENT_TEMPLATE.FAT&amp;display_string=Audit&amp;VAR:KEY=ENIVGRQBYH&amp;VAR:QUERY=Q1NGX1NBTEVTKEFOTiwxMi8zMS8xOTgwLDAp&amp;WINDOW=FIRST_POPUP&amp;HEIGHT=450&amp;WIDTH=450&amp;START_MA","XIMIZED=FALSE&amp;VAR:CALENDAR=US&amp;VAR:SYMBOL=WLK&amp;VAR:INDEX=0"}</definedName>
    <definedName name="_902__FDSAUDITLINK__" hidden="1">{"fdsup://directions/FAT Viewer?action=UPDATE&amp;creator=factset&amp;DYN_ARGS=TRUE&amp;DOC_NAME=FAT:FQL_AUDITING_CLIENT_TEMPLATE.FAT&amp;display_string=Audit&amp;VAR:KEY=KBOPIHQBMB&amp;VAR:QUERY=Q1NGX1NBTEVTKEFOTiw1LzMxLzE5ODAsNS8zMS8yMDA5KQ==&amp;WINDOW=FIRST_POPUP&amp;HEIGHT=450&amp;WIDTH=","450&amp;START_MAXIMIZED=FALSE&amp;VAR:CALENDAR=US&amp;VAR:SYMBOL=MOS&amp;VAR:INDEX=29"}</definedName>
    <definedName name="_903__FDSAUDITLINK__" hidden="1">{"fdsup://directions/FAT Viewer?action=UPDATE&amp;creator=factset&amp;DYN_ARGS=TRUE&amp;DOC_NAME=FAT:FQL_AUDITING_CLIENT_TEMPLATE.FAT&amp;display_string=Audit&amp;VAR:KEY=KBOPIHQBMB&amp;VAR:QUERY=Q1NGX1NBTEVTKEFOTiw1LzMxLzE5ODAsNS8zMS8yMDA5KQ==&amp;WINDOW=FIRST_POPUP&amp;HEIGHT=450&amp;WIDTH=","450&amp;START_MAXIMIZED=FALSE&amp;VAR:CALENDAR=US&amp;VAR:SYMBOL=MOS&amp;VAR:INDEX=28"}</definedName>
    <definedName name="_904__FDSAUDITLINK__" hidden="1">{"fdsup://directions/FAT Viewer?action=UPDATE&amp;creator=factset&amp;DYN_ARGS=TRUE&amp;DOC_NAME=FAT:FQL_AUDITING_CLIENT_TEMPLATE.FAT&amp;display_string=Audit&amp;VAR:KEY=KBOPIHQBMB&amp;VAR:QUERY=Q1NGX1NBTEVTKEFOTiw1LzMxLzE5ODAsNS8zMS8yMDA5KQ==&amp;WINDOW=FIRST_POPUP&amp;HEIGHT=450&amp;WIDTH=","450&amp;START_MAXIMIZED=FALSE&amp;VAR:CALENDAR=US&amp;VAR:SYMBOL=MOS&amp;VAR:INDEX=27"}</definedName>
    <definedName name="_905__FDSAUDITLINK__" hidden="1">{"fdsup://directions/FAT Viewer?action=UPDATE&amp;creator=factset&amp;DYN_ARGS=TRUE&amp;DOC_NAME=FAT:FQL_AUDITING_CLIENT_TEMPLATE.FAT&amp;display_string=Audit&amp;VAR:KEY=KBOPIHQBMB&amp;VAR:QUERY=Q1NGX1NBTEVTKEFOTiw1LzMxLzE5ODAsNS8zMS8yMDA5KQ==&amp;WINDOW=FIRST_POPUP&amp;HEIGHT=450&amp;WIDTH=","450&amp;START_MAXIMIZED=FALSE&amp;VAR:CALENDAR=US&amp;VAR:SYMBOL=MOS&amp;VAR:INDEX=26"}</definedName>
    <definedName name="_906__FDSAUDITLINK__" hidden="1">{"fdsup://directions/FAT Viewer?action=UPDATE&amp;creator=factset&amp;DYN_ARGS=TRUE&amp;DOC_NAME=FAT:FQL_AUDITING_CLIENT_TEMPLATE.FAT&amp;display_string=Audit&amp;VAR:KEY=KBOPIHQBMB&amp;VAR:QUERY=Q1NGX1NBTEVTKEFOTiw1LzMxLzE5ODAsNS8zMS8yMDA5KQ==&amp;WINDOW=FIRST_POPUP&amp;HEIGHT=450&amp;WIDTH=","450&amp;START_MAXIMIZED=FALSE&amp;VAR:CALENDAR=US&amp;VAR:SYMBOL=MOS&amp;VAR:INDEX=25"}</definedName>
    <definedName name="_907__FDSAUDITLINK__" hidden="1">{"fdsup://directions/FAT Viewer?action=UPDATE&amp;creator=factset&amp;DYN_ARGS=TRUE&amp;DOC_NAME=FAT:FQL_AUDITING_CLIENT_TEMPLATE.FAT&amp;display_string=Audit&amp;VAR:KEY=KBOPIHQBMB&amp;VAR:QUERY=Q1NGX1NBTEVTKEFOTiw1LzMxLzE5ODAsNS8zMS8yMDA5KQ==&amp;WINDOW=FIRST_POPUP&amp;HEIGHT=450&amp;WIDTH=","450&amp;START_MAXIMIZED=FALSE&amp;VAR:CALENDAR=US&amp;VAR:SYMBOL=MOS&amp;VAR:INDEX=24"}</definedName>
    <definedName name="_908__FDSAUDITLINK__" hidden="1">{"fdsup://directions/FAT Viewer?action=UPDATE&amp;creator=factset&amp;DYN_ARGS=TRUE&amp;DOC_NAME=FAT:FQL_AUDITING_CLIENT_TEMPLATE.FAT&amp;display_string=Audit&amp;VAR:KEY=KBOPIHQBMB&amp;VAR:QUERY=Q1NGX1NBTEVTKEFOTiw1LzMxLzE5ODAsNS8zMS8yMDA5KQ==&amp;WINDOW=FIRST_POPUP&amp;HEIGHT=450&amp;WIDTH=","450&amp;START_MAXIMIZED=FALSE&amp;VAR:CALENDAR=US&amp;VAR:SYMBOL=MOS&amp;VAR:INDEX=23"}</definedName>
    <definedName name="_909__FDSAUDITLINK__" hidden="1">{"fdsup://directions/FAT Viewer?action=UPDATE&amp;creator=factset&amp;DYN_ARGS=TRUE&amp;DOC_NAME=FAT:FQL_AUDITING_CLIENT_TEMPLATE.FAT&amp;display_string=Audit&amp;VAR:KEY=KBOPIHQBMB&amp;VAR:QUERY=Q1NGX1NBTEVTKEFOTiw1LzMxLzE5ODAsNS8zMS8yMDA5KQ==&amp;WINDOW=FIRST_POPUP&amp;HEIGHT=450&amp;WIDTH=","450&amp;START_MAXIMIZED=FALSE&amp;VAR:CALENDAR=US&amp;VAR:SYMBOL=MOS&amp;VAR:INDEX=22"}</definedName>
    <definedName name="_91__FDSAUDITLINK__" hidden="1">{"fdsup://directions/FAT Viewer?action=UPDATE&amp;creator=factset&amp;DYN_ARGS=TRUE&amp;DOC_NAME=FAT:FQL_AUDITING_CLIENT_TEMPLATE.FAT&amp;display_string=Audit&amp;VAR:KEY=EBYREFMDAZ&amp;VAR:QUERY=Q1NGX0VCSVRfT1BFUihRVFJfUiwtM0FZLDAsRlEp&amp;WINDOW=FIRST_POPUP&amp;HEIGHT=450&amp;WIDTH=450&amp;STAR","T_MAXIMIZED=FALSE&amp;VAR:CALENDAR=US&amp;VAR:SYMBOL=CE&amp;VAR:INDEX=0"}</definedName>
    <definedName name="_910__FDSAUDITLINK__" hidden="1">{"fdsup://directions/FAT Viewer?action=UPDATE&amp;creator=factset&amp;DYN_ARGS=TRUE&amp;DOC_NAME=FAT:FQL_AUDITING_CLIENT_TEMPLATE.FAT&amp;display_string=Audit&amp;VAR:KEY=KBOPIHQBMB&amp;VAR:QUERY=Q1NGX1NBTEVTKEFOTiw1LzMxLzE5ODAsNS8zMS8yMDA5KQ==&amp;WINDOW=FIRST_POPUP&amp;HEIGHT=450&amp;WIDTH=","450&amp;START_MAXIMIZED=FALSE&amp;VAR:CALENDAR=US&amp;VAR:SYMBOL=MOS&amp;VAR:INDEX=21"}</definedName>
    <definedName name="_911__FDSAUDITLINK__" hidden="1">{"fdsup://directions/FAT Viewer?action=UPDATE&amp;creator=factset&amp;DYN_ARGS=TRUE&amp;DOC_NAME=FAT:FQL_AUDITING_CLIENT_TEMPLATE.FAT&amp;display_string=Audit&amp;VAR:KEY=KBOPIHQBMB&amp;VAR:QUERY=Q1NGX1NBTEVTKEFOTiw1LzMxLzE5ODAsNS8zMS8yMDA5KQ==&amp;WINDOW=FIRST_POPUP&amp;HEIGHT=450&amp;WIDTH=","450&amp;START_MAXIMIZED=FALSE&amp;VAR:CALENDAR=US&amp;VAR:SYMBOL=MOS&amp;VAR:INDEX=20"}</definedName>
    <definedName name="_912__FDSAUDITLINK__" hidden="1">{"fdsup://directions/FAT Viewer?action=UPDATE&amp;creator=factset&amp;DYN_ARGS=TRUE&amp;DOC_NAME=FAT:FQL_AUDITING_CLIENT_TEMPLATE.FAT&amp;display_string=Audit&amp;VAR:KEY=KBOPIHQBMB&amp;VAR:QUERY=Q1NGX1NBTEVTKEFOTiw1LzMxLzE5ODAsNS8zMS8yMDA5KQ==&amp;WINDOW=FIRST_POPUP&amp;HEIGHT=450&amp;WIDTH=","450&amp;START_MAXIMIZED=FALSE&amp;VAR:CALENDAR=US&amp;VAR:SYMBOL=MOS&amp;VAR:INDEX=19"}</definedName>
    <definedName name="_913__FDSAUDITLINK__" hidden="1">{"fdsup://directions/FAT Viewer?action=UPDATE&amp;creator=factset&amp;DYN_ARGS=TRUE&amp;DOC_NAME=FAT:FQL_AUDITING_CLIENT_TEMPLATE.FAT&amp;display_string=Audit&amp;VAR:KEY=KBOPIHQBMB&amp;VAR:QUERY=Q1NGX1NBTEVTKEFOTiw1LzMxLzE5ODAsNS8zMS8yMDA5KQ==&amp;WINDOW=FIRST_POPUP&amp;HEIGHT=450&amp;WIDTH=","450&amp;START_MAXIMIZED=FALSE&amp;VAR:CALENDAR=US&amp;VAR:SYMBOL=MOS&amp;VAR:INDEX=18"}</definedName>
    <definedName name="_914__FDSAUDITLINK__" hidden="1">{"fdsup://directions/FAT Viewer?action=UPDATE&amp;creator=factset&amp;DYN_ARGS=TRUE&amp;DOC_NAME=FAT:FQL_AUDITING_CLIENT_TEMPLATE.FAT&amp;display_string=Audit&amp;VAR:KEY=KBOPIHQBMB&amp;VAR:QUERY=Q1NGX1NBTEVTKEFOTiw1LzMxLzE5ODAsNS8zMS8yMDA5KQ==&amp;WINDOW=FIRST_POPUP&amp;HEIGHT=450&amp;WIDTH=","450&amp;START_MAXIMIZED=FALSE&amp;VAR:CALENDAR=US&amp;VAR:SYMBOL=MOS&amp;VAR:INDEX=17"}</definedName>
    <definedName name="_915__FDSAUDITLINK__" hidden="1">{"fdsup://directions/FAT Viewer?action=UPDATE&amp;creator=factset&amp;DYN_ARGS=TRUE&amp;DOC_NAME=FAT:FQL_AUDITING_CLIENT_TEMPLATE.FAT&amp;display_string=Audit&amp;VAR:KEY=KBOPIHQBMB&amp;VAR:QUERY=Q1NGX1NBTEVTKEFOTiw1LzMxLzE5ODAsNS8zMS8yMDA5KQ==&amp;WINDOW=FIRST_POPUP&amp;HEIGHT=450&amp;WIDTH=","450&amp;START_MAXIMIZED=FALSE&amp;VAR:CALENDAR=US&amp;VAR:SYMBOL=MOS&amp;VAR:INDEX=16"}</definedName>
    <definedName name="_916__FDSAUDITLINK__" hidden="1">{"fdsup://directions/FAT Viewer?action=UPDATE&amp;creator=factset&amp;DYN_ARGS=TRUE&amp;DOC_NAME=FAT:FQL_AUDITING_CLIENT_TEMPLATE.FAT&amp;display_string=Audit&amp;VAR:KEY=KBOPIHQBMB&amp;VAR:QUERY=Q1NGX1NBTEVTKEFOTiw1LzMxLzE5ODAsNS8zMS8yMDA5KQ==&amp;WINDOW=FIRST_POPUP&amp;HEIGHT=450&amp;WIDTH=","450&amp;START_MAXIMIZED=FALSE&amp;VAR:CALENDAR=US&amp;VAR:SYMBOL=MOS&amp;VAR:INDEX=15"}</definedName>
    <definedName name="_917__FDSAUDITLINK__" hidden="1">{"fdsup://directions/FAT Viewer?action=UPDATE&amp;creator=factset&amp;DYN_ARGS=TRUE&amp;DOC_NAME=FAT:FQL_AUDITING_CLIENT_TEMPLATE.FAT&amp;display_string=Audit&amp;VAR:KEY=KBOPIHQBMB&amp;VAR:QUERY=Q1NGX1NBTEVTKEFOTiw1LzMxLzE5ODAsNS8zMS8yMDA5KQ==&amp;WINDOW=FIRST_POPUP&amp;HEIGHT=450&amp;WIDTH=","450&amp;START_MAXIMIZED=FALSE&amp;VAR:CALENDAR=US&amp;VAR:SYMBOL=MOS&amp;VAR:INDEX=14"}</definedName>
    <definedName name="_918__FDSAUDITLINK__" hidden="1">{"fdsup://directions/FAT Viewer?action=UPDATE&amp;creator=factset&amp;DYN_ARGS=TRUE&amp;DOC_NAME=FAT:FQL_AUDITING_CLIENT_TEMPLATE.FAT&amp;display_string=Audit&amp;VAR:KEY=KBOPIHQBMB&amp;VAR:QUERY=Q1NGX1NBTEVTKEFOTiw1LzMxLzE5ODAsNS8zMS8yMDA5KQ==&amp;WINDOW=FIRST_POPUP&amp;HEIGHT=450&amp;WIDTH=","450&amp;START_MAXIMIZED=FALSE&amp;VAR:CALENDAR=US&amp;VAR:SYMBOL=MOS&amp;VAR:INDEX=13"}</definedName>
    <definedName name="_919__FDSAUDITLINK__" hidden="1">{"fdsup://directions/FAT Viewer?action=UPDATE&amp;creator=factset&amp;DYN_ARGS=TRUE&amp;DOC_NAME=FAT:FQL_AUDITING_CLIENT_TEMPLATE.FAT&amp;display_string=Audit&amp;VAR:KEY=KBOPIHQBMB&amp;VAR:QUERY=Q1NGX1NBTEVTKEFOTiw1LzMxLzE5ODAsNS8zMS8yMDA5KQ==&amp;WINDOW=FIRST_POPUP&amp;HEIGHT=450&amp;WIDTH=","450&amp;START_MAXIMIZED=FALSE&amp;VAR:CALENDAR=US&amp;VAR:SYMBOL=MOS&amp;VAR:INDEX=12"}</definedName>
    <definedName name="_92__FDSAUDITLINK__" hidden="1">{"fdsup://directions/FAT Viewer?action=UPDATE&amp;creator=factset&amp;DYN_ARGS=TRUE&amp;DOC_NAME=FAT:FQL_AUDITING_CLIENT_TEMPLATE.FAT&amp;display_string=Audit&amp;VAR:KEY=YLYTKFIJQN&amp;VAR:QUERY=Q1NGX0VCSVRfT1BFUihRVFJfUiwtM0FZLDAsRlEp&amp;WINDOW=FIRST_POPUP&amp;HEIGHT=450&amp;WIDTH=450&amp;STAR","T_MAXIMIZED=FALSE&amp;VAR:CALENDAR=US&amp;VAR:SYMBOL=PPG&amp;VAR:INDEX=12"}</definedName>
    <definedName name="_920__FDSAUDITLINK__" hidden="1">{"fdsup://directions/FAT Viewer?action=UPDATE&amp;creator=factset&amp;DYN_ARGS=TRUE&amp;DOC_NAME=FAT:FQL_AUDITING_CLIENT_TEMPLATE.FAT&amp;display_string=Audit&amp;VAR:KEY=KBOPIHQBMB&amp;VAR:QUERY=Q1NGX1NBTEVTKEFOTiw1LzMxLzE5ODAsNS8zMS8yMDA5KQ==&amp;WINDOW=FIRST_POPUP&amp;HEIGHT=450&amp;WIDTH=","450&amp;START_MAXIMIZED=FALSE&amp;VAR:CALENDAR=US&amp;VAR:SYMBOL=MOS&amp;VAR:INDEX=11"}</definedName>
    <definedName name="_921__FDSAUDITLINK__" hidden="1">{"fdsup://directions/FAT Viewer?action=UPDATE&amp;creator=factset&amp;DYN_ARGS=TRUE&amp;DOC_NAME=FAT:FQL_AUDITING_CLIENT_TEMPLATE.FAT&amp;display_string=Audit&amp;VAR:KEY=KBOPIHQBMB&amp;VAR:QUERY=Q1NGX1NBTEVTKEFOTiw1LzMxLzE5ODAsNS8zMS8yMDA5KQ==&amp;WINDOW=FIRST_POPUP&amp;HEIGHT=450&amp;WIDTH=","450&amp;START_MAXIMIZED=FALSE&amp;VAR:CALENDAR=US&amp;VAR:SYMBOL=MOS&amp;VAR:INDEX=10"}</definedName>
    <definedName name="_922__FDSAUDITLINK__" hidden="1">{"fdsup://directions/FAT Viewer?action=UPDATE&amp;creator=factset&amp;DYN_ARGS=TRUE&amp;DOC_NAME=FAT:FQL_AUDITING_CLIENT_TEMPLATE.FAT&amp;display_string=Audit&amp;VAR:KEY=KBOPIHQBMB&amp;VAR:QUERY=Q1NGX1NBTEVTKEFOTiw1LzMxLzE5ODAsNS8zMS8yMDA5KQ==&amp;WINDOW=FIRST_POPUP&amp;HEIGHT=450&amp;WIDTH=","450&amp;START_MAXIMIZED=FALSE&amp;VAR:CALENDAR=US&amp;VAR:SYMBOL=MOS&amp;VAR:INDEX=9"}</definedName>
    <definedName name="_923__FDSAUDITLINK__" hidden="1">{"fdsup://directions/FAT Viewer?action=UPDATE&amp;creator=factset&amp;DYN_ARGS=TRUE&amp;DOC_NAME=FAT:FQL_AUDITING_CLIENT_TEMPLATE.FAT&amp;display_string=Audit&amp;VAR:KEY=KBOPIHQBMB&amp;VAR:QUERY=Q1NGX1NBTEVTKEFOTiw1LzMxLzE5ODAsNS8zMS8yMDA5KQ==&amp;WINDOW=FIRST_POPUP&amp;HEIGHT=450&amp;WIDTH=","450&amp;START_MAXIMIZED=FALSE&amp;VAR:CALENDAR=US&amp;VAR:SYMBOL=MOS&amp;VAR:INDEX=8"}</definedName>
    <definedName name="_924__FDSAUDITLINK__" hidden="1">{"fdsup://directions/FAT Viewer?action=UPDATE&amp;creator=factset&amp;DYN_ARGS=TRUE&amp;DOC_NAME=FAT:FQL_AUDITING_CLIENT_TEMPLATE.FAT&amp;display_string=Audit&amp;VAR:KEY=KBOPIHQBMB&amp;VAR:QUERY=Q1NGX1NBTEVTKEFOTiw1LzMxLzE5ODAsNS8zMS8yMDA5KQ==&amp;WINDOW=FIRST_POPUP&amp;HEIGHT=450&amp;WIDTH=","450&amp;START_MAXIMIZED=FALSE&amp;VAR:CALENDAR=US&amp;VAR:SYMBOL=MOS&amp;VAR:INDEX=7"}</definedName>
    <definedName name="_925__FDSAUDITLINK__" hidden="1">{"fdsup://directions/FAT Viewer?action=UPDATE&amp;creator=factset&amp;DYN_ARGS=TRUE&amp;DOC_NAME=FAT:FQL_AUDITING_CLIENT_TEMPLATE.FAT&amp;display_string=Audit&amp;VAR:KEY=KBOPIHQBMB&amp;VAR:QUERY=Q1NGX1NBTEVTKEFOTiw1LzMxLzE5ODAsNS8zMS8yMDA5KQ==&amp;WINDOW=FIRST_POPUP&amp;HEIGHT=450&amp;WIDTH=","450&amp;START_MAXIMIZED=FALSE&amp;VAR:CALENDAR=US&amp;VAR:SYMBOL=MOS&amp;VAR:INDEX=6"}</definedName>
    <definedName name="_926__FDSAUDITLINK__" hidden="1">{"fdsup://directions/FAT Viewer?action=UPDATE&amp;creator=factset&amp;DYN_ARGS=TRUE&amp;DOC_NAME=FAT:FQL_AUDITING_CLIENT_TEMPLATE.FAT&amp;display_string=Audit&amp;VAR:KEY=KBOPIHQBMB&amp;VAR:QUERY=Q1NGX1NBTEVTKEFOTiw1LzMxLzE5ODAsNS8zMS8yMDA5KQ==&amp;WINDOW=FIRST_POPUP&amp;HEIGHT=450&amp;WIDTH=","450&amp;START_MAXIMIZED=FALSE&amp;VAR:CALENDAR=US&amp;VAR:SYMBOL=MOS&amp;VAR:INDEX=5"}</definedName>
    <definedName name="_927__FDSAUDITLINK__" hidden="1">{"fdsup://directions/FAT Viewer?action=UPDATE&amp;creator=factset&amp;DYN_ARGS=TRUE&amp;DOC_NAME=FAT:FQL_AUDITING_CLIENT_TEMPLATE.FAT&amp;display_string=Audit&amp;VAR:KEY=KBOPIHQBMB&amp;VAR:QUERY=Q1NGX1NBTEVTKEFOTiw1LzMxLzE5ODAsNS8zMS8yMDA5KQ==&amp;WINDOW=FIRST_POPUP&amp;HEIGHT=450&amp;WIDTH=","450&amp;START_MAXIMIZED=FALSE&amp;VAR:CALENDAR=US&amp;VAR:SYMBOL=MOS&amp;VAR:INDEX=4"}</definedName>
    <definedName name="_928__FDSAUDITLINK__" hidden="1">{"fdsup://directions/FAT Viewer?action=UPDATE&amp;creator=factset&amp;DYN_ARGS=TRUE&amp;DOC_NAME=FAT:FQL_AUDITING_CLIENT_TEMPLATE.FAT&amp;display_string=Audit&amp;VAR:KEY=KBOPIHQBMB&amp;VAR:QUERY=Q1NGX1NBTEVTKEFOTiw1LzMxLzE5ODAsNS8zMS8yMDA5KQ==&amp;WINDOW=FIRST_POPUP&amp;HEIGHT=450&amp;WIDTH=","450&amp;START_MAXIMIZED=FALSE&amp;VAR:CALENDAR=US&amp;VAR:SYMBOL=MOS&amp;VAR:INDEX=3"}</definedName>
    <definedName name="_929__FDSAUDITLINK__" hidden="1">{"fdsup://directions/FAT Viewer?action=UPDATE&amp;creator=factset&amp;DYN_ARGS=TRUE&amp;DOC_NAME=FAT:FQL_AUDITING_CLIENT_TEMPLATE.FAT&amp;display_string=Audit&amp;VAR:KEY=KBOPIHQBMB&amp;VAR:QUERY=Q1NGX1NBTEVTKEFOTiw1LzMxLzE5ODAsNS8zMS8yMDA5KQ==&amp;WINDOW=FIRST_POPUP&amp;HEIGHT=450&amp;WIDTH=","450&amp;START_MAXIMIZED=FALSE&amp;VAR:CALENDAR=US&amp;VAR:SYMBOL=MOS&amp;VAR:INDEX=2"}</definedName>
    <definedName name="_93__FDSAUDITLINK__" hidden="1">{"fdsup://directions/FAT Viewer?action=UPDATE&amp;creator=factset&amp;DYN_ARGS=TRUE&amp;DOC_NAME=FAT:FQL_AUDITING_CLIENT_TEMPLATE.FAT&amp;display_string=Audit&amp;VAR:KEY=YLYTKFIJQN&amp;VAR:QUERY=Q1NGX0VCSVRfT1BFUihRVFJfUiwtM0FZLDAsRlEp&amp;WINDOW=FIRST_POPUP&amp;HEIGHT=450&amp;WIDTH=450&amp;STAR","T_MAXIMIZED=FALSE&amp;VAR:CALENDAR=US&amp;VAR:SYMBOL=PPG&amp;VAR:INDEX=11"}</definedName>
    <definedName name="_930__FDSAUDITLINK__" hidden="1">{"fdsup://directions/FAT Viewer?action=UPDATE&amp;creator=factset&amp;DYN_ARGS=TRUE&amp;DOC_NAME=FAT:FQL_AUDITING_CLIENT_TEMPLATE.FAT&amp;display_string=Audit&amp;VAR:KEY=KBOPIHQBMB&amp;VAR:QUERY=Q1NGX1NBTEVTKEFOTiw1LzMxLzE5ODAsNS8zMS8yMDA5KQ==&amp;WINDOW=FIRST_POPUP&amp;HEIGHT=450&amp;WIDTH=","450&amp;START_MAXIMIZED=FALSE&amp;VAR:CALENDAR=US&amp;VAR:SYMBOL=MOS&amp;VAR:INDEX=1"}</definedName>
    <definedName name="_931__FDSAUDITLINK__" hidden="1">{"fdsup://directions/FAT Viewer?action=UPDATE&amp;creator=factset&amp;DYN_ARGS=TRUE&amp;DOC_NAME=FAT:FQL_AUDITING_CLIENT_TEMPLATE.FAT&amp;display_string=Audit&amp;VAR:KEY=KBOPIHQBMB&amp;VAR:QUERY=Q1NGX1NBTEVTKEFOTiw1LzMxLzE5ODAsNS8zMS8yMDA5KQ==&amp;WINDOW=FIRST_POPUP&amp;HEIGHT=450&amp;WIDTH=","450&amp;START_MAXIMIZED=FALSE&amp;VAR:CALENDAR=US&amp;VAR:SYMBOL=MOS&amp;VAR:INDEX=0"}</definedName>
    <definedName name="_932__FDSAUDITLINK__" hidden="1">{"fdsup://directions/FAT Viewer?action=UPDATE&amp;creator=factset&amp;DYN_ARGS=TRUE&amp;DOC_NAME=FAT:FQL_AUDITING_CLIENT_TEMPLATE.FAT&amp;display_string=Audit&amp;VAR:KEY=GFEBWTWFUN&amp;VAR:QUERY=Q1NGX1NBTEVTKEFOTiw5LzMwLzgwLDAp&amp;WINDOW=FIRST_POPUP&amp;HEIGHT=450&amp;WIDTH=450&amp;START_MAXIMI","ZED=FALSE&amp;VAR:CALENDAR=US&amp;VAR:SYMBOL=LYO&amp;VAR:INDEX=26"}</definedName>
    <definedName name="_933__FDSAUDITLINK__" hidden="1">{"fdsup://directions/FAT Viewer?action=UPDATE&amp;creator=factset&amp;DYN_ARGS=TRUE&amp;DOC_NAME=FAT:FQL_AUDITING_CLIENT_TEMPLATE.FAT&amp;display_string=Audit&amp;VAR:KEY=GFEBWTWFUN&amp;VAR:QUERY=Q1NGX1NBTEVTKEFOTiw5LzMwLzgwLDAp&amp;WINDOW=FIRST_POPUP&amp;HEIGHT=450&amp;WIDTH=450&amp;START_MAXIMI","ZED=FALSE&amp;VAR:CALENDAR=US&amp;VAR:SYMBOL=LYO&amp;VAR:INDEX=25"}</definedName>
    <definedName name="_934__FDSAUDITLINK__" hidden="1">{"fdsup://directions/FAT Viewer?action=UPDATE&amp;creator=factset&amp;DYN_ARGS=TRUE&amp;DOC_NAME=FAT:FQL_AUDITING_CLIENT_TEMPLATE.FAT&amp;display_string=Audit&amp;VAR:KEY=GFEBWTWFUN&amp;VAR:QUERY=Q1NGX1NBTEVTKEFOTiw5LzMwLzgwLDAp&amp;WINDOW=FIRST_POPUP&amp;HEIGHT=450&amp;WIDTH=450&amp;START_MAXIMI","ZED=FALSE&amp;VAR:CALENDAR=US&amp;VAR:SYMBOL=LYO&amp;VAR:INDEX=24"}</definedName>
    <definedName name="_935__FDSAUDITLINK__" hidden="1">{"fdsup://directions/FAT Viewer?action=UPDATE&amp;creator=factset&amp;DYN_ARGS=TRUE&amp;DOC_NAME=FAT:FQL_AUDITING_CLIENT_TEMPLATE.FAT&amp;display_string=Audit&amp;VAR:KEY=GFEBWTWFUN&amp;VAR:QUERY=Q1NGX1NBTEVTKEFOTiw5LzMwLzgwLDAp&amp;WINDOW=FIRST_POPUP&amp;HEIGHT=450&amp;WIDTH=450&amp;START_MAXIMI","ZED=FALSE&amp;VAR:CALENDAR=US&amp;VAR:SYMBOL=LYO&amp;VAR:INDEX=23"}</definedName>
    <definedName name="_936__FDSAUDITLINK__" hidden="1">{"fdsup://directions/FAT Viewer?action=UPDATE&amp;creator=factset&amp;DYN_ARGS=TRUE&amp;DOC_NAME=FAT:FQL_AUDITING_CLIENT_TEMPLATE.FAT&amp;display_string=Audit&amp;VAR:KEY=GFEBWTWFUN&amp;VAR:QUERY=Q1NGX1NBTEVTKEFOTiw5LzMwLzgwLDAp&amp;WINDOW=FIRST_POPUP&amp;HEIGHT=450&amp;WIDTH=450&amp;START_MAXIMI","ZED=FALSE&amp;VAR:CALENDAR=US&amp;VAR:SYMBOL=LYO&amp;VAR:INDEX=22"}</definedName>
    <definedName name="_937__FDSAUDITLINK__" hidden="1">{"fdsup://directions/FAT Viewer?action=UPDATE&amp;creator=factset&amp;DYN_ARGS=TRUE&amp;DOC_NAME=FAT:FQL_AUDITING_CLIENT_TEMPLATE.FAT&amp;display_string=Audit&amp;VAR:KEY=GFEBWTWFUN&amp;VAR:QUERY=Q1NGX1NBTEVTKEFOTiw5LzMwLzgwLDAp&amp;WINDOW=FIRST_POPUP&amp;HEIGHT=450&amp;WIDTH=450&amp;START_MAXIMI","ZED=FALSE&amp;VAR:CALENDAR=US&amp;VAR:SYMBOL=LYO&amp;VAR:INDEX=21"}</definedName>
    <definedName name="_938__FDSAUDITLINK__" hidden="1">{"fdsup://directions/FAT Viewer?action=UPDATE&amp;creator=factset&amp;DYN_ARGS=TRUE&amp;DOC_NAME=FAT:FQL_AUDITING_CLIENT_TEMPLATE.FAT&amp;display_string=Audit&amp;VAR:KEY=GFEBWTWFUN&amp;VAR:QUERY=Q1NGX1NBTEVTKEFOTiw5LzMwLzgwLDAp&amp;WINDOW=FIRST_POPUP&amp;HEIGHT=450&amp;WIDTH=450&amp;START_MAXIMI","ZED=FALSE&amp;VAR:CALENDAR=US&amp;VAR:SYMBOL=LYO&amp;VAR:INDEX=20"}</definedName>
    <definedName name="_939__FDSAUDITLINK__" hidden="1">{"fdsup://directions/FAT Viewer?action=UPDATE&amp;creator=factset&amp;DYN_ARGS=TRUE&amp;DOC_NAME=FAT:FQL_AUDITING_CLIENT_TEMPLATE.FAT&amp;display_string=Audit&amp;VAR:KEY=GFEBWTWFUN&amp;VAR:QUERY=Q1NGX1NBTEVTKEFOTiw5LzMwLzgwLDAp&amp;WINDOW=FIRST_POPUP&amp;HEIGHT=450&amp;WIDTH=450&amp;START_MAXIMI","ZED=FALSE&amp;VAR:CALENDAR=US&amp;VAR:SYMBOL=LYO&amp;VAR:INDEX=19"}</definedName>
    <definedName name="_94__FDSAUDITLINK__" hidden="1">{"fdsup://directions/FAT Viewer?action=UPDATE&amp;creator=factset&amp;DYN_ARGS=TRUE&amp;DOC_NAME=FAT:FQL_AUDITING_CLIENT_TEMPLATE.FAT&amp;display_string=Audit&amp;VAR:KEY=YLYTKFIJQN&amp;VAR:QUERY=Q1NGX0VCSVRfT1BFUihRVFJfUiwtM0FZLDAsRlEp&amp;WINDOW=FIRST_POPUP&amp;HEIGHT=450&amp;WIDTH=450&amp;STAR","T_MAXIMIZED=FALSE&amp;VAR:CALENDAR=US&amp;VAR:SYMBOL=PPG&amp;VAR:INDEX=10"}</definedName>
    <definedName name="_940__FDSAUDITLINK__" hidden="1">{"fdsup://directions/FAT Viewer?action=UPDATE&amp;creator=factset&amp;DYN_ARGS=TRUE&amp;DOC_NAME=FAT:FQL_AUDITING_CLIENT_TEMPLATE.FAT&amp;display_string=Audit&amp;VAR:KEY=GFEBWTWFUN&amp;VAR:QUERY=Q1NGX1NBTEVTKEFOTiw5LzMwLzgwLDAp&amp;WINDOW=FIRST_POPUP&amp;HEIGHT=450&amp;WIDTH=450&amp;START_MAXIMI","ZED=FALSE&amp;VAR:CALENDAR=US&amp;VAR:SYMBOL=LYO&amp;VAR:INDEX=18"}</definedName>
    <definedName name="_941__FDSAUDITLINK__" hidden="1">{"fdsup://directions/FAT Viewer?action=UPDATE&amp;creator=factset&amp;DYN_ARGS=TRUE&amp;DOC_NAME=FAT:FQL_AUDITING_CLIENT_TEMPLATE.FAT&amp;display_string=Audit&amp;VAR:KEY=GFEBWTWFUN&amp;VAR:QUERY=Q1NGX1NBTEVTKEFOTiw5LzMwLzgwLDAp&amp;WINDOW=FIRST_POPUP&amp;HEIGHT=450&amp;WIDTH=450&amp;START_MAXIMI","ZED=FALSE&amp;VAR:CALENDAR=US&amp;VAR:SYMBOL=LYO&amp;VAR:INDEX=17"}</definedName>
    <definedName name="_942__FDSAUDITLINK__" hidden="1">{"fdsup://directions/FAT Viewer?action=UPDATE&amp;creator=factset&amp;DYN_ARGS=TRUE&amp;DOC_NAME=FAT:FQL_AUDITING_CLIENT_TEMPLATE.FAT&amp;display_string=Audit&amp;VAR:KEY=GFEBWTWFUN&amp;VAR:QUERY=Q1NGX1NBTEVTKEFOTiw5LzMwLzgwLDAp&amp;WINDOW=FIRST_POPUP&amp;HEIGHT=450&amp;WIDTH=450&amp;START_MAXIMI","ZED=FALSE&amp;VAR:CALENDAR=US&amp;VAR:SYMBOL=LYO&amp;VAR:INDEX=16"}</definedName>
    <definedName name="_943__FDSAUDITLINK__" hidden="1">{"fdsup://directions/FAT Viewer?action=UPDATE&amp;creator=factset&amp;DYN_ARGS=TRUE&amp;DOC_NAME=FAT:FQL_AUDITING_CLIENT_TEMPLATE.FAT&amp;display_string=Audit&amp;VAR:KEY=GFEBWTWFUN&amp;VAR:QUERY=Q1NGX1NBTEVTKEFOTiw5LzMwLzgwLDAp&amp;WINDOW=FIRST_POPUP&amp;HEIGHT=450&amp;WIDTH=450&amp;START_MAXIMI","ZED=FALSE&amp;VAR:CALENDAR=US&amp;VAR:SYMBOL=LYO&amp;VAR:INDEX=15"}</definedName>
    <definedName name="_944__FDSAUDITLINK__" hidden="1">{"fdsup://directions/FAT Viewer?action=UPDATE&amp;creator=factset&amp;DYN_ARGS=TRUE&amp;DOC_NAME=FAT:FQL_AUDITING_CLIENT_TEMPLATE.FAT&amp;display_string=Audit&amp;VAR:KEY=GFEBWTWFUN&amp;VAR:QUERY=Q1NGX1NBTEVTKEFOTiw5LzMwLzgwLDAp&amp;WINDOW=FIRST_POPUP&amp;HEIGHT=450&amp;WIDTH=450&amp;START_MAXIMI","ZED=FALSE&amp;VAR:CALENDAR=US&amp;VAR:SYMBOL=LYO&amp;VAR:INDEX=14"}</definedName>
    <definedName name="_945__FDSAUDITLINK__" hidden="1">{"fdsup://directions/FAT Viewer?action=UPDATE&amp;creator=factset&amp;DYN_ARGS=TRUE&amp;DOC_NAME=FAT:FQL_AUDITING_CLIENT_TEMPLATE.FAT&amp;display_string=Audit&amp;VAR:KEY=GFEBWTWFUN&amp;VAR:QUERY=Q1NGX1NBTEVTKEFOTiw5LzMwLzgwLDAp&amp;WINDOW=FIRST_POPUP&amp;HEIGHT=450&amp;WIDTH=450&amp;START_MAXIMI","ZED=FALSE&amp;VAR:CALENDAR=US&amp;VAR:SYMBOL=LYO&amp;VAR:INDEX=13"}</definedName>
    <definedName name="_946__FDSAUDITLINK__" hidden="1">{"fdsup://directions/FAT Viewer?action=UPDATE&amp;creator=factset&amp;DYN_ARGS=TRUE&amp;DOC_NAME=FAT:FQL_AUDITING_CLIENT_TEMPLATE.FAT&amp;display_string=Audit&amp;VAR:KEY=GFEBWTWFUN&amp;VAR:QUERY=Q1NGX1NBTEVTKEFOTiw5LzMwLzgwLDAp&amp;WINDOW=FIRST_POPUP&amp;HEIGHT=450&amp;WIDTH=450&amp;START_MAXIMI","ZED=FALSE&amp;VAR:CALENDAR=US&amp;VAR:SYMBOL=LYO&amp;VAR:INDEX=12"}</definedName>
    <definedName name="_947__FDSAUDITLINK__" hidden="1">{"fdsup://directions/FAT Viewer?action=UPDATE&amp;creator=factset&amp;DYN_ARGS=TRUE&amp;DOC_NAME=FAT:FQL_AUDITING_CLIENT_TEMPLATE.FAT&amp;display_string=Audit&amp;VAR:KEY=GFEBWTWFUN&amp;VAR:QUERY=Q1NGX1NBTEVTKEFOTiw5LzMwLzgwLDAp&amp;WINDOW=FIRST_POPUP&amp;HEIGHT=450&amp;WIDTH=450&amp;START_MAXIMI","ZED=FALSE&amp;VAR:CALENDAR=US&amp;VAR:SYMBOL=LYO&amp;VAR:INDEX=11"}</definedName>
    <definedName name="_948__FDSAUDITLINK__" hidden="1">{"fdsup://directions/FAT Viewer?action=UPDATE&amp;creator=factset&amp;DYN_ARGS=TRUE&amp;DOC_NAME=FAT:FQL_AUDITING_CLIENT_TEMPLATE.FAT&amp;display_string=Audit&amp;VAR:KEY=GFEBWTWFUN&amp;VAR:QUERY=Q1NGX1NBTEVTKEFOTiw5LzMwLzgwLDAp&amp;WINDOW=FIRST_POPUP&amp;HEIGHT=450&amp;WIDTH=450&amp;START_MAXIMI","ZED=FALSE&amp;VAR:CALENDAR=US&amp;VAR:SYMBOL=LYO&amp;VAR:INDEX=10"}</definedName>
    <definedName name="_949__FDSAUDITLINK__" hidden="1">{"fdsup://directions/FAT Viewer?action=UPDATE&amp;creator=factset&amp;DYN_ARGS=TRUE&amp;DOC_NAME=FAT:FQL_AUDITING_CLIENT_TEMPLATE.FAT&amp;display_string=Audit&amp;VAR:KEY=GFEBWTWFUN&amp;VAR:QUERY=Q1NGX1NBTEVTKEFOTiw5LzMwLzgwLDAp&amp;WINDOW=FIRST_POPUP&amp;HEIGHT=450&amp;WIDTH=450&amp;START_MAXIMI","ZED=FALSE&amp;VAR:CALENDAR=US&amp;VAR:SYMBOL=LYO&amp;VAR:INDEX=9"}</definedName>
    <definedName name="_95__FDSAUDITLINK__" hidden="1">{"fdsup://directions/FAT Viewer?action=UPDATE&amp;creator=factset&amp;DYN_ARGS=TRUE&amp;DOC_NAME=FAT:FQL_AUDITING_CLIENT_TEMPLATE.FAT&amp;display_string=Audit&amp;VAR:KEY=YLYTKFIJQN&amp;VAR:QUERY=Q1NGX0VCSVRfT1BFUihRVFJfUiwtM0FZLDAsRlEp&amp;WINDOW=FIRST_POPUP&amp;HEIGHT=450&amp;WIDTH=450&amp;STAR","T_MAXIMIZED=FALSE&amp;VAR:CALENDAR=US&amp;VAR:SYMBOL=PPG&amp;VAR:INDEX=9"}</definedName>
    <definedName name="_950__FDSAUDITLINK__" hidden="1">{"fdsup://directions/FAT Viewer?action=UPDATE&amp;creator=factset&amp;DYN_ARGS=TRUE&amp;DOC_NAME=FAT:FQL_AUDITING_CLIENT_TEMPLATE.FAT&amp;display_string=Audit&amp;VAR:KEY=GFEBWTWFUN&amp;VAR:QUERY=Q1NGX1NBTEVTKEFOTiw5LzMwLzgwLDAp&amp;WINDOW=FIRST_POPUP&amp;HEIGHT=450&amp;WIDTH=450&amp;START_MAXIMI","ZED=FALSE&amp;VAR:CALENDAR=US&amp;VAR:SYMBOL=LYO&amp;VAR:INDEX=8"}</definedName>
    <definedName name="_951__FDSAUDITLINK__" hidden="1">{"fdsup://directions/FAT Viewer?action=UPDATE&amp;creator=factset&amp;DYN_ARGS=TRUE&amp;DOC_NAME=FAT:FQL_AUDITING_CLIENT_TEMPLATE.FAT&amp;display_string=Audit&amp;VAR:KEY=GFEBWTWFUN&amp;VAR:QUERY=Q1NGX1NBTEVTKEFOTiw5LzMwLzgwLDAp&amp;WINDOW=FIRST_POPUP&amp;HEIGHT=450&amp;WIDTH=450&amp;START_MAXIMI","ZED=FALSE&amp;VAR:CALENDAR=US&amp;VAR:SYMBOL=LYO&amp;VAR:INDEX=7"}</definedName>
    <definedName name="_952__FDSAUDITLINK__" hidden="1">{"fdsup://directions/FAT Viewer?action=UPDATE&amp;creator=factset&amp;DYN_ARGS=TRUE&amp;DOC_NAME=FAT:FQL_AUDITING_CLIENT_TEMPLATE.FAT&amp;display_string=Audit&amp;VAR:KEY=GFEBWTWFUN&amp;VAR:QUERY=Q1NGX1NBTEVTKEFOTiw5LzMwLzgwLDAp&amp;WINDOW=FIRST_POPUP&amp;HEIGHT=450&amp;WIDTH=450&amp;START_MAXIMI","ZED=FALSE&amp;VAR:CALENDAR=US&amp;VAR:SYMBOL=LYO&amp;VAR:INDEX=6"}</definedName>
    <definedName name="_953__FDSAUDITLINK__" hidden="1">{"fdsup://directions/FAT Viewer?action=UPDATE&amp;creator=factset&amp;DYN_ARGS=TRUE&amp;DOC_NAME=FAT:FQL_AUDITING_CLIENT_TEMPLATE.FAT&amp;display_string=Audit&amp;VAR:KEY=GFEBWTWFUN&amp;VAR:QUERY=Q1NGX1NBTEVTKEFOTiw5LzMwLzgwLDAp&amp;WINDOW=FIRST_POPUP&amp;HEIGHT=450&amp;WIDTH=450&amp;START_MAXIMI","ZED=FALSE&amp;VAR:CALENDAR=US&amp;VAR:SYMBOL=LYO&amp;VAR:INDEX=5"}</definedName>
    <definedName name="_954__FDSAUDITLINK__" hidden="1">{"fdsup://directions/FAT Viewer?action=UPDATE&amp;creator=factset&amp;DYN_ARGS=TRUE&amp;DOC_NAME=FAT:FQL_AUDITING_CLIENT_TEMPLATE.FAT&amp;display_string=Audit&amp;VAR:KEY=GFEBWTWFUN&amp;VAR:QUERY=Q1NGX1NBTEVTKEFOTiw5LzMwLzgwLDAp&amp;WINDOW=FIRST_POPUP&amp;HEIGHT=450&amp;WIDTH=450&amp;START_MAXIMI","ZED=FALSE&amp;VAR:CALENDAR=US&amp;VAR:SYMBOL=LYO&amp;VAR:INDEX=4"}</definedName>
    <definedName name="_955__FDSAUDITLINK__" hidden="1">{"fdsup://directions/FAT Viewer?action=UPDATE&amp;creator=factset&amp;DYN_ARGS=TRUE&amp;DOC_NAME=FAT:FQL_AUDITING_CLIENT_TEMPLATE.FAT&amp;display_string=Audit&amp;VAR:KEY=GFEBWTWFUN&amp;VAR:QUERY=Q1NGX1NBTEVTKEFOTiw5LzMwLzgwLDAp&amp;WINDOW=FIRST_POPUP&amp;HEIGHT=450&amp;WIDTH=450&amp;START_MAXIMI","ZED=FALSE&amp;VAR:CALENDAR=US&amp;VAR:SYMBOL=LYO&amp;VAR:INDEX=3"}</definedName>
    <definedName name="_956__FDSAUDITLINK__" hidden="1">{"fdsup://directions/FAT Viewer?action=UPDATE&amp;creator=factset&amp;DYN_ARGS=TRUE&amp;DOC_NAME=FAT:FQL_AUDITING_CLIENT_TEMPLATE.FAT&amp;display_string=Audit&amp;VAR:KEY=GFEBWTWFUN&amp;VAR:QUERY=Q1NGX1NBTEVTKEFOTiw5LzMwLzgwLDAp&amp;WINDOW=FIRST_POPUP&amp;HEIGHT=450&amp;WIDTH=450&amp;START_MAXIMI","ZED=FALSE&amp;VAR:CALENDAR=US&amp;VAR:SYMBOL=LYO&amp;VAR:INDEX=2"}</definedName>
    <definedName name="_957__FDSAUDITLINK__" hidden="1">{"fdsup://directions/FAT Viewer?action=UPDATE&amp;creator=factset&amp;DYN_ARGS=TRUE&amp;DOC_NAME=FAT:FQL_AUDITING_CLIENT_TEMPLATE.FAT&amp;display_string=Audit&amp;VAR:KEY=GFEBWTWFUN&amp;VAR:QUERY=Q1NGX1NBTEVTKEFOTiw5LzMwLzgwLDAp&amp;WINDOW=FIRST_POPUP&amp;HEIGHT=450&amp;WIDTH=450&amp;START_MAXIMI","ZED=FALSE&amp;VAR:CALENDAR=US&amp;VAR:SYMBOL=LYO&amp;VAR:INDEX=1"}</definedName>
    <definedName name="_958__FDSAUDITLINK__" hidden="1">{"fdsup://directions/FAT Viewer?action=UPDATE&amp;creator=factset&amp;DYN_ARGS=TRUE&amp;DOC_NAME=FAT:FQL_AUDITING_CLIENT_TEMPLATE.FAT&amp;display_string=Audit&amp;VAR:KEY=GFEBWTWFUN&amp;VAR:QUERY=Q1NGX1NBTEVTKEFOTiw5LzMwLzgwLDAp&amp;WINDOW=FIRST_POPUP&amp;HEIGHT=450&amp;WIDTH=450&amp;START_MAXIMI","ZED=FALSE&amp;VAR:CALENDAR=US&amp;VAR:SYMBOL=LYO&amp;VAR:INDEX=0"}</definedName>
    <definedName name="_959__FDSAUDITLINK__" hidden="1">{"fdsup://directions/FAT Viewer?action=UPDATE&amp;creator=factset&amp;DYN_ARGS=TRUE&amp;DOC_NAME=FAT:FQL_AUDITING_CLIENT_TEMPLATE.FAT&amp;display_string=Audit&amp;VAR:KEY=MPOJIDCVKT&amp;VAR:QUERY=Q1NGX1NBTEVTKEFOTiw5LzMwLzgwLDAp&amp;WINDOW=FIRST_POPUP&amp;HEIGHT=450&amp;WIDTH=450&amp;START_MAXIMI","ZED=FALSE&amp;VAR:CALENDAR=US&amp;VAR:SYMBOL=EMN&amp;VAR:INDEX=29"}</definedName>
    <definedName name="_96__FDSAUDITLINK__" hidden="1">{"fdsup://directions/FAT Viewer?action=UPDATE&amp;creator=factset&amp;DYN_ARGS=TRUE&amp;DOC_NAME=FAT:FQL_AUDITING_CLIENT_TEMPLATE.FAT&amp;display_string=Audit&amp;VAR:KEY=YLYTKFIJQN&amp;VAR:QUERY=Q1NGX0VCSVRfT1BFUihRVFJfUiwtM0FZLDAsRlEp&amp;WINDOW=FIRST_POPUP&amp;HEIGHT=450&amp;WIDTH=450&amp;STAR","T_MAXIMIZED=FALSE&amp;VAR:CALENDAR=US&amp;VAR:SYMBOL=PPG&amp;VAR:INDEX=8"}</definedName>
    <definedName name="_960__FDSAUDITLINK__" hidden="1">{"fdsup://directions/FAT Viewer?action=UPDATE&amp;creator=factset&amp;DYN_ARGS=TRUE&amp;DOC_NAME=FAT:FQL_AUDITING_CLIENT_TEMPLATE.FAT&amp;display_string=Audit&amp;VAR:KEY=MPOJIDCVKT&amp;VAR:QUERY=Q1NGX1NBTEVTKEFOTiw5LzMwLzgwLDAp&amp;WINDOW=FIRST_POPUP&amp;HEIGHT=450&amp;WIDTH=450&amp;START_MAXIMI","ZED=FALSE&amp;VAR:CALENDAR=US&amp;VAR:SYMBOL=EMN&amp;VAR:INDEX=28"}</definedName>
    <definedName name="_961__FDSAUDITLINK__" hidden="1">{"fdsup://directions/FAT Viewer?action=UPDATE&amp;creator=factset&amp;DYN_ARGS=TRUE&amp;DOC_NAME=FAT:FQL_AUDITING_CLIENT_TEMPLATE.FAT&amp;display_string=Audit&amp;VAR:KEY=MPOJIDCVKT&amp;VAR:QUERY=Q1NGX1NBTEVTKEFOTiw5LzMwLzgwLDAp&amp;WINDOW=FIRST_POPUP&amp;HEIGHT=450&amp;WIDTH=450&amp;START_MAXIMI","ZED=FALSE&amp;VAR:CALENDAR=US&amp;VAR:SYMBOL=EMN&amp;VAR:INDEX=27"}</definedName>
    <definedName name="_962__FDSAUDITLINK__" hidden="1">{"fdsup://directions/FAT Viewer?action=UPDATE&amp;creator=factset&amp;DYN_ARGS=TRUE&amp;DOC_NAME=FAT:FQL_AUDITING_CLIENT_TEMPLATE.FAT&amp;display_string=Audit&amp;VAR:KEY=MPOJIDCVKT&amp;VAR:QUERY=Q1NGX1NBTEVTKEFOTiw5LzMwLzgwLDAp&amp;WINDOW=FIRST_POPUP&amp;HEIGHT=450&amp;WIDTH=450&amp;START_MAXIMI","ZED=FALSE&amp;VAR:CALENDAR=US&amp;VAR:SYMBOL=EMN&amp;VAR:INDEX=26"}</definedName>
    <definedName name="_963__FDSAUDITLINK__" hidden="1">{"fdsup://directions/FAT Viewer?action=UPDATE&amp;creator=factset&amp;DYN_ARGS=TRUE&amp;DOC_NAME=FAT:FQL_AUDITING_CLIENT_TEMPLATE.FAT&amp;display_string=Audit&amp;VAR:KEY=MPOJIDCVKT&amp;VAR:QUERY=Q1NGX1NBTEVTKEFOTiw5LzMwLzgwLDAp&amp;WINDOW=FIRST_POPUP&amp;HEIGHT=450&amp;WIDTH=450&amp;START_MAXIMI","ZED=FALSE&amp;VAR:CALENDAR=US&amp;VAR:SYMBOL=EMN&amp;VAR:INDEX=25"}</definedName>
    <definedName name="_964__FDSAUDITLINK__" hidden="1">{"fdsup://directions/FAT Viewer?action=UPDATE&amp;creator=factset&amp;DYN_ARGS=TRUE&amp;DOC_NAME=FAT:FQL_AUDITING_CLIENT_TEMPLATE.FAT&amp;display_string=Audit&amp;VAR:KEY=MPOJIDCVKT&amp;VAR:QUERY=Q1NGX1NBTEVTKEFOTiw5LzMwLzgwLDAp&amp;WINDOW=FIRST_POPUP&amp;HEIGHT=450&amp;WIDTH=450&amp;START_MAXIMI","ZED=FALSE&amp;VAR:CALENDAR=US&amp;VAR:SYMBOL=EMN&amp;VAR:INDEX=24"}</definedName>
    <definedName name="_965__FDSAUDITLINK__" hidden="1">{"fdsup://directions/FAT Viewer?action=UPDATE&amp;creator=factset&amp;DYN_ARGS=TRUE&amp;DOC_NAME=FAT:FQL_AUDITING_CLIENT_TEMPLATE.FAT&amp;display_string=Audit&amp;VAR:KEY=MPOJIDCVKT&amp;VAR:QUERY=Q1NGX1NBTEVTKEFOTiw5LzMwLzgwLDAp&amp;WINDOW=FIRST_POPUP&amp;HEIGHT=450&amp;WIDTH=450&amp;START_MAXIMI","ZED=FALSE&amp;VAR:CALENDAR=US&amp;VAR:SYMBOL=EMN&amp;VAR:INDEX=23"}</definedName>
    <definedName name="_966__FDSAUDITLINK__" hidden="1">{"fdsup://directions/FAT Viewer?action=UPDATE&amp;creator=factset&amp;DYN_ARGS=TRUE&amp;DOC_NAME=FAT:FQL_AUDITING_CLIENT_TEMPLATE.FAT&amp;display_string=Audit&amp;VAR:KEY=MPOJIDCVKT&amp;VAR:QUERY=Q1NGX1NBTEVTKEFOTiw5LzMwLzgwLDAp&amp;WINDOW=FIRST_POPUP&amp;HEIGHT=450&amp;WIDTH=450&amp;START_MAXIMI","ZED=FALSE&amp;VAR:CALENDAR=US&amp;VAR:SYMBOL=EMN&amp;VAR:INDEX=22"}</definedName>
    <definedName name="_967__FDSAUDITLINK__" hidden="1">{"fdsup://directions/FAT Viewer?action=UPDATE&amp;creator=factset&amp;DYN_ARGS=TRUE&amp;DOC_NAME=FAT:FQL_AUDITING_CLIENT_TEMPLATE.FAT&amp;display_string=Audit&amp;VAR:KEY=MPOJIDCVKT&amp;VAR:QUERY=Q1NGX1NBTEVTKEFOTiw5LzMwLzgwLDAp&amp;WINDOW=FIRST_POPUP&amp;HEIGHT=450&amp;WIDTH=450&amp;START_MAXIMI","ZED=FALSE&amp;VAR:CALENDAR=US&amp;VAR:SYMBOL=EMN&amp;VAR:INDEX=21"}</definedName>
    <definedName name="_968__FDSAUDITLINK__" hidden="1">{"fdsup://directions/FAT Viewer?action=UPDATE&amp;creator=factset&amp;DYN_ARGS=TRUE&amp;DOC_NAME=FAT:FQL_AUDITING_CLIENT_TEMPLATE.FAT&amp;display_string=Audit&amp;VAR:KEY=MPOJIDCVKT&amp;VAR:QUERY=Q1NGX1NBTEVTKEFOTiw5LzMwLzgwLDAp&amp;WINDOW=FIRST_POPUP&amp;HEIGHT=450&amp;WIDTH=450&amp;START_MAXIMI","ZED=FALSE&amp;VAR:CALENDAR=US&amp;VAR:SYMBOL=EMN&amp;VAR:INDEX=20"}</definedName>
    <definedName name="_969__FDSAUDITLINK__" hidden="1">{"fdsup://directions/FAT Viewer?action=UPDATE&amp;creator=factset&amp;DYN_ARGS=TRUE&amp;DOC_NAME=FAT:FQL_AUDITING_CLIENT_TEMPLATE.FAT&amp;display_string=Audit&amp;VAR:KEY=MPOJIDCVKT&amp;VAR:QUERY=Q1NGX1NBTEVTKEFOTiw5LzMwLzgwLDAp&amp;WINDOW=FIRST_POPUP&amp;HEIGHT=450&amp;WIDTH=450&amp;START_MAXIMI","ZED=FALSE&amp;VAR:CALENDAR=US&amp;VAR:SYMBOL=EMN&amp;VAR:INDEX=19"}</definedName>
    <definedName name="_97__FDSAUDITLINK__" hidden="1">{"fdsup://directions/FAT Viewer?action=UPDATE&amp;creator=factset&amp;DYN_ARGS=TRUE&amp;DOC_NAME=FAT:FQL_AUDITING_CLIENT_TEMPLATE.FAT&amp;display_string=Audit&amp;VAR:KEY=YLYTKFIJQN&amp;VAR:QUERY=Q1NGX0VCSVRfT1BFUihRVFJfUiwtM0FZLDAsRlEp&amp;WINDOW=FIRST_POPUP&amp;HEIGHT=450&amp;WIDTH=450&amp;STAR","T_MAXIMIZED=FALSE&amp;VAR:CALENDAR=US&amp;VAR:SYMBOL=PPG&amp;VAR:INDEX=7"}</definedName>
    <definedName name="_970__FDSAUDITLINK__" hidden="1">{"fdsup://directions/FAT Viewer?action=UPDATE&amp;creator=factset&amp;DYN_ARGS=TRUE&amp;DOC_NAME=FAT:FQL_AUDITING_CLIENT_TEMPLATE.FAT&amp;display_string=Audit&amp;VAR:KEY=MPOJIDCVKT&amp;VAR:QUERY=Q1NGX1NBTEVTKEFOTiw5LzMwLzgwLDAp&amp;WINDOW=FIRST_POPUP&amp;HEIGHT=450&amp;WIDTH=450&amp;START_MAXIMI","ZED=FALSE&amp;VAR:CALENDAR=US&amp;VAR:SYMBOL=EMN&amp;VAR:INDEX=18"}</definedName>
    <definedName name="_971__FDSAUDITLINK__" hidden="1">{"fdsup://directions/FAT Viewer?action=UPDATE&amp;creator=factset&amp;DYN_ARGS=TRUE&amp;DOC_NAME=FAT:FQL_AUDITING_CLIENT_TEMPLATE.FAT&amp;display_string=Audit&amp;VAR:KEY=MPOJIDCVKT&amp;VAR:QUERY=Q1NGX1NBTEVTKEFOTiw5LzMwLzgwLDAp&amp;WINDOW=FIRST_POPUP&amp;HEIGHT=450&amp;WIDTH=450&amp;START_MAXIMI","ZED=FALSE&amp;VAR:CALENDAR=US&amp;VAR:SYMBOL=EMN&amp;VAR:INDEX=17"}</definedName>
    <definedName name="_972__FDSAUDITLINK__" hidden="1">{"fdsup://directions/FAT Viewer?action=UPDATE&amp;creator=factset&amp;DYN_ARGS=TRUE&amp;DOC_NAME=FAT:FQL_AUDITING_CLIENT_TEMPLATE.FAT&amp;display_string=Audit&amp;VAR:KEY=MPOJIDCVKT&amp;VAR:QUERY=Q1NGX1NBTEVTKEFOTiw5LzMwLzgwLDAp&amp;WINDOW=FIRST_POPUP&amp;HEIGHT=450&amp;WIDTH=450&amp;START_MAXIMI","ZED=FALSE&amp;VAR:CALENDAR=US&amp;VAR:SYMBOL=EMN&amp;VAR:INDEX=16"}</definedName>
    <definedName name="_973__FDSAUDITLINK__" hidden="1">{"fdsup://directions/FAT Viewer?action=UPDATE&amp;creator=factset&amp;DYN_ARGS=TRUE&amp;DOC_NAME=FAT:FQL_AUDITING_CLIENT_TEMPLATE.FAT&amp;display_string=Audit&amp;VAR:KEY=MPOJIDCVKT&amp;VAR:QUERY=Q1NGX1NBTEVTKEFOTiw5LzMwLzgwLDAp&amp;WINDOW=FIRST_POPUP&amp;HEIGHT=450&amp;WIDTH=450&amp;START_MAXIMI","ZED=FALSE&amp;VAR:CALENDAR=US&amp;VAR:SYMBOL=EMN&amp;VAR:INDEX=15"}</definedName>
    <definedName name="_974__FDSAUDITLINK__" hidden="1">{"fdsup://directions/FAT Viewer?action=UPDATE&amp;creator=factset&amp;DYN_ARGS=TRUE&amp;DOC_NAME=FAT:FQL_AUDITING_CLIENT_TEMPLATE.FAT&amp;display_string=Audit&amp;VAR:KEY=MPOJIDCVKT&amp;VAR:QUERY=Q1NGX1NBTEVTKEFOTiw5LzMwLzgwLDAp&amp;WINDOW=FIRST_POPUP&amp;HEIGHT=450&amp;WIDTH=450&amp;START_MAXIMI","ZED=FALSE&amp;VAR:CALENDAR=US&amp;VAR:SYMBOL=EMN&amp;VAR:INDEX=14"}</definedName>
    <definedName name="_975__FDSAUDITLINK__" hidden="1">{"fdsup://directions/FAT Viewer?action=UPDATE&amp;creator=factset&amp;DYN_ARGS=TRUE&amp;DOC_NAME=FAT:FQL_AUDITING_CLIENT_TEMPLATE.FAT&amp;display_string=Audit&amp;VAR:KEY=MPOJIDCVKT&amp;VAR:QUERY=Q1NGX1NBTEVTKEFOTiw5LzMwLzgwLDAp&amp;WINDOW=FIRST_POPUP&amp;HEIGHT=450&amp;WIDTH=450&amp;START_MAXIMI","ZED=FALSE&amp;VAR:CALENDAR=US&amp;VAR:SYMBOL=EMN&amp;VAR:INDEX=13"}</definedName>
    <definedName name="_976__FDSAUDITLINK__" hidden="1">{"fdsup://directions/FAT Viewer?action=UPDATE&amp;creator=factset&amp;DYN_ARGS=TRUE&amp;DOC_NAME=FAT:FQL_AUDITING_CLIENT_TEMPLATE.FAT&amp;display_string=Audit&amp;VAR:KEY=MPOJIDCVKT&amp;VAR:QUERY=Q1NGX1NBTEVTKEFOTiw5LzMwLzgwLDAp&amp;WINDOW=FIRST_POPUP&amp;HEIGHT=450&amp;WIDTH=450&amp;START_MAXIMI","ZED=FALSE&amp;VAR:CALENDAR=US&amp;VAR:SYMBOL=EMN&amp;VAR:INDEX=12"}</definedName>
    <definedName name="_977__FDSAUDITLINK__" hidden="1">{"fdsup://directions/FAT Viewer?action=UPDATE&amp;creator=factset&amp;DYN_ARGS=TRUE&amp;DOC_NAME=FAT:FQL_AUDITING_CLIENT_TEMPLATE.FAT&amp;display_string=Audit&amp;VAR:KEY=MPOJIDCVKT&amp;VAR:QUERY=Q1NGX1NBTEVTKEFOTiw5LzMwLzgwLDAp&amp;WINDOW=FIRST_POPUP&amp;HEIGHT=450&amp;WIDTH=450&amp;START_MAXIMI","ZED=FALSE&amp;VAR:CALENDAR=US&amp;VAR:SYMBOL=EMN&amp;VAR:INDEX=11"}</definedName>
    <definedName name="_978__FDSAUDITLINK__" hidden="1">{"fdsup://directions/FAT Viewer?action=UPDATE&amp;creator=factset&amp;DYN_ARGS=TRUE&amp;DOC_NAME=FAT:FQL_AUDITING_CLIENT_TEMPLATE.FAT&amp;display_string=Audit&amp;VAR:KEY=MPOJIDCVKT&amp;VAR:QUERY=Q1NGX1NBTEVTKEFOTiw5LzMwLzgwLDAp&amp;WINDOW=FIRST_POPUP&amp;HEIGHT=450&amp;WIDTH=450&amp;START_MAXIMI","ZED=FALSE&amp;VAR:CALENDAR=US&amp;VAR:SYMBOL=EMN&amp;VAR:INDEX=10"}</definedName>
    <definedName name="_979__FDSAUDITLINK__" hidden="1">{"fdsup://directions/FAT Viewer?action=UPDATE&amp;creator=factset&amp;DYN_ARGS=TRUE&amp;DOC_NAME=FAT:FQL_AUDITING_CLIENT_TEMPLATE.FAT&amp;display_string=Audit&amp;VAR:KEY=MPOJIDCVKT&amp;VAR:QUERY=Q1NGX1NBTEVTKEFOTiw5LzMwLzgwLDAp&amp;WINDOW=FIRST_POPUP&amp;HEIGHT=450&amp;WIDTH=450&amp;START_MAXIMI","ZED=FALSE&amp;VAR:CALENDAR=US&amp;VAR:SYMBOL=EMN&amp;VAR:INDEX=9"}</definedName>
    <definedName name="_98__FDSAUDITLINK__" hidden="1">{"fdsup://directions/FAT Viewer?action=UPDATE&amp;creator=factset&amp;DYN_ARGS=TRUE&amp;DOC_NAME=FAT:FQL_AUDITING_CLIENT_TEMPLATE.FAT&amp;display_string=Audit&amp;VAR:KEY=YLYTKFIJQN&amp;VAR:QUERY=Q1NGX0VCSVRfT1BFUihRVFJfUiwtM0FZLDAsRlEp&amp;WINDOW=FIRST_POPUP&amp;HEIGHT=450&amp;WIDTH=450&amp;STAR","T_MAXIMIZED=FALSE&amp;VAR:CALENDAR=US&amp;VAR:SYMBOL=PPG&amp;VAR:INDEX=6"}</definedName>
    <definedName name="_980__FDSAUDITLINK__" hidden="1">{"fdsup://directions/FAT Viewer?action=UPDATE&amp;creator=factset&amp;DYN_ARGS=TRUE&amp;DOC_NAME=FAT:FQL_AUDITING_CLIENT_TEMPLATE.FAT&amp;display_string=Audit&amp;VAR:KEY=MPOJIDCVKT&amp;VAR:QUERY=Q1NGX1NBTEVTKEFOTiw5LzMwLzgwLDAp&amp;WINDOW=FIRST_POPUP&amp;HEIGHT=450&amp;WIDTH=450&amp;START_MAXIMI","ZED=FALSE&amp;VAR:CALENDAR=US&amp;VAR:SYMBOL=EMN&amp;VAR:INDEX=8"}</definedName>
    <definedName name="_981__FDSAUDITLINK__" hidden="1">{"fdsup://directions/FAT Viewer?action=UPDATE&amp;creator=factset&amp;DYN_ARGS=TRUE&amp;DOC_NAME=FAT:FQL_AUDITING_CLIENT_TEMPLATE.FAT&amp;display_string=Audit&amp;VAR:KEY=MPOJIDCVKT&amp;VAR:QUERY=Q1NGX1NBTEVTKEFOTiw5LzMwLzgwLDAp&amp;WINDOW=FIRST_POPUP&amp;HEIGHT=450&amp;WIDTH=450&amp;START_MAXIMI","ZED=FALSE&amp;VAR:CALENDAR=US&amp;VAR:SYMBOL=EMN&amp;VAR:INDEX=7"}</definedName>
    <definedName name="_982__FDSAUDITLINK__" hidden="1">{"fdsup://directions/FAT Viewer?action=UPDATE&amp;creator=factset&amp;DYN_ARGS=TRUE&amp;DOC_NAME=FAT:FQL_AUDITING_CLIENT_TEMPLATE.FAT&amp;display_string=Audit&amp;VAR:KEY=MPOJIDCVKT&amp;VAR:QUERY=Q1NGX1NBTEVTKEFOTiw5LzMwLzgwLDAp&amp;WINDOW=FIRST_POPUP&amp;HEIGHT=450&amp;WIDTH=450&amp;START_MAXIMI","ZED=FALSE&amp;VAR:CALENDAR=US&amp;VAR:SYMBOL=EMN&amp;VAR:INDEX=6"}</definedName>
    <definedName name="_983__FDSAUDITLINK__" hidden="1">{"fdsup://directions/FAT Viewer?action=UPDATE&amp;creator=factset&amp;DYN_ARGS=TRUE&amp;DOC_NAME=FAT:FQL_AUDITING_CLIENT_TEMPLATE.FAT&amp;display_string=Audit&amp;VAR:KEY=MPOJIDCVKT&amp;VAR:QUERY=Q1NGX1NBTEVTKEFOTiw5LzMwLzgwLDAp&amp;WINDOW=FIRST_POPUP&amp;HEIGHT=450&amp;WIDTH=450&amp;START_MAXIMI","ZED=FALSE&amp;VAR:CALENDAR=US&amp;VAR:SYMBOL=EMN&amp;VAR:INDEX=5"}</definedName>
    <definedName name="_984__FDSAUDITLINK__" hidden="1">{"fdsup://directions/FAT Viewer?action=UPDATE&amp;creator=factset&amp;DYN_ARGS=TRUE&amp;DOC_NAME=FAT:FQL_AUDITING_CLIENT_TEMPLATE.FAT&amp;display_string=Audit&amp;VAR:KEY=MPOJIDCVKT&amp;VAR:QUERY=Q1NGX1NBTEVTKEFOTiw5LzMwLzgwLDAp&amp;WINDOW=FIRST_POPUP&amp;HEIGHT=450&amp;WIDTH=450&amp;START_MAXIMI","ZED=FALSE&amp;VAR:CALENDAR=US&amp;VAR:SYMBOL=EMN&amp;VAR:INDEX=4"}</definedName>
    <definedName name="_985__FDSAUDITLINK__" hidden="1">{"fdsup://directions/FAT Viewer?action=UPDATE&amp;creator=factset&amp;DYN_ARGS=TRUE&amp;DOC_NAME=FAT:FQL_AUDITING_CLIENT_TEMPLATE.FAT&amp;display_string=Audit&amp;VAR:KEY=MPOJIDCVKT&amp;VAR:QUERY=Q1NGX1NBTEVTKEFOTiw5LzMwLzgwLDAp&amp;WINDOW=FIRST_POPUP&amp;HEIGHT=450&amp;WIDTH=450&amp;START_MAXIMI","ZED=FALSE&amp;VAR:CALENDAR=US&amp;VAR:SYMBOL=EMN&amp;VAR:INDEX=3"}</definedName>
    <definedName name="_986__FDSAUDITLINK__" hidden="1">{"fdsup://directions/FAT Viewer?action=UPDATE&amp;creator=factset&amp;DYN_ARGS=TRUE&amp;DOC_NAME=FAT:FQL_AUDITING_CLIENT_TEMPLATE.FAT&amp;display_string=Audit&amp;VAR:KEY=MPOJIDCVKT&amp;VAR:QUERY=Q1NGX1NBTEVTKEFOTiw5LzMwLzgwLDAp&amp;WINDOW=FIRST_POPUP&amp;HEIGHT=450&amp;WIDTH=450&amp;START_MAXIMI","ZED=FALSE&amp;VAR:CALENDAR=US&amp;VAR:SYMBOL=EMN&amp;VAR:INDEX=2"}</definedName>
    <definedName name="_987__FDSAUDITLINK__" hidden="1">{"fdsup://directions/FAT Viewer?action=UPDATE&amp;creator=factset&amp;DYN_ARGS=TRUE&amp;DOC_NAME=FAT:FQL_AUDITING_CLIENT_TEMPLATE.FAT&amp;display_string=Audit&amp;VAR:KEY=MPOJIDCVKT&amp;VAR:QUERY=Q1NGX1NBTEVTKEFOTiw5LzMwLzgwLDAp&amp;WINDOW=FIRST_POPUP&amp;HEIGHT=450&amp;WIDTH=450&amp;START_MAXIMI","ZED=FALSE&amp;VAR:CALENDAR=US&amp;VAR:SYMBOL=EMN&amp;VAR:INDEX=1"}</definedName>
    <definedName name="_988__FDSAUDITLINK__" hidden="1">{"fdsup://directions/FAT Viewer?action=UPDATE&amp;creator=factset&amp;DYN_ARGS=TRUE&amp;DOC_NAME=FAT:FQL_AUDITING_CLIENT_TEMPLATE.FAT&amp;display_string=Audit&amp;VAR:KEY=MPOJIDCVKT&amp;VAR:QUERY=Q1NGX1NBTEVTKEFOTiw5LzMwLzgwLDAp&amp;WINDOW=FIRST_POPUP&amp;HEIGHT=450&amp;WIDTH=450&amp;START_MAXIMI","ZED=FALSE&amp;VAR:CALENDAR=US&amp;VAR:SYMBOL=EMN&amp;VAR:INDEX=0"}</definedName>
    <definedName name="_989__FDSAUDITLINK__" hidden="1">{"fdsup://directions/FAT Viewer?action=UPDATE&amp;creator=factset&amp;DYN_ARGS=TRUE&amp;DOC_NAME=FAT:FQL_AUDITING_CLIENT_TEMPLATE.FAT&amp;display_string=Audit&amp;VAR:KEY=OTUPUTYLMH&amp;VAR:QUERY=Q1NGX1NBTEVTKEFOTiwxMi8zMS8xOTgwLDAp&amp;WINDOW=FIRST_POPUP&amp;HEIGHT=450&amp;WIDTH=450&amp;START_MA","XIMIZED=FALSE&amp;VAR:CALENDAR=US&amp;VAR:SYMBOL=ARG&amp;VAR:INDEX=29"}</definedName>
    <definedName name="_99__FDSAUDITLINK__" hidden="1">{"fdsup://directions/FAT Viewer?action=UPDATE&amp;creator=factset&amp;DYN_ARGS=TRUE&amp;DOC_NAME=FAT:FQL_AUDITING_CLIENT_TEMPLATE.FAT&amp;display_string=Audit&amp;VAR:KEY=YLYTKFIJQN&amp;VAR:QUERY=Q1NGX0VCSVRfT1BFUihRVFJfUiwtM0FZLDAsRlEp&amp;WINDOW=FIRST_POPUP&amp;HEIGHT=450&amp;WIDTH=450&amp;STAR","T_MAXIMIZED=FALSE&amp;VAR:CALENDAR=US&amp;VAR:SYMBOL=PPG&amp;VAR:INDEX=5"}</definedName>
    <definedName name="_990__FDSAUDITLINK__" hidden="1">{"fdsup://directions/FAT Viewer?action=UPDATE&amp;creator=factset&amp;DYN_ARGS=TRUE&amp;DOC_NAME=FAT:FQL_AUDITING_CLIENT_TEMPLATE.FAT&amp;display_string=Audit&amp;VAR:KEY=OTUPUTYLMH&amp;VAR:QUERY=Q1NGX1NBTEVTKEFOTiwxMi8zMS8xOTgwLDAp&amp;WINDOW=FIRST_POPUP&amp;HEIGHT=450&amp;WIDTH=450&amp;START_MA","XIMIZED=FALSE&amp;VAR:CALENDAR=US&amp;VAR:SYMBOL=ARG&amp;VAR:INDEX=28"}</definedName>
    <definedName name="_991__FDSAUDITLINK__" hidden="1">{"fdsup://directions/FAT Viewer?action=UPDATE&amp;creator=factset&amp;DYN_ARGS=TRUE&amp;DOC_NAME=FAT:FQL_AUDITING_CLIENT_TEMPLATE.FAT&amp;display_string=Audit&amp;VAR:KEY=OTUPUTYLMH&amp;VAR:QUERY=Q1NGX1NBTEVTKEFOTiwxMi8zMS8xOTgwLDAp&amp;WINDOW=FIRST_POPUP&amp;HEIGHT=450&amp;WIDTH=450&amp;START_MA","XIMIZED=FALSE&amp;VAR:CALENDAR=US&amp;VAR:SYMBOL=ARG&amp;VAR:INDEX=27"}</definedName>
    <definedName name="_992__FDSAUDITLINK__" hidden="1">{"fdsup://directions/FAT Viewer?action=UPDATE&amp;creator=factset&amp;DYN_ARGS=TRUE&amp;DOC_NAME=FAT:FQL_AUDITING_CLIENT_TEMPLATE.FAT&amp;display_string=Audit&amp;VAR:KEY=OTUPUTYLMH&amp;VAR:QUERY=Q1NGX1NBTEVTKEFOTiwxMi8zMS8xOTgwLDAp&amp;WINDOW=FIRST_POPUP&amp;HEIGHT=450&amp;WIDTH=450&amp;START_MA","XIMIZED=FALSE&amp;VAR:CALENDAR=US&amp;VAR:SYMBOL=ARG&amp;VAR:INDEX=26"}</definedName>
    <definedName name="_993__FDSAUDITLINK__" hidden="1">{"fdsup://directions/FAT Viewer?action=UPDATE&amp;creator=factset&amp;DYN_ARGS=TRUE&amp;DOC_NAME=FAT:FQL_AUDITING_CLIENT_TEMPLATE.FAT&amp;display_string=Audit&amp;VAR:KEY=OTUPUTYLMH&amp;VAR:QUERY=Q1NGX1NBTEVTKEFOTiwxMi8zMS8xOTgwLDAp&amp;WINDOW=FIRST_POPUP&amp;HEIGHT=450&amp;WIDTH=450&amp;START_MA","XIMIZED=FALSE&amp;VAR:CALENDAR=US&amp;VAR:SYMBOL=ARG&amp;VAR:INDEX=25"}</definedName>
    <definedName name="_994__FDSAUDITLINK__" hidden="1">{"fdsup://directions/FAT Viewer?action=UPDATE&amp;creator=factset&amp;DYN_ARGS=TRUE&amp;DOC_NAME=FAT:FQL_AUDITING_CLIENT_TEMPLATE.FAT&amp;display_string=Audit&amp;VAR:KEY=OTUPUTYLMH&amp;VAR:QUERY=Q1NGX1NBTEVTKEFOTiwxMi8zMS8xOTgwLDAp&amp;WINDOW=FIRST_POPUP&amp;HEIGHT=450&amp;WIDTH=450&amp;START_MA","XIMIZED=FALSE&amp;VAR:CALENDAR=US&amp;VAR:SYMBOL=ARG&amp;VAR:INDEX=24"}</definedName>
    <definedName name="_995__FDSAUDITLINK__" hidden="1">{"fdsup://directions/FAT Viewer?action=UPDATE&amp;creator=factset&amp;DYN_ARGS=TRUE&amp;DOC_NAME=FAT:FQL_AUDITING_CLIENT_TEMPLATE.FAT&amp;display_string=Audit&amp;VAR:KEY=OTUPUTYLMH&amp;VAR:QUERY=Q1NGX1NBTEVTKEFOTiwxMi8zMS8xOTgwLDAp&amp;WINDOW=FIRST_POPUP&amp;HEIGHT=450&amp;WIDTH=450&amp;START_MA","XIMIZED=FALSE&amp;VAR:CALENDAR=US&amp;VAR:SYMBOL=ARG&amp;VAR:INDEX=23"}</definedName>
    <definedName name="_996__FDSAUDITLINK__" hidden="1">{"fdsup://directions/FAT Viewer?action=UPDATE&amp;creator=factset&amp;DYN_ARGS=TRUE&amp;DOC_NAME=FAT:FQL_AUDITING_CLIENT_TEMPLATE.FAT&amp;display_string=Audit&amp;VAR:KEY=OTUPUTYLMH&amp;VAR:QUERY=Q1NGX1NBTEVTKEFOTiwxMi8zMS8xOTgwLDAp&amp;WINDOW=FIRST_POPUP&amp;HEIGHT=450&amp;WIDTH=450&amp;START_MA","XIMIZED=FALSE&amp;VAR:CALENDAR=US&amp;VAR:SYMBOL=ARG&amp;VAR:INDEX=22"}</definedName>
    <definedName name="_997__FDSAUDITLINK__" hidden="1">{"fdsup://directions/FAT Viewer?action=UPDATE&amp;creator=factset&amp;DYN_ARGS=TRUE&amp;DOC_NAME=FAT:FQL_AUDITING_CLIENT_TEMPLATE.FAT&amp;display_string=Audit&amp;VAR:KEY=OTUPUTYLMH&amp;VAR:QUERY=Q1NGX1NBTEVTKEFOTiwxMi8zMS8xOTgwLDAp&amp;WINDOW=FIRST_POPUP&amp;HEIGHT=450&amp;WIDTH=450&amp;START_MA","XIMIZED=FALSE&amp;VAR:CALENDAR=US&amp;VAR:SYMBOL=ARG&amp;VAR:INDEX=21"}</definedName>
    <definedName name="_998__FDSAUDITLINK__" hidden="1">{"fdsup://directions/FAT Viewer?action=UPDATE&amp;creator=factset&amp;DYN_ARGS=TRUE&amp;DOC_NAME=FAT:FQL_AUDITING_CLIENT_TEMPLATE.FAT&amp;display_string=Audit&amp;VAR:KEY=OTUPUTYLMH&amp;VAR:QUERY=Q1NGX1NBTEVTKEFOTiwxMi8zMS8xOTgwLDAp&amp;WINDOW=FIRST_POPUP&amp;HEIGHT=450&amp;WIDTH=450&amp;START_MA","XIMIZED=FALSE&amp;VAR:CALENDAR=US&amp;VAR:SYMBOL=ARG&amp;VAR:INDEX=20"}</definedName>
    <definedName name="_999__FDSAUDITLINK__" hidden="1">{"fdsup://directions/FAT Viewer?action=UPDATE&amp;creator=factset&amp;DYN_ARGS=TRUE&amp;DOC_NAME=FAT:FQL_AUDITING_CLIENT_TEMPLATE.FAT&amp;display_string=Audit&amp;VAR:KEY=OTUPUTYLMH&amp;VAR:QUERY=Q1NGX1NBTEVTKEFOTiwxMi8zMS8xOTgwLDAp&amp;WINDOW=FIRST_POPUP&amp;HEIGHT=450&amp;WIDTH=450&amp;START_MA","XIMIZED=FALSE&amp;VAR:CALENDAR=US&amp;VAR:SYMBOL=ARG&amp;VAR:INDEX=19"}</definedName>
    <definedName name="_Order1" hidden="1">255</definedName>
    <definedName name="_Order2" hidden="1">255</definedName>
    <definedName name="_Regression_Int" hidden="1">1</definedName>
    <definedName name="AK_ASAT">"LATEST"</definedName>
    <definedName name="AK_BRKR">"XXX"</definedName>
    <definedName name="AK_CCY">"Raw"</definedName>
    <definedName name="AK_CDAT">"CLOSING"</definedName>
    <definedName name="AK_FDAT">"T-0Y-FWD"</definedName>
    <definedName name="AK_FSRC">"FX"</definedName>
    <definedName name="AK_IMT">"MEAN"</definedName>
    <definedName name="AK_SRC">"UBS"</definedName>
    <definedName name="AK_TCCY">"USD"</definedName>
    <definedName name="AK_TSRC">"HSBC"</definedName>
    <definedName name="anscount" hidden="1">1</definedName>
    <definedName name="ccc" hidden="1">{"Equistar Summary",#N/A,FALSE,"EQUISTAR";"Equistar Margins",#N/A,FALSE,"EQUISTAR";"Equistar Sales Volumes",#N/A,FALSE,"EQUISTAR"}</definedName>
    <definedName name="ccccc" hidden="1">{"Equistar Summary",#N/A,FALSE,"EQUISTAR";"Equistar Margins",#N/A,FALSE,"EQUISTAR";"Equistar Sales Volumes",#N/A,FALSE,"EQUISTAR"}</definedName>
    <definedName name="cu102.ShareScalingFactor" hidden="1">1000000</definedName>
    <definedName name="cu103.EmployeeScalingFactor" hidden="1">1000</definedName>
    <definedName name="cu107.DPSSymbol" hidden="1">"US$"</definedName>
    <definedName name="cu107.EPSSymbol" hidden="1">"US$"</definedName>
    <definedName name="cu71.ScalingFactor" hidden="1">1000000</definedName>
    <definedName name="DB">"WIRENYPROD"</definedName>
    <definedName name="F.2020.12" localSheetId="2">'[1]CUS Image'!#REF!</definedName>
    <definedName name="F.2020.12" localSheetId="1">'[1]CUS Image'!#REF!</definedName>
    <definedName name="F.2020.12" localSheetId="0">'[1]CUS Image'!#REF!</definedName>
    <definedName name="F.2020.12" localSheetId="3">'[1]CUS Image'!#REF!</definedName>
    <definedName name="F.2020.12">'[1]CUS Image'!#REF!</definedName>
    <definedName name="ffff" hidden="1">{"Income Statement",#N/A,FALSE,"LYO_MOD";"Cash Flow Statement",#N/A,FALSE,"LYO_MOD";"Balance Sheet",#N/A,FALSE,"LYO_MOD"}</definedName>
    <definedName name="ggg" hidden="1">{"Income Statement",#N/A,FALSE,"LYO_MOD";"Cash Flow Statement",#N/A,FALSE,"LYO_MOD";"Balance Sheet",#N/A,FALSE,"LYO_MOD"}</definedName>
    <definedName name="hhhh" hidden="1">{"Mellinneum Sales2",#N/A,FALSE,"MCH_MOD";"Milleennium Income and Earnings",#N/A,FALSE,"MCH_MOD"}</definedName>
    <definedName name="HTML_CodePage" hidden="1">1252</definedName>
    <definedName name="HTML_Control" hidden="1">{"'Sheet1'!$A$1:$J$121"}</definedName>
    <definedName name="HTML_Description" hidden="1">""</definedName>
    <definedName name="HTML_Email" hidden="1">""</definedName>
    <definedName name="HTML_Header" hidden="1">"Sheet1"</definedName>
    <definedName name="HTML_LastUpdate" hidden="1">"10/21/99"</definedName>
    <definedName name="HTML_LineAfter" hidden="1">FALSE</definedName>
    <definedName name="HTML_LineBefore" hidden="1">FALSE</definedName>
    <definedName name="HTML_Name" hidden="1">"Paulette Peoples"</definedName>
    <definedName name="HTML_OBDlg2" hidden="1">TRUE</definedName>
    <definedName name="HTML_OBDlg4" hidden="1">TRUE</definedName>
    <definedName name="HTML_OS" hidden="1">0</definedName>
    <definedName name="HTML_Title" hidden="1">"Total North America"</definedName>
    <definedName name="iiiii" hidden="1">{"Mellinneum Sales2",#N/A,FALSE,"MCH_MOD";"Milleennium Income and Earnings",#N/A,FALSE,"MCH_MOD"}</definedName>
    <definedName name="jjjjj" hidden="1">{"Income Statement",#N/A,FALSE,"LYO_MOD";"Cash Flow Statement",#N/A,FALSE,"LYO_MOD";"Balance Sheet",#N/A,FALSE,"LYO_MOD"}</definedName>
    <definedName name="kkk" hidden="1">{"Equistar Summary",#N/A,FALSE,"EQUISTAR";"Equistar Margins",#N/A,FALSE,"EQUISTAR";"Equistar Sales Volumes",#N/A,FALSE,"EQUISTAR"}</definedName>
    <definedName name="limcount" hidden="1">1</definedName>
    <definedName name="lll" hidden="1">{"Equistar Summary",#N/A,FALSE,"EQUISTAR";"Equistar Margins",#N/A,FALSE,"EQUISTAR";"Equistar Sales Volumes",#N/A,FALSE,"EQUISTAR"}</definedName>
    <definedName name="ok">[2]LOGIC!$C$98</definedName>
    <definedName name="Q1.2020.03" localSheetId="2">'[1]CUS Image'!#REF!</definedName>
    <definedName name="Q1.2020.03" localSheetId="1">'[1]CUS Image'!#REF!</definedName>
    <definedName name="Q1.2020.03" localSheetId="0">'[1]CUS Image'!#REF!</definedName>
    <definedName name="Q1.2020.03" localSheetId="3">'[1]CUS Image'!#REF!</definedName>
    <definedName name="Q1.2020.03">'[1]CUS Image'!#REF!</definedName>
    <definedName name="Q2.2020.06" localSheetId="2">'[1]CUS Image'!#REF!</definedName>
    <definedName name="Q2.2020.06" localSheetId="1">'[1]CUS Image'!#REF!</definedName>
    <definedName name="Q2.2020.06" localSheetId="0">'[1]CUS Image'!#REF!</definedName>
    <definedName name="Q2.2020.06" localSheetId="3">'[1]CUS Image'!#REF!</definedName>
    <definedName name="Q2.2020.06">'[1]CUS Image'!#REF!</definedName>
    <definedName name="Q3.2020.09" localSheetId="2">'[1]CUS Image'!#REF!</definedName>
    <definedName name="Q3.2020.09" localSheetId="1">'[1]CUS Image'!#REF!</definedName>
    <definedName name="Q3.2020.09" localSheetId="0">'[1]CUS Image'!#REF!</definedName>
    <definedName name="Q3.2020.09" localSheetId="3">'[1]CUS Image'!#REF!</definedName>
    <definedName name="Q3.2020.09">'[1]CUS Image'!#REF!</definedName>
    <definedName name="Q4.2020.12" localSheetId="2">'[1]CUS Image'!#REF!</definedName>
    <definedName name="Q4.2020.12" localSheetId="1">'[1]CUS Image'!#REF!</definedName>
    <definedName name="Q4.2020.12" localSheetId="0">'[1]CUS Image'!#REF!</definedName>
    <definedName name="Q4.2020.12" localSheetId="3">'[1]CUS Image'!#REF!</definedName>
    <definedName name="Q4.2020.12">'[1]CUS Image'!#REF!</definedName>
    <definedName name="rerererer" hidden="1">{"'Sheet1'!$A$1:$J$121"}</definedName>
    <definedName name="RngReportingYears">[3]LOGIC!$T$3:$T$9</definedName>
    <definedName name="RngScaleMio_Choice">[4]LOGIC!$C$15</definedName>
    <definedName name="RngTextSegm12">[4]LOGIC!$C$53</definedName>
    <definedName name="RngTextSegm5">[4]LOGIC!$C$55</definedName>
    <definedName name="RngTextSegm6">[5]LOGIC!$C$56</definedName>
    <definedName name="RngtextSegm7">[5]LOGIC!$C$57</definedName>
    <definedName name="RngYear">[3]LOGIC!$B$17</definedName>
    <definedName name="RngYear0Long">[6]LOGIC!$C$26</definedName>
    <definedName name="RngYear1Long">[6]LOGIC!$C$27</definedName>
    <definedName name="RngYear2Long">[6]LOGIC!$C$28</definedName>
    <definedName name="RngYear2short">[4]LOGIC!$C$33</definedName>
    <definedName name="RngYearActLong">[6]LOGIC!$C$30</definedName>
    <definedName name="RngYearActshort">[4]LOGIC!$C$35</definedName>
    <definedName name="RngYearLYLong">[6]LOGIC!$C$29</definedName>
    <definedName name="RngYearLYshort">[4]LOGIC!$C$34</definedName>
    <definedName name="rrr" hidden="1">{"Equistar Summary",#N/A,FALSE,"EQUISTAR";"Equistar Margins",#N/A,FALSE,"EQUISTAR";"Equistar Sales Volumes",#N/A,FALSE,"EQUISTAR"}</definedName>
    <definedName name="rrrr" hidden="1">{"Equistar Summary",#N/A,FALSE,"EQUISTAR";"Equistar Margins",#N/A,FALSE,"EQUISTAR";"Equistar Sales Volumes",#N/A,FALSE,"EQUISTAR"}</definedName>
    <definedName name="sencount" hidden="1">1</definedName>
    <definedName name="sss" hidden="1">{"Mellinneum Sales2",#N/A,FALSE,"MCH_MOD";"Milleennium Income and Earnings",#N/A,FALSE,"MCH_MOD"}</definedName>
    <definedName name="sssss" hidden="1">{"Mellinneum Sales2",#N/A,FALSE,"MCH_MOD";"Milleennium Income and Earnings",#N/A,FALSE,"MCH_MOD"}</definedName>
    <definedName name="Template.WIRE">"DBACCESS"</definedName>
    <definedName name="Template.WIRE.DBAccess.CalcMode">"Async"</definedName>
    <definedName name="Version.WIRE">1</definedName>
    <definedName name="wrn.Equistar." hidden="1">{"Equistar Summary",#N/A,FALSE,"EQUISTAR";"Equistar Margins",#N/A,FALSE,"EQUISTAR";"Equistar Sales Volumes",#N/A,FALSE,"EQUISTAR"}</definedName>
    <definedName name="wrn.equistar2" hidden="1">{"Equistar Summary",#N/A,FALSE,"EQUISTAR";"Equistar Margins",#N/A,FALSE,"EQUISTAR";"Equistar Sales Volumes",#N/A,FALSE,"EQUISTAR"}</definedName>
    <definedName name="wrn.Lyondell." hidden="1">{"Income Statement",#N/A,FALSE,"LYO_MOD";"Cash Flow Statement",#N/A,FALSE,"LYO_MOD";"Balance Sheet",#N/A,FALSE,"LYO_MOD"}</definedName>
    <definedName name="wrn.Millennium." hidden="1">{"Mellinneum Sales2",#N/A,FALSE,"MCH_MOD";"Milleennium Income and Earnings",#N/A,FALSE,"MCH_MOD"}</definedName>
    <definedName name="wrn.millennium2" hidden="1">{"Mellinneum Sales2",#N/A,FALSE,"MCH_MOD";"Milleennium Income and Earnings",#N/A,FALSE,"MCH_MOD"}</definedName>
    <definedName name="wrn.PPG." hidden="1">{"PPG Valuation",#N/A,FALSE,"PPG_MODELS";"PPG Balance Sheet",#N/A,FALSE,"PPG_MODELS";"PPG Cash Flow",#N/A,FALSE,"PPG_MODELS";"PPG Earnings",#N/A,FALSE,"PPG_MODELS";"PPG Income",#N/A,FALSE,"PPG_MODELS"}</definedName>
    <definedName name="wrn.WellmanEPS." hidden="1">{"EPS Model",#N/A,FALSE,"EPS_CASH_BAL_SH_MODELS";"Balance Sheet",#N/A,FALSE,"EPS_CASH_BAL_SH_MODELS";"Sales and EPS",#N/A,FALSE,"EPS_CASH_BAL_SH_MODELS";"Cash Flow",#N/A,FALSE,"EPS_CASH_BAL_SH_MODELS";"EBIT",#N/A,FALSE,"EPS_CASH_BAL_SH_MODELS"}</definedName>
    <definedName name="xodofiguu" hidden="1">{"Equistar Summary",#N/A,FALSE,"EQUISTAR";"Equistar Margins",#N/A,FALSE,"EQUISTAR";"Equistar Sales Volumes",#N/A,FALSE,"EQUISTAR"}</definedName>
    <definedName name="xxx" hidden="1">{"Equistar Summary",#N/A,FALSE,"EQUISTAR";"Equistar Margins",#N/A,FALSE,"EQUISTAR";"Equistar Sales Volumes",#N/A,FALSE,"EQUISTAR"}</definedName>
    <definedName name="xxx2xxx" hidden="1">{"Equistar Summary",#N/A,FALSE,"EQUISTAR";"Equistar Margins",#N/A,FALSE,"EQUISTAR";"Equistar Sales Volumes",#N/A,FALSE,"EQUISTAR"}</definedName>
    <definedName name="xxx3xx" hidden="1">{"Mellinneum Sales2",#N/A,FALSE,"MCH_MOD";"Milleennium Income and Earnings",#N/A,FALSE,"MCH_MOD"}</definedName>
    <definedName name="xxxx" hidden="1">{"Equistar Summary",#N/A,FALSE,"EQUISTAR";"Equistar Margins",#N/A,FALSE,"EQUISTAR";"Equistar Sales Volumes",#N/A,FALSE,"EQUISTAR"}</definedName>
    <definedName name="xxxxcccc" hidden="1">{"Equistar Summary",#N/A,FALSE,"EQUISTAR";"Equistar Margins",#N/A,FALSE,"EQUISTAR";"Equistar Sales Volumes",#N/A,FALSE,"EQUISTAR"}</definedName>
    <definedName name="xxxxx" hidden="1">{"Income Statement",#N/A,FALSE,"LYO_MOD";"Cash Flow Statement",#N/A,FALSE,"LYO_MOD";"Balance Sheet",#N/A,FALSE,"LYO_MOD"}</definedName>
    <definedName name="xxxxxxx" hidden="1">{"Equistar Summary",#N/A,FALSE,"EQUISTAR";"Equistar Margins",#N/A,FALSE,"EQUISTAR";"Equistar Sales Volumes",#N/A,FALSE,"EQUISTAR"}</definedName>
    <definedName name="xxxxxxxx" hidden="1">{"'Sheet1'!$A$1:$J$121"}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A65" i="62" l="1"/>
  <c r="BB65" i="62" s="1"/>
  <c r="BC65" i="62" s="1"/>
  <c r="BD65" i="62" s="1"/>
  <c r="BE65" i="62" s="1"/>
  <c r="BF65" i="62" s="1"/>
  <c r="BG65" i="62" s="1"/>
  <c r="BH65" i="62" s="1"/>
  <c r="BI65" i="62" s="1"/>
  <c r="BJ65" i="62" s="1"/>
  <c r="BK65" i="62" s="1"/>
  <c r="BL65" i="62" s="1"/>
  <c r="BM65" i="62" s="1"/>
  <c r="BN65" i="62" s="1"/>
  <c r="BO65" i="62" s="1"/>
  <c r="BP65" i="62" s="1"/>
  <c r="BQ65" i="62" s="1"/>
  <c r="BR65" i="62" s="1"/>
  <c r="AZ65" i="62"/>
  <c r="AY65" i="62"/>
  <c r="AX65" i="62"/>
  <c r="AW65" i="62"/>
  <c r="AV65" i="62"/>
  <c r="AU65" i="62"/>
  <c r="AT65" i="62"/>
  <c r="AS65" i="62"/>
  <c r="AR65" i="62"/>
  <c r="AQ65" i="62"/>
  <c r="AP65" i="62"/>
  <c r="AO65" i="62"/>
  <c r="AN65" i="62"/>
  <c r="AM65" i="62"/>
  <c r="AL65" i="62"/>
  <c r="AK65" i="62"/>
  <c r="AJ65" i="62"/>
  <c r="AI65" i="62"/>
  <c r="AH65" i="62"/>
  <c r="AG65" i="62"/>
  <c r="AF65" i="62"/>
  <c r="AE65" i="62"/>
  <c r="AD65" i="62"/>
  <c r="AC65" i="62"/>
  <c r="AB65" i="62"/>
  <c r="AA65" i="62"/>
  <c r="Y65" i="62"/>
  <c r="X65" i="62"/>
  <c r="W65" i="62"/>
  <c r="V65" i="62"/>
  <c r="U65" i="62"/>
  <c r="T65" i="62"/>
  <c r="S65" i="62"/>
  <c r="D65" i="62"/>
  <c r="C65" i="62"/>
  <c r="AZ64" i="62"/>
  <c r="AV64" i="62"/>
  <c r="AO64" i="62"/>
  <c r="AK64" i="62"/>
  <c r="T64" i="62"/>
  <c r="AQ63" i="62"/>
  <c r="AJ63" i="62"/>
  <c r="AF63" i="62"/>
  <c r="BA62" i="62"/>
  <c r="BB62" i="62" s="1"/>
  <c r="AZ62" i="62"/>
  <c r="AY62" i="62"/>
  <c r="AX62" i="62"/>
  <c r="AW62" i="62"/>
  <c r="AV62" i="62"/>
  <c r="AU62" i="62"/>
  <c r="AT62" i="62"/>
  <c r="AS62" i="62"/>
  <c r="AP62" i="62"/>
  <c r="AL62" i="62"/>
  <c r="AK62" i="62"/>
  <c r="AJ62" i="62"/>
  <c r="AI62" i="62"/>
  <c r="AG62" i="62"/>
  <c r="AF62" i="62"/>
  <c r="AE62" i="62"/>
  <c r="AC62" i="62"/>
  <c r="AB62" i="62"/>
  <c r="AA62" i="62"/>
  <c r="Y62" i="62"/>
  <c r="X62" i="62"/>
  <c r="W62" i="62"/>
  <c r="U62" i="62"/>
  <c r="T62" i="62"/>
  <c r="S62" i="62"/>
  <c r="D62" i="62"/>
  <c r="C62" i="62"/>
  <c r="BC61" i="62"/>
  <c r="BD61" i="62" s="1"/>
  <c r="BA61" i="62"/>
  <c r="BB61" i="62" s="1"/>
  <c r="AZ61" i="62"/>
  <c r="AY61" i="62"/>
  <c r="AX61" i="62"/>
  <c r="AW61" i="62"/>
  <c r="AV61" i="62"/>
  <c r="AU61" i="62"/>
  <c r="AT61" i="62"/>
  <c r="AS61" i="62"/>
  <c r="AP61" i="62"/>
  <c r="AN61" i="62"/>
  <c r="AL61" i="62"/>
  <c r="AK61" i="62"/>
  <c r="AJ61" i="62"/>
  <c r="AI61" i="62"/>
  <c r="AG61" i="62"/>
  <c r="AF61" i="62"/>
  <c r="AE61" i="62"/>
  <c r="AC61" i="62"/>
  <c r="AB61" i="62"/>
  <c r="AA61" i="62"/>
  <c r="Y61" i="62"/>
  <c r="X61" i="62"/>
  <c r="W61" i="62"/>
  <c r="U61" i="62"/>
  <c r="T61" i="62"/>
  <c r="S61" i="62"/>
  <c r="D61" i="62"/>
  <c r="C61" i="62"/>
  <c r="BA60" i="62"/>
  <c r="BB60" i="62" s="1"/>
  <c r="AZ60" i="62"/>
  <c r="AY60" i="62"/>
  <c r="AX60" i="62"/>
  <c r="AW60" i="62"/>
  <c r="AV60" i="62"/>
  <c r="AU60" i="62"/>
  <c r="AT60" i="62"/>
  <c r="AS60" i="62"/>
  <c r="AR60" i="62"/>
  <c r="AQ60" i="62"/>
  <c r="AP60" i="62"/>
  <c r="AO60" i="62"/>
  <c r="AN60" i="62"/>
  <c r="AM60" i="62"/>
  <c r="AL60" i="62"/>
  <c r="AK60" i="62"/>
  <c r="AJ60" i="62"/>
  <c r="AI60" i="62"/>
  <c r="AG60" i="62"/>
  <c r="AF60" i="62"/>
  <c r="AE60" i="62"/>
  <c r="AC60" i="62"/>
  <c r="AB60" i="62"/>
  <c r="AA60" i="62"/>
  <c r="Y60" i="62"/>
  <c r="X60" i="62"/>
  <c r="W60" i="62"/>
  <c r="U60" i="62"/>
  <c r="T60" i="62"/>
  <c r="S60" i="62"/>
  <c r="D60" i="62"/>
  <c r="C60" i="62"/>
  <c r="BA59" i="62"/>
  <c r="BB59" i="62" s="1"/>
  <c r="AZ59" i="62"/>
  <c r="AY59" i="62"/>
  <c r="AX59" i="62"/>
  <c r="AW59" i="62"/>
  <c r="AV59" i="62"/>
  <c r="AU59" i="62"/>
  <c r="AT59" i="62"/>
  <c r="AS59" i="62"/>
  <c r="AR59" i="62"/>
  <c r="AQ59" i="62"/>
  <c r="AP59" i="62"/>
  <c r="AO59" i="62"/>
  <c r="AN59" i="62"/>
  <c r="AM59" i="62"/>
  <c r="AL59" i="62"/>
  <c r="AK59" i="62"/>
  <c r="AJ59" i="62"/>
  <c r="AI59" i="62"/>
  <c r="AH59" i="62"/>
  <c r="AG59" i="62"/>
  <c r="AF59" i="62"/>
  <c r="AE59" i="62"/>
  <c r="AC59" i="62"/>
  <c r="AB59" i="62"/>
  <c r="AA59" i="62"/>
  <c r="Y59" i="62"/>
  <c r="X59" i="62"/>
  <c r="W59" i="62"/>
  <c r="V59" i="62"/>
  <c r="U59" i="62"/>
  <c r="T59" i="62"/>
  <c r="S59" i="62"/>
  <c r="D59" i="62"/>
  <c r="C59" i="62"/>
  <c r="AQ55" i="62"/>
  <c r="AM55" i="62"/>
  <c r="AM56" i="62" s="1"/>
  <c r="AM57" i="62" s="1"/>
  <c r="BA54" i="62"/>
  <c r="AZ54" i="62"/>
  <c r="AZ55" i="62" s="1"/>
  <c r="AZ56" i="62" s="1"/>
  <c r="AZ57" i="62" s="1"/>
  <c r="AY54" i="62"/>
  <c r="AY55" i="62" s="1"/>
  <c r="AX54" i="62"/>
  <c r="AW54" i="62"/>
  <c r="AV54" i="62"/>
  <c r="AV55" i="62" s="1"/>
  <c r="AV56" i="62" s="1"/>
  <c r="AV57" i="62" s="1"/>
  <c r="AU54" i="62"/>
  <c r="AU55" i="62" s="1"/>
  <c r="AT54" i="62"/>
  <c r="AS54" i="62"/>
  <c r="AR54" i="62"/>
  <c r="AR55" i="62" s="1"/>
  <c r="AR56" i="62" s="1"/>
  <c r="AR57" i="62" s="1"/>
  <c r="AQ54" i="62"/>
  <c r="AP54" i="62"/>
  <c r="AO54" i="62"/>
  <c r="AN54" i="62"/>
  <c r="AN55" i="62" s="1"/>
  <c r="AN56" i="62" s="1"/>
  <c r="AN57" i="62" s="1"/>
  <c r="AM54" i="62"/>
  <c r="AL54" i="62"/>
  <c r="AK54" i="62"/>
  <c r="AJ54" i="62"/>
  <c r="AJ55" i="62" s="1"/>
  <c r="AJ56" i="62" s="1"/>
  <c r="AJ57" i="62" s="1"/>
  <c r="AI54" i="62"/>
  <c r="AI55" i="62" s="1"/>
  <c r="AH54" i="62"/>
  <c r="AG54" i="62"/>
  <c r="AF54" i="62"/>
  <c r="AF55" i="62" s="1"/>
  <c r="AF56" i="62" s="1"/>
  <c r="AF57" i="62" s="1"/>
  <c r="AE54" i="62"/>
  <c r="AE55" i="62" s="1"/>
  <c r="AD54" i="62"/>
  <c r="AC54" i="62"/>
  <c r="AB54" i="62"/>
  <c r="AB55" i="62" s="1"/>
  <c r="AB56" i="62" s="1"/>
  <c r="AB57" i="62" s="1"/>
  <c r="AA54" i="62"/>
  <c r="AA55" i="62" s="1"/>
  <c r="AA56" i="62" s="1"/>
  <c r="AA57" i="62" s="1"/>
  <c r="Z54" i="62"/>
  <c r="Y54" i="62"/>
  <c r="X54" i="62"/>
  <c r="X55" i="62" s="1"/>
  <c r="X56" i="62" s="1"/>
  <c r="X57" i="62" s="1"/>
  <c r="W54" i="62"/>
  <c r="W55" i="62" s="1"/>
  <c r="W56" i="62" s="1"/>
  <c r="W57" i="62" s="1"/>
  <c r="V54" i="62"/>
  <c r="U54" i="62"/>
  <c r="T54" i="62"/>
  <c r="T55" i="62" s="1"/>
  <c r="T56" i="62" s="1"/>
  <c r="T57" i="62" s="1"/>
  <c r="S54" i="62"/>
  <c r="S55" i="62" s="1"/>
  <c r="D54" i="62"/>
  <c r="C54" i="62"/>
  <c r="BA53" i="62"/>
  <c r="AZ53" i="62"/>
  <c r="AY53" i="62"/>
  <c r="AX53" i="62"/>
  <c r="AW53" i="62"/>
  <c r="AV53" i="62"/>
  <c r="AU53" i="62"/>
  <c r="AT53" i="62"/>
  <c r="AS53" i="62"/>
  <c r="AR53" i="62"/>
  <c r="AQ53" i="62"/>
  <c r="AP53" i="62"/>
  <c r="AO53" i="62"/>
  <c r="AN53" i="62"/>
  <c r="AM53" i="62"/>
  <c r="AL53" i="62"/>
  <c r="AK53" i="62"/>
  <c r="AJ53" i="62"/>
  <c r="AI53" i="62"/>
  <c r="AH53" i="62"/>
  <c r="AG53" i="62"/>
  <c r="AF53" i="62"/>
  <c r="AE53" i="62"/>
  <c r="AD53" i="62"/>
  <c r="AC53" i="62"/>
  <c r="AB53" i="62"/>
  <c r="AA53" i="62"/>
  <c r="Z53" i="62"/>
  <c r="Y53" i="62"/>
  <c r="X53" i="62"/>
  <c r="W53" i="62"/>
  <c r="V53" i="62"/>
  <c r="U53" i="62"/>
  <c r="T53" i="62"/>
  <c r="S53" i="62"/>
  <c r="D53" i="62"/>
  <c r="C53" i="62"/>
  <c r="BA52" i="62"/>
  <c r="AZ52" i="62"/>
  <c r="AY52" i="62"/>
  <c r="AX52" i="62"/>
  <c r="AW52" i="62"/>
  <c r="AV52" i="62"/>
  <c r="AU52" i="62"/>
  <c r="AT52" i="62"/>
  <c r="AS52" i="62"/>
  <c r="AR52" i="62"/>
  <c r="AQ52" i="62"/>
  <c r="AP52" i="62"/>
  <c r="AO52" i="62"/>
  <c r="AN52" i="62"/>
  <c r="AM52" i="62"/>
  <c r="AL52" i="62"/>
  <c r="AK52" i="62"/>
  <c r="AJ52" i="62"/>
  <c r="AI52" i="62"/>
  <c r="AH52" i="62"/>
  <c r="AG52" i="62"/>
  <c r="AF52" i="62"/>
  <c r="AE52" i="62"/>
  <c r="AD52" i="62"/>
  <c r="AC52" i="62"/>
  <c r="AB52" i="62"/>
  <c r="AA52" i="62"/>
  <c r="Z52" i="62"/>
  <c r="Y52" i="62"/>
  <c r="X52" i="62"/>
  <c r="W52" i="62"/>
  <c r="V52" i="62"/>
  <c r="U52" i="62"/>
  <c r="T52" i="62"/>
  <c r="S52" i="62"/>
  <c r="D52" i="62"/>
  <c r="C52" i="62"/>
  <c r="BA50" i="62"/>
  <c r="AZ50" i="62"/>
  <c r="AY50" i="62"/>
  <c r="AX50" i="62"/>
  <c r="AW50" i="62"/>
  <c r="AV50" i="62"/>
  <c r="AU50" i="62"/>
  <c r="AT50" i="62"/>
  <c r="AS50" i="62"/>
  <c r="AR50" i="62"/>
  <c r="AQ50" i="62"/>
  <c r="AP50" i="62"/>
  <c r="AO50" i="62"/>
  <c r="AN50" i="62"/>
  <c r="AM50" i="62"/>
  <c r="AL50" i="62"/>
  <c r="AK50" i="62"/>
  <c r="AJ50" i="62"/>
  <c r="AI50" i="62"/>
  <c r="AH50" i="62"/>
  <c r="AG50" i="62"/>
  <c r="AF50" i="62"/>
  <c r="AE50" i="62"/>
  <c r="AD50" i="62"/>
  <c r="AC50" i="62"/>
  <c r="AB50" i="62"/>
  <c r="AA50" i="62"/>
  <c r="Z50" i="62"/>
  <c r="Y50" i="62"/>
  <c r="X50" i="62"/>
  <c r="W50" i="62"/>
  <c r="V50" i="62"/>
  <c r="U50" i="62"/>
  <c r="T50" i="62"/>
  <c r="S50" i="62"/>
  <c r="D50" i="62"/>
  <c r="C50" i="62"/>
  <c r="BA49" i="62"/>
  <c r="AZ49" i="62"/>
  <c r="AY49" i="62"/>
  <c r="AX49" i="62"/>
  <c r="AW49" i="62"/>
  <c r="AV49" i="62"/>
  <c r="AU49" i="62"/>
  <c r="AT49" i="62"/>
  <c r="AS49" i="62"/>
  <c r="AR49" i="62"/>
  <c r="AQ49" i="62"/>
  <c r="AP49" i="62"/>
  <c r="AO49" i="62"/>
  <c r="AN49" i="62"/>
  <c r="AM49" i="62"/>
  <c r="AL49" i="62"/>
  <c r="AK49" i="62"/>
  <c r="AJ49" i="62"/>
  <c r="AI49" i="62"/>
  <c r="AH49" i="62"/>
  <c r="AG49" i="62"/>
  <c r="AF49" i="62"/>
  <c r="AE49" i="62"/>
  <c r="AD49" i="62"/>
  <c r="AC49" i="62"/>
  <c r="AB49" i="62"/>
  <c r="AA49" i="62"/>
  <c r="Z49" i="62"/>
  <c r="Y49" i="62"/>
  <c r="X49" i="62"/>
  <c r="W49" i="62"/>
  <c r="V49" i="62"/>
  <c r="U49" i="62"/>
  <c r="T49" i="62"/>
  <c r="S49" i="62"/>
  <c r="D49" i="62"/>
  <c r="C49" i="62"/>
  <c r="L48" i="62"/>
  <c r="K48" i="62"/>
  <c r="J48" i="62"/>
  <c r="I48" i="62"/>
  <c r="H48" i="62"/>
  <c r="G48" i="62"/>
  <c r="F48" i="62"/>
  <c r="E48" i="62"/>
  <c r="BA46" i="62"/>
  <c r="AZ46" i="62"/>
  <c r="AY46" i="62"/>
  <c r="AX46" i="62"/>
  <c r="AW46" i="62"/>
  <c r="AV46" i="62"/>
  <c r="AU46" i="62"/>
  <c r="AT46" i="62"/>
  <c r="AS46" i="62"/>
  <c r="AR46" i="62"/>
  <c r="AQ46" i="62"/>
  <c r="AP46" i="62"/>
  <c r="AO46" i="62"/>
  <c r="AN46" i="62"/>
  <c r="AM46" i="62"/>
  <c r="AL46" i="62"/>
  <c r="AK46" i="62"/>
  <c r="AJ46" i="62"/>
  <c r="AI46" i="62"/>
  <c r="AH46" i="62"/>
  <c r="AG46" i="62"/>
  <c r="AF46" i="62"/>
  <c r="AE46" i="62"/>
  <c r="AD46" i="62"/>
  <c r="AC46" i="62"/>
  <c r="AB46" i="62"/>
  <c r="AA46" i="62"/>
  <c r="Z46" i="62"/>
  <c r="Y46" i="62"/>
  <c r="X46" i="62"/>
  <c r="W46" i="62"/>
  <c r="V46" i="62"/>
  <c r="U46" i="62"/>
  <c r="T46" i="62"/>
  <c r="S46" i="62"/>
  <c r="D46" i="62"/>
  <c r="C46" i="62"/>
  <c r="L45" i="62"/>
  <c r="K45" i="62"/>
  <c r="J45" i="62"/>
  <c r="I45" i="62"/>
  <c r="H45" i="62"/>
  <c r="G45" i="62"/>
  <c r="F45" i="62"/>
  <c r="E45" i="62"/>
  <c r="BB44" i="62"/>
  <c r="M44" i="62" s="1"/>
  <c r="L44" i="62"/>
  <c r="K44" i="62"/>
  <c r="J44" i="62"/>
  <c r="I44" i="62"/>
  <c r="H44" i="62"/>
  <c r="G44" i="62"/>
  <c r="F44" i="62"/>
  <c r="E44" i="62"/>
  <c r="BB43" i="62"/>
  <c r="BC43" i="62" s="1"/>
  <c r="BD43" i="62" s="1"/>
  <c r="BE43" i="62" s="1"/>
  <c r="BF43" i="62" s="1"/>
  <c r="L43" i="62"/>
  <c r="K43" i="62"/>
  <c r="J43" i="62"/>
  <c r="J46" i="62" s="1"/>
  <c r="I43" i="62"/>
  <c r="H43" i="62"/>
  <c r="G43" i="62"/>
  <c r="F43" i="62"/>
  <c r="E43" i="62"/>
  <c r="BB42" i="62"/>
  <c r="L42" i="62"/>
  <c r="K42" i="62"/>
  <c r="J42" i="62"/>
  <c r="I42" i="62"/>
  <c r="H42" i="62"/>
  <c r="G42" i="62"/>
  <c r="F42" i="62"/>
  <c r="E42" i="62"/>
  <c r="L41" i="62"/>
  <c r="K41" i="62"/>
  <c r="J41" i="62"/>
  <c r="I41" i="62"/>
  <c r="H41" i="62"/>
  <c r="G41" i="62"/>
  <c r="F41" i="62"/>
  <c r="E41" i="62"/>
  <c r="BB40" i="62"/>
  <c r="L40" i="62"/>
  <c r="K40" i="62"/>
  <c r="J40" i="62"/>
  <c r="I40" i="62"/>
  <c r="H40" i="62"/>
  <c r="G40" i="62"/>
  <c r="F40" i="62"/>
  <c r="E40" i="62"/>
  <c r="BB39" i="62"/>
  <c r="M39" i="62"/>
  <c r="L39" i="62"/>
  <c r="K39" i="62"/>
  <c r="J39" i="62"/>
  <c r="I39" i="62"/>
  <c r="H39" i="62"/>
  <c r="G39" i="62"/>
  <c r="F39" i="62"/>
  <c r="E39" i="62"/>
  <c r="BA36" i="62"/>
  <c r="AZ36" i="62"/>
  <c r="AY36" i="62"/>
  <c r="AX36" i="62"/>
  <c r="AW36" i="62"/>
  <c r="AV36" i="62"/>
  <c r="AU36" i="62"/>
  <c r="AT36" i="62"/>
  <c r="AS36" i="62"/>
  <c r="AR36" i="62"/>
  <c r="AQ36" i="62"/>
  <c r="AP36" i="62"/>
  <c r="AO36" i="62"/>
  <c r="AN36" i="62"/>
  <c r="AM36" i="62"/>
  <c r="AL36" i="62"/>
  <c r="AK36" i="62"/>
  <c r="AJ36" i="62"/>
  <c r="AI36" i="62"/>
  <c r="AH36" i="62"/>
  <c r="AD36" i="62"/>
  <c r="T36" i="62"/>
  <c r="L35" i="62"/>
  <c r="K35" i="62"/>
  <c r="K49" i="62" s="1"/>
  <c r="J35" i="62"/>
  <c r="I35" i="62"/>
  <c r="H35" i="62"/>
  <c r="G35" i="62"/>
  <c r="G49" i="62" s="1"/>
  <c r="F35" i="62"/>
  <c r="E35" i="62"/>
  <c r="BC34" i="62"/>
  <c r="BD34" i="62" s="1"/>
  <c r="BE34" i="62" s="1"/>
  <c r="BF34" i="62" s="1"/>
  <c r="BB34" i="62"/>
  <c r="M34" i="62" s="1"/>
  <c r="L34" i="62"/>
  <c r="K34" i="62"/>
  <c r="J34" i="62"/>
  <c r="I34" i="62"/>
  <c r="H34" i="62"/>
  <c r="G34" i="62"/>
  <c r="F34" i="62"/>
  <c r="E34" i="62"/>
  <c r="BB33" i="62"/>
  <c r="L33" i="62"/>
  <c r="L54" i="62" s="1"/>
  <c r="K33" i="62"/>
  <c r="K54" i="62" s="1"/>
  <c r="J33" i="62"/>
  <c r="J54" i="62" s="1"/>
  <c r="I33" i="62"/>
  <c r="I54" i="62" s="1"/>
  <c r="I55" i="62" s="1"/>
  <c r="I56" i="62" s="1"/>
  <c r="I57" i="62" s="1"/>
  <c r="H33" i="62"/>
  <c r="H54" i="62" s="1"/>
  <c r="G33" i="62"/>
  <c r="G54" i="62" s="1"/>
  <c r="F33" i="62"/>
  <c r="F54" i="62" s="1"/>
  <c r="E33" i="62"/>
  <c r="E54" i="62" s="1"/>
  <c r="BB32" i="62"/>
  <c r="M32" i="62" s="1"/>
  <c r="L32" i="62"/>
  <c r="K32" i="62"/>
  <c r="J32" i="62"/>
  <c r="I32" i="62"/>
  <c r="H32" i="62"/>
  <c r="G32" i="62"/>
  <c r="F32" i="62"/>
  <c r="E32" i="62"/>
  <c r="BA31" i="62"/>
  <c r="AZ31" i="62"/>
  <c r="AY31" i="62"/>
  <c r="AX31" i="62"/>
  <c r="AW31" i="62"/>
  <c r="AV31" i="62"/>
  <c r="AU31" i="62"/>
  <c r="AT31" i="62"/>
  <c r="AS31" i="62"/>
  <c r="AR31" i="62"/>
  <c r="AQ31" i="62"/>
  <c r="AP31" i="62"/>
  <c r="AO31" i="62"/>
  <c r="AN31" i="62"/>
  <c r="AM31" i="62"/>
  <c r="AL31" i="62"/>
  <c r="AK31" i="62"/>
  <c r="AJ31" i="62"/>
  <c r="AI31" i="62"/>
  <c r="AH31" i="62"/>
  <c r="AD31" i="62"/>
  <c r="X31" i="62"/>
  <c r="U31" i="62"/>
  <c r="AG30" i="62"/>
  <c r="AG36" i="62" s="1"/>
  <c r="AF30" i="62"/>
  <c r="AE30" i="62"/>
  <c r="AE31" i="62" s="1"/>
  <c r="AC30" i="62"/>
  <c r="AC36" i="62" s="1"/>
  <c r="AB30" i="62"/>
  <c r="AB36" i="62" s="1"/>
  <c r="AA30" i="62"/>
  <c r="Z30" i="62"/>
  <c r="Y30" i="62"/>
  <c r="X30" i="62"/>
  <c r="X36" i="62" s="1"/>
  <c r="W30" i="62"/>
  <c r="V30" i="62"/>
  <c r="U30" i="62"/>
  <c r="U36" i="62" s="1"/>
  <c r="T30" i="62"/>
  <c r="T31" i="62" s="1"/>
  <c r="S30" i="62"/>
  <c r="L30" i="62"/>
  <c r="L36" i="62" s="1"/>
  <c r="K30" i="62"/>
  <c r="K36" i="62" s="1"/>
  <c r="J30" i="62"/>
  <c r="I30" i="62"/>
  <c r="I36" i="62" s="1"/>
  <c r="H30" i="62"/>
  <c r="H36" i="62" s="1"/>
  <c r="G30" i="62"/>
  <c r="D30" i="62"/>
  <c r="D36" i="62" s="1"/>
  <c r="C30" i="62"/>
  <c r="C36" i="62" s="1"/>
  <c r="BB29" i="62"/>
  <c r="L29" i="62"/>
  <c r="L53" i="62" s="1"/>
  <c r="K29" i="62"/>
  <c r="K53" i="62" s="1"/>
  <c r="J29" i="62"/>
  <c r="J53" i="62" s="1"/>
  <c r="J55" i="62" s="1"/>
  <c r="I29" i="62"/>
  <c r="I53" i="62" s="1"/>
  <c r="H29" i="62"/>
  <c r="H53" i="62" s="1"/>
  <c r="G29" i="62"/>
  <c r="G53" i="62" s="1"/>
  <c r="F29" i="62"/>
  <c r="F53" i="62" s="1"/>
  <c r="E29" i="62"/>
  <c r="E53" i="62" s="1"/>
  <c r="L28" i="62"/>
  <c r="K28" i="62"/>
  <c r="J28" i="62"/>
  <c r="I28" i="62"/>
  <c r="H28" i="62"/>
  <c r="G28" i="62"/>
  <c r="F28" i="62"/>
  <c r="E28" i="62"/>
  <c r="L27" i="62"/>
  <c r="K27" i="62"/>
  <c r="K63" i="62" s="1"/>
  <c r="J27" i="62"/>
  <c r="I27" i="62"/>
  <c r="H27" i="62"/>
  <c r="G27" i="62"/>
  <c r="G63" i="62" s="1"/>
  <c r="F27" i="62"/>
  <c r="E27" i="62"/>
  <c r="AV24" i="62"/>
  <c r="AR24" i="62"/>
  <c r="AF24" i="62"/>
  <c r="AB24" i="62"/>
  <c r="L23" i="62"/>
  <c r="K23" i="62"/>
  <c r="J23" i="62"/>
  <c r="J50" i="62" s="1"/>
  <c r="I23" i="62"/>
  <c r="H23" i="62"/>
  <c r="G23" i="62"/>
  <c r="F23" i="62"/>
  <c r="F50" i="62" s="1"/>
  <c r="E23" i="62"/>
  <c r="BB22" i="62"/>
  <c r="BC22" i="62" s="1"/>
  <c r="BD22" i="62" s="1"/>
  <c r="BE22" i="62" s="1"/>
  <c r="BF22" i="62" s="1"/>
  <c r="M22" i="62"/>
  <c r="L22" i="62"/>
  <c r="K22" i="62"/>
  <c r="J22" i="62"/>
  <c r="I22" i="62"/>
  <c r="H22" i="62"/>
  <c r="G22" i="62"/>
  <c r="F22" i="62"/>
  <c r="E22" i="62"/>
  <c r="BB21" i="62"/>
  <c r="BC21" i="62" s="1"/>
  <c r="BD21" i="62" s="1"/>
  <c r="BE21" i="62" s="1"/>
  <c r="BF21" i="62" s="1"/>
  <c r="M21" i="62"/>
  <c r="L21" i="62"/>
  <c r="L65" i="62" s="1"/>
  <c r="K21" i="62"/>
  <c r="K65" i="62" s="1"/>
  <c r="J21" i="62"/>
  <c r="J65" i="62" s="1"/>
  <c r="I21" i="62"/>
  <c r="I65" i="62" s="1"/>
  <c r="H21" i="62"/>
  <c r="H65" i="62" s="1"/>
  <c r="G21" i="62"/>
  <c r="G65" i="62" s="1"/>
  <c r="F21" i="62"/>
  <c r="F65" i="62" s="1"/>
  <c r="E21" i="62"/>
  <c r="E65" i="62" s="1"/>
  <c r="BB20" i="62"/>
  <c r="BC20" i="62" s="1"/>
  <c r="BD20" i="62" s="1"/>
  <c r="BE20" i="62" s="1"/>
  <c r="BF20" i="62" s="1"/>
  <c r="M20" i="62"/>
  <c r="L20" i="62"/>
  <c r="K20" i="62"/>
  <c r="J20" i="62"/>
  <c r="I20" i="62"/>
  <c r="H20" i="62"/>
  <c r="G20" i="62"/>
  <c r="F20" i="62"/>
  <c r="E20" i="62"/>
  <c r="BA19" i="62"/>
  <c r="BA24" i="62" s="1"/>
  <c r="AZ19" i="62"/>
  <c r="AZ24" i="62" s="1"/>
  <c r="AY19" i="62"/>
  <c r="AY24" i="62" s="1"/>
  <c r="AX19" i="62"/>
  <c r="AX24" i="62" s="1"/>
  <c r="AW19" i="62"/>
  <c r="AW24" i="62" s="1"/>
  <c r="AV19" i="62"/>
  <c r="AU19" i="62"/>
  <c r="AU24" i="62" s="1"/>
  <c r="AT19" i="62"/>
  <c r="AT24" i="62" s="1"/>
  <c r="AS19" i="62"/>
  <c r="AS24" i="62" s="1"/>
  <c r="AR19" i="62"/>
  <c r="AQ19" i="62"/>
  <c r="AQ24" i="62" s="1"/>
  <c r="AP19" i="62"/>
  <c r="AO19" i="62"/>
  <c r="AO24" i="62" s="1"/>
  <c r="AN19" i="62"/>
  <c r="AN24" i="62" s="1"/>
  <c r="AM19" i="62"/>
  <c r="AM24" i="62" s="1"/>
  <c r="AL19" i="62"/>
  <c r="AK19" i="62"/>
  <c r="AK24" i="62" s="1"/>
  <c r="AJ19" i="62"/>
  <c r="AJ24" i="62" s="1"/>
  <c r="AI19" i="62"/>
  <c r="AI24" i="62" s="1"/>
  <c r="AH19" i="62"/>
  <c r="AH24" i="62" s="1"/>
  <c r="AG19" i="62"/>
  <c r="AF19" i="62"/>
  <c r="AE19" i="62"/>
  <c r="AD19" i="62"/>
  <c r="AD24" i="62" s="1"/>
  <c r="AC19" i="62"/>
  <c r="AB19" i="62"/>
  <c r="AA19" i="62"/>
  <c r="AA24" i="62" s="1"/>
  <c r="Z19" i="62"/>
  <c r="F19" i="62" s="1"/>
  <c r="Y19" i="62"/>
  <c r="X19" i="62"/>
  <c r="X24" i="62" s="1"/>
  <c r="W19" i="62"/>
  <c r="W24" i="62" s="1"/>
  <c r="V19" i="62"/>
  <c r="E19" i="62" s="1"/>
  <c r="U19" i="62"/>
  <c r="T19" i="62"/>
  <c r="T24" i="62" s="1"/>
  <c r="S19" i="62"/>
  <c r="S24" i="62" s="1"/>
  <c r="L19" i="62"/>
  <c r="D19" i="62"/>
  <c r="C19" i="62"/>
  <c r="C24" i="62" s="1"/>
  <c r="BB18" i="62"/>
  <c r="L18" i="62"/>
  <c r="K18" i="62"/>
  <c r="J18" i="62"/>
  <c r="I18" i="62"/>
  <c r="H18" i="62"/>
  <c r="G18" i="62"/>
  <c r="F18" i="62"/>
  <c r="E18" i="62"/>
  <c r="BB17" i="62"/>
  <c r="L17" i="62"/>
  <c r="K17" i="62"/>
  <c r="J17" i="62"/>
  <c r="I17" i="62"/>
  <c r="H17" i="62"/>
  <c r="G17" i="62"/>
  <c r="F17" i="62"/>
  <c r="E17" i="62"/>
  <c r="L16" i="62"/>
  <c r="K16" i="62"/>
  <c r="J16" i="62"/>
  <c r="I16" i="62"/>
  <c r="H16" i="62"/>
  <c r="G16" i="62"/>
  <c r="F16" i="62"/>
  <c r="E16" i="62"/>
  <c r="L15" i="62"/>
  <c r="K15" i="62"/>
  <c r="J15" i="62"/>
  <c r="I15" i="62"/>
  <c r="H15" i="62"/>
  <c r="G15" i="62"/>
  <c r="F15" i="62"/>
  <c r="E15" i="62"/>
  <c r="L14" i="62"/>
  <c r="K14" i="62"/>
  <c r="J14" i="62"/>
  <c r="I14" i="62"/>
  <c r="H14" i="62"/>
  <c r="G14" i="62"/>
  <c r="F14" i="62"/>
  <c r="E14" i="62"/>
  <c r="BA13" i="62"/>
  <c r="AZ13" i="62"/>
  <c r="AY13" i="62"/>
  <c r="AX13" i="62"/>
  <c r="AW13" i="62"/>
  <c r="AV13" i="62"/>
  <c r="AU13" i="62"/>
  <c r="AT13" i="62"/>
  <c r="AS13" i="62"/>
  <c r="AR13" i="62"/>
  <c r="AQ13" i="62"/>
  <c r="AP13" i="62"/>
  <c r="AO13" i="62"/>
  <c r="AN13" i="62"/>
  <c r="AM13" i="62"/>
  <c r="AL13" i="62"/>
  <c r="AJ13" i="62"/>
  <c r="AI13" i="62"/>
  <c r="AH13" i="62"/>
  <c r="AD13" i="62"/>
  <c r="AB13" i="62"/>
  <c r="AA13" i="62"/>
  <c r="W13" i="62"/>
  <c r="T13" i="62"/>
  <c r="S13" i="62"/>
  <c r="AG12" i="62"/>
  <c r="AG13" i="62" s="1"/>
  <c r="AF12" i="62"/>
  <c r="AF13" i="62" s="1"/>
  <c r="AE12" i="62"/>
  <c r="AE13" i="62" s="1"/>
  <c r="AC12" i="62"/>
  <c r="AC13" i="62" s="1"/>
  <c r="AB12" i="62"/>
  <c r="AA12" i="62"/>
  <c r="Z12" i="62"/>
  <c r="Y12" i="62"/>
  <c r="Y13" i="62" s="1"/>
  <c r="X12" i="62"/>
  <c r="X13" i="62" s="1"/>
  <c r="W12" i="62"/>
  <c r="V12" i="62"/>
  <c r="U12" i="62"/>
  <c r="U13" i="62" s="1"/>
  <c r="T12" i="62"/>
  <c r="S12" i="62"/>
  <c r="L12" i="62"/>
  <c r="K12" i="62"/>
  <c r="J12" i="62"/>
  <c r="I12" i="62"/>
  <c r="H12" i="62"/>
  <c r="G12" i="62"/>
  <c r="D12" i="62"/>
  <c r="D13" i="62" s="1"/>
  <c r="C12" i="62"/>
  <c r="C13" i="62" s="1"/>
  <c r="BC11" i="62"/>
  <c r="BD11" i="62" s="1"/>
  <c r="BE11" i="62" s="1"/>
  <c r="BF11" i="62" s="1"/>
  <c r="BB11" i="62"/>
  <c r="AK11" i="62"/>
  <c r="AK13" i="62" s="1"/>
  <c r="M11" i="62"/>
  <c r="L11" i="62"/>
  <c r="K11" i="62"/>
  <c r="J11" i="62"/>
  <c r="I11" i="62"/>
  <c r="H11" i="62"/>
  <c r="G11" i="62"/>
  <c r="F11" i="62"/>
  <c r="E11" i="62"/>
  <c r="L10" i="62"/>
  <c r="L62" i="62" s="1"/>
  <c r="K10" i="62"/>
  <c r="K62" i="62" s="1"/>
  <c r="J10" i="62"/>
  <c r="J62" i="62" s="1"/>
  <c r="I10" i="62"/>
  <c r="I62" i="62" s="1"/>
  <c r="H10" i="62"/>
  <c r="H62" i="62" s="1"/>
  <c r="G10" i="62"/>
  <c r="G62" i="62" s="1"/>
  <c r="F10" i="62"/>
  <c r="F62" i="62" s="1"/>
  <c r="E10" i="62"/>
  <c r="E62" i="62" s="1"/>
  <c r="L9" i="62"/>
  <c r="L61" i="62" s="1"/>
  <c r="K9" i="62"/>
  <c r="K61" i="62" s="1"/>
  <c r="J9" i="62"/>
  <c r="J61" i="62" s="1"/>
  <c r="I9" i="62"/>
  <c r="I61" i="62" s="1"/>
  <c r="H9" i="62"/>
  <c r="H61" i="62" s="1"/>
  <c r="G9" i="62"/>
  <c r="G61" i="62" s="1"/>
  <c r="F9" i="62"/>
  <c r="F61" i="62" s="1"/>
  <c r="E9" i="62"/>
  <c r="E61" i="62" s="1"/>
  <c r="L8" i="62"/>
  <c r="K8" i="62"/>
  <c r="K60" i="62" s="1"/>
  <c r="J8" i="62"/>
  <c r="J60" i="62" s="1"/>
  <c r="I8" i="62"/>
  <c r="H8" i="62"/>
  <c r="G8" i="62"/>
  <c r="G60" i="62" s="1"/>
  <c r="F8" i="62"/>
  <c r="F60" i="62" s="1"/>
  <c r="E8" i="62"/>
  <c r="E60" i="62" s="1"/>
  <c r="L7" i="62"/>
  <c r="L59" i="62" s="1"/>
  <c r="K7" i="62"/>
  <c r="K59" i="62" s="1"/>
  <c r="J7" i="62"/>
  <c r="J59" i="62" s="1"/>
  <c r="I7" i="62"/>
  <c r="I59" i="62" s="1"/>
  <c r="H7" i="62"/>
  <c r="H59" i="62" s="1"/>
  <c r="G7" i="62"/>
  <c r="G59" i="62" s="1"/>
  <c r="F7" i="62"/>
  <c r="F59" i="62" s="1"/>
  <c r="E7" i="62"/>
  <c r="E59" i="62" s="1"/>
  <c r="BB6" i="62"/>
  <c r="BC6" i="62" s="1"/>
  <c r="BD6" i="62" s="1"/>
  <c r="BE6" i="62" s="1"/>
  <c r="BF6" i="62" s="1"/>
  <c r="L6" i="62"/>
  <c r="K6" i="62"/>
  <c r="J6" i="62"/>
  <c r="I6" i="62"/>
  <c r="H6" i="62"/>
  <c r="G6" i="62"/>
  <c r="F6" i="62"/>
  <c r="E6" i="62"/>
  <c r="L5" i="62"/>
  <c r="L52" i="62" s="1"/>
  <c r="K5" i="62"/>
  <c r="J5" i="62"/>
  <c r="I5" i="62"/>
  <c r="I52" i="62" s="1"/>
  <c r="H5" i="62"/>
  <c r="H52" i="62" s="1"/>
  <c r="G5" i="62"/>
  <c r="G52" i="62" s="1"/>
  <c r="F5" i="62"/>
  <c r="E5" i="62"/>
  <c r="E52" i="62" s="1"/>
  <c r="BA68" i="61"/>
  <c r="BB68" i="61" s="1"/>
  <c r="BC68" i="61" s="1"/>
  <c r="AZ68" i="61"/>
  <c r="AY68" i="61"/>
  <c r="AW68" i="61"/>
  <c r="AV68" i="61"/>
  <c r="AU68" i="61"/>
  <c r="AS68" i="61"/>
  <c r="AR68" i="61"/>
  <c r="AQ68" i="61"/>
  <c r="AO68" i="61"/>
  <c r="AN68" i="61"/>
  <c r="AM68" i="61"/>
  <c r="AK68" i="61"/>
  <c r="AJ68" i="61"/>
  <c r="AI68" i="61"/>
  <c r="AG68" i="61"/>
  <c r="AF68" i="61"/>
  <c r="AE68" i="61"/>
  <c r="AC68" i="61"/>
  <c r="AB68" i="61"/>
  <c r="AA68" i="61"/>
  <c r="Y68" i="61"/>
  <c r="X68" i="61"/>
  <c r="W68" i="61"/>
  <c r="U68" i="61"/>
  <c r="T68" i="61"/>
  <c r="S68" i="61"/>
  <c r="L68" i="61"/>
  <c r="K68" i="61"/>
  <c r="J68" i="61"/>
  <c r="I68" i="61"/>
  <c r="H68" i="61"/>
  <c r="G68" i="61"/>
  <c r="F68" i="61"/>
  <c r="E68" i="61"/>
  <c r="D68" i="61"/>
  <c r="C68" i="61"/>
  <c r="BA67" i="61"/>
  <c r="BB67" i="61" s="1"/>
  <c r="BC67" i="61" s="1"/>
  <c r="BD67" i="61" s="1"/>
  <c r="BE67" i="61" s="1"/>
  <c r="BF67" i="61" s="1"/>
  <c r="BG67" i="61" s="1"/>
  <c r="BH67" i="61" s="1"/>
  <c r="BI67" i="61" s="1"/>
  <c r="BJ67" i="61" s="1"/>
  <c r="BK67" i="61" s="1"/>
  <c r="BL67" i="61" s="1"/>
  <c r="BM67" i="61" s="1"/>
  <c r="BN67" i="61" s="1"/>
  <c r="BO67" i="61" s="1"/>
  <c r="BP67" i="61" s="1"/>
  <c r="BQ67" i="61" s="1"/>
  <c r="BR67" i="61" s="1"/>
  <c r="AZ67" i="61"/>
  <c r="AY67" i="61"/>
  <c r="AW67" i="61"/>
  <c r="AV67" i="61"/>
  <c r="AU67" i="61"/>
  <c r="AS67" i="61"/>
  <c r="AR67" i="61"/>
  <c r="AQ67" i="61"/>
  <c r="AO67" i="61"/>
  <c r="AN67" i="61"/>
  <c r="AM67" i="61"/>
  <c r="AK67" i="61"/>
  <c r="AJ67" i="61"/>
  <c r="AI67" i="61"/>
  <c r="AG67" i="61"/>
  <c r="AF67" i="61"/>
  <c r="AE67" i="61"/>
  <c r="AC67" i="61"/>
  <c r="AB67" i="61"/>
  <c r="AA67" i="61"/>
  <c r="Y67" i="61"/>
  <c r="X67" i="61"/>
  <c r="W67" i="61"/>
  <c r="U67" i="61"/>
  <c r="T67" i="61"/>
  <c r="S67" i="61"/>
  <c r="K67" i="61"/>
  <c r="J67" i="61"/>
  <c r="G67" i="61"/>
  <c r="E67" i="61"/>
  <c r="D67" i="61"/>
  <c r="C67" i="61"/>
  <c r="BA66" i="61"/>
  <c r="BB66" i="61" s="1"/>
  <c r="BC66" i="61" s="1"/>
  <c r="BD66" i="61" s="1"/>
  <c r="BE66" i="61" s="1"/>
  <c r="BF66" i="61" s="1"/>
  <c r="BG66" i="61" s="1"/>
  <c r="BH66" i="61" s="1"/>
  <c r="BI66" i="61" s="1"/>
  <c r="AZ66" i="61"/>
  <c r="AY66" i="61"/>
  <c r="AW66" i="61"/>
  <c r="AV66" i="61"/>
  <c r="AU66" i="61"/>
  <c r="AS66" i="61"/>
  <c r="AR66" i="61"/>
  <c r="AQ66" i="61"/>
  <c r="AO66" i="61"/>
  <c r="AN66" i="61"/>
  <c r="AM66" i="61"/>
  <c r="AK66" i="61"/>
  <c r="AJ66" i="61"/>
  <c r="AI66" i="61"/>
  <c r="AG66" i="61"/>
  <c r="AF66" i="61"/>
  <c r="AE66" i="61"/>
  <c r="AC66" i="61"/>
  <c r="AB66" i="61"/>
  <c r="AA66" i="61"/>
  <c r="Y66" i="61"/>
  <c r="X66" i="61"/>
  <c r="W66" i="61"/>
  <c r="U66" i="61"/>
  <c r="T66" i="61"/>
  <c r="S66" i="61"/>
  <c r="L66" i="61"/>
  <c r="K66" i="61"/>
  <c r="J66" i="61"/>
  <c r="I66" i="61"/>
  <c r="H66" i="61"/>
  <c r="G66" i="61"/>
  <c r="F66" i="61"/>
  <c r="E66" i="61"/>
  <c r="D66" i="61"/>
  <c r="C66" i="61"/>
  <c r="BA64" i="61"/>
  <c r="AZ64" i="61"/>
  <c r="AY64" i="61"/>
  <c r="AW64" i="61"/>
  <c r="AV64" i="61"/>
  <c r="AU64" i="61"/>
  <c r="AS64" i="61"/>
  <c r="AR64" i="61"/>
  <c r="AQ64" i="61"/>
  <c r="AO64" i="61"/>
  <c r="AN64" i="61"/>
  <c r="AM64" i="61"/>
  <c r="AK64" i="61"/>
  <c r="AJ64" i="61"/>
  <c r="AI64" i="61"/>
  <c r="AG64" i="61"/>
  <c r="AF64" i="61"/>
  <c r="AE64" i="61"/>
  <c r="AC64" i="61"/>
  <c r="AB64" i="61"/>
  <c r="AA64" i="61"/>
  <c r="Y64" i="61"/>
  <c r="X64" i="61"/>
  <c r="W64" i="61"/>
  <c r="U64" i="61"/>
  <c r="T64" i="61"/>
  <c r="S64" i="61"/>
  <c r="L64" i="61"/>
  <c r="K64" i="61"/>
  <c r="J64" i="61"/>
  <c r="I64" i="61"/>
  <c r="H64" i="61"/>
  <c r="G64" i="61"/>
  <c r="F64" i="61"/>
  <c r="E64" i="61"/>
  <c r="D64" i="61"/>
  <c r="C64" i="61"/>
  <c r="AI62" i="61"/>
  <c r="F62" i="61"/>
  <c r="C62" i="61"/>
  <c r="AX61" i="61"/>
  <c r="AY60" i="61" s="1"/>
  <c r="AY62" i="61" s="1"/>
  <c r="AT61" i="61"/>
  <c r="AP61" i="61"/>
  <c r="AQ60" i="61" s="1"/>
  <c r="AQ62" i="61" s="1"/>
  <c r="AL61" i="61"/>
  <c r="AM60" i="61" s="1"/>
  <c r="AM62" i="61" s="1"/>
  <c r="AH61" i="61"/>
  <c r="AD61" i="61"/>
  <c r="Z61" i="61"/>
  <c r="AA60" i="61" s="1"/>
  <c r="AA62" i="61" s="1"/>
  <c r="V61" i="61"/>
  <c r="W60" i="61" s="1"/>
  <c r="W62" i="61" s="1"/>
  <c r="BB60" i="61"/>
  <c r="BA60" i="61"/>
  <c r="BA62" i="61" s="1"/>
  <c r="AZ60" i="61"/>
  <c r="AZ62" i="61" s="1"/>
  <c r="AX60" i="61"/>
  <c r="AW60" i="61"/>
  <c r="AW62" i="61" s="1"/>
  <c r="AV60" i="61"/>
  <c r="AV62" i="61" s="1"/>
  <c r="AU60" i="61"/>
  <c r="AU62" i="61" s="1"/>
  <c r="AT60" i="61"/>
  <c r="AS60" i="61"/>
  <c r="AS62" i="61" s="1"/>
  <c r="AR60" i="61"/>
  <c r="AR62" i="61" s="1"/>
  <c r="AP60" i="61"/>
  <c r="AO60" i="61"/>
  <c r="AO62" i="61" s="1"/>
  <c r="AN60" i="61"/>
  <c r="AN62" i="61" s="1"/>
  <c r="AL60" i="61"/>
  <c r="AK60" i="61"/>
  <c r="AK62" i="61" s="1"/>
  <c r="AJ60" i="61"/>
  <c r="AJ62" i="61" s="1"/>
  <c r="AI60" i="61"/>
  <c r="AH60" i="61"/>
  <c r="AG60" i="61"/>
  <c r="AG62" i="61" s="1"/>
  <c r="AF60" i="61"/>
  <c r="AF62" i="61" s="1"/>
  <c r="AE60" i="61"/>
  <c r="AE62" i="61" s="1"/>
  <c r="AD60" i="61"/>
  <c r="AC60" i="61"/>
  <c r="AC62" i="61" s="1"/>
  <c r="AB60" i="61"/>
  <c r="AB62" i="61" s="1"/>
  <c r="Z60" i="61"/>
  <c r="Y60" i="61"/>
  <c r="Y62" i="61" s="1"/>
  <c r="X60" i="61"/>
  <c r="X62" i="61" s="1"/>
  <c r="V60" i="61"/>
  <c r="U60" i="61"/>
  <c r="U62" i="61" s="1"/>
  <c r="T60" i="61"/>
  <c r="T62" i="61" s="1"/>
  <c r="S60" i="61"/>
  <c r="S62" i="61" s="1"/>
  <c r="M60" i="61"/>
  <c r="L60" i="61"/>
  <c r="L62" i="61" s="1"/>
  <c r="K60" i="61"/>
  <c r="K62" i="61" s="1"/>
  <c r="J60" i="61"/>
  <c r="J62" i="61" s="1"/>
  <c r="I60" i="61"/>
  <c r="I62" i="61" s="1"/>
  <c r="H60" i="61"/>
  <c r="H62" i="61" s="1"/>
  <c r="G60" i="61"/>
  <c r="G62" i="61" s="1"/>
  <c r="F60" i="61"/>
  <c r="E60" i="61"/>
  <c r="E62" i="61" s="1"/>
  <c r="D60" i="61"/>
  <c r="D62" i="61" s="1"/>
  <c r="BA59" i="61"/>
  <c r="AZ59" i="61"/>
  <c r="AY59" i="61"/>
  <c r="AW59" i="61"/>
  <c r="AV59" i="61"/>
  <c r="AU59" i="61"/>
  <c r="AS59" i="61"/>
  <c r="AR59" i="61"/>
  <c r="AQ59" i="61"/>
  <c r="AO59" i="61"/>
  <c r="AN59" i="61"/>
  <c r="AM59" i="61"/>
  <c r="AK59" i="61"/>
  <c r="AJ59" i="61"/>
  <c r="AI59" i="61"/>
  <c r="AG59" i="61"/>
  <c r="AF59" i="61"/>
  <c r="AE59" i="61"/>
  <c r="AC59" i="61"/>
  <c r="AB59" i="61"/>
  <c r="AA59" i="61"/>
  <c r="Y59" i="61"/>
  <c r="X59" i="61"/>
  <c r="W59" i="61"/>
  <c r="U59" i="61"/>
  <c r="T59" i="61"/>
  <c r="S59" i="61"/>
  <c r="L59" i="61"/>
  <c r="K59" i="61"/>
  <c r="J59" i="61"/>
  <c r="I59" i="61"/>
  <c r="H59" i="61"/>
  <c r="G59" i="61"/>
  <c r="F59" i="61"/>
  <c r="E59" i="61"/>
  <c r="D59" i="61"/>
  <c r="C59" i="61"/>
  <c r="AX58" i="61"/>
  <c r="AX62" i="61" s="1"/>
  <c r="AT58" i="61"/>
  <c r="AT62" i="61" s="1"/>
  <c r="AP58" i="61"/>
  <c r="AL58" i="61"/>
  <c r="AL62" i="61" s="1"/>
  <c r="AH58" i="61"/>
  <c r="AD58" i="61"/>
  <c r="Z58" i="61"/>
  <c r="V58" i="61"/>
  <c r="V62" i="61" s="1"/>
  <c r="AX57" i="61"/>
  <c r="AT57" i="61"/>
  <c r="AP57" i="61"/>
  <c r="AL57" i="61"/>
  <c r="AH57" i="61"/>
  <c r="AD57" i="61"/>
  <c r="Z57" i="61"/>
  <c r="V57" i="61"/>
  <c r="Q57" i="61"/>
  <c r="P57" i="61"/>
  <c r="O57" i="61"/>
  <c r="N57" i="61"/>
  <c r="M57" i="61"/>
  <c r="BA55" i="61"/>
  <c r="AZ55" i="61"/>
  <c r="AY55" i="61"/>
  <c r="AW55" i="61"/>
  <c r="AV55" i="61"/>
  <c r="AU55" i="61"/>
  <c r="AS55" i="61"/>
  <c r="AR55" i="61"/>
  <c r="AQ55" i="61"/>
  <c r="AO55" i="61"/>
  <c r="AN55" i="61"/>
  <c r="AM55" i="61"/>
  <c r="AK55" i="61"/>
  <c r="AJ55" i="61"/>
  <c r="AI55" i="61"/>
  <c r="AG55" i="61"/>
  <c r="AF55" i="61"/>
  <c r="AE55" i="61"/>
  <c r="AC55" i="61"/>
  <c r="AB55" i="61"/>
  <c r="AA55" i="61"/>
  <c r="Y55" i="61"/>
  <c r="X55" i="61"/>
  <c r="W55" i="61"/>
  <c r="U55" i="61"/>
  <c r="T55" i="61"/>
  <c r="S55" i="61"/>
  <c r="L55" i="61"/>
  <c r="K55" i="61"/>
  <c r="J55" i="61"/>
  <c r="I55" i="61"/>
  <c r="H55" i="61"/>
  <c r="G55" i="61"/>
  <c r="F55" i="61"/>
  <c r="E55" i="61"/>
  <c r="D55" i="61"/>
  <c r="C55" i="61"/>
  <c r="AX54" i="61"/>
  <c r="AT54" i="61"/>
  <c r="AP54" i="61"/>
  <c r="AL54" i="61"/>
  <c r="AH54" i="61"/>
  <c r="AD54" i="61"/>
  <c r="Z54" i="61"/>
  <c r="V54" i="61"/>
  <c r="BC53" i="61"/>
  <c r="BD53" i="61" s="1"/>
  <c r="BE53" i="61" s="1"/>
  <c r="BF53" i="61" s="1"/>
  <c r="BG53" i="61" s="1"/>
  <c r="BB53" i="61"/>
  <c r="AX53" i="61"/>
  <c r="AT53" i="61"/>
  <c r="AP53" i="61"/>
  <c r="AL53" i="61"/>
  <c r="AH53" i="61"/>
  <c r="AD53" i="61"/>
  <c r="Z53" i="61"/>
  <c r="V53" i="61"/>
  <c r="M53" i="61"/>
  <c r="AX52" i="61"/>
  <c r="AT52" i="61"/>
  <c r="AP52" i="61"/>
  <c r="AL52" i="61"/>
  <c r="AH52" i="61"/>
  <c r="AD52" i="61"/>
  <c r="Z52" i="61"/>
  <c r="V52" i="61"/>
  <c r="Q52" i="61"/>
  <c r="P52" i="61"/>
  <c r="O52" i="61"/>
  <c r="N52" i="61"/>
  <c r="M52" i="61"/>
  <c r="AX51" i="61"/>
  <c r="AT51" i="61"/>
  <c r="AP51" i="61"/>
  <c r="AL51" i="61"/>
  <c r="AH51" i="61"/>
  <c r="AD51" i="61"/>
  <c r="Z51" i="61"/>
  <c r="V51" i="61"/>
  <c r="Q51" i="61"/>
  <c r="P51" i="61"/>
  <c r="O51" i="61"/>
  <c r="N51" i="61"/>
  <c r="M51" i="61"/>
  <c r="AX50" i="61"/>
  <c r="AT50" i="61"/>
  <c r="AP50" i="61"/>
  <c r="AL50" i="61"/>
  <c r="AH50" i="61"/>
  <c r="AD50" i="61"/>
  <c r="Z50" i="61"/>
  <c r="V50" i="61"/>
  <c r="Q50" i="61"/>
  <c r="P50" i="61"/>
  <c r="O50" i="61"/>
  <c r="N50" i="61"/>
  <c r="M50" i="61"/>
  <c r="AX49" i="61"/>
  <c r="AT49" i="61"/>
  <c r="AP49" i="61"/>
  <c r="AL49" i="61"/>
  <c r="AH49" i="61"/>
  <c r="AD49" i="61"/>
  <c r="Z49" i="61"/>
  <c r="V49" i="61"/>
  <c r="Q49" i="61"/>
  <c r="P49" i="61"/>
  <c r="O49" i="61"/>
  <c r="N49" i="61"/>
  <c r="M49" i="61"/>
  <c r="AX48" i="61"/>
  <c r="AT48" i="61"/>
  <c r="AP48" i="61"/>
  <c r="AL48" i="61"/>
  <c r="AH48" i="61"/>
  <c r="AD48" i="61"/>
  <c r="Z48" i="61"/>
  <c r="V48" i="61"/>
  <c r="Q48" i="61"/>
  <c r="P48" i="61"/>
  <c r="O48" i="61"/>
  <c r="N48" i="61"/>
  <c r="M48" i="61"/>
  <c r="AX47" i="61"/>
  <c r="AT47" i="61"/>
  <c r="AP47" i="61"/>
  <c r="AL47" i="61"/>
  <c r="AH47" i="61"/>
  <c r="AD47" i="61"/>
  <c r="Z47" i="61"/>
  <c r="V47" i="61"/>
  <c r="Q47" i="61"/>
  <c r="P47" i="61"/>
  <c r="O47" i="61"/>
  <c r="N47" i="61"/>
  <c r="M47" i="61"/>
  <c r="AX46" i="61"/>
  <c r="AT46" i="61"/>
  <c r="AP46" i="61"/>
  <c r="AL46" i="61"/>
  <c r="AH46" i="61"/>
  <c r="AD46" i="61"/>
  <c r="Z46" i="61"/>
  <c r="V46" i="61"/>
  <c r="Q46" i="61"/>
  <c r="P46" i="61"/>
  <c r="O46" i="61"/>
  <c r="N46" i="61"/>
  <c r="M46" i="61"/>
  <c r="BB45" i="61"/>
  <c r="BB54" i="61" s="1"/>
  <c r="M54" i="61" s="1"/>
  <c r="AX45" i="61"/>
  <c r="AT45" i="61"/>
  <c r="AP45" i="61"/>
  <c r="AL45" i="61"/>
  <c r="AH45" i="61"/>
  <c r="AD45" i="61"/>
  <c r="Z45" i="61"/>
  <c r="V45" i="61"/>
  <c r="AX44" i="61"/>
  <c r="AT44" i="61"/>
  <c r="AP44" i="61"/>
  <c r="AL44" i="61"/>
  <c r="AH44" i="61"/>
  <c r="AD44" i="61"/>
  <c r="Z44" i="61"/>
  <c r="V44" i="61"/>
  <c r="Q44" i="61"/>
  <c r="P44" i="61"/>
  <c r="O44" i="61"/>
  <c r="N44" i="61"/>
  <c r="M44" i="61"/>
  <c r="BA41" i="61"/>
  <c r="AZ41" i="61"/>
  <c r="AY41" i="61"/>
  <c r="AW41" i="61"/>
  <c r="AV41" i="61"/>
  <c r="AU41" i="61"/>
  <c r="AS41" i="61"/>
  <c r="AR41" i="61"/>
  <c r="AQ41" i="61"/>
  <c r="AO41" i="61"/>
  <c r="AN41" i="61"/>
  <c r="AM41" i="61"/>
  <c r="AK41" i="61"/>
  <c r="AJ41" i="61"/>
  <c r="AI41" i="61"/>
  <c r="AG41" i="61"/>
  <c r="AF41" i="61"/>
  <c r="AE41" i="61"/>
  <c r="AC41" i="61"/>
  <c r="AB41" i="61"/>
  <c r="AA41" i="61"/>
  <c r="Y41" i="61"/>
  <c r="X41" i="61"/>
  <c r="W41" i="61"/>
  <c r="S41" i="61"/>
  <c r="L41" i="61"/>
  <c r="K41" i="61"/>
  <c r="J41" i="61"/>
  <c r="I41" i="61"/>
  <c r="H41" i="61"/>
  <c r="G41" i="61"/>
  <c r="F41" i="61"/>
  <c r="E41" i="61"/>
  <c r="D41" i="61"/>
  <c r="C41" i="61"/>
  <c r="AX40" i="61"/>
  <c r="AT40" i="61"/>
  <c r="AP40" i="61"/>
  <c r="AL40" i="61"/>
  <c r="AH40" i="61"/>
  <c r="AD40" i="61"/>
  <c r="Z40" i="61"/>
  <c r="V40" i="61"/>
  <c r="AX39" i="61"/>
  <c r="AT39" i="61"/>
  <c r="AP39" i="61"/>
  <c r="AL39" i="61"/>
  <c r="AH39" i="61"/>
  <c r="AD39" i="61"/>
  <c r="Z39" i="61"/>
  <c r="V39" i="61"/>
  <c r="Q39" i="61"/>
  <c r="P39" i="61"/>
  <c r="O39" i="61"/>
  <c r="N39" i="61"/>
  <c r="M39" i="61"/>
  <c r="AX38" i="61"/>
  <c r="AT38" i="61"/>
  <c r="AP38" i="61"/>
  <c r="AL38" i="61"/>
  <c r="AH38" i="61"/>
  <c r="AD38" i="61"/>
  <c r="Z38" i="61"/>
  <c r="V38" i="61"/>
  <c r="Q38" i="61"/>
  <c r="P38" i="61"/>
  <c r="O38" i="61"/>
  <c r="N38" i="61"/>
  <c r="M38" i="61"/>
  <c r="AX37" i="61"/>
  <c r="AT37" i="61"/>
  <c r="AP37" i="61"/>
  <c r="AL37" i="61"/>
  <c r="AH37" i="61"/>
  <c r="AD37" i="61"/>
  <c r="Z37" i="61"/>
  <c r="V37" i="61"/>
  <c r="Q37" i="61"/>
  <c r="P37" i="61"/>
  <c r="O37" i="61"/>
  <c r="N37" i="61"/>
  <c r="M37" i="61"/>
  <c r="AX36" i="61"/>
  <c r="AT36" i="61"/>
  <c r="AP36" i="61"/>
  <c r="AL36" i="61"/>
  <c r="AH36" i="61"/>
  <c r="AD36" i="61"/>
  <c r="Z36" i="61"/>
  <c r="V36" i="61"/>
  <c r="Q36" i="61"/>
  <c r="P36" i="61"/>
  <c r="O36" i="61"/>
  <c r="N36" i="61"/>
  <c r="M36" i="61"/>
  <c r="AX35" i="61"/>
  <c r="AT35" i="61"/>
  <c r="AP35" i="61"/>
  <c r="AL35" i="61"/>
  <c r="AH35" i="61"/>
  <c r="AD35" i="61"/>
  <c r="Z35" i="61"/>
  <c r="T35" i="61"/>
  <c r="T41" i="61" s="1"/>
  <c r="Q35" i="61"/>
  <c r="P35" i="61"/>
  <c r="O35" i="61"/>
  <c r="N35" i="61"/>
  <c r="M35" i="61"/>
  <c r="AX34" i="61"/>
  <c r="AT34" i="61"/>
  <c r="AP34" i="61"/>
  <c r="AP68" i="61" s="1"/>
  <c r="AL34" i="61"/>
  <c r="AL68" i="61" s="1"/>
  <c r="AH34" i="61"/>
  <c r="AD34" i="61"/>
  <c r="Z34" i="61"/>
  <c r="V34" i="61"/>
  <c r="V68" i="61" s="1"/>
  <c r="AM31" i="61"/>
  <c r="AX30" i="61"/>
  <c r="AT30" i="61"/>
  <c r="AP30" i="61"/>
  <c r="AL30" i="61"/>
  <c r="AH30" i="61"/>
  <c r="AD30" i="61"/>
  <c r="Z30" i="61"/>
  <c r="V30" i="61"/>
  <c r="BA29" i="61"/>
  <c r="AZ29" i="61"/>
  <c r="AY29" i="61"/>
  <c r="AW29" i="61"/>
  <c r="AV29" i="61"/>
  <c r="AU29" i="61"/>
  <c r="AU31" i="61" s="1"/>
  <c r="AS29" i="61"/>
  <c r="AS31" i="61" s="1"/>
  <c r="AR29" i="61"/>
  <c r="AR31" i="61" s="1"/>
  <c r="AQ29" i="61"/>
  <c r="AQ31" i="61" s="1"/>
  <c r="AO29" i="61"/>
  <c r="AO31" i="61" s="1"/>
  <c r="AN29" i="61"/>
  <c r="AN31" i="61" s="1"/>
  <c r="AM29" i="61"/>
  <c r="AK29" i="61"/>
  <c r="AK31" i="61" s="1"/>
  <c r="AJ29" i="61"/>
  <c r="AJ31" i="61" s="1"/>
  <c r="AI29" i="61"/>
  <c r="AI31" i="61" s="1"/>
  <c r="AG29" i="61"/>
  <c r="AG31" i="61" s="1"/>
  <c r="AF29" i="61"/>
  <c r="AF31" i="61" s="1"/>
  <c r="AE29" i="61"/>
  <c r="AE31" i="61" s="1"/>
  <c r="AC29" i="61"/>
  <c r="AC31" i="61" s="1"/>
  <c r="AB29" i="61"/>
  <c r="AB31" i="61" s="1"/>
  <c r="AA29" i="61"/>
  <c r="AA31" i="61" s="1"/>
  <c r="Y29" i="61"/>
  <c r="Y31" i="61" s="1"/>
  <c r="X29" i="61"/>
  <c r="X31" i="61" s="1"/>
  <c r="W29" i="61"/>
  <c r="W31" i="61" s="1"/>
  <c r="U29" i="61"/>
  <c r="U31" i="61" s="1"/>
  <c r="T29" i="61"/>
  <c r="S29" i="61"/>
  <c r="S31" i="61" s="1"/>
  <c r="L29" i="61"/>
  <c r="K29" i="61"/>
  <c r="J29" i="61"/>
  <c r="I29" i="61"/>
  <c r="I31" i="61" s="1"/>
  <c r="H29" i="61"/>
  <c r="H31" i="61" s="1"/>
  <c r="G29" i="61"/>
  <c r="G31" i="61" s="1"/>
  <c r="F29" i="61"/>
  <c r="F31" i="61" s="1"/>
  <c r="E29" i="61"/>
  <c r="E31" i="61" s="1"/>
  <c r="D29" i="61"/>
  <c r="D31" i="61" s="1"/>
  <c r="C29" i="61"/>
  <c r="C31" i="61" s="1"/>
  <c r="AX28" i="61"/>
  <c r="AT28" i="61"/>
  <c r="AP28" i="61"/>
  <c r="AL28" i="61"/>
  <c r="AH28" i="61"/>
  <c r="AD28" i="61"/>
  <c r="Z28" i="61"/>
  <c r="V28" i="61"/>
  <c r="AX27" i="61"/>
  <c r="AT27" i="61"/>
  <c r="AP27" i="61"/>
  <c r="AL27" i="61"/>
  <c r="AH27" i="61"/>
  <c r="AD27" i="61"/>
  <c r="Z27" i="61"/>
  <c r="V27" i="61"/>
  <c r="AX26" i="61"/>
  <c r="AT26" i="61"/>
  <c r="AP26" i="61"/>
  <c r="AL26" i="61"/>
  <c r="AH26" i="61"/>
  <c r="AD26" i="61"/>
  <c r="Z26" i="61"/>
  <c r="V26" i="61"/>
  <c r="AX25" i="61"/>
  <c r="AT25" i="61"/>
  <c r="AP25" i="61"/>
  <c r="AL25" i="61"/>
  <c r="AH25" i="61"/>
  <c r="AD25" i="61"/>
  <c r="Z25" i="61"/>
  <c r="V25" i="61"/>
  <c r="AX24" i="61"/>
  <c r="AX29" i="61" s="1"/>
  <c r="AT24" i="61"/>
  <c r="AP24" i="61"/>
  <c r="AL24" i="61"/>
  <c r="AH24" i="61"/>
  <c r="AH29" i="61" s="1"/>
  <c r="AD24" i="61"/>
  <c r="Z24" i="61"/>
  <c r="V24" i="61"/>
  <c r="AX23" i="61"/>
  <c r="AT23" i="61"/>
  <c r="AP23" i="61"/>
  <c r="AL23" i="61"/>
  <c r="AH23" i="61"/>
  <c r="AD23" i="61"/>
  <c r="Z23" i="61"/>
  <c r="V23" i="61"/>
  <c r="AX21" i="61"/>
  <c r="AT21" i="61"/>
  <c r="AP21" i="61"/>
  <c r="AD21" i="61"/>
  <c r="Z21" i="61"/>
  <c r="V21" i="61"/>
  <c r="Q21" i="61"/>
  <c r="P21" i="61"/>
  <c r="O21" i="61"/>
  <c r="N21" i="61"/>
  <c r="M21" i="61"/>
  <c r="AX20" i="61"/>
  <c r="AT20" i="61"/>
  <c r="AP20" i="61"/>
  <c r="AL20" i="61"/>
  <c r="AH20" i="61"/>
  <c r="AD20" i="61"/>
  <c r="Z20" i="61"/>
  <c r="V20" i="61"/>
  <c r="Q20" i="61"/>
  <c r="P20" i="61"/>
  <c r="O20" i="61"/>
  <c r="N20" i="61"/>
  <c r="M20" i="61"/>
  <c r="AX19" i="61"/>
  <c r="AX66" i="61" s="1"/>
  <c r="AT19" i="61"/>
  <c r="AT66" i="61" s="1"/>
  <c r="AP19" i="61"/>
  <c r="AP66" i="61" s="1"/>
  <c r="AL19" i="61"/>
  <c r="AL66" i="61" s="1"/>
  <c r="AH19" i="61"/>
  <c r="AD19" i="61"/>
  <c r="Z19" i="61"/>
  <c r="V19" i="61"/>
  <c r="AX18" i="61"/>
  <c r="AT18" i="61"/>
  <c r="AP18" i="61"/>
  <c r="AL18" i="61"/>
  <c r="AH18" i="61"/>
  <c r="AD18" i="61"/>
  <c r="Z18" i="61"/>
  <c r="V18" i="61"/>
  <c r="Q18" i="61"/>
  <c r="P18" i="61"/>
  <c r="O18" i="61"/>
  <c r="N18" i="61"/>
  <c r="M18" i="61"/>
  <c r="AX17" i="61"/>
  <c r="AT17" i="61"/>
  <c r="AP17" i="61"/>
  <c r="AL17" i="61"/>
  <c r="AH17" i="61"/>
  <c r="AD17" i="61"/>
  <c r="Z17" i="61"/>
  <c r="V17" i="61"/>
  <c r="Q17" i="61"/>
  <c r="P17" i="61"/>
  <c r="O17" i="61"/>
  <c r="N17" i="61"/>
  <c r="M17" i="61"/>
  <c r="AX16" i="61"/>
  <c r="AT16" i="61"/>
  <c r="AP16" i="61"/>
  <c r="AL16" i="61"/>
  <c r="AH16" i="61"/>
  <c r="AD16" i="61"/>
  <c r="Z16" i="61"/>
  <c r="V16" i="61"/>
  <c r="Q16" i="61"/>
  <c r="P16" i="61"/>
  <c r="O16" i="61"/>
  <c r="N16" i="61"/>
  <c r="M16" i="61"/>
  <c r="AX15" i="61"/>
  <c r="AT15" i="61"/>
  <c r="AP15" i="61"/>
  <c r="AL15" i="61"/>
  <c r="AH15" i="61"/>
  <c r="AD15" i="61"/>
  <c r="Z15" i="61"/>
  <c r="V15" i="61"/>
  <c r="Q15" i="61"/>
  <c r="P15" i="61"/>
  <c r="O15" i="61"/>
  <c r="N15" i="61"/>
  <c r="M15" i="61"/>
  <c r="AX14" i="61"/>
  <c r="AT14" i="61"/>
  <c r="AP14" i="61"/>
  <c r="AL14" i="61"/>
  <c r="AH14" i="61"/>
  <c r="AD14" i="61"/>
  <c r="Z14" i="61"/>
  <c r="V14" i="61"/>
  <c r="Q14" i="61"/>
  <c r="P14" i="61"/>
  <c r="O14" i="61"/>
  <c r="N14" i="61"/>
  <c r="M14" i="61"/>
  <c r="AX13" i="61"/>
  <c r="AX67" i="61" s="1"/>
  <c r="AT13" i="61"/>
  <c r="AT67" i="61" s="1"/>
  <c r="AP13" i="61"/>
  <c r="AP67" i="61" s="1"/>
  <c r="AL13" i="61"/>
  <c r="AL67" i="61" s="1"/>
  <c r="AH13" i="61"/>
  <c r="AH67" i="61" s="1"/>
  <c r="AD13" i="61"/>
  <c r="AD67" i="61" s="1"/>
  <c r="Z13" i="61"/>
  <c r="Z67" i="61" s="1"/>
  <c r="V13" i="61"/>
  <c r="V67" i="61" s="1"/>
  <c r="Q13" i="61"/>
  <c r="P13" i="61"/>
  <c r="O13" i="61"/>
  <c r="N13" i="61"/>
  <c r="M13" i="61"/>
  <c r="BC12" i="61"/>
  <c r="BD12" i="61" s="1"/>
  <c r="BE12" i="61" s="1"/>
  <c r="BF12" i="61" s="1"/>
  <c r="BG12" i="61" s="1"/>
  <c r="BB12" i="61"/>
  <c r="AX12" i="61"/>
  <c r="AT12" i="61"/>
  <c r="AP12" i="61"/>
  <c r="AL12" i="61"/>
  <c r="AH12" i="61"/>
  <c r="AD12" i="61"/>
  <c r="Z12" i="61"/>
  <c r="V12" i="61"/>
  <c r="M12" i="61"/>
  <c r="AX11" i="61"/>
  <c r="AT11" i="61"/>
  <c r="AP11" i="61"/>
  <c r="AL11" i="61"/>
  <c r="AH11" i="61"/>
  <c r="AD11" i="61"/>
  <c r="Z11" i="61"/>
  <c r="T11" i="61"/>
  <c r="V11" i="61" s="1"/>
  <c r="Q11" i="61"/>
  <c r="P11" i="61"/>
  <c r="O11" i="61"/>
  <c r="N11" i="61"/>
  <c r="M11" i="61"/>
  <c r="AX10" i="61"/>
  <c r="AT10" i="61"/>
  <c r="AP10" i="61"/>
  <c r="AL10" i="61"/>
  <c r="AH10" i="61"/>
  <c r="AD10" i="61"/>
  <c r="Z10" i="61"/>
  <c r="V10" i="61"/>
  <c r="Q10" i="61"/>
  <c r="P10" i="61"/>
  <c r="O10" i="61"/>
  <c r="N10" i="61"/>
  <c r="M10" i="61"/>
  <c r="BA9" i="61"/>
  <c r="AZ9" i="61"/>
  <c r="AY9" i="61"/>
  <c r="AY10" i="60" s="1"/>
  <c r="AW9" i="61"/>
  <c r="AV9" i="61"/>
  <c r="AU9" i="61"/>
  <c r="AL9" i="61"/>
  <c r="AH9" i="61"/>
  <c r="AD9" i="61"/>
  <c r="Z9" i="61"/>
  <c r="Z10" i="60" s="1"/>
  <c r="V9" i="61"/>
  <c r="L9" i="61"/>
  <c r="AX9" i="61" s="1"/>
  <c r="AX10" i="60" s="1"/>
  <c r="K9" i="61"/>
  <c r="AT9" i="61" s="1"/>
  <c r="AT10" i="60" s="1"/>
  <c r="J9" i="61"/>
  <c r="AP9" i="61" s="1"/>
  <c r="AP10" i="60" s="1"/>
  <c r="AX8" i="61"/>
  <c r="AX7" i="61"/>
  <c r="AX5" i="61"/>
  <c r="AT5" i="61"/>
  <c r="AP5" i="61"/>
  <c r="AL5" i="61"/>
  <c r="AH5" i="61"/>
  <c r="AD5" i="61"/>
  <c r="Z5" i="61"/>
  <c r="V5" i="61"/>
  <c r="BA70" i="60"/>
  <c r="AZ70" i="60"/>
  <c r="AY70" i="60"/>
  <c r="AX70" i="60"/>
  <c r="AW70" i="60"/>
  <c r="AV70" i="60"/>
  <c r="AU70" i="60"/>
  <c r="AT70" i="60"/>
  <c r="AS70" i="60"/>
  <c r="AR70" i="60"/>
  <c r="AQ70" i="60"/>
  <c r="AP70" i="60"/>
  <c r="AO70" i="60"/>
  <c r="AN70" i="60"/>
  <c r="AM70" i="60"/>
  <c r="AL70" i="60"/>
  <c r="AK70" i="60"/>
  <c r="AJ70" i="60"/>
  <c r="AI70" i="60"/>
  <c r="AG70" i="60"/>
  <c r="AF70" i="60"/>
  <c r="AE70" i="60"/>
  <c r="AC70" i="60"/>
  <c r="AB70" i="60"/>
  <c r="AA70" i="60"/>
  <c r="Y70" i="60"/>
  <c r="X70" i="60"/>
  <c r="W70" i="60"/>
  <c r="U70" i="60"/>
  <c r="T70" i="60"/>
  <c r="S70" i="60"/>
  <c r="L70" i="60"/>
  <c r="K70" i="60"/>
  <c r="J70" i="60"/>
  <c r="I70" i="60"/>
  <c r="H70" i="60"/>
  <c r="G70" i="60"/>
  <c r="F70" i="60"/>
  <c r="E70" i="60"/>
  <c r="D70" i="60"/>
  <c r="C70" i="60"/>
  <c r="BA69" i="60"/>
  <c r="AZ69" i="60"/>
  <c r="AY69" i="60"/>
  <c r="AX69" i="60"/>
  <c r="AW69" i="60"/>
  <c r="AV69" i="60"/>
  <c r="AU69" i="60"/>
  <c r="AT69" i="60"/>
  <c r="AS69" i="60"/>
  <c r="AR69" i="60"/>
  <c r="AQ69" i="60"/>
  <c r="AP69" i="60"/>
  <c r="AO69" i="60"/>
  <c r="AN69" i="60"/>
  <c r="AM69" i="60"/>
  <c r="AL69" i="60"/>
  <c r="AK69" i="60"/>
  <c r="AJ69" i="60"/>
  <c r="AI69" i="60"/>
  <c r="AH69" i="60"/>
  <c r="AG69" i="60"/>
  <c r="AF69" i="60"/>
  <c r="AE69" i="60"/>
  <c r="AD69" i="60"/>
  <c r="AC69" i="60"/>
  <c r="AB69" i="60"/>
  <c r="AA69" i="60"/>
  <c r="Y69" i="60"/>
  <c r="X69" i="60"/>
  <c r="W69" i="60"/>
  <c r="U69" i="60"/>
  <c r="T69" i="60"/>
  <c r="S69" i="60"/>
  <c r="L69" i="60"/>
  <c r="K69" i="60"/>
  <c r="J69" i="60"/>
  <c r="I69" i="60"/>
  <c r="H69" i="60"/>
  <c r="G69" i="60"/>
  <c r="F69" i="60"/>
  <c r="E69" i="60"/>
  <c r="D69" i="60"/>
  <c r="C69" i="60"/>
  <c r="BA53" i="60"/>
  <c r="AZ53" i="60"/>
  <c r="AY53" i="60"/>
  <c r="AX53" i="60"/>
  <c r="AW53" i="60"/>
  <c r="AV53" i="60"/>
  <c r="AU53" i="60"/>
  <c r="AT53" i="60"/>
  <c r="AS53" i="60"/>
  <c r="AR53" i="60"/>
  <c r="AQ53" i="60"/>
  <c r="AP53" i="60"/>
  <c r="AO53" i="60"/>
  <c r="AN53" i="60"/>
  <c r="AM53" i="60"/>
  <c r="AL53" i="60"/>
  <c r="AK53" i="60"/>
  <c r="AJ53" i="60"/>
  <c r="AI53" i="60"/>
  <c r="AG53" i="60"/>
  <c r="AF53" i="60"/>
  <c r="AE53" i="60"/>
  <c r="AC53" i="60"/>
  <c r="AB53" i="60"/>
  <c r="AA53" i="60"/>
  <c r="Y53" i="60"/>
  <c r="X53" i="60"/>
  <c r="W53" i="60"/>
  <c r="U53" i="60"/>
  <c r="T53" i="60"/>
  <c r="S53" i="60"/>
  <c r="L53" i="60"/>
  <c r="K53" i="60"/>
  <c r="J53" i="60"/>
  <c r="I53" i="60"/>
  <c r="H53" i="60"/>
  <c r="G53" i="60"/>
  <c r="F53" i="60"/>
  <c r="E53" i="60"/>
  <c r="D53" i="60"/>
  <c r="C53" i="60"/>
  <c r="BA42" i="60"/>
  <c r="AZ42" i="60"/>
  <c r="AY42" i="60"/>
  <c r="AX42" i="60"/>
  <c r="AW42" i="60"/>
  <c r="AV42" i="60"/>
  <c r="AU42" i="60"/>
  <c r="AT42" i="60"/>
  <c r="AS42" i="60"/>
  <c r="AR42" i="60"/>
  <c r="AQ42" i="60"/>
  <c r="AP42" i="60"/>
  <c r="AO42" i="60"/>
  <c r="AN42" i="60"/>
  <c r="AM42" i="60"/>
  <c r="AL42" i="60"/>
  <c r="AK42" i="60"/>
  <c r="AJ42" i="60"/>
  <c r="AI42" i="60"/>
  <c r="AG42" i="60"/>
  <c r="AF42" i="60"/>
  <c r="AE42" i="60"/>
  <c r="AD42" i="60"/>
  <c r="AC42" i="60"/>
  <c r="AB42" i="60"/>
  <c r="AA42" i="60"/>
  <c r="Z42" i="60"/>
  <c r="Y42" i="60"/>
  <c r="X42" i="60"/>
  <c r="W42" i="60"/>
  <c r="U42" i="60"/>
  <c r="T42" i="60"/>
  <c r="S42" i="60"/>
  <c r="L42" i="60"/>
  <c r="K42" i="60"/>
  <c r="J42" i="60"/>
  <c r="I42" i="60"/>
  <c r="H42" i="60"/>
  <c r="G42" i="60"/>
  <c r="F42" i="60"/>
  <c r="E42" i="60"/>
  <c r="D42" i="60"/>
  <c r="C42" i="60"/>
  <c r="BA40" i="60"/>
  <c r="AZ40" i="60"/>
  <c r="AY40" i="60"/>
  <c r="AX40" i="60"/>
  <c r="AW40" i="60"/>
  <c r="AV40" i="60"/>
  <c r="AU40" i="60"/>
  <c r="AT40" i="60"/>
  <c r="AS40" i="60"/>
  <c r="AR40" i="60"/>
  <c r="AQ40" i="60"/>
  <c r="AP40" i="60"/>
  <c r="AO40" i="60"/>
  <c r="AN40" i="60"/>
  <c r="AM40" i="60"/>
  <c r="AL40" i="60"/>
  <c r="AK40" i="60"/>
  <c r="AJ40" i="60"/>
  <c r="AI40" i="60"/>
  <c r="AG40" i="60"/>
  <c r="AF40" i="60"/>
  <c r="AE40" i="60"/>
  <c r="AC40" i="60"/>
  <c r="AB40" i="60"/>
  <c r="AA40" i="60"/>
  <c r="Y40" i="60"/>
  <c r="X40" i="60"/>
  <c r="W40" i="60"/>
  <c r="U40" i="60"/>
  <c r="T40" i="60"/>
  <c r="S40" i="60"/>
  <c r="L40" i="60"/>
  <c r="K40" i="60"/>
  <c r="J40" i="60"/>
  <c r="I40" i="60"/>
  <c r="H40" i="60"/>
  <c r="G40" i="60"/>
  <c r="F40" i="60"/>
  <c r="E40" i="60"/>
  <c r="D40" i="60"/>
  <c r="C40" i="60"/>
  <c r="BA38" i="60"/>
  <c r="AZ38" i="60"/>
  <c r="AY38" i="60"/>
  <c r="AX38" i="60"/>
  <c r="AW38" i="60"/>
  <c r="AV38" i="60"/>
  <c r="AU38" i="60"/>
  <c r="AT38" i="60"/>
  <c r="AS38" i="60"/>
  <c r="AR38" i="60"/>
  <c r="AQ38" i="60"/>
  <c r="AP38" i="60"/>
  <c r="AO38" i="60"/>
  <c r="AN38" i="60"/>
  <c r="AM38" i="60"/>
  <c r="AL38" i="60"/>
  <c r="AK38" i="60"/>
  <c r="AJ38" i="60"/>
  <c r="AI38" i="60"/>
  <c r="AG38" i="60"/>
  <c r="AF38" i="60"/>
  <c r="AE38" i="60"/>
  <c r="AD38" i="60"/>
  <c r="AC38" i="60"/>
  <c r="AB38" i="60"/>
  <c r="AA38" i="60"/>
  <c r="Z38" i="60"/>
  <c r="Y38" i="60"/>
  <c r="X38" i="60"/>
  <c r="W38" i="60"/>
  <c r="V38" i="60"/>
  <c r="U38" i="60"/>
  <c r="T38" i="60"/>
  <c r="S38" i="60"/>
  <c r="L38" i="60"/>
  <c r="K38" i="60"/>
  <c r="J38" i="60"/>
  <c r="I38" i="60"/>
  <c r="H38" i="60"/>
  <c r="G38" i="60"/>
  <c r="F38" i="60"/>
  <c r="E38" i="60"/>
  <c r="D38" i="60"/>
  <c r="C38" i="60"/>
  <c r="BA36" i="60"/>
  <c r="AZ36" i="60"/>
  <c r="AZ44" i="60" s="1"/>
  <c r="AY36" i="60"/>
  <c r="AY44" i="60" s="1"/>
  <c r="AX36" i="60"/>
  <c r="AW36" i="60"/>
  <c r="AV36" i="60"/>
  <c r="AV44" i="60" s="1"/>
  <c r="AU36" i="60"/>
  <c r="AT36" i="60"/>
  <c r="AS36" i="60"/>
  <c r="AR36" i="60"/>
  <c r="AR44" i="60" s="1"/>
  <c r="AQ36" i="60"/>
  <c r="AP36" i="60"/>
  <c r="AO36" i="60"/>
  <c r="AN36" i="60"/>
  <c r="AN44" i="60" s="1"/>
  <c r="AM36" i="60"/>
  <c r="AL36" i="60"/>
  <c r="AK36" i="60"/>
  <c r="AJ36" i="60"/>
  <c r="AJ44" i="60" s="1"/>
  <c r="AI36" i="60"/>
  <c r="AG36" i="60"/>
  <c r="AF36" i="60"/>
  <c r="AF44" i="60" s="1"/>
  <c r="AE36" i="60"/>
  <c r="AC36" i="60"/>
  <c r="AB36" i="60"/>
  <c r="AB44" i="60" s="1"/>
  <c r="AA36" i="60"/>
  <c r="Y36" i="60"/>
  <c r="X36" i="60"/>
  <c r="X44" i="60" s="1"/>
  <c r="W36" i="60"/>
  <c r="U36" i="60"/>
  <c r="T36" i="60"/>
  <c r="T44" i="60" s="1"/>
  <c r="S36" i="60"/>
  <c r="L36" i="60"/>
  <c r="K36" i="60"/>
  <c r="K44" i="60" s="1"/>
  <c r="J36" i="60"/>
  <c r="I36" i="60"/>
  <c r="H36" i="60"/>
  <c r="G36" i="60"/>
  <c r="G44" i="60" s="1"/>
  <c r="F36" i="60"/>
  <c r="E36" i="60"/>
  <c r="D36" i="60"/>
  <c r="C36" i="60"/>
  <c r="C44" i="60" s="1"/>
  <c r="U32" i="60"/>
  <c r="BA29" i="60"/>
  <c r="AZ29" i="60"/>
  <c r="AY29" i="60"/>
  <c r="AX29" i="60"/>
  <c r="AW29" i="60"/>
  <c r="AV29" i="60"/>
  <c r="AU29" i="60"/>
  <c r="AT29" i="60"/>
  <c r="AS29" i="60"/>
  <c r="AP29" i="60"/>
  <c r="AL29" i="60"/>
  <c r="AK29" i="60"/>
  <c r="AJ29" i="60"/>
  <c r="AI29" i="60"/>
  <c r="AH29" i="60"/>
  <c r="AG29" i="60"/>
  <c r="AF29" i="60"/>
  <c r="AE29" i="60"/>
  <c r="AD29" i="60"/>
  <c r="AC29" i="60"/>
  <c r="AB29" i="60"/>
  <c r="AA29" i="60"/>
  <c r="Z29" i="60"/>
  <c r="Y29" i="60"/>
  <c r="X29" i="60"/>
  <c r="W29" i="60"/>
  <c r="V29" i="60"/>
  <c r="U29" i="60"/>
  <c r="T29" i="60"/>
  <c r="S29" i="60"/>
  <c r="L29" i="60"/>
  <c r="K29" i="60"/>
  <c r="J29" i="60"/>
  <c r="I29" i="60"/>
  <c r="H29" i="60"/>
  <c r="G29" i="60"/>
  <c r="F29" i="60"/>
  <c r="E29" i="60"/>
  <c r="D29" i="60"/>
  <c r="C29" i="60"/>
  <c r="AP27" i="60"/>
  <c r="AS26" i="60"/>
  <c r="AO26" i="60"/>
  <c r="Y26" i="60"/>
  <c r="E26" i="60"/>
  <c r="BA25" i="60"/>
  <c r="BA32" i="60" s="1"/>
  <c r="AZ25" i="60"/>
  <c r="AY25" i="60"/>
  <c r="AX25" i="60"/>
  <c r="AX41" i="60" s="1"/>
  <c r="AW25" i="60"/>
  <c r="AW32" i="60" s="1"/>
  <c r="AV25" i="60"/>
  <c r="AU25" i="60"/>
  <c r="AT25" i="60"/>
  <c r="AS25" i="60"/>
  <c r="AR25" i="60"/>
  <c r="AQ25" i="60"/>
  <c r="AP25" i="60"/>
  <c r="AO25" i="60"/>
  <c r="AN25" i="60"/>
  <c r="AM25" i="60"/>
  <c r="AL25" i="60"/>
  <c r="AK25" i="60"/>
  <c r="AK26" i="60" s="1"/>
  <c r="AJ25" i="60"/>
  <c r="AI25" i="60"/>
  <c r="AG25" i="60"/>
  <c r="AF25" i="60"/>
  <c r="AF30" i="60" s="1"/>
  <c r="AE25" i="60"/>
  <c r="AC25" i="60"/>
  <c r="AC26" i="60" s="1"/>
  <c r="AB25" i="60"/>
  <c r="AB30" i="60" s="1"/>
  <c r="AA25" i="60"/>
  <c r="Y25" i="60"/>
  <c r="X25" i="60"/>
  <c r="W25" i="60"/>
  <c r="U25" i="60"/>
  <c r="T25" i="60"/>
  <c r="S25" i="60"/>
  <c r="S32" i="60" s="1"/>
  <c r="L25" i="60"/>
  <c r="L30" i="60" s="1"/>
  <c r="K25" i="60"/>
  <c r="J25" i="60"/>
  <c r="I25" i="60"/>
  <c r="H25" i="60"/>
  <c r="H30" i="60" s="1"/>
  <c r="G25" i="60"/>
  <c r="F25" i="60"/>
  <c r="E25" i="60"/>
  <c r="D25" i="60"/>
  <c r="C25" i="60"/>
  <c r="Q22" i="60"/>
  <c r="P22" i="60"/>
  <c r="O22" i="60"/>
  <c r="N22" i="60"/>
  <c r="M22" i="60"/>
  <c r="Q21" i="60"/>
  <c r="P21" i="60"/>
  <c r="O21" i="60"/>
  <c r="N21" i="60"/>
  <c r="M21" i="60"/>
  <c r="Q20" i="60"/>
  <c r="P20" i="60"/>
  <c r="O20" i="60"/>
  <c r="N20" i="60"/>
  <c r="M20" i="60"/>
  <c r="Q19" i="60"/>
  <c r="P19" i="60"/>
  <c r="O19" i="60"/>
  <c r="N19" i="60"/>
  <c r="M19" i="60"/>
  <c r="Q18" i="60"/>
  <c r="P18" i="60"/>
  <c r="O18" i="60"/>
  <c r="N18" i="60"/>
  <c r="M18" i="60"/>
  <c r="Q17" i="60"/>
  <c r="P17" i="60"/>
  <c r="O17" i="60"/>
  <c r="N17" i="60"/>
  <c r="M17" i="60"/>
  <c r="Q16" i="60"/>
  <c r="P16" i="60"/>
  <c r="O16" i="60"/>
  <c r="N16" i="60"/>
  <c r="M16" i="60"/>
  <c r="Q15" i="60"/>
  <c r="P15" i="60"/>
  <c r="O15" i="60"/>
  <c r="N15" i="60"/>
  <c r="M15" i="60"/>
  <c r="Q14" i="60"/>
  <c r="P14" i="60"/>
  <c r="O14" i="60"/>
  <c r="N14" i="60"/>
  <c r="M14" i="60"/>
  <c r="Q13" i="60"/>
  <c r="P13" i="60"/>
  <c r="O13" i="60"/>
  <c r="N13" i="60"/>
  <c r="M13" i="60"/>
  <c r="Q12" i="60"/>
  <c r="P12" i="60"/>
  <c r="O12" i="60"/>
  <c r="N12" i="60"/>
  <c r="M12" i="60"/>
  <c r="BA10" i="60"/>
  <c r="AZ10" i="60"/>
  <c r="AW10" i="60"/>
  <c r="AV10" i="60"/>
  <c r="AU10" i="60"/>
  <c r="AS10" i="60"/>
  <c r="AR10" i="60"/>
  <c r="AQ10" i="60"/>
  <c r="AO10" i="60"/>
  <c r="AN10" i="60"/>
  <c r="AM10" i="60"/>
  <c r="AL10" i="60"/>
  <c r="AK10" i="60"/>
  <c r="AJ10" i="60"/>
  <c r="AI10" i="60"/>
  <c r="AH10" i="60"/>
  <c r="AG10" i="60"/>
  <c r="AF10" i="60"/>
  <c r="AE10" i="60"/>
  <c r="AD10" i="60"/>
  <c r="AC10" i="60"/>
  <c r="AB10" i="60"/>
  <c r="AA10" i="60"/>
  <c r="Y10" i="60"/>
  <c r="X10" i="60"/>
  <c r="W10" i="60"/>
  <c r="V10" i="60"/>
  <c r="U10" i="60"/>
  <c r="T10" i="60"/>
  <c r="S10" i="60"/>
  <c r="L10" i="60"/>
  <c r="K10" i="60"/>
  <c r="J10" i="60"/>
  <c r="I10" i="60"/>
  <c r="H10" i="60"/>
  <c r="G10" i="60"/>
  <c r="F10" i="60"/>
  <c r="E10" i="60"/>
  <c r="D10" i="60"/>
  <c r="C10" i="60"/>
  <c r="BA8" i="60"/>
  <c r="AZ8" i="60"/>
  <c r="AY8" i="60"/>
  <c r="AX8" i="60"/>
  <c r="AW8" i="60"/>
  <c r="AV8" i="60"/>
  <c r="AU8" i="60"/>
  <c r="AT8" i="60"/>
  <c r="AS8" i="60"/>
  <c r="AR8" i="60"/>
  <c r="AQ8" i="60"/>
  <c r="AP8" i="60"/>
  <c r="AO8" i="60"/>
  <c r="AN8" i="60"/>
  <c r="AM8" i="60"/>
  <c r="AL8" i="60"/>
  <c r="AK8" i="60"/>
  <c r="AJ8" i="60"/>
  <c r="AI8" i="60"/>
  <c r="AH8" i="60"/>
  <c r="AG8" i="60"/>
  <c r="AF8" i="60"/>
  <c r="AE8" i="60"/>
  <c r="AD8" i="60"/>
  <c r="AC8" i="60"/>
  <c r="AB8" i="60"/>
  <c r="AA8" i="60"/>
  <c r="Y8" i="60"/>
  <c r="X8" i="60"/>
  <c r="W8" i="60"/>
  <c r="U8" i="60"/>
  <c r="T8" i="60"/>
  <c r="S8" i="60"/>
  <c r="L8" i="60"/>
  <c r="K8" i="60"/>
  <c r="J8" i="60"/>
  <c r="I8" i="60"/>
  <c r="H8" i="60"/>
  <c r="G8" i="60"/>
  <c r="F8" i="60"/>
  <c r="E8" i="60"/>
  <c r="D8" i="60"/>
  <c r="C8" i="60"/>
  <c r="BA7" i="60"/>
  <c r="AZ7" i="60"/>
  <c r="AY7" i="60"/>
  <c r="AX7" i="60"/>
  <c r="AW7" i="60"/>
  <c r="AV7" i="60"/>
  <c r="AU7" i="60"/>
  <c r="AT7" i="60"/>
  <c r="AS7" i="60"/>
  <c r="AR7" i="60"/>
  <c r="AQ7" i="60"/>
  <c r="AP7" i="60"/>
  <c r="AO7" i="60"/>
  <c r="AN7" i="60"/>
  <c r="AM7" i="60"/>
  <c r="AL7" i="60"/>
  <c r="AK7" i="60"/>
  <c r="AJ7" i="60"/>
  <c r="AI7" i="60"/>
  <c r="AG7" i="60"/>
  <c r="AF7" i="60"/>
  <c r="AF56" i="60" s="1"/>
  <c r="AE7" i="60"/>
  <c r="AE56" i="60" s="1"/>
  <c r="AC7" i="60"/>
  <c r="AB7" i="60"/>
  <c r="AB56" i="60" s="1"/>
  <c r="AA7" i="60"/>
  <c r="AA56" i="60" s="1"/>
  <c r="Y7" i="60"/>
  <c r="X7" i="60"/>
  <c r="W7" i="60"/>
  <c r="W56" i="60" s="1"/>
  <c r="U7" i="60"/>
  <c r="T7" i="60"/>
  <c r="S7" i="60"/>
  <c r="L7" i="60"/>
  <c r="K7" i="60"/>
  <c r="J7" i="60"/>
  <c r="I7" i="60"/>
  <c r="H7" i="60"/>
  <c r="G7" i="60"/>
  <c r="F7" i="60"/>
  <c r="E7" i="60"/>
  <c r="D7" i="60"/>
  <c r="C7" i="60"/>
  <c r="BA6" i="60"/>
  <c r="AZ6" i="60"/>
  <c r="AY6" i="60"/>
  <c r="AX6" i="60"/>
  <c r="AW6" i="60"/>
  <c r="AV6" i="60"/>
  <c r="AU6" i="60"/>
  <c r="AT6" i="60"/>
  <c r="AS6" i="60"/>
  <c r="AR6" i="60"/>
  <c r="AQ6" i="60"/>
  <c r="AP6" i="60"/>
  <c r="AO6" i="60"/>
  <c r="AN6" i="60"/>
  <c r="AM6" i="60"/>
  <c r="AL6" i="60"/>
  <c r="AK6" i="60"/>
  <c r="AJ6" i="60"/>
  <c r="AI6" i="60"/>
  <c r="AG6" i="60"/>
  <c r="AF6" i="60"/>
  <c r="AE6" i="60"/>
  <c r="AC6" i="60"/>
  <c r="AB6" i="60"/>
  <c r="AA6" i="60"/>
  <c r="Z6" i="60"/>
  <c r="Y6" i="60"/>
  <c r="X6" i="60"/>
  <c r="W6" i="60"/>
  <c r="V6" i="60"/>
  <c r="U6" i="60"/>
  <c r="T6" i="60"/>
  <c r="S6" i="60"/>
  <c r="L6" i="60"/>
  <c r="K6" i="60"/>
  <c r="J6" i="60"/>
  <c r="I6" i="60"/>
  <c r="H6" i="60"/>
  <c r="G6" i="60"/>
  <c r="F6" i="60"/>
  <c r="E6" i="60"/>
  <c r="D6" i="60"/>
  <c r="C6" i="60"/>
  <c r="BA5" i="60"/>
  <c r="AZ5" i="60"/>
  <c r="AY5" i="60"/>
  <c r="AX5" i="60"/>
  <c r="AW5" i="60"/>
  <c r="AV5" i="60"/>
  <c r="AU5" i="60"/>
  <c r="AT5" i="60"/>
  <c r="AS5" i="60"/>
  <c r="AR5" i="60"/>
  <c r="AQ5" i="60"/>
  <c r="AP5" i="60"/>
  <c r="AO5" i="60"/>
  <c r="AN5" i="60"/>
  <c r="AM5" i="60"/>
  <c r="AL5" i="60"/>
  <c r="AK5" i="60"/>
  <c r="AJ5" i="60"/>
  <c r="AI5" i="60"/>
  <c r="AG5" i="60"/>
  <c r="AF5" i="60"/>
  <c r="AE5" i="60"/>
  <c r="AC5" i="60"/>
  <c r="AB5" i="60"/>
  <c r="AA5" i="60"/>
  <c r="Y5" i="60"/>
  <c r="X5" i="60"/>
  <c r="W5" i="60"/>
  <c r="U5" i="60"/>
  <c r="T5" i="60"/>
  <c r="S5" i="60"/>
  <c r="L5" i="60"/>
  <c r="K5" i="60"/>
  <c r="J5" i="60"/>
  <c r="I5" i="60"/>
  <c r="H5" i="60"/>
  <c r="G5" i="60"/>
  <c r="F5" i="60"/>
  <c r="E5" i="60"/>
  <c r="D5" i="60"/>
  <c r="C5" i="60"/>
  <c r="BA72" i="59"/>
  <c r="AZ72" i="59"/>
  <c r="AY72" i="59"/>
  <c r="AW72" i="59"/>
  <c r="AV72" i="59"/>
  <c r="AU72" i="59"/>
  <c r="AS72" i="59"/>
  <c r="AR72" i="59"/>
  <c r="AQ72" i="59"/>
  <c r="AO72" i="59"/>
  <c r="AN72" i="59"/>
  <c r="AM72" i="59"/>
  <c r="AK72" i="59"/>
  <c r="AJ72" i="59"/>
  <c r="AI72" i="59"/>
  <c r="AG72" i="59"/>
  <c r="AF72" i="59"/>
  <c r="AE72" i="59"/>
  <c r="AC72" i="59"/>
  <c r="AB72" i="59"/>
  <c r="AA72" i="59"/>
  <c r="Y72" i="59"/>
  <c r="X72" i="59"/>
  <c r="W72" i="59"/>
  <c r="U72" i="59"/>
  <c r="T72" i="59"/>
  <c r="S72" i="59"/>
  <c r="BC71" i="59"/>
  <c r="BD71" i="59" s="1"/>
  <c r="BE71" i="59" s="1"/>
  <c r="BF71" i="59" s="1"/>
  <c r="BG71" i="59" s="1"/>
  <c r="BH71" i="59" s="1"/>
  <c r="BI71" i="59" s="1"/>
  <c r="BJ71" i="59" s="1"/>
  <c r="BK71" i="59" s="1"/>
  <c r="BL71" i="59" s="1"/>
  <c r="BM71" i="59" s="1"/>
  <c r="BN71" i="59" s="1"/>
  <c r="BO71" i="59" s="1"/>
  <c r="BP71" i="59" s="1"/>
  <c r="BQ71" i="59" s="1"/>
  <c r="BR71" i="59" s="1"/>
  <c r="BB71" i="59"/>
  <c r="L70" i="59"/>
  <c r="K70" i="59"/>
  <c r="J70" i="59"/>
  <c r="I70" i="59"/>
  <c r="H70" i="59"/>
  <c r="G70" i="59"/>
  <c r="F70" i="59"/>
  <c r="E70" i="59"/>
  <c r="BA67" i="59"/>
  <c r="BB67" i="59" s="1"/>
  <c r="BC67" i="59" s="1"/>
  <c r="BD67" i="59" s="1"/>
  <c r="BE67" i="59" s="1"/>
  <c r="BF67" i="59" s="1"/>
  <c r="BG67" i="59" s="1"/>
  <c r="BH67" i="59" s="1"/>
  <c r="BI67" i="59" s="1"/>
  <c r="BJ67" i="59" s="1"/>
  <c r="BK67" i="59" s="1"/>
  <c r="BL67" i="59" s="1"/>
  <c r="BM67" i="59" s="1"/>
  <c r="BN67" i="59" s="1"/>
  <c r="BO67" i="59" s="1"/>
  <c r="BP67" i="59" s="1"/>
  <c r="BQ67" i="59" s="1"/>
  <c r="BR67" i="59" s="1"/>
  <c r="AZ67" i="59"/>
  <c r="AY67" i="59"/>
  <c r="AX67" i="59"/>
  <c r="AW67" i="59"/>
  <c r="AV67" i="59"/>
  <c r="AU67" i="59"/>
  <c r="AT67" i="59"/>
  <c r="AS67" i="59"/>
  <c r="AR67" i="59"/>
  <c r="AQ67" i="59"/>
  <c r="AP67" i="59"/>
  <c r="AO67" i="59"/>
  <c r="AN67" i="59"/>
  <c r="AM67" i="59"/>
  <c r="AL67" i="59"/>
  <c r="AK67" i="59"/>
  <c r="AJ67" i="59"/>
  <c r="AI67" i="59"/>
  <c r="AG67" i="59"/>
  <c r="AF67" i="59"/>
  <c r="AE67" i="59"/>
  <c r="AC67" i="59"/>
  <c r="AB67" i="59"/>
  <c r="AA67" i="59"/>
  <c r="Y67" i="59"/>
  <c r="X67" i="59"/>
  <c r="W67" i="59"/>
  <c r="U67" i="59"/>
  <c r="T67" i="59"/>
  <c r="S67" i="59"/>
  <c r="L67" i="59"/>
  <c r="K67" i="59"/>
  <c r="J67" i="59"/>
  <c r="I67" i="59"/>
  <c r="H67" i="59"/>
  <c r="G67" i="59"/>
  <c r="F67" i="59"/>
  <c r="E67" i="59"/>
  <c r="D67" i="59"/>
  <c r="C67" i="59"/>
  <c r="AH66" i="59"/>
  <c r="AD66" i="59"/>
  <c r="AD70" i="60" s="1"/>
  <c r="Z66" i="59"/>
  <c r="Z70" i="60" s="1"/>
  <c r="V66" i="59"/>
  <c r="BB65" i="59"/>
  <c r="AH65" i="59"/>
  <c r="AD65" i="59"/>
  <c r="AD67" i="59" s="1"/>
  <c r="Z65" i="59"/>
  <c r="Z67" i="59" s="1"/>
  <c r="V65" i="59"/>
  <c r="V69" i="60" s="1"/>
  <c r="BA62" i="59"/>
  <c r="AZ62" i="59"/>
  <c r="AY62" i="59"/>
  <c r="AX62" i="59"/>
  <c r="AW62" i="59"/>
  <c r="AV62" i="59"/>
  <c r="AG62" i="59"/>
  <c r="AF62" i="59"/>
  <c r="AC62" i="59"/>
  <c r="AB62" i="59"/>
  <c r="AA62" i="59"/>
  <c r="Y62" i="59"/>
  <c r="X62" i="59"/>
  <c r="W62" i="59"/>
  <c r="U62" i="59"/>
  <c r="T62" i="59"/>
  <c r="BA61" i="59"/>
  <c r="AZ61" i="59"/>
  <c r="AY61" i="59"/>
  <c r="AI61" i="59"/>
  <c r="AG61" i="59"/>
  <c r="AF61" i="59"/>
  <c r="AE61" i="59"/>
  <c r="AC61" i="59"/>
  <c r="AB61" i="59"/>
  <c r="AA61" i="59"/>
  <c r="Y61" i="59"/>
  <c r="X61" i="59"/>
  <c r="W61" i="59"/>
  <c r="L61" i="59"/>
  <c r="K61" i="59"/>
  <c r="J61" i="59"/>
  <c r="I61" i="59"/>
  <c r="H61" i="59"/>
  <c r="G61" i="59"/>
  <c r="F61" i="59"/>
  <c r="E61" i="59"/>
  <c r="D61" i="59"/>
  <c r="AH60" i="59"/>
  <c r="AD60" i="59"/>
  <c r="AE62" i="59" s="1"/>
  <c r="Z60" i="59"/>
  <c r="Z62" i="59" s="1"/>
  <c r="V60" i="59"/>
  <c r="V62" i="59" s="1"/>
  <c r="AH59" i="59"/>
  <c r="AD59" i="59"/>
  <c r="Z59" i="59"/>
  <c r="V59" i="59"/>
  <c r="BA56" i="59"/>
  <c r="AX56" i="59"/>
  <c r="AP56" i="59"/>
  <c r="AO56" i="59"/>
  <c r="I56" i="59"/>
  <c r="D56" i="59"/>
  <c r="C56" i="59"/>
  <c r="BA55" i="59"/>
  <c r="AZ55" i="59"/>
  <c r="AS55" i="59"/>
  <c r="AR55" i="59"/>
  <c r="AK55" i="59"/>
  <c r="AJ55" i="59"/>
  <c r="X55" i="59"/>
  <c r="T55" i="59"/>
  <c r="D55" i="59"/>
  <c r="C55" i="59"/>
  <c r="BA54" i="59"/>
  <c r="AZ54" i="59"/>
  <c r="AZ56" i="59" s="1"/>
  <c r="AY54" i="59"/>
  <c r="AX54" i="59"/>
  <c r="AX55" i="59" s="1"/>
  <c r="AW54" i="59"/>
  <c r="AW56" i="59" s="1"/>
  <c r="AV54" i="59"/>
  <c r="AV56" i="59" s="1"/>
  <c r="AU54" i="59"/>
  <c r="AT54" i="59"/>
  <c r="AT55" i="59" s="1"/>
  <c r="AS54" i="59"/>
  <c r="AS56" i="59" s="1"/>
  <c r="AR54" i="59"/>
  <c r="AR56" i="59" s="1"/>
  <c r="AQ54" i="59"/>
  <c r="AP54" i="59"/>
  <c r="AP55" i="59" s="1"/>
  <c r="AO54" i="59"/>
  <c r="AO55" i="59" s="1"/>
  <c r="AN54" i="59"/>
  <c r="AN56" i="59" s="1"/>
  <c r="AM54" i="59"/>
  <c r="AL54" i="59"/>
  <c r="AL55" i="59" s="1"/>
  <c r="AK54" i="59"/>
  <c r="AK56" i="59" s="1"/>
  <c r="AJ54" i="59"/>
  <c r="AJ56" i="59" s="1"/>
  <c r="AI54" i="59"/>
  <c r="AG54" i="59"/>
  <c r="AG56" i="59" s="1"/>
  <c r="AF54" i="59"/>
  <c r="AF56" i="59" s="1"/>
  <c r="AE54" i="59"/>
  <c r="AE56" i="59" s="1"/>
  <c r="AD54" i="59"/>
  <c r="AC54" i="59"/>
  <c r="AC55" i="59" s="1"/>
  <c r="AB54" i="59"/>
  <c r="AB56" i="59" s="1"/>
  <c r="AA54" i="59"/>
  <c r="Z54" i="59"/>
  <c r="Z56" i="59" s="1"/>
  <c r="Y54" i="59"/>
  <c r="Y56" i="59" s="1"/>
  <c r="X54" i="59"/>
  <c r="X56" i="59" s="1"/>
  <c r="W54" i="59"/>
  <c r="U54" i="59"/>
  <c r="U56" i="59" s="1"/>
  <c r="T54" i="59"/>
  <c r="T56" i="59" s="1"/>
  <c r="S54" i="59"/>
  <c r="L54" i="59"/>
  <c r="L55" i="59" s="1"/>
  <c r="K54" i="59"/>
  <c r="J54" i="59"/>
  <c r="I54" i="59"/>
  <c r="I55" i="59" s="1"/>
  <c r="H54" i="59"/>
  <c r="H56" i="59" s="1"/>
  <c r="G54" i="59"/>
  <c r="F54" i="59"/>
  <c r="E54" i="59"/>
  <c r="E55" i="59" s="1"/>
  <c r="BB52" i="59"/>
  <c r="M52" i="59" s="1"/>
  <c r="BB51" i="59"/>
  <c r="BA49" i="59"/>
  <c r="AZ49" i="59"/>
  <c r="AY49" i="59"/>
  <c r="AX49" i="59"/>
  <c r="AW49" i="59"/>
  <c r="AV49" i="59"/>
  <c r="AU49" i="59"/>
  <c r="AT49" i="59"/>
  <c r="AS49" i="59"/>
  <c r="AR49" i="59"/>
  <c r="AQ49" i="59"/>
  <c r="AP49" i="59"/>
  <c r="AO49" i="59"/>
  <c r="AN49" i="59"/>
  <c r="AM49" i="59"/>
  <c r="AL49" i="59"/>
  <c r="AK49" i="59"/>
  <c r="AJ49" i="59"/>
  <c r="AI49" i="59"/>
  <c r="AG49" i="59"/>
  <c r="AF49" i="59"/>
  <c r="AE49" i="59"/>
  <c r="AC49" i="59"/>
  <c r="AB49" i="59"/>
  <c r="AA49" i="59"/>
  <c r="Y49" i="59"/>
  <c r="X49" i="59"/>
  <c r="W49" i="59"/>
  <c r="U49" i="59"/>
  <c r="T49" i="59"/>
  <c r="S49" i="59"/>
  <c r="L49" i="59"/>
  <c r="K49" i="59"/>
  <c r="J49" i="59"/>
  <c r="I49" i="59"/>
  <c r="H49" i="59"/>
  <c r="G49" i="59"/>
  <c r="F49" i="59"/>
  <c r="E49" i="59"/>
  <c r="D49" i="59"/>
  <c r="C49" i="59"/>
  <c r="BA48" i="59"/>
  <c r="AZ48" i="59"/>
  <c r="AY48" i="59"/>
  <c r="AX48" i="59"/>
  <c r="AW48" i="59"/>
  <c r="AV48" i="59"/>
  <c r="AU48" i="59"/>
  <c r="AT48" i="59"/>
  <c r="AS48" i="59"/>
  <c r="AR48" i="59"/>
  <c r="AQ48" i="59"/>
  <c r="AP48" i="59"/>
  <c r="AO48" i="59"/>
  <c r="AN48" i="59"/>
  <c r="AM48" i="59"/>
  <c r="AL48" i="59"/>
  <c r="AK48" i="59"/>
  <c r="AJ48" i="59"/>
  <c r="AI48" i="59"/>
  <c r="AG48" i="59"/>
  <c r="AF48" i="59"/>
  <c r="AE48" i="59"/>
  <c r="AC48" i="59"/>
  <c r="AB48" i="59"/>
  <c r="AA48" i="59"/>
  <c r="Y48" i="59"/>
  <c r="X48" i="59"/>
  <c r="W48" i="59"/>
  <c r="U48" i="59"/>
  <c r="T48" i="59"/>
  <c r="S48" i="59"/>
  <c r="L48" i="59"/>
  <c r="K48" i="59"/>
  <c r="J48" i="59"/>
  <c r="I48" i="59"/>
  <c r="H48" i="59"/>
  <c r="G48" i="59"/>
  <c r="F48" i="59"/>
  <c r="E48" i="59"/>
  <c r="D48" i="59"/>
  <c r="C48" i="59"/>
  <c r="AH47" i="59"/>
  <c r="AH54" i="59" s="1"/>
  <c r="AD47" i="59"/>
  <c r="Z47" i="59"/>
  <c r="Z5" i="60" s="1"/>
  <c r="V47" i="59"/>
  <c r="V5" i="60" s="1"/>
  <c r="BC45" i="59"/>
  <c r="BD45" i="59" s="1"/>
  <c r="BA45" i="59"/>
  <c r="BB45" i="59" s="1"/>
  <c r="AZ45" i="59"/>
  <c r="AY45" i="59"/>
  <c r="AX45" i="59"/>
  <c r="AW45" i="59"/>
  <c r="AV45" i="59"/>
  <c r="AU45" i="59"/>
  <c r="AT45" i="59"/>
  <c r="AS45" i="59"/>
  <c r="AR45" i="59"/>
  <c r="AQ45" i="59"/>
  <c r="AP45" i="59"/>
  <c r="AO45" i="59"/>
  <c r="AN45" i="59"/>
  <c r="AM45" i="59"/>
  <c r="AL45" i="59"/>
  <c r="AK45" i="59"/>
  <c r="AJ45" i="59"/>
  <c r="AI45" i="59"/>
  <c r="AG45" i="59"/>
  <c r="AF45" i="59"/>
  <c r="AE45" i="59"/>
  <c r="AC45" i="59"/>
  <c r="AB45" i="59"/>
  <c r="AA45" i="59"/>
  <c r="Y45" i="59"/>
  <c r="X45" i="59"/>
  <c r="W45" i="59"/>
  <c r="U45" i="59"/>
  <c r="T45" i="59"/>
  <c r="S45" i="59"/>
  <c r="L45" i="59"/>
  <c r="K45" i="59"/>
  <c r="J45" i="59"/>
  <c r="I45" i="59"/>
  <c r="H45" i="59"/>
  <c r="G45" i="59"/>
  <c r="F45" i="59"/>
  <c r="E45" i="59"/>
  <c r="D45" i="59"/>
  <c r="C45" i="59"/>
  <c r="AH44" i="59"/>
  <c r="AD44" i="59"/>
  <c r="AD6" i="60" s="1"/>
  <c r="Z44" i="59"/>
  <c r="V44" i="59"/>
  <c r="BA43" i="59"/>
  <c r="AZ43" i="59"/>
  <c r="AY43" i="59"/>
  <c r="AX43" i="59"/>
  <c r="AW43" i="59"/>
  <c r="AV43" i="59"/>
  <c r="AU43" i="59"/>
  <c r="AT43" i="59"/>
  <c r="AS43" i="59"/>
  <c r="AR43" i="59"/>
  <c r="AQ43" i="59"/>
  <c r="AP43" i="59"/>
  <c r="AO43" i="59"/>
  <c r="AN43" i="59"/>
  <c r="AM43" i="59"/>
  <c r="AL43" i="59"/>
  <c r="AK43" i="59"/>
  <c r="AJ43" i="59"/>
  <c r="AI43" i="59"/>
  <c r="AG43" i="59"/>
  <c r="AF43" i="59"/>
  <c r="AE43" i="59"/>
  <c r="AC43" i="59"/>
  <c r="AB43" i="59"/>
  <c r="AA43" i="59"/>
  <c r="Y43" i="59"/>
  <c r="X43" i="59"/>
  <c r="W43" i="59"/>
  <c r="U43" i="59"/>
  <c r="T43" i="59"/>
  <c r="S43" i="59"/>
  <c r="L43" i="59"/>
  <c r="K43" i="59"/>
  <c r="J43" i="59"/>
  <c r="I43" i="59"/>
  <c r="H43" i="59"/>
  <c r="G43" i="59"/>
  <c r="F43" i="59"/>
  <c r="E43" i="59"/>
  <c r="D43" i="59"/>
  <c r="C43" i="59"/>
  <c r="AH42" i="59"/>
  <c r="AH49" i="59" s="1"/>
  <c r="AD42" i="59"/>
  <c r="Z42" i="59"/>
  <c r="Z49" i="59" s="1"/>
  <c r="V42" i="59"/>
  <c r="V49" i="59" s="1"/>
  <c r="BA40" i="59"/>
  <c r="AZ40" i="59"/>
  <c r="AY40" i="59"/>
  <c r="AX40" i="59"/>
  <c r="AW40" i="59"/>
  <c r="AV40" i="59"/>
  <c r="AU40" i="59"/>
  <c r="AT40" i="59"/>
  <c r="AS40" i="59"/>
  <c r="AR40" i="59"/>
  <c r="AQ40" i="59"/>
  <c r="AP40" i="59"/>
  <c r="AO40" i="59"/>
  <c r="AN40" i="59"/>
  <c r="AM40" i="59"/>
  <c r="AL40" i="59"/>
  <c r="AK40" i="59"/>
  <c r="AJ40" i="59"/>
  <c r="AI40" i="59"/>
  <c r="AG40" i="59"/>
  <c r="AF40" i="59"/>
  <c r="AE40" i="59"/>
  <c r="AC40" i="59"/>
  <c r="AB40" i="59"/>
  <c r="AA40" i="59"/>
  <c r="Y40" i="59"/>
  <c r="X40" i="59"/>
  <c r="W40" i="59"/>
  <c r="U40" i="59"/>
  <c r="T40" i="59"/>
  <c r="S40" i="59"/>
  <c r="L40" i="59"/>
  <c r="K40" i="59"/>
  <c r="J40" i="59"/>
  <c r="I40" i="59"/>
  <c r="H40" i="59"/>
  <c r="G40" i="59"/>
  <c r="F40" i="59"/>
  <c r="E40" i="59"/>
  <c r="D40" i="59"/>
  <c r="C40" i="59"/>
  <c r="AH39" i="59"/>
  <c r="AD39" i="59"/>
  <c r="Z39" i="59"/>
  <c r="V39" i="59"/>
  <c r="BB38" i="59"/>
  <c r="BB7" i="60" s="1"/>
  <c r="AH38" i="59"/>
  <c r="AH7" i="60" s="1"/>
  <c r="AD38" i="59"/>
  <c r="AD7" i="60" s="1"/>
  <c r="Z38" i="59"/>
  <c r="V38" i="59"/>
  <c r="BB37" i="59"/>
  <c r="AH37" i="59"/>
  <c r="AD37" i="59"/>
  <c r="Z37" i="59"/>
  <c r="Z53" i="60" s="1"/>
  <c r="V37" i="59"/>
  <c r="BA34" i="59"/>
  <c r="AZ34" i="59"/>
  <c r="AY34" i="59"/>
  <c r="AX34" i="59"/>
  <c r="AW34" i="59"/>
  <c r="AV34" i="59"/>
  <c r="AU34" i="59"/>
  <c r="AT34" i="59"/>
  <c r="AS34" i="59"/>
  <c r="AR34" i="59"/>
  <c r="AQ34" i="59"/>
  <c r="AP34" i="59"/>
  <c r="AO34" i="59"/>
  <c r="AN34" i="59"/>
  <c r="AM34" i="59"/>
  <c r="AL34" i="59"/>
  <c r="AK34" i="59"/>
  <c r="AJ34" i="59"/>
  <c r="AI34" i="59"/>
  <c r="AG34" i="59"/>
  <c r="AF34" i="59"/>
  <c r="AE34" i="59"/>
  <c r="AC34" i="59"/>
  <c r="AB34" i="59"/>
  <c r="AA34" i="59"/>
  <c r="Y34" i="59"/>
  <c r="X34" i="59"/>
  <c r="W34" i="59"/>
  <c r="L34" i="59"/>
  <c r="K34" i="59"/>
  <c r="J34" i="59"/>
  <c r="I34" i="59"/>
  <c r="H34" i="59"/>
  <c r="G34" i="59"/>
  <c r="F34" i="59"/>
  <c r="E34" i="59"/>
  <c r="D34" i="59"/>
  <c r="BA33" i="59"/>
  <c r="AZ33" i="59"/>
  <c r="AY33" i="59"/>
  <c r="AX33" i="59"/>
  <c r="AW33" i="59"/>
  <c r="AV33" i="59"/>
  <c r="AU33" i="59"/>
  <c r="AT33" i="59"/>
  <c r="AS33" i="59"/>
  <c r="AR33" i="59"/>
  <c r="AQ33" i="59"/>
  <c r="AP33" i="59"/>
  <c r="AO33" i="59"/>
  <c r="AN33" i="59"/>
  <c r="AM33" i="59"/>
  <c r="AL33" i="59"/>
  <c r="AK33" i="59"/>
  <c r="AJ33" i="59"/>
  <c r="AI33" i="59"/>
  <c r="AG33" i="59"/>
  <c r="AF33" i="59"/>
  <c r="AE33" i="59"/>
  <c r="AC33" i="59"/>
  <c r="AB33" i="59"/>
  <c r="AA33" i="59"/>
  <c r="Y33" i="59"/>
  <c r="X33" i="59"/>
  <c r="W33" i="59"/>
  <c r="U33" i="59"/>
  <c r="T33" i="59"/>
  <c r="S33" i="59"/>
  <c r="L33" i="59"/>
  <c r="K33" i="59"/>
  <c r="J33" i="59"/>
  <c r="I33" i="59"/>
  <c r="H33" i="59"/>
  <c r="G33" i="59"/>
  <c r="F33" i="59"/>
  <c r="E33" i="59"/>
  <c r="D33" i="59"/>
  <c r="C33" i="59"/>
  <c r="AH32" i="59"/>
  <c r="AD32" i="59"/>
  <c r="Z32" i="59"/>
  <c r="V32" i="59"/>
  <c r="AL30" i="59"/>
  <c r="J30" i="59"/>
  <c r="E30" i="59"/>
  <c r="BA29" i="59"/>
  <c r="AZ29" i="59"/>
  <c r="AY29" i="59"/>
  <c r="AX29" i="59"/>
  <c r="AW29" i="59"/>
  <c r="AV29" i="59"/>
  <c r="AU29" i="59"/>
  <c r="AT29" i="59"/>
  <c r="AS29" i="59"/>
  <c r="AR29" i="59"/>
  <c r="AQ29" i="59"/>
  <c r="AP29" i="59"/>
  <c r="AO29" i="59"/>
  <c r="AN29" i="59"/>
  <c r="AM29" i="59"/>
  <c r="AL29" i="59"/>
  <c r="AK29" i="59"/>
  <c r="AJ29" i="59"/>
  <c r="AI29" i="59"/>
  <c r="AG29" i="59"/>
  <c r="AF29" i="59"/>
  <c r="AE29" i="59"/>
  <c r="AC29" i="59"/>
  <c r="AB29" i="59"/>
  <c r="AA29" i="59"/>
  <c r="Y29" i="59"/>
  <c r="X29" i="59"/>
  <c r="W29" i="59"/>
  <c r="L29" i="59"/>
  <c r="K29" i="59"/>
  <c r="J29" i="59"/>
  <c r="I29" i="59"/>
  <c r="H29" i="59"/>
  <c r="G29" i="59"/>
  <c r="F29" i="59"/>
  <c r="E29" i="59"/>
  <c r="D29" i="59"/>
  <c r="AH28" i="59"/>
  <c r="AD28" i="59"/>
  <c r="Z28" i="59"/>
  <c r="BA25" i="59"/>
  <c r="BA63" i="62" s="1"/>
  <c r="BB63" i="62" s="1"/>
  <c r="AZ25" i="59"/>
  <c r="AZ63" i="62" s="1"/>
  <c r="AY25" i="59"/>
  <c r="AX25" i="59"/>
  <c r="AW25" i="59"/>
  <c r="AV25" i="59"/>
  <c r="AV63" i="62" s="1"/>
  <c r="AU25" i="59"/>
  <c r="AT25" i="59"/>
  <c r="AS25" i="59"/>
  <c r="AR25" i="59"/>
  <c r="AQ25" i="59"/>
  <c r="AP25" i="59"/>
  <c r="AO25" i="59"/>
  <c r="AO63" i="62" s="1"/>
  <c r="AN25" i="59"/>
  <c r="AM25" i="59"/>
  <c r="AL25" i="59"/>
  <c r="AK25" i="59"/>
  <c r="AK63" i="62" s="1"/>
  <c r="AJ25" i="59"/>
  <c r="AJ64" i="62" s="1"/>
  <c r="AI25" i="59"/>
  <c r="AG25" i="59"/>
  <c r="AF25" i="59"/>
  <c r="AF64" i="62" s="1"/>
  <c r="AE25" i="59"/>
  <c r="AC25" i="59"/>
  <c r="AB25" i="59"/>
  <c r="AA25" i="59"/>
  <c r="AA63" i="62" s="1"/>
  <c r="Y25" i="59"/>
  <c r="Y63" i="62" s="1"/>
  <c r="X25" i="59"/>
  <c r="W25" i="59"/>
  <c r="U25" i="59"/>
  <c r="U63" i="62" s="1"/>
  <c r="T25" i="59"/>
  <c r="T28" i="59" s="1"/>
  <c r="T34" i="59" s="1"/>
  <c r="S25" i="59"/>
  <c r="L25" i="59"/>
  <c r="K25" i="59"/>
  <c r="J25" i="59"/>
  <c r="J26" i="59" s="1"/>
  <c r="I25" i="59"/>
  <c r="I30" i="59" s="1"/>
  <c r="H25" i="59"/>
  <c r="G25" i="59"/>
  <c r="F25" i="59"/>
  <c r="F30" i="59" s="1"/>
  <c r="E25" i="59"/>
  <c r="E26" i="59" s="1"/>
  <c r="D25" i="59"/>
  <c r="C25" i="59"/>
  <c r="BA24" i="59"/>
  <c r="BB24" i="59" s="1"/>
  <c r="BC24" i="59" s="1"/>
  <c r="AZ24" i="59"/>
  <c r="AY24" i="59"/>
  <c r="AX24" i="59"/>
  <c r="AW24" i="59"/>
  <c r="AV24" i="59"/>
  <c r="AU24" i="59"/>
  <c r="AT24" i="59"/>
  <c r="AS24" i="59"/>
  <c r="AR24" i="59"/>
  <c r="AQ24" i="59"/>
  <c r="AP24" i="59"/>
  <c r="AO24" i="59"/>
  <c r="AN24" i="59"/>
  <c r="AM24" i="59"/>
  <c r="AL24" i="59"/>
  <c r="AK24" i="59"/>
  <c r="AJ24" i="59"/>
  <c r="AI24" i="59"/>
  <c r="AG24" i="59"/>
  <c r="AF24" i="59"/>
  <c r="AE24" i="59"/>
  <c r="AC24" i="59"/>
  <c r="AB24" i="59"/>
  <c r="AA24" i="59"/>
  <c r="Y24" i="59"/>
  <c r="X24" i="59"/>
  <c r="W24" i="59"/>
  <c r="U24" i="59"/>
  <c r="T24" i="59"/>
  <c r="S24" i="59"/>
  <c r="L24" i="59"/>
  <c r="K24" i="59"/>
  <c r="J24" i="59"/>
  <c r="I24" i="59"/>
  <c r="H24" i="59"/>
  <c r="G24" i="59"/>
  <c r="F24" i="59"/>
  <c r="E24" i="59"/>
  <c r="D24" i="59"/>
  <c r="C24" i="59"/>
  <c r="AH23" i="59"/>
  <c r="AH42" i="60" s="1"/>
  <c r="AD23" i="59"/>
  <c r="Z23" i="59"/>
  <c r="V23" i="59"/>
  <c r="V24" i="59" s="1"/>
  <c r="BA22" i="59"/>
  <c r="BB22" i="59" s="1"/>
  <c r="AZ22" i="59"/>
  <c r="AY22" i="59"/>
  <c r="AX22" i="59"/>
  <c r="AW22" i="59"/>
  <c r="AV22" i="59"/>
  <c r="AU22" i="59"/>
  <c r="AT22" i="59"/>
  <c r="AS22" i="59"/>
  <c r="AR22" i="59"/>
  <c r="AQ22" i="59"/>
  <c r="AP22" i="59"/>
  <c r="AO22" i="59"/>
  <c r="AN22" i="59"/>
  <c r="AM22" i="59"/>
  <c r="AL22" i="59"/>
  <c r="AK22" i="59"/>
  <c r="AJ22" i="59"/>
  <c r="AI22" i="59"/>
  <c r="AG22" i="59"/>
  <c r="AF22" i="59"/>
  <c r="AE22" i="59"/>
  <c r="AC22" i="59"/>
  <c r="AB22" i="59"/>
  <c r="AA22" i="59"/>
  <c r="Y22" i="59"/>
  <c r="X22" i="59"/>
  <c r="W22" i="59"/>
  <c r="U22" i="59"/>
  <c r="T22" i="59"/>
  <c r="S22" i="59"/>
  <c r="L22" i="59"/>
  <c r="K22" i="59"/>
  <c r="J22" i="59"/>
  <c r="I22" i="59"/>
  <c r="H22" i="59"/>
  <c r="G22" i="59"/>
  <c r="F22" i="59"/>
  <c r="E22" i="59"/>
  <c r="D22" i="59"/>
  <c r="C22" i="59"/>
  <c r="AH21" i="59"/>
  <c r="AD21" i="59"/>
  <c r="Z21" i="59"/>
  <c r="V21" i="59"/>
  <c r="BA20" i="59"/>
  <c r="BB20" i="59" s="1"/>
  <c r="AZ20" i="59"/>
  <c r="AY20" i="59"/>
  <c r="AX20" i="59"/>
  <c r="AW20" i="59"/>
  <c r="AV20" i="59"/>
  <c r="AU20" i="59"/>
  <c r="AT20" i="59"/>
  <c r="AS20" i="59"/>
  <c r="AR20" i="59"/>
  <c r="AQ20" i="59"/>
  <c r="AP20" i="59"/>
  <c r="AO20" i="59"/>
  <c r="AN20" i="59"/>
  <c r="AM20" i="59"/>
  <c r="AL20" i="59"/>
  <c r="AK20" i="59"/>
  <c r="AJ20" i="59"/>
  <c r="AI20" i="59"/>
  <c r="AG20" i="59"/>
  <c r="AF20" i="59"/>
  <c r="AE20" i="59"/>
  <c r="AC20" i="59"/>
  <c r="AB20" i="59"/>
  <c r="AA20" i="59"/>
  <c r="Y20" i="59"/>
  <c r="X20" i="59"/>
  <c r="W20" i="59"/>
  <c r="V20" i="59"/>
  <c r="U20" i="59"/>
  <c r="T20" i="59"/>
  <c r="S20" i="59"/>
  <c r="L20" i="59"/>
  <c r="K20" i="59"/>
  <c r="J20" i="59"/>
  <c r="I20" i="59"/>
  <c r="H20" i="59"/>
  <c r="G20" i="59"/>
  <c r="F20" i="59"/>
  <c r="E20" i="59"/>
  <c r="D20" i="59"/>
  <c r="C20" i="59"/>
  <c r="BA18" i="59"/>
  <c r="BB18" i="59" s="1"/>
  <c r="BC18" i="59" s="1"/>
  <c r="AZ18" i="59"/>
  <c r="AY18" i="59"/>
  <c r="AX18" i="59"/>
  <c r="AW18" i="59"/>
  <c r="AV18" i="59"/>
  <c r="AU18" i="59"/>
  <c r="AT18" i="59"/>
  <c r="AS18" i="59"/>
  <c r="AR18" i="59"/>
  <c r="AQ18" i="59"/>
  <c r="AP18" i="59"/>
  <c r="AO18" i="59"/>
  <c r="AN18" i="59"/>
  <c r="AM18" i="59"/>
  <c r="AL18" i="59"/>
  <c r="AK18" i="59"/>
  <c r="AJ18" i="59"/>
  <c r="AI18" i="59"/>
  <c r="AG18" i="59"/>
  <c r="AF18" i="59"/>
  <c r="AE18" i="59"/>
  <c r="AC18" i="59"/>
  <c r="AB18" i="59"/>
  <c r="AA18" i="59"/>
  <c r="Y18" i="59"/>
  <c r="X18" i="59"/>
  <c r="W18" i="59"/>
  <c r="U18" i="59"/>
  <c r="T18" i="59"/>
  <c r="S18" i="59"/>
  <c r="L18" i="59"/>
  <c r="K18" i="59"/>
  <c r="J18" i="59"/>
  <c r="I18" i="59"/>
  <c r="H18" i="59"/>
  <c r="G18" i="59"/>
  <c r="F18" i="59"/>
  <c r="E18" i="59"/>
  <c r="D18" i="59"/>
  <c r="C18" i="59"/>
  <c r="AH17" i="59"/>
  <c r="BA16" i="59"/>
  <c r="BB16" i="59" s="1"/>
  <c r="AZ16" i="59"/>
  <c r="AY16" i="59"/>
  <c r="AX16" i="59"/>
  <c r="AW16" i="59"/>
  <c r="AV16" i="59"/>
  <c r="AU16" i="59"/>
  <c r="AT16" i="59"/>
  <c r="AS16" i="59"/>
  <c r="AR16" i="59"/>
  <c r="AQ16" i="59"/>
  <c r="AP16" i="59"/>
  <c r="AO16" i="59"/>
  <c r="AN16" i="59"/>
  <c r="AM16" i="59"/>
  <c r="AL16" i="59"/>
  <c r="AK16" i="59"/>
  <c r="AJ16" i="59"/>
  <c r="AI16" i="59"/>
  <c r="AG16" i="59"/>
  <c r="AF16" i="59"/>
  <c r="AE16" i="59"/>
  <c r="AC16" i="59"/>
  <c r="AB16" i="59"/>
  <c r="AA16" i="59"/>
  <c r="Y16" i="59"/>
  <c r="X16" i="59"/>
  <c r="W16" i="59"/>
  <c r="U16" i="59"/>
  <c r="T16" i="59"/>
  <c r="S16" i="59"/>
  <c r="L16" i="59"/>
  <c r="K16" i="59"/>
  <c r="J16" i="59"/>
  <c r="I16" i="59"/>
  <c r="H16" i="59"/>
  <c r="G16" i="59"/>
  <c r="F16" i="59"/>
  <c r="E16" i="59"/>
  <c r="D16" i="59"/>
  <c r="C16" i="59"/>
  <c r="AH15" i="59"/>
  <c r="AD15" i="59"/>
  <c r="Z15" i="59"/>
  <c r="Z36" i="60" s="1"/>
  <c r="V15" i="59"/>
  <c r="V36" i="60" s="1"/>
  <c r="AP12" i="59"/>
  <c r="E12" i="59"/>
  <c r="BA11" i="59"/>
  <c r="BA12" i="59" s="1"/>
  <c r="AZ11" i="59"/>
  <c r="AZ12" i="59" s="1"/>
  <c r="AY11" i="59"/>
  <c r="AY12" i="59" s="1"/>
  <c r="AX11" i="59"/>
  <c r="AX12" i="59" s="1"/>
  <c r="AW11" i="59"/>
  <c r="AW12" i="59" s="1"/>
  <c r="AV11" i="59"/>
  <c r="AV12" i="59" s="1"/>
  <c r="AU11" i="59"/>
  <c r="AU12" i="59" s="1"/>
  <c r="AT11" i="59"/>
  <c r="AT12" i="59" s="1"/>
  <c r="AS11" i="59"/>
  <c r="AS12" i="59" s="1"/>
  <c r="AP11" i="59"/>
  <c r="AL11" i="59"/>
  <c r="AL12" i="59" s="1"/>
  <c r="AK11" i="59"/>
  <c r="AK12" i="59" s="1"/>
  <c r="AJ11" i="59"/>
  <c r="AJ12" i="59" s="1"/>
  <c r="AI11" i="59"/>
  <c r="AI12" i="59" s="1"/>
  <c r="AG11" i="59"/>
  <c r="AG12" i="59" s="1"/>
  <c r="AF11" i="59"/>
  <c r="AF12" i="59" s="1"/>
  <c r="AE11" i="59"/>
  <c r="AE12" i="59" s="1"/>
  <c r="AC11" i="59"/>
  <c r="AC12" i="59" s="1"/>
  <c r="AB11" i="59"/>
  <c r="AB12" i="59" s="1"/>
  <c r="AA11" i="59"/>
  <c r="AA12" i="59" s="1"/>
  <c r="Y11" i="59"/>
  <c r="Y12" i="59" s="1"/>
  <c r="X11" i="59"/>
  <c r="X12" i="59" s="1"/>
  <c r="W11" i="59"/>
  <c r="W12" i="59" s="1"/>
  <c r="U11" i="59"/>
  <c r="U12" i="59" s="1"/>
  <c r="T11" i="59"/>
  <c r="T12" i="59" s="1"/>
  <c r="S11" i="59"/>
  <c r="S12" i="59" s="1"/>
  <c r="L11" i="59"/>
  <c r="L12" i="59" s="1"/>
  <c r="K11" i="59"/>
  <c r="K12" i="59" s="1"/>
  <c r="J11" i="59"/>
  <c r="J12" i="59" s="1"/>
  <c r="I11" i="59"/>
  <c r="I12" i="59" s="1"/>
  <c r="H11" i="59"/>
  <c r="H12" i="59" s="1"/>
  <c r="G11" i="59"/>
  <c r="G12" i="59" s="1"/>
  <c r="F11" i="59"/>
  <c r="F12" i="59" s="1"/>
  <c r="E11" i="59"/>
  <c r="D11" i="59"/>
  <c r="D12" i="59" s="1"/>
  <c r="C11" i="59"/>
  <c r="C12" i="59" s="1"/>
  <c r="BB9" i="59"/>
  <c r="BC9" i="59" s="1"/>
  <c r="BD9" i="59" s="1"/>
  <c r="BA9" i="59"/>
  <c r="AZ9" i="59"/>
  <c r="AY9" i="59"/>
  <c r="AX9" i="59"/>
  <c r="AW9" i="59"/>
  <c r="AV9" i="59"/>
  <c r="AU9" i="59"/>
  <c r="AT9" i="59"/>
  <c r="AS9" i="59"/>
  <c r="AP9" i="59"/>
  <c r="AL9" i="59"/>
  <c r="AK9" i="59"/>
  <c r="AJ9" i="59"/>
  <c r="AI9" i="59"/>
  <c r="AG9" i="59"/>
  <c r="AF9" i="59"/>
  <c r="AE9" i="59"/>
  <c r="AC9" i="59"/>
  <c r="AB9" i="59"/>
  <c r="AA9" i="59"/>
  <c r="Y9" i="59"/>
  <c r="X9" i="59"/>
  <c r="W9" i="59"/>
  <c r="U9" i="59"/>
  <c r="T9" i="59"/>
  <c r="S9" i="59"/>
  <c r="L9" i="59"/>
  <c r="K9" i="59"/>
  <c r="J9" i="59"/>
  <c r="I9" i="59"/>
  <c r="H9" i="59"/>
  <c r="G9" i="59"/>
  <c r="F9" i="59"/>
  <c r="E9" i="59"/>
  <c r="D9" i="59"/>
  <c r="C9" i="59"/>
  <c r="AR8" i="59"/>
  <c r="AO8" i="59"/>
  <c r="AN8" i="59"/>
  <c r="AN11" i="59" s="1"/>
  <c r="AN12" i="59" s="1"/>
  <c r="AM8" i="59"/>
  <c r="AH8" i="59"/>
  <c r="AD8" i="59"/>
  <c r="Z8" i="59"/>
  <c r="V8" i="59"/>
  <c r="BA6" i="59"/>
  <c r="AZ6" i="59"/>
  <c r="AY6" i="59"/>
  <c r="AX6" i="59"/>
  <c r="AW6" i="59"/>
  <c r="AV6" i="59"/>
  <c r="AU6" i="59"/>
  <c r="AT6" i="59"/>
  <c r="AS6" i="59"/>
  <c r="AR6" i="59"/>
  <c r="AQ6" i="59"/>
  <c r="AP6" i="59"/>
  <c r="AO6" i="59"/>
  <c r="AN6" i="59"/>
  <c r="AM6" i="59"/>
  <c r="AL6" i="59"/>
  <c r="AK6" i="59"/>
  <c r="AJ6" i="59"/>
  <c r="AH6" i="59"/>
  <c r="AG6" i="59"/>
  <c r="AF6" i="59"/>
  <c r="AC6" i="59"/>
  <c r="AB6" i="59"/>
  <c r="Y6" i="59"/>
  <c r="X6" i="59"/>
  <c r="V6" i="59"/>
  <c r="U6" i="59"/>
  <c r="T6" i="59"/>
  <c r="BA5" i="59"/>
  <c r="AZ5" i="59"/>
  <c r="AY5" i="59"/>
  <c r="AX5" i="59"/>
  <c r="AW5" i="59"/>
  <c r="AV5" i="59"/>
  <c r="AU5" i="59"/>
  <c r="AT5" i="59"/>
  <c r="AS5" i="59"/>
  <c r="AR5" i="59"/>
  <c r="AQ5" i="59"/>
  <c r="AP5" i="59"/>
  <c r="AO5" i="59"/>
  <c r="AN5" i="59"/>
  <c r="AM5" i="59"/>
  <c r="AK5" i="59"/>
  <c r="AJ5" i="59"/>
  <c r="AI5" i="59"/>
  <c r="AG5" i="59"/>
  <c r="AF5" i="59"/>
  <c r="AE5" i="59"/>
  <c r="AC5" i="59"/>
  <c r="AB5" i="59"/>
  <c r="AA5" i="59"/>
  <c r="Y5" i="59"/>
  <c r="X5" i="59"/>
  <c r="W5" i="59"/>
  <c r="L5" i="59"/>
  <c r="K5" i="59"/>
  <c r="J5" i="59"/>
  <c r="I5" i="59"/>
  <c r="H5" i="59"/>
  <c r="G5" i="59"/>
  <c r="F5" i="59"/>
  <c r="E5" i="59"/>
  <c r="D5" i="59"/>
  <c r="AH4" i="59"/>
  <c r="AD4" i="59"/>
  <c r="AD60" i="62" s="1"/>
  <c r="Z4" i="59"/>
  <c r="V4" i="59"/>
  <c r="K8" i="58"/>
  <c r="L8" i="58"/>
  <c r="AU8" i="58"/>
  <c r="AV8" i="58"/>
  <c r="AW8" i="58"/>
  <c r="AX8" i="58"/>
  <c r="AY8" i="58"/>
  <c r="AZ8" i="58"/>
  <c r="BA8" i="58"/>
  <c r="AR9" i="58"/>
  <c r="AS9" i="58"/>
  <c r="AT9" i="58"/>
  <c r="AU9" i="58"/>
  <c r="AV9" i="58"/>
  <c r="AW9" i="58"/>
  <c r="AX9" i="58"/>
  <c r="AY9" i="58"/>
  <c r="AZ9" i="58"/>
  <c r="BA9" i="58"/>
  <c r="K11" i="58"/>
  <c r="L11" i="58"/>
  <c r="AU11" i="58"/>
  <c r="AV11" i="58"/>
  <c r="AW11" i="58"/>
  <c r="AX11" i="58"/>
  <c r="AY11" i="58"/>
  <c r="AZ11" i="58"/>
  <c r="BA11" i="58"/>
  <c r="AR12" i="58"/>
  <c r="AS12" i="58"/>
  <c r="AT12" i="58"/>
  <c r="AU12" i="58"/>
  <c r="AV12" i="58"/>
  <c r="AW12" i="58"/>
  <c r="AX12" i="58"/>
  <c r="AY12" i="58"/>
  <c r="AZ12" i="58"/>
  <c r="BA12" i="58"/>
  <c r="K14" i="58"/>
  <c r="L14" i="58"/>
  <c r="AU14" i="58"/>
  <c r="AV14" i="58"/>
  <c r="AW14" i="58"/>
  <c r="AX14" i="58"/>
  <c r="AY14" i="58"/>
  <c r="AZ14" i="58"/>
  <c r="BA14" i="58"/>
  <c r="BB14" i="58" s="1"/>
  <c r="BB13" i="58" s="1"/>
  <c r="BC14" i="58"/>
  <c r="AS15" i="58"/>
  <c r="AT15" i="58"/>
  <c r="AU15" i="58"/>
  <c r="AW15" i="58"/>
  <c r="AX15" i="58"/>
  <c r="AY15" i="58"/>
  <c r="AZ15" i="58"/>
  <c r="BA15" i="58"/>
  <c r="J17" i="58"/>
  <c r="K17" i="58"/>
  <c r="L17" i="58"/>
  <c r="AI17" i="58"/>
  <c r="AJ17" i="58"/>
  <c r="AK17" i="58"/>
  <c r="AL17" i="58"/>
  <c r="AM17" i="58"/>
  <c r="AN17" i="58"/>
  <c r="AO17" i="58"/>
  <c r="AP17" i="58"/>
  <c r="AQ17" i="58"/>
  <c r="AR17" i="58"/>
  <c r="AS17" i="58"/>
  <c r="AT17" i="58"/>
  <c r="AU17" i="58"/>
  <c r="AV17" i="58"/>
  <c r="AW17" i="58"/>
  <c r="AX17" i="58"/>
  <c r="AY17" i="58"/>
  <c r="AZ17" i="58"/>
  <c r="BA17" i="58"/>
  <c r="AG18" i="58"/>
  <c r="AH18" i="58"/>
  <c r="AI18" i="58"/>
  <c r="AJ18" i="58"/>
  <c r="AK18" i="58"/>
  <c r="AL18" i="58"/>
  <c r="AM18" i="58"/>
  <c r="AN18" i="58"/>
  <c r="AO18" i="58"/>
  <c r="AP18" i="58"/>
  <c r="AQ18" i="58"/>
  <c r="AR18" i="58"/>
  <c r="AS18" i="58"/>
  <c r="AT18" i="58"/>
  <c r="AU18" i="58"/>
  <c r="AV18" i="58"/>
  <c r="AW18" i="58"/>
  <c r="AX18" i="58"/>
  <c r="AY18" i="58"/>
  <c r="AZ18" i="58"/>
  <c r="BA18" i="58"/>
  <c r="J19" i="58"/>
  <c r="K19" i="58"/>
  <c r="L19" i="58"/>
  <c r="AQ19" i="58"/>
  <c r="AR19" i="58"/>
  <c r="AS19" i="58"/>
  <c r="AT19" i="58"/>
  <c r="AU19" i="58"/>
  <c r="AV19" i="58"/>
  <c r="AW19" i="58"/>
  <c r="AX19" i="58"/>
  <c r="AY19" i="58"/>
  <c r="AZ19" i="58"/>
  <c r="BA19" i="58"/>
  <c r="J23" i="58"/>
  <c r="K23" i="58"/>
  <c r="L23" i="58"/>
  <c r="AQ23" i="58"/>
  <c r="AR23" i="58"/>
  <c r="AS23" i="58"/>
  <c r="AT23" i="58"/>
  <c r="AU23" i="58"/>
  <c r="AV23" i="58"/>
  <c r="AW23" i="58"/>
  <c r="AX23" i="58"/>
  <c r="AY23" i="58"/>
  <c r="AZ23" i="58"/>
  <c r="BA23" i="58"/>
  <c r="BB23" i="58"/>
  <c r="BC23" i="58" s="1"/>
  <c r="BD23" i="58"/>
  <c r="BE23" i="58"/>
  <c r="BF23" i="58"/>
  <c r="J25" i="58"/>
  <c r="K25" i="58"/>
  <c r="L25" i="58"/>
  <c r="AQ25" i="58"/>
  <c r="AR25" i="58"/>
  <c r="AS25" i="58"/>
  <c r="AT25" i="58"/>
  <c r="AU25" i="58"/>
  <c r="AV25" i="58"/>
  <c r="AW25" i="58"/>
  <c r="AX25" i="58"/>
  <c r="AY25" i="58"/>
  <c r="AZ25" i="58"/>
  <c r="BA25" i="58"/>
  <c r="BB25" i="58"/>
  <c r="J27" i="58"/>
  <c r="K27" i="58"/>
  <c r="L27" i="58"/>
  <c r="AR27" i="58"/>
  <c r="AS27" i="58"/>
  <c r="AT27" i="58"/>
  <c r="AV27" i="58"/>
  <c r="AW27" i="58"/>
  <c r="AX27" i="58"/>
  <c r="AZ27" i="58"/>
  <c r="BA27" i="58"/>
  <c r="BB27" i="58" s="1"/>
  <c r="AL28" i="58"/>
  <c r="AP28" i="58"/>
  <c r="H29" i="58"/>
  <c r="I29" i="58"/>
  <c r="J29" i="58"/>
  <c r="K29" i="58"/>
  <c r="L29" i="58"/>
  <c r="AI29" i="58"/>
  <c r="AJ29" i="58"/>
  <c r="AK29" i="58"/>
  <c r="AL29" i="58"/>
  <c r="AM29" i="58"/>
  <c r="AN29" i="58"/>
  <c r="AO29" i="58"/>
  <c r="AP29" i="58"/>
  <c r="AQ29" i="58"/>
  <c r="AR29" i="58"/>
  <c r="AS29" i="58"/>
  <c r="AT29" i="58"/>
  <c r="AU29" i="58"/>
  <c r="AV29" i="58"/>
  <c r="AW29" i="58"/>
  <c r="AX29" i="58"/>
  <c r="AY29" i="58"/>
  <c r="AZ29" i="58"/>
  <c r="BA29" i="58"/>
  <c r="J30" i="58"/>
  <c r="K30" i="58"/>
  <c r="L30" i="58"/>
  <c r="AQ30" i="58"/>
  <c r="AR30" i="58"/>
  <c r="AS30" i="58"/>
  <c r="AT30" i="58"/>
  <c r="AU30" i="58"/>
  <c r="AV30" i="58"/>
  <c r="AW30" i="58"/>
  <c r="AX30" i="58"/>
  <c r="AY30" i="58"/>
  <c r="AZ30" i="58"/>
  <c r="BA30" i="58"/>
  <c r="AT32" i="58"/>
  <c r="AX32" i="58"/>
  <c r="AX33" i="58" s="1"/>
  <c r="I33" i="58"/>
  <c r="J33" i="58"/>
  <c r="K33" i="58"/>
  <c r="L33" i="58"/>
  <c r="AQ33" i="58"/>
  <c r="AR33" i="58"/>
  <c r="AS33" i="58"/>
  <c r="AT33" i="58"/>
  <c r="AU33" i="58"/>
  <c r="AV33" i="58"/>
  <c r="AW33" i="58"/>
  <c r="AY33" i="58"/>
  <c r="AZ33" i="58"/>
  <c r="BA33" i="58"/>
  <c r="BB33" i="58"/>
  <c r="BC33" i="58"/>
  <c r="BD33" i="58"/>
  <c r="AT34" i="58"/>
  <c r="AT35" i="58" s="1"/>
  <c r="AX34" i="58"/>
  <c r="I35" i="58"/>
  <c r="J35" i="58"/>
  <c r="K35" i="58"/>
  <c r="L35" i="58"/>
  <c r="AQ35" i="58"/>
  <c r="AR35" i="58"/>
  <c r="AS35" i="58"/>
  <c r="AU35" i="58"/>
  <c r="AV35" i="58"/>
  <c r="AW35" i="58"/>
  <c r="AX35" i="58"/>
  <c r="AY35" i="58"/>
  <c r="AZ35" i="58"/>
  <c r="BA35" i="58"/>
  <c r="BB35" i="58"/>
  <c r="BC35" i="58"/>
  <c r="AT36" i="58"/>
  <c r="AX36" i="58"/>
  <c r="I37" i="58"/>
  <c r="J37" i="58"/>
  <c r="K37" i="58"/>
  <c r="L37" i="58"/>
  <c r="AQ37" i="58"/>
  <c r="AR37" i="58"/>
  <c r="AS37" i="58"/>
  <c r="AT37" i="58"/>
  <c r="AU37" i="58"/>
  <c r="AV37" i="58"/>
  <c r="AW37" i="58"/>
  <c r="AX37" i="58"/>
  <c r="AY37" i="58"/>
  <c r="AZ37" i="58"/>
  <c r="BA37" i="58"/>
  <c r="BB37" i="58"/>
  <c r="AT38" i="58"/>
  <c r="AT39" i="58" s="1"/>
  <c r="AX38" i="58"/>
  <c r="AX39" i="58" s="1"/>
  <c r="I39" i="58"/>
  <c r="J39" i="58"/>
  <c r="K39" i="58"/>
  <c r="L39" i="58"/>
  <c r="AQ39" i="58"/>
  <c r="AR39" i="58"/>
  <c r="AS39" i="58"/>
  <c r="AU39" i="58"/>
  <c r="AV39" i="58"/>
  <c r="AW39" i="58"/>
  <c r="AY39" i="58"/>
  <c r="AZ39" i="58"/>
  <c r="BA39" i="58"/>
  <c r="BB39" i="58" s="1"/>
  <c r="BC39" i="58" s="1"/>
  <c r="AT40" i="58"/>
  <c r="AX40" i="58"/>
  <c r="AX41" i="58" s="1"/>
  <c r="I41" i="58"/>
  <c r="J41" i="58"/>
  <c r="K41" i="58"/>
  <c r="L41" i="58"/>
  <c r="AQ41" i="58"/>
  <c r="AR41" i="58"/>
  <c r="AS41" i="58"/>
  <c r="AT41" i="58"/>
  <c r="AU41" i="58"/>
  <c r="AV41" i="58"/>
  <c r="AW41" i="58"/>
  <c r="AY41" i="58"/>
  <c r="AZ41" i="58"/>
  <c r="BA41" i="58"/>
  <c r="BB41" i="58"/>
  <c r="AE42" i="58"/>
  <c r="AE43" i="58" s="1"/>
  <c r="AF42" i="58"/>
  <c r="AG42" i="58"/>
  <c r="AH42" i="58"/>
  <c r="AI42" i="58"/>
  <c r="AI43" i="58" s="1"/>
  <c r="AJ42" i="58"/>
  <c r="AK42" i="58"/>
  <c r="AL42" i="58"/>
  <c r="AM42" i="58"/>
  <c r="AM43" i="58" s="1"/>
  <c r="AN42" i="58"/>
  <c r="AO42" i="58"/>
  <c r="AP42" i="58"/>
  <c r="AT42" i="58"/>
  <c r="AX42" i="58"/>
  <c r="I43" i="58"/>
  <c r="J43" i="58"/>
  <c r="K43" i="58"/>
  <c r="L43" i="58"/>
  <c r="AF43" i="58"/>
  <c r="AG43" i="58"/>
  <c r="AH43" i="58"/>
  <c r="AJ43" i="58"/>
  <c r="AK43" i="58"/>
  <c r="AL43" i="58"/>
  <c r="AN43" i="58"/>
  <c r="AO43" i="58"/>
  <c r="AP43" i="58"/>
  <c r="AQ43" i="58"/>
  <c r="AR43" i="58"/>
  <c r="AS43" i="58"/>
  <c r="AU43" i="58"/>
  <c r="AV43" i="58"/>
  <c r="AW43" i="58"/>
  <c r="AX43" i="58"/>
  <c r="AY43" i="58"/>
  <c r="AZ43" i="58"/>
  <c r="BA43" i="58"/>
  <c r="I44" i="58"/>
  <c r="J44" i="58"/>
  <c r="K44" i="58"/>
  <c r="L44" i="58"/>
  <c r="AQ44" i="58"/>
  <c r="AR44" i="58"/>
  <c r="AS44" i="58"/>
  <c r="AU44" i="58"/>
  <c r="AV44" i="58"/>
  <c r="AW44" i="58"/>
  <c r="AY44" i="58"/>
  <c r="AZ44" i="58"/>
  <c r="BA44" i="58"/>
  <c r="AT46" i="58"/>
  <c r="AT47" i="58" s="1"/>
  <c r="AX46" i="58"/>
  <c r="AX47" i="58" s="1"/>
  <c r="I47" i="58"/>
  <c r="J47" i="58"/>
  <c r="K47" i="58"/>
  <c r="L47" i="58"/>
  <c r="AE47" i="58"/>
  <c r="AF47" i="58"/>
  <c r="AG47" i="58"/>
  <c r="AH47" i="58"/>
  <c r="AI47" i="58"/>
  <c r="AJ47" i="58"/>
  <c r="AK47" i="58"/>
  <c r="AL47" i="58"/>
  <c r="AM47" i="58"/>
  <c r="AN47" i="58"/>
  <c r="AO47" i="58"/>
  <c r="AP47" i="58"/>
  <c r="AQ47" i="58"/>
  <c r="AR47" i="58"/>
  <c r="AS47" i="58"/>
  <c r="AU47" i="58"/>
  <c r="AV47" i="58"/>
  <c r="AW47" i="58"/>
  <c r="AY47" i="58"/>
  <c r="AZ47" i="58"/>
  <c r="BA47" i="58"/>
  <c r="I48" i="58"/>
  <c r="I49" i="58" s="1"/>
  <c r="J48" i="58"/>
  <c r="J49" i="58"/>
  <c r="K49" i="58"/>
  <c r="L49" i="58"/>
  <c r="AE49" i="58"/>
  <c r="AF49" i="58"/>
  <c r="AG49" i="58"/>
  <c r="AH49" i="58"/>
  <c r="AI49" i="58"/>
  <c r="AJ49" i="58"/>
  <c r="AK49" i="58"/>
  <c r="AL49" i="58"/>
  <c r="AM49" i="58"/>
  <c r="AN49" i="58"/>
  <c r="AO49" i="58"/>
  <c r="AP49" i="58"/>
  <c r="AQ49" i="58"/>
  <c r="AR49" i="58"/>
  <c r="AS49" i="58"/>
  <c r="AT49" i="58"/>
  <c r="AU49" i="58"/>
  <c r="AV49" i="58"/>
  <c r="AW49" i="58"/>
  <c r="AX49" i="58"/>
  <c r="AY49" i="58"/>
  <c r="AZ49" i="58"/>
  <c r="BA49" i="58"/>
  <c r="BB49" i="58"/>
  <c r="BC49" i="58" s="1"/>
  <c r="H52" i="58"/>
  <c r="I52" i="58"/>
  <c r="J52" i="58"/>
  <c r="K52" i="58"/>
  <c r="L52" i="58"/>
  <c r="J53" i="58"/>
  <c r="K53" i="58"/>
  <c r="L53" i="58"/>
  <c r="AI53" i="58"/>
  <c r="AJ53" i="58"/>
  <c r="AK53" i="58"/>
  <c r="AL53" i="58"/>
  <c r="AM53" i="58"/>
  <c r="AN53" i="58"/>
  <c r="AO53" i="58"/>
  <c r="AP53" i="58"/>
  <c r="AQ53" i="58"/>
  <c r="AR53" i="58"/>
  <c r="AS53" i="58"/>
  <c r="AT53" i="58"/>
  <c r="AU53" i="58"/>
  <c r="AV53" i="58"/>
  <c r="AW53" i="58"/>
  <c r="AX53" i="58"/>
  <c r="AY53" i="58"/>
  <c r="AZ53" i="58"/>
  <c r="BA53" i="58"/>
  <c r="AG54" i="58"/>
  <c r="AH54" i="58"/>
  <c r="AI54" i="58"/>
  <c r="AJ54" i="58"/>
  <c r="AK54" i="58"/>
  <c r="AL54" i="58"/>
  <c r="AM54" i="58"/>
  <c r="AN54" i="58"/>
  <c r="AO54" i="58"/>
  <c r="AP54" i="58"/>
  <c r="AQ54" i="58"/>
  <c r="AR54" i="58"/>
  <c r="AS54" i="58"/>
  <c r="AT54" i="58"/>
  <c r="AU54" i="58"/>
  <c r="AV54" i="58"/>
  <c r="AW54" i="58"/>
  <c r="AX54" i="58"/>
  <c r="AY54" i="58"/>
  <c r="AZ54" i="58"/>
  <c r="BA54" i="58"/>
  <c r="H55" i="58"/>
  <c r="I55" i="58"/>
  <c r="J55" i="58"/>
  <c r="J56" i="58" s="1"/>
  <c r="K55" i="58"/>
  <c r="L55" i="58"/>
  <c r="BB55" i="58"/>
  <c r="L56" i="58"/>
  <c r="AI56" i="58"/>
  <c r="AJ56" i="58"/>
  <c r="AK56" i="58"/>
  <c r="AL56" i="58"/>
  <c r="AM56" i="58"/>
  <c r="AN56" i="58"/>
  <c r="AO56" i="58"/>
  <c r="AP56" i="58"/>
  <c r="AQ56" i="58"/>
  <c r="AR56" i="58"/>
  <c r="AS56" i="58"/>
  <c r="AT56" i="58"/>
  <c r="AU56" i="58"/>
  <c r="AV56" i="58"/>
  <c r="AW56" i="58"/>
  <c r="AX56" i="58"/>
  <c r="AY56" i="58"/>
  <c r="AZ56" i="58"/>
  <c r="BA56" i="58"/>
  <c r="BB56" i="58"/>
  <c r="AG57" i="58"/>
  <c r="AH57" i="58"/>
  <c r="AI57" i="58"/>
  <c r="AJ57" i="58"/>
  <c r="AK57" i="58"/>
  <c r="AL57" i="58"/>
  <c r="AM57" i="58"/>
  <c r="AN57" i="58"/>
  <c r="AO57" i="58"/>
  <c r="AP57" i="58"/>
  <c r="AQ57" i="58"/>
  <c r="AR57" i="58"/>
  <c r="AS57" i="58"/>
  <c r="AT57" i="58"/>
  <c r="AU57" i="58"/>
  <c r="AV57" i="58"/>
  <c r="AW57" i="58"/>
  <c r="AX57" i="58"/>
  <c r="AY57" i="58"/>
  <c r="AZ57" i="58"/>
  <c r="BA57" i="58"/>
  <c r="H60" i="58"/>
  <c r="I60" i="58"/>
  <c r="J60" i="58"/>
  <c r="K60" i="58"/>
  <c r="L60" i="58"/>
  <c r="K61" i="58"/>
  <c r="L61" i="58"/>
  <c r="AI61" i="58"/>
  <c r="AJ61" i="58"/>
  <c r="AK61" i="58"/>
  <c r="AL61" i="58"/>
  <c r="AM61" i="58"/>
  <c r="AN61" i="58"/>
  <c r="AO61" i="58"/>
  <c r="AP61" i="58"/>
  <c r="AQ61" i="58"/>
  <c r="AR61" i="58"/>
  <c r="AS61" i="58"/>
  <c r="AT61" i="58"/>
  <c r="AU61" i="58"/>
  <c r="AV61" i="58"/>
  <c r="AW61" i="58"/>
  <c r="AX61" i="58"/>
  <c r="AY61" i="58"/>
  <c r="AZ61" i="58"/>
  <c r="BA61" i="58"/>
  <c r="BB61" i="58" s="1"/>
  <c r="AG62" i="58"/>
  <c r="AH62" i="58"/>
  <c r="AI62" i="58"/>
  <c r="AJ62" i="58"/>
  <c r="AK62" i="58"/>
  <c r="AL62" i="58"/>
  <c r="AM62" i="58"/>
  <c r="AN62" i="58"/>
  <c r="AO62" i="58"/>
  <c r="AP62" i="58"/>
  <c r="AQ62" i="58"/>
  <c r="AR62" i="58"/>
  <c r="AS62" i="58"/>
  <c r="AT62" i="58"/>
  <c r="AU62" i="58"/>
  <c r="AV62" i="58"/>
  <c r="AW62" i="58"/>
  <c r="AX62" i="58"/>
  <c r="AY62" i="58"/>
  <c r="AZ62" i="58"/>
  <c r="BA62" i="58"/>
  <c r="H63" i="58"/>
  <c r="I63" i="58"/>
  <c r="J63" i="58"/>
  <c r="K63" i="58"/>
  <c r="L63" i="58"/>
  <c r="L64" i="58" s="1"/>
  <c r="J64" i="58"/>
  <c r="K64" i="58"/>
  <c r="AI64" i="58"/>
  <c r="AJ64" i="58"/>
  <c r="AK64" i="58"/>
  <c r="AL64" i="58"/>
  <c r="AM64" i="58"/>
  <c r="AN64" i="58"/>
  <c r="AO64" i="58"/>
  <c r="AP64" i="58"/>
  <c r="AQ64" i="58"/>
  <c r="AR64" i="58"/>
  <c r="AS64" i="58"/>
  <c r="AT64" i="58"/>
  <c r="AU64" i="58"/>
  <c r="AV64" i="58"/>
  <c r="AW64" i="58"/>
  <c r="AX64" i="58"/>
  <c r="AY64" i="58"/>
  <c r="AZ64" i="58"/>
  <c r="BA64" i="58"/>
  <c r="BB64" i="58" s="1"/>
  <c r="AG65" i="58"/>
  <c r="AH65" i="58"/>
  <c r="AI65" i="58"/>
  <c r="AJ65" i="58"/>
  <c r="AK65" i="58"/>
  <c r="AL65" i="58"/>
  <c r="AM65" i="58"/>
  <c r="AN65" i="58"/>
  <c r="AO65" i="58"/>
  <c r="AP65" i="58"/>
  <c r="AQ65" i="58"/>
  <c r="AR65" i="58"/>
  <c r="AS65" i="58"/>
  <c r="AT65" i="58"/>
  <c r="AU65" i="58"/>
  <c r="AV65" i="58"/>
  <c r="AW65" i="58"/>
  <c r="AX65" i="58"/>
  <c r="AY65" i="58"/>
  <c r="AZ65" i="58"/>
  <c r="BA65" i="58"/>
  <c r="J68" i="58"/>
  <c r="K68" i="58"/>
  <c r="L68" i="58"/>
  <c r="J69" i="58"/>
  <c r="K69" i="58"/>
  <c r="L69" i="58"/>
  <c r="H70" i="58"/>
  <c r="I70" i="58"/>
  <c r="J70" i="58"/>
  <c r="K70" i="58"/>
  <c r="L70" i="58"/>
  <c r="J71" i="58"/>
  <c r="K71" i="58"/>
  <c r="L71" i="58"/>
  <c r="J72" i="58"/>
  <c r="K72" i="58"/>
  <c r="K74" i="58" s="1"/>
  <c r="L72" i="58"/>
  <c r="J73" i="58"/>
  <c r="K73" i="58"/>
  <c r="L73" i="58"/>
  <c r="AE73" i="58"/>
  <c r="AF73" i="58"/>
  <c r="AG73" i="58"/>
  <c r="AH73" i="58"/>
  <c r="AI73" i="58"/>
  <c r="AJ73" i="58"/>
  <c r="AK73" i="58"/>
  <c r="L74" i="58"/>
  <c r="AL74" i="58"/>
  <c r="AM74" i="58"/>
  <c r="AN74" i="58"/>
  <c r="AO74" i="58"/>
  <c r="AP74" i="58"/>
  <c r="AQ74" i="58"/>
  <c r="AR74" i="58"/>
  <c r="AS74" i="58"/>
  <c r="AT74" i="58"/>
  <c r="AU74" i="58"/>
  <c r="AV74" i="58"/>
  <c r="AW74" i="58"/>
  <c r="AX74" i="58"/>
  <c r="AY74" i="58"/>
  <c r="AZ74" i="58"/>
  <c r="BA74" i="58"/>
  <c r="H75" i="58"/>
  <c r="I75" i="58"/>
  <c r="J75" i="58"/>
  <c r="K75" i="58"/>
  <c r="L75" i="58"/>
  <c r="K80" i="58"/>
  <c r="L80" i="58"/>
  <c r="AU80" i="58"/>
  <c r="AV80" i="58"/>
  <c r="AW80" i="58"/>
  <c r="AX80" i="58"/>
  <c r="AY80" i="58"/>
  <c r="AZ80" i="58"/>
  <c r="BA80" i="58"/>
  <c r="BB80" i="58" s="1"/>
  <c r="AR81" i="58"/>
  <c r="AS81" i="58"/>
  <c r="AT81" i="58"/>
  <c r="AU81" i="58"/>
  <c r="AV81" i="58"/>
  <c r="AW81" i="58"/>
  <c r="AX81" i="58"/>
  <c r="AY81" i="58"/>
  <c r="AZ81" i="58"/>
  <c r="BA81" i="58"/>
  <c r="K83" i="58"/>
  <c r="L83" i="58"/>
  <c r="AU83" i="58"/>
  <c r="AV83" i="58"/>
  <c r="AW83" i="58"/>
  <c r="AX83" i="58"/>
  <c r="AY83" i="58"/>
  <c r="AZ83" i="58"/>
  <c r="BA83" i="58"/>
  <c r="BB83" i="58" s="1"/>
  <c r="AR84" i="58"/>
  <c r="AS84" i="58"/>
  <c r="AT84" i="58"/>
  <c r="AU84" i="58"/>
  <c r="AV84" i="58"/>
  <c r="AW84" i="58"/>
  <c r="AX84" i="58"/>
  <c r="AY84" i="58"/>
  <c r="AZ84" i="58"/>
  <c r="BA84" i="58"/>
  <c r="K86" i="58"/>
  <c r="L86" i="58"/>
  <c r="AU86" i="58"/>
  <c r="AV86" i="58"/>
  <c r="AW86" i="58"/>
  <c r="AX86" i="58"/>
  <c r="AY86" i="58"/>
  <c r="AZ86" i="58"/>
  <c r="BA86" i="58"/>
  <c r="BB86" i="58" s="1"/>
  <c r="AR87" i="58"/>
  <c r="AS87" i="58"/>
  <c r="AT87" i="58"/>
  <c r="AU87" i="58"/>
  <c r="AV87" i="58"/>
  <c r="AW87" i="58"/>
  <c r="AX87" i="58"/>
  <c r="AY87" i="58"/>
  <c r="AZ87" i="58"/>
  <c r="BA87" i="58"/>
  <c r="C88" i="58"/>
  <c r="D88" i="58"/>
  <c r="E88" i="58"/>
  <c r="E89" i="58"/>
  <c r="G89" i="58"/>
  <c r="H89" i="58"/>
  <c r="I89" i="58"/>
  <c r="J89" i="58"/>
  <c r="K89" i="58"/>
  <c r="L89" i="58"/>
  <c r="AI89" i="58"/>
  <c r="AJ89" i="58"/>
  <c r="AK89" i="58"/>
  <c r="AL89" i="58"/>
  <c r="AM89" i="58"/>
  <c r="AN89" i="58"/>
  <c r="AO89" i="58"/>
  <c r="AP89" i="58"/>
  <c r="AQ89" i="58"/>
  <c r="AR89" i="58"/>
  <c r="AS89" i="58"/>
  <c r="AT89" i="58"/>
  <c r="AU89" i="58"/>
  <c r="AV89" i="58"/>
  <c r="AW89" i="58"/>
  <c r="AX89" i="58"/>
  <c r="AY89" i="58"/>
  <c r="AZ89" i="58"/>
  <c r="BA89" i="58"/>
  <c r="AF90" i="58"/>
  <c r="AG90" i="58"/>
  <c r="AH90" i="58"/>
  <c r="AI90" i="58"/>
  <c r="AJ90" i="58"/>
  <c r="AK90" i="58"/>
  <c r="AL90" i="58"/>
  <c r="AM90" i="58"/>
  <c r="AN90" i="58"/>
  <c r="AO90" i="58"/>
  <c r="AP90" i="58"/>
  <c r="AQ90" i="58"/>
  <c r="AR90" i="58"/>
  <c r="AS90" i="58"/>
  <c r="AT90" i="58"/>
  <c r="AU90" i="58"/>
  <c r="AV90" i="58"/>
  <c r="AW90" i="58"/>
  <c r="AX90" i="58"/>
  <c r="AY90" i="58"/>
  <c r="AZ90" i="58"/>
  <c r="BA90" i="58"/>
  <c r="J91" i="58"/>
  <c r="K91" i="58"/>
  <c r="L91" i="58"/>
  <c r="AQ91" i="58"/>
  <c r="AR91" i="58"/>
  <c r="AS91" i="58"/>
  <c r="AT91" i="58"/>
  <c r="AU91" i="58"/>
  <c r="AV91" i="58"/>
  <c r="AW91" i="58"/>
  <c r="AX91" i="58"/>
  <c r="AY91" i="58"/>
  <c r="AZ91" i="58"/>
  <c r="BA91" i="58"/>
  <c r="J95" i="58"/>
  <c r="K95" i="58"/>
  <c r="L95" i="58"/>
  <c r="AQ95" i="58"/>
  <c r="AR95" i="58"/>
  <c r="AS95" i="58"/>
  <c r="AT95" i="58"/>
  <c r="AU95" i="58"/>
  <c r="AV95" i="58"/>
  <c r="AW95" i="58"/>
  <c r="AX95" i="58"/>
  <c r="AY95" i="58"/>
  <c r="AZ95" i="58"/>
  <c r="BA95" i="58"/>
  <c r="BB95" i="58"/>
  <c r="BC95" i="58" s="1"/>
  <c r="J97" i="58"/>
  <c r="K97" i="58"/>
  <c r="L97" i="58"/>
  <c r="AQ97" i="58"/>
  <c r="AR97" i="58"/>
  <c r="AS97" i="58"/>
  <c r="AT97" i="58"/>
  <c r="AU97" i="58"/>
  <c r="AV97" i="58"/>
  <c r="AW97" i="58"/>
  <c r="AX97" i="58"/>
  <c r="AY97" i="58"/>
  <c r="AZ97" i="58"/>
  <c r="BA97" i="58"/>
  <c r="BB97" i="58" s="1"/>
  <c r="J99" i="58"/>
  <c r="K99" i="58"/>
  <c r="L99" i="58"/>
  <c r="AQ99" i="58"/>
  <c r="AR99" i="58"/>
  <c r="AS99" i="58"/>
  <c r="AT99" i="58"/>
  <c r="AU99" i="58"/>
  <c r="AV99" i="58"/>
  <c r="AW99" i="58"/>
  <c r="AX99" i="58"/>
  <c r="AY99" i="58"/>
  <c r="AZ99" i="58"/>
  <c r="BA99" i="58"/>
  <c r="BB99" i="58"/>
  <c r="BC99" i="58" s="1"/>
  <c r="C100" i="58"/>
  <c r="D100" i="58"/>
  <c r="D101" i="58" s="1"/>
  <c r="E100" i="58"/>
  <c r="E101" i="58" s="1"/>
  <c r="F100" i="58"/>
  <c r="F101" i="58" s="1"/>
  <c r="G100" i="58"/>
  <c r="G101" i="58" s="1"/>
  <c r="AL100" i="58"/>
  <c r="AP100" i="58"/>
  <c r="AP101" i="58" s="1"/>
  <c r="H101" i="58"/>
  <c r="I101" i="58"/>
  <c r="J101" i="58"/>
  <c r="K101" i="58"/>
  <c r="L101" i="58"/>
  <c r="AI101" i="58"/>
  <c r="AJ101" i="58"/>
  <c r="AK101" i="58"/>
  <c r="AL101" i="58"/>
  <c r="AM101" i="58"/>
  <c r="AN101" i="58"/>
  <c r="AO101" i="58"/>
  <c r="AQ101" i="58"/>
  <c r="AR101" i="58"/>
  <c r="AS101" i="58"/>
  <c r="AT101" i="58"/>
  <c r="AU101" i="58"/>
  <c r="AV101" i="58"/>
  <c r="AW101" i="58"/>
  <c r="AX101" i="58"/>
  <c r="AY101" i="58"/>
  <c r="AZ101" i="58"/>
  <c r="BA101" i="58"/>
  <c r="J102" i="58"/>
  <c r="K102" i="58"/>
  <c r="L102" i="58"/>
  <c r="AQ102" i="58"/>
  <c r="AR102" i="58"/>
  <c r="AS102" i="58"/>
  <c r="AT102" i="58"/>
  <c r="AU102" i="58"/>
  <c r="AV102" i="58"/>
  <c r="AW102" i="58"/>
  <c r="AX102" i="58"/>
  <c r="AY102" i="58"/>
  <c r="AZ102" i="58"/>
  <c r="BA102" i="58"/>
  <c r="AT104" i="58"/>
  <c r="AX104" i="58"/>
  <c r="I105" i="58"/>
  <c r="J105" i="58"/>
  <c r="K105" i="58"/>
  <c r="L105" i="58"/>
  <c r="AQ105" i="58"/>
  <c r="AR105" i="58"/>
  <c r="AS105" i="58"/>
  <c r="AT105" i="58"/>
  <c r="AU105" i="58"/>
  <c r="AV105" i="58"/>
  <c r="AW105" i="58"/>
  <c r="AX105" i="58"/>
  <c r="AY105" i="58"/>
  <c r="AZ105" i="58"/>
  <c r="BA105" i="58"/>
  <c r="BB105" i="58" s="1"/>
  <c r="BC105" i="58" s="1"/>
  <c r="AT106" i="58"/>
  <c r="AT107" i="58" s="1"/>
  <c r="AX106" i="58"/>
  <c r="I107" i="58"/>
  <c r="J107" i="58"/>
  <c r="K107" i="58"/>
  <c r="L107" i="58"/>
  <c r="AQ107" i="58"/>
  <c r="AR107" i="58"/>
  <c r="AS107" i="58"/>
  <c r="AU107" i="58"/>
  <c r="AV107" i="58"/>
  <c r="AW107" i="58"/>
  <c r="AY107" i="58"/>
  <c r="AZ107" i="58"/>
  <c r="BA107" i="58"/>
  <c r="BB107" i="58" s="1"/>
  <c r="AT108" i="58"/>
  <c r="AX108" i="58"/>
  <c r="I109" i="58"/>
  <c r="J109" i="58"/>
  <c r="K109" i="58"/>
  <c r="L109" i="58"/>
  <c r="AQ109" i="58"/>
  <c r="AR109" i="58"/>
  <c r="AS109" i="58"/>
  <c r="AU109" i="58"/>
  <c r="AV109" i="58"/>
  <c r="AW109" i="58"/>
  <c r="AX109" i="58"/>
  <c r="AY109" i="58"/>
  <c r="AZ109" i="58"/>
  <c r="BA109" i="58"/>
  <c r="BB109" i="58"/>
  <c r="BC109" i="58"/>
  <c r="AT110" i="58"/>
  <c r="AX110" i="58"/>
  <c r="I111" i="58"/>
  <c r="J111" i="58"/>
  <c r="K111" i="58"/>
  <c r="L111" i="58"/>
  <c r="AQ111" i="58"/>
  <c r="AR111" i="58"/>
  <c r="AS111" i="58"/>
  <c r="AT111" i="58"/>
  <c r="AU111" i="58"/>
  <c r="AV111" i="58"/>
  <c r="AW111" i="58"/>
  <c r="AX111" i="58"/>
  <c r="AY111" i="58"/>
  <c r="AZ111" i="58"/>
  <c r="BA111" i="58"/>
  <c r="BB111" i="58"/>
  <c r="D112" i="58"/>
  <c r="E112" i="58"/>
  <c r="F112" i="58"/>
  <c r="F113" i="58" s="1"/>
  <c r="G112" i="58"/>
  <c r="AE112" i="58"/>
  <c r="AE113" i="58" s="1"/>
  <c r="AF112" i="58"/>
  <c r="AG112" i="58"/>
  <c r="AH112" i="58"/>
  <c r="AI112" i="58"/>
  <c r="AI113" i="58" s="1"/>
  <c r="AJ112" i="58"/>
  <c r="AK112" i="58"/>
  <c r="AL112" i="58"/>
  <c r="AM112" i="58"/>
  <c r="AM113" i="58" s="1"/>
  <c r="AN112" i="58"/>
  <c r="AO112" i="58"/>
  <c r="AP112" i="58"/>
  <c r="AT112" i="58"/>
  <c r="AX112" i="58"/>
  <c r="D113" i="58"/>
  <c r="I113" i="58"/>
  <c r="J113" i="58"/>
  <c r="K113" i="58"/>
  <c r="L113" i="58"/>
  <c r="AF113" i="58"/>
  <c r="AG113" i="58"/>
  <c r="AH113" i="58"/>
  <c r="AJ113" i="58"/>
  <c r="AK113" i="58"/>
  <c r="AL113" i="58"/>
  <c r="AN113" i="58"/>
  <c r="AO113" i="58"/>
  <c r="AP113" i="58"/>
  <c r="AQ113" i="58"/>
  <c r="AR113" i="58"/>
  <c r="AS113" i="58"/>
  <c r="AU113" i="58"/>
  <c r="AV113" i="58"/>
  <c r="AW113" i="58"/>
  <c r="AX113" i="58"/>
  <c r="AY113" i="58"/>
  <c r="AZ113" i="58"/>
  <c r="BA113" i="58"/>
  <c r="I114" i="58"/>
  <c r="J114" i="58"/>
  <c r="K114" i="58"/>
  <c r="L114" i="58"/>
  <c r="AQ114" i="58"/>
  <c r="AR114" i="58"/>
  <c r="AS114" i="58"/>
  <c r="AU114" i="58"/>
  <c r="AV114" i="58"/>
  <c r="AW114" i="58"/>
  <c r="AY114" i="58"/>
  <c r="AZ114" i="58"/>
  <c r="BA114" i="58"/>
  <c r="C116" i="58"/>
  <c r="D116" i="58"/>
  <c r="D117" i="58" s="1"/>
  <c r="E116" i="58"/>
  <c r="F116" i="58"/>
  <c r="G116" i="58"/>
  <c r="H116" i="58"/>
  <c r="AT116" i="58"/>
  <c r="AX116" i="58"/>
  <c r="AX118" i="58" s="1"/>
  <c r="F117" i="58"/>
  <c r="G117" i="58"/>
  <c r="I117" i="58"/>
  <c r="J117" i="58"/>
  <c r="K117" i="58"/>
  <c r="L117" i="58"/>
  <c r="AE117" i="58"/>
  <c r="AF117" i="58"/>
  <c r="AG117" i="58"/>
  <c r="AH117" i="58"/>
  <c r="AI117" i="58"/>
  <c r="AJ117" i="58"/>
  <c r="AK117" i="58"/>
  <c r="AL117" i="58"/>
  <c r="AM117" i="58"/>
  <c r="AN117" i="58"/>
  <c r="AO117" i="58"/>
  <c r="AP117" i="58"/>
  <c r="AQ117" i="58"/>
  <c r="AR117" i="58"/>
  <c r="AS117" i="58"/>
  <c r="AT117" i="58"/>
  <c r="AU117" i="58"/>
  <c r="AV117" i="58"/>
  <c r="AW117" i="58"/>
  <c r="AX117" i="58"/>
  <c r="AY117" i="58"/>
  <c r="AZ117" i="58"/>
  <c r="BA117" i="58"/>
  <c r="I118" i="58"/>
  <c r="J118" i="58"/>
  <c r="K118" i="58"/>
  <c r="L118" i="58"/>
  <c r="AE118" i="58"/>
  <c r="AF118" i="58"/>
  <c r="AG118" i="58"/>
  <c r="AH118" i="58"/>
  <c r="AI118" i="58"/>
  <c r="AJ118" i="58"/>
  <c r="AK118" i="58"/>
  <c r="AL118" i="58"/>
  <c r="AM118" i="58"/>
  <c r="AN118" i="58"/>
  <c r="AO118" i="58"/>
  <c r="AP118" i="58"/>
  <c r="AQ118" i="58"/>
  <c r="AR118" i="58"/>
  <c r="AS118" i="58"/>
  <c r="AU118" i="58"/>
  <c r="AV118" i="58"/>
  <c r="AW118" i="58"/>
  <c r="AY118" i="58"/>
  <c r="AZ118" i="58"/>
  <c r="BA118" i="58"/>
  <c r="H120" i="58"/>
  <c r="I120" i="58"/>
  <c r="J120" i="58"/>
  <c r="H121" i="58"/>
  <c r="I121" i="58"/>
  <c r="J121" i="58"/>
  <c r="K121" i="58"/>
  <c r="L121" i="58"/>
  <c r="AE121" i="58"/>
  <c r="AF121" i="58"/>
  <c r="AG121" i="58"/>
  <c r="AH121" i="58"/>
  <c r="AI121" i="58"/>
  <c r="AJ121" i="58"/>
  <c r="AK121" i="58"/>
  <c r="AL121" i="58"/>
  <c r="AM121" i="58"/>
  <c r="AN121" i="58"/>
  <c r="AO121" i="58"/>
  <c r="AP121" i="58"/>
  <c r="AQ121" i="58"/>
  <c r="AR121" i="58"/>
  <c r="AS121" i="58"/>
  <c r="AT121" i="58"/>
  <c r="AU121" i="58"/>
  <c r="AV121" i="58"/>
  <c r="AW121" i="58"/>
  <c r="AX121" i="58"/>
  <c r="AY121" i="58"/>
  <c r="AZ121" i="58"/>
  <c r="BA121" i="58"/>
  <c r="BB121" i="58" s="1"/>
  <c r="I124" i="58"/>
  <c r="J124" i="58"/>
  <c r="K124" i="58"/>
  <c r="L124" i="58"/>
  <c r="I125" i="58"/>
  <c r="J125" i="58"/>
  <c r="K125" i="58"/>
  <c r="L125" i="58"/>
  <c r="I126" i="58"/>
  <c r="J126" i="58"/>
  <c r="K126" i="58"/>
  <c r="L126" i="58"/>
  <c r="I129" i="58"/>
  <c r="J129" i="58"/>
  <c r="K129" i="58"/>
  <c r="L129" i="58"/>
  <c r="I130" i="58"/>
  <c r="J130" i="58"/>
  <c r="K130" i="58"/>
  <c r="L130" i="58"/>
  <c r="I131" i="58"/>
  <c r="J131" i="58"/>
  <c r="K131" i="58"/>
  <c r="L131" i="58"/>
  <c r="G56" i="59" l="1"/>
  <c r="G55" i="59"/>
  <c r="K56" i="59"/>
  <c r="K55" i="59"/>
  <c r="AR11" i="59"/>
  <c r="AR12" i="59" s="1"/>
  <c r="AR62" i="62"/>
  <c r="AR61" i="62"/>
  <c r="AR29" i="60"/>
  <c r="AR9" i="59"/>
  <c r="D64" i="62"/>
  <c r="D63" i="62"/>
  <c r="W30" i="59"/>
  <c r="W64" i="62"/>
  <c r="W63" i="62"/>
  <c r="AB64" i="62"/>
  <c r="AB63" i="62"/>
  <c r="AG26" i="59"/>
  <c r="AG63" i="62"/>
  <c r="AG64" i="62"/>
  <c r="AG30" i="59"/>
  <c r="AL26" i="59"/>
  <c r="AL64" i="62"/>
  <c r="AL63" i="62"/>
  <c r="AP30" i="59"/>
  <c r="AP63" i="62"/>
  <c r="AP64" i="62"/>
  <c r="AT30" i="59"/>
  <c r="AT63" i="62"/>
  <c r="AT64" i="62"/>
  <c r="AX30" i="59"/>
  <c r="AX64" i="62"/>
  <c r="AX63" i="62"/>
  <c r="AX26" i="59"/>
  <c r="W26" i="59"/>
  <c r="Z40" i="59"/>
  <c r="Z7" i="60"/>
  <c r="Z56" i="60" s="1"/>
  <c r="E56" i="60"/>
  <c r="I56" i="60"/>
  <c r="S56" i="60"/>
  <c r="AI56" i="60"/>
  <c r="AM56" i="60"/>
  <c r="AQ56" i="60"/>
  <c r="AU56" i="60"/>
  <c r="G113" i="58"/>
  <c r="G118" i="58"/>
  <c r="V9" i="59"/>
  <c r="V62" i="62"/>
  <c r="V61" i="62"/>
  <c r="AM9" i="59"/>
  <c r="AM62" i="62"/>
  <c r="AM61" i="62"/>
  <c r="AM29" i="60"/>
  <c r="AM32" i="60" s="1"/>
  <c r="Z44" i="60"/>
  <c r="AH18" i="59"/>
  <c r="AH38" i="60"/>
  <c r="V22" i="59"/>
  <c r="V40" i="60"/>
  <c r="AD56" i="60"/>
  <c r="M65" i="59"/>
  <c r="M69" i="60" s="1"/>
  <c r="BB69" i="60"/>
  <c r="BC65" i="59"/>
  <c r="D89" i="58"/>
  <c r="C117" i="58"/>
  <c r="Z60" i="62"/>
  <c r="Z25" i="60"/>
  <c r="Z59" i="62"/>
  <c r="Z65" i="62"/>
  <c r="V53" i="60"/>
  <c r="V8" i="60"/>
  <c r="BB53" i="60"/>
  <c r="M37" i="59"/>
  <c r="M53" i="60" s="1"/>
  <c r="BC37" i="59"/>
  <c r="BB8" i="60"/>
  <c r="AH56" i="60"/>
  <c r="AD56" i="59"/>
  <c r="AD5" i="60"/>
  <c r="V67" i="59"/>
  <c r="V70" i="60"/>
  <c r="BB66" i="59"/>
  <c r="Z62" i="62"/>
  <c r="Z61" i="62"/>
  <c r="AD16" i="59"/>
  <c r="S64" i="62"/>
  <c r="S63" i="62"/>
  <c r="AC30" i="59"/>
  <c r="AC63" i="62"/>
  <c r="AC64" i="62"/>
  <c r="AM64" i="62"/>
  <c r="AM63" i="62"/>
  <c r="AU30" i="59"/>
  <c r="AU64" i="62"/>
  <c r="AD29" i="59"/>
  <c r="V43" i="59"/>
  <c r="AH45" i="59"/>
  <c r="F56" i="60"/>
  <c r="T56" i="60"/>
  <c r="AJ56" i="60"/>
  <c r="AR56" i="60"/>
  <c r="AZ56" i="60"/>
  <c r="Z8" i="60"/>
  <c r="Z9" i="60" s="1"/>
  <c r="Z11" i="60" s="1"/>
  <c r="Z23" i="60" s="1"/>
  <c r="Z24" i="60" s="1"/>
  <c r="G26" i="60"/>
  <c r="AR30" i="60"/>
  <c r="AG44" i="60"/>
  <c r="AG47" i="60" s="1"/>
  <c r="AG48" i="60" s="1"/>
  <c r="AS44" i="60"/>
  <c r="AS47" i="60" s="1"/>
  <c r="AS48" i="60" s="1"/>
  <c r="BA44" i="60"/>
  <c r="BA45" i="60" s="1"/>
  <c r="V42" i="60"/>
  <c r="Z69" i="60"/>
  <c r="H63" i="62"/>
  <c r="AD59" i="62"/>
  <c r="AU63" i="62"/>
  <c r="C101" i="58"/>
  <c r="AH11" i="59"/>
  <c r="AH12" i="59" s="1"/>
  <c r="AH60" i="62"/>
  <c r="AD6" i="59"/>
  <c r="AD9" i="59"/>
  <c r="AD62" i="62"/>
  <c r="AD61" i="62"/>
  <c r="AO9" i="59"/>
  <c r="AO61" i="62"/>
  <c r="AH16" i="59"/>
  <c r="AD22" i="59"/>
  <c r="AD40" i="60"/>
  <c r="AE30" i="59"/>
  <c r="AE64" i="62"/>
  <c r="AN64" i="62"/>
  <c r="AN63" i="62"/>
  <c r="AR64" i="62"/>
  <c r="AR63" i="62"/>
  <c r="AA30" i="59"/>
  <c r="Z43" i="59"/>
  <c r="AD40" i="59"/>
  <c r="AD53" i="60"/>
  <c r="V45" i="59"/>
  <c r="H55" i="59"/>
  <c r="Y55" i="59"/>
  <c r="AN55" i="59"/>
  <c r="AV55" i="59"/>
  <c r="AH56" i="59"/>
  <c r="Z61" i="59"/>
  <c r="C56" i="60"/>
  <c r="G56" i="60"/>
  <c r="K56" i="60"/>
  <c r="U56" i="60"/>
  <c r="Y56" i="60"/>
  <c r="AC56" i="60"/>
  <c r="AG56" i="60"/>
  <c r="AK56" i="60"/>
  <c r="AO56" i="60"/>
  <c r="AS56" i="60"/>
  <c r="AW56" i="60"/>
  <c r="BA56" i="60"/>
  <c r="D26" i="60"/>
  <c r="D32" i="60"/>
  <c r="BA26" i="60"/>
  <c r="AN29" i="60"/>
  <c r="AK32" i="60"/>
  <c r="L44" i="60"/>
  <c r="AD36" i="60"/>
  <c r="AD44" i="60" s="1"/>
  <c r="AH36" i="60"/>
  <c r="AH44" i="60" s="1"/>
  <c r="AL44" i="60"/>
  <c r="AP44" i="60"/>
  <c r="AT44" i="60"/>
  <c r="AX44" i="60"/>
  <c r="AX47" i="60" s="1"/>
  <c r="AX48" i="60" s="1"/>
  <c r="E64" i="62"/>
  <c r="I64" i="62"/>
  <c r="AN62" i="62"/>
  <c r="U64" i="62"/>
  <c r="BA64" i="62"/>
  <c r="BB64" i="62" s="1"/>
  <c r="Z22" i="59"/>
  <c r="Z40" i="60"/>
  <c r="X64" i="62"/>
  <c r="X63" i="62"/>
  <c r="AI30" i="59"/>
  <c r="AI64" i="62"/>
  <c r="AI63" i="62"/>
  <c r="AQ26" i="59"/>
  <c r="AQ64" i="62"/>
  <c r="AY30" i="59"/>
  <c r="AY64" i="62"/>
  <c r="AY63" i="62"/>
  <c r="AM26" i="59"/>
  <c r="AH6" i="60"/>
  <c r="J56" i="60"/>
  <c r="X56" i="60"/>
  <c r="AN56" i="60"/>
  <c r="AV56" i="60"/>
  <c r="U44" i="60"/>
  <c r="U45" i="60" s="1"/>
  <c r="AC44" i="60"/>
  <c r="AC47" i="60" s="1"/>
  <c r="AC48" i="60" s="1"/>
  <c r="AK44" i="60"/>
  <c r="AW44" i="60"/>
  <c r="AW47" i="60" s="1"/>
  <c r="AW48" i="60" s="1"/>
  <c r="AD66" i="61"/>
  <c r="L63" i="62"/>
  <c r="BC62" i="62"/>
  <c r="V11" i="59"/>
  <c r="V12" i="59" s="1"/>
  <c r="V60" i="62"/>
  <c r="AH62" i="62"/>
  <c r="AH61" i="62"/>
  <c r="AQ8" i="59"/>
  <c r="AN9" i="59"/>
  <c r="V16" i="59"/>
  <c r="AD20" i="59"/>
  <c r="AH20" i="59"/>
  <c r="AH22" i="59"/>
  <c r="AH40" i="60"/>
  <c r="C28" i="59"/>
  <c r="C112" i="58" s="1"/>
  <c r="C63" i="62"/>
  <c r="C64" i="62"/>
  <c r="AA26" i="59"/>
  <c r="AA64" i="62"/>
  <c r="AS30" i="59"/>
  <c r="AS63" i="62"/>
  <c r="AS64" i="62"/>
  <c r="AW63" i="62"/>
  <c r="AW64" i="62"/>
  <c r="BC63" i="62"/>
  <c r="S28" i="59"/>
  <c r="S29" i="59" s="1"/>
  <c r="AH40" i="59"/>
  <c r="AH53" i="60"/>
  <c r="V40" i="59"/>
  <c r="BC52" i="59"/>
  <c r="AB55" i="59"/>
  <c r="AW55" i="59"/>
  <c r="AH67" i="59"/>
  <c r="AH70" i="60"/>
  <c r="AH5" i="60"/>
  <c r="AH9" i="60" s="1"/>
  <c r="AH11" i="60" s="1"/>
  <c r="AH23" i="60" s="1"/>
  <c r="AH24" i="60" s="1"/>
  <c r="D56" i="60"/>
  <c r="H56" i="60"/>
  <c r="L56" i="60"/>
  <c r="V7" i="60"/>
  <c r="V56" i="60" s="1"/>
  <c r="AL56" i="60"/>
  <c r="AP56" i="60"/>
  <c r="AT56" i="60"/>
  <c r="AX56" i="60"/>
  <c r="V25" i="60"/>
  <c r="AD25" i="60"/>
  <c r="AD27" i="60" s="1"/>
  <c r="AH25" i="60"/>
  <c r="AH43" i="60" s="1"/>
  <c r="AT27" i="60"/>
  <c r="AO29" i="60"/>
  <c r="AO32" i="60" s="1"/>
  <c r="AO62" i="62"/>
  <c r="T63" i="62"/>
  <c r="AE63" i="62"/>
  <c r="Y64" i="62"/>
  <c r="E44" i="60"/>
  <c r="I44" i="60"/>
  <c r="I47" i="60" s="1"/>
  <c r="I48" i="60" s="1"/>
  <c r="AH66" i="61"/>
  <c r="Z68" i="61"/>
  <c r="BJ66" i="61"/>
  <c r="BK66" i="61" s="1"/>
  <c r="BL66" i="61" s="1"/>
  <c r="G64" i="62"/>
  <c r="K64" i="62"/>
  <c r="V66" i="61"/>
  <c r="H64" i="62"/>
  <c r="L64" i="62"/>
  <c r="Z66" i="61"/>
  <c r="E63" i="62"/>
  <c r="I63" i="62"/>
  <c r="F64" i="62"/>
  <c r="J64" i="62"/>
  <c r="AP24" i="62"/>
  <c r="J19" i="62"/>
  <c r="BC60" i="62"/>
  <c r="C55" i="62"/>
  <c r="C56" i="62" s="1"/>
  <c r="C57" i="62" s="1"/>
  <c r="F67" i="61"/>
  <c r="G36" i="62"/>
  <c r="Y36" i="62"/>
  <c r="Y31" i="62"/>
  <c r="C31" i="62"/>
  <c r="AC31" i="62"/>
  <c r="BB54" i="62"/>
  <c r="BB55" i="62" s="1"/>
  <c r="M33" i="62"/>
  <c r="M54" i="62" s="1"/>
  <c r="AE36" i="62"/>
  <c r="H46" i="62"/>
  <c r="L46" i="62"/>
  <c r="M40" i="62"/>
  <c r="BC40" i="62"/>
  <c r="BD40" i="62" s="1"/>
  <c r="BE40" i="62" s="1"/>
  <c r="BF40" i="62" s="1"/>
  <c r="BC44" i="62"/>
  <c r="BD44" i="62" s="1"/>
  <c r="BE44" i="62" s="1"/>
  <c r="BF44" i="62" s="1"/>
  <c r="BC59" i="62"/>
  <c r="K52" i="62"/>
  <c r="K13" i="62"/>
  <c r="L24" i="62"/>
  <c r="AL24" i="62"/>
  <c r="I19" i="62"/>
  <c r="I24" i="62" s="1"/>
  <c r="BE61" i="62"/>
  <c r="BC32" i="62"/>
  <c r="BD32" i="62" s="1"/>
  <c r="BE32" i="62" s="1"/>
  <c r="BF32" i="62" s="1"/>
  <c r="N32" i="62" s="1"/>
  <c r="AQ56" i="62"/>
  <c r="AQ57" i="62" s="1"/>
  <c r="BC64" i="62"/>
  <c r="I60" i="62"/>
  <c r="I67" i="61"/>
  <c r="V13" i="62"/>
  <c r="E12" i="62"/>
  <c r="G13" i="62"/>
  <c r="H19" i="62"/>
  <c r="H24" i="62" s="1"/>
  <c r="N21" i="62"/>
  <c r="BG21" i="62"/>
  <c r="BH21" i="62" s="1"/>
  <c r="BI21" i="62" s="1"/>
  <c r="BJ21" i="62" s="1"/>
  <c r="BK21" i="62" s="1"/>
  <c r="BL21" i="62" s="1"/>
  <c r="BM21" i="62" s="1"/>
  <c r="BN21" i="62" s="1"/>
  <c r="V36" i="62"/>
  <c r="E30" i="62"/>
  <c r="E36" i="62" s="1"/>
  <c r="Z36" i="62"/>
  <c r="F30" i="62"/>
  <c r="F36" i="62" s="1"/>
  <c r="D31" i="62"/>
  <c r="BC33" i="62"/>
  <c r="BC54" i="62" s="1"/>
  <c r="M43" i="62"/>
  <c r="S56" i="62"/>
  <c r="S57" i="62" s="1"/>
  <c r="AE56" i="62"/>
  <c r="AE57" i="62" s="1"/>
  <c r="AI56" i="62"/>
  <c r="AI57" i="62" s="1"/>
  <c r="AU56" i="62"/>
  <c r="AU57" i="62" s="1"/>
  <c r="AY56" i="62"/>
  <c r="AY57" i="62" s="1"/>
  <c r="D24" i="62"/>
  <c r="H31" i="62"/>
  <c r="AG31" i="62"/>
  <c r="E46" i="62"/>
  <c r="U24" i="62"/>
  <c r="Y24" i="62"/>
  <c r="AC24" i="62"/>
  <c r="AG24" i="62"/>
  <c r="J36" i="62"/>
  <c r="AB31" i="62"/>
  <c r="F46" i="62"/>
  <c r="V55" i="62"/>
  <c r="V56" i="62" s="1"/>
  <c r="V57" i="62" s="1"/>
  <c r="Z55" i="62"/>
  <c r="Z56" i="62" s="1"/>
  <c r="Z57" i="62" s="1"/>
  <c r="AD55" i="62"/>
  <c r="AD56" i="62" s="1"/>
  <c r="AD57" i="62" s="1"/>
  <c r="AH55" i="62"/>
  <c r="AH56" i="62" s="1"/>
  <c r="AH57" i="62" s="1"/>
  <c r="AL55" i="62"/>
  <c r="AL56" i="62" s="1"/>
  <c r="AL57" i="62" s="1"/>
  <c r="AP55" i="62"/>
  <c r="AP56" i="62" s="1"/>
  <c r="AP57" i="62" s="1"/>
  <c r="AT55" i="62"/>
  <c r="AT56" i="62" s="1"/>
  <c r="AT57" i="62" s="1"/>
  <c r="AX55" i="62"/>
  <c r="AX56" i="62" s="1"/>
  <c r="AX57" i="62" s="1"/>
  <c r="BG11" i="62"/>
  <c r="BH11" i="62" s="1"/>
  <c r="BI11" i="62" s="1"/>
  <c r="BJ11" i="62" s="1"/>
  <c r="N11" i="62"/>
  <c r="BG6" i="62"/>
  <c r="BH6" i="62" s="1"/>
  <c r="BI6" i="62" s="1"/>
  <c r="BJ6" i="62" s="1"/>
  <c r="N6" i="62"/>
  <c r="P21" i="62"/>
  <c r="BO21" i="62"/>
  <c r="BP21" i="62" s="1"/>
  <c r="BQ21" i="62" s="1"/>
  <c r="BR21" i="62" s="1"/>
  <c r="Q21" i="62" s="1"/>
  <c r="Z13" i="62"/>
  <c r="F12" i="62"/>
  <c r="Z24" i="62"/>
  <c r="W36" i="62"/>
  <c r="W31" i="62"/>
  <c r="AF36" i="62"/>
  <c r="AF31" i="62"/>
  <c r="BG43" i="62"/>
  <c r="BH43" i="62" s="1"/>
  <c r="BI43" i="62" s="1"/>
  <c r="BJ43" i="62" s="1"/>
  <c r="N43" i="62"/>
  <c r="BB19" i="62"/>
  <c r="AE24" i="62"/>
  <c r="O21" i="62"/>
  <c r="L31" i="62"/>
  <c r="F55" i="62"/>
  <c r="V24" i="62"/>
  <c r="BG20" i="62"/>
  <c r="BH20" i="62" s="1"/>
  <c r="BI20" i="62" s="1"/>
  <c r="BJ20" i="62" s="1"/>
  <c r="N20" i="62"/>
  <c r="S36" i="62"/>
  <c r="S31" i="62"/>
  <c r="AA36" i="62"/>
  <c r="AA31" i="62"/>
  <c r="M42" i="62"/>
  <c r="BC42" i="62"/>
  <c r="BD42" i="62" s="1"/>
  <c r="BE42" i="62" s="1"/>
  <c r="BF42" i="62" s="1"/>
  <c r="F52" i="62"/>
  <c r="F13" i="62"/>
  <c r="J52" i="62"/>
  <c r="J56" i="62" s="1"/>
  <c r="J57" i="62" s="1"/>
  <c r="J13" i="62"/>
  <c r="H60" i="62"/>
  <c r="H67" i="61"/>
  <c r="L60" i="62"/>
  <c r="L67" i="61"/>
  <c r="E24" i="62"/>
  <c r="J24" i="62"/>
  <c r="BG32" i="62"/>
  <c r="BH32" i="62" s="1"/>
  <c r="BI32" i="62" s="1"/>
  <c r="BJ32" i="62" s="1"/>
  <c r="N34" i="62"/>
  <c r="BG34" i="62"/>
  <c r="BH34" i="62" s="1"/>
  <c r="BI34" i="62" s="1"/>
  <c r="BJ34" i="62" s="1"/>
  <c r="BG22" i="62"/>
  <c r="BH22" i="62" s="1"/>
  <c r="BI22" i="62" s="1"/>
  <c r="BJ22" i="62" s="1"/>
  <c r="N22" i="62"/>
  <c r="BB53" i="62"/>
  <c r="M29" i="62"/>
  <c r="M53" i="62" s="1"/>
  <c r="BC29" i="62"/>
  <c r="M18" i="62"/>
  <c r="BC18" i="62"/>
  <c r="BD18" i="62" s="1"/>
  <c r="BE18" i="62" s="1"/>
  <c r="BF18" i="62" s="1"/>
  <c r="F24" i="62"/>
  <c r="F63" i="62"/>
  <c r="F31" i="62"/>
  <c r="J63" i="62"/>
  <c r="J31" i="62"/>
  <c r="M6" i="62"/>
  <c r="H13" i="62"/>
  <c r="L13" i="62"/>
  <c r="M17" i="62"/>
  <c r="G19" i="62"/>
  <c r="G24" i="62" s="1"/>
  <c r="K19" i="62"/>
  <c r="K24" i="62" s="1"/>
  <c r="E31" i="62"/>
  <c r="I31" i="62"/>
  <c r="V31" i="62"/>
  <c r="Z31" i="62"/>
  <c r="G55" i="62"/>
  <c r="G56" i="62" s="1"/>
  <c r="G57" i="62" s="1"/>
  <c r="K55" i="62"/>
  <c r="K56" i="62" s="1"/>
  <c r="K57" i="62" s="1"/>
  <c r="E49" i="62"/>
  <c r="I49" i="62"/>
  <c r="E13" i="62"/>
  <c r="I13" i="62"/>
  <c r="N44" i="62"/>
  <c r="BG44" i="62"/>
  <c r="BH44" i="62" s="1"/>
  <c r="BI44" i="62" s="1"/>
  <c r="BJ44" i="62" s="1"/>
  <c r="BC17" i="62"/>
  <c r="G31" i="62"/>
  <c r="K31" i="62"/>
  <c r="E55" i="62"/>
  <c r="E56" i="62" s="1"/>
  <c r="E57" i="62" s="1"/>
  <c r="M55" i="62"/>
  <c r="H50" i="62"/>
  <c r="L50" i="62"/>
  <c r="G46" i="62"/>
  <c r="K46" i="62"/>
  <c r="H49" i="62"/>
  <c r="L49" i="62"/>
  <c r="E50" i="62"/>
  <c r="I50" i="62"/>
  <c r="U55" i="62"/>
  <c r="U56" i="62" s="1"/>
  <c r="U57" i="62" s="1"/>
  <c r="Y55" i="62"/>
  <c r="Y56" i="62" s="1"/>
  <c r="Y57" i="62" s="1"/>
  <c r="AC55" i="62"/>
  <c r="AC56" i="62" s="1"/>
  <c r="AC57" i="62" s="1"/>
  <c r="AG55" i="62"/>
  <c r="AG56" i="62" s="1"/>
  <c r="AG57" i="62" s="1"/>
  <c r="AK55" i="62"/>
  <c r="AK56" i="62" s="1"/>
  <c r="AK57" i="62" s="1"/>
  <c r="AO55" i="62"/>
  <c r="AO56" i="62" s="1"/>
  <c r="AO57" i="62" s="1"/>
  <c r="AS55" i="62"/>
  <c r="AS56" i="62" s="1"/>
  <c r="AS57" i="62" s="1"/>
  <c r="AW55" i="62"/>
  <c r="AW56" i="62" s="1"/>
  <c r="AW57" i="62" s="1"/>
  <c r="BA55" i="62"/>
  <c r="BA56" i="62" s="1"/>
  <c r="BA57" i="62" s="1"/>
  <c r="D55" i="62"/>
  <c r="D56" i="62" s="1"/>
  <c r="D57" i="62" s="1"/>
  <c r="H55" i="62"/>
  <c r="H56" i="62" s="1"/>
  <c r="H57" i="62" s="1"/>
  <c r="L55" i="62"/>
  <c r="L56" i="62" s="1"/>
  <c r="L57" i="62" s="1"/>
  <c r="I46" i="62"/>
  <c r="BC39" i="62"/>
  <c r="F49" i="62"/>
  <c r="J49" i="62"/>
  <c r="G50" i="62"/>
  <c r="K50" i="62"/>
  <c r="L31" i="61"/>
  <c r="V55" i="61"/>
  <c r="AL55" i="61"/>
  <c r="M45" i="61"/>
  <c r="M55" i="61" s="1"/>
  <c r="Z62" i="61"/>
  <c r="AP62" i="61"/>
  <c r="BM66" i="61"/>
  <c r="BN66" i="61" s="1"/>
  <c r="AX31" i="61"/>
  <c r="V29" i="61"/>
  <c r="AL29" i="61"/>
  <c r="AL31" i="61" s="1"/>
  <c r="AY31" i="61"/>
  <c r="Z64" i="61"/>
  <c r="AP64" i="61"/>
  <c r="Z55" i="61"/>
  <c r="AP55" i="61"/>
  <c r="AD62" i="61"/>
  <c r="N12" i="61"/>
  <c r="AH31" i="61"/>
  <c r="Z29" i="61"/>
  <c r="Z31" i="61" s="1"/>
  <c r="AP29" i="61"/>
  <c r="AP31" i="61" s="1"/>
  <c r="AD29" i="61"/>
  <c r="AD31" i="61" s="1"/>
  <c r="AT29" i="61"/>
  <c r="J31" i="61"/>
  <c r="AH62" i="61"/>
  <c r="BH53" i="61"/>
  <c r="BI53" i="61" s="1"/>
  <c r="BJ53" i="61" s="1"/>
  <c r="BK53" i="61" s="1"/>
  <c r="V31" i="61"/>
  <c r="BH12" i="61"/>
  <c r="BI12" i="61" s="1"/>
  <c r="BJ12" i="61" s="1"/>
  <c r="BK12" i="61" s="1"/>
  <c r="AT31" i="61"/>
  <c r="AW31" i="61"/>
  <c r="AX64" i="61"/>
  <c r="AX59" i="61"/>
  <c r="AT68" i="61"/>
  <c r="AT41" i="61"/>
  <c r="V64" i="61"/>
  <c r="V59" i="61"/>
  <c r="AL64" i="61"/>
  <c r="AL59" i="61"/>
  <c r="AH68" i="61"/>
  <c r="AH41" i="61"/>
  <c r="AX68" i="61"/>
  <c r="AX41" i="61"/>
  <c r="U35" i="61"/>
  <c r="BD68" i="61"/>
  <c r="BA31" i="61"/>
  <c r="N53" i="61"/>
  <c r="AH64" i="61"/>
  <c r="AH59" i="61"/>
  <c r="AD68" i="61"/>
  <c r="AD41" i="61"/>
  <c r="K31" i="61"/>
  <c r="T31" i="61"/>
  <c r="AV31" i="61"/>
  <c r="AZ31" i="61"/>
  <c r="BB55" i="61"/>
  <c r="BC45" i="61"/>
  <c r="Z41" i="61"/>
  <c r="AL41" i="61"/>
  <c r="AP41" i="61"/>
  <c r="AD55" i="61"/>
  <c r="AT55" i="61"/>
  <c r="AD64" i="61"/>
  <c r="AT64" i="61"/>
  <c r="AH55" i="61"/>
  <c r="AX55" i="61"/>
  <c r="Z59" i="61"/>
  <c r="AD59" i="61"/>
  <c r="AP59" i="61"/>
  <c r="AT59" i="61"/>
  <c r="K41" i="60"/>
  <c r="K43" i="60"/>
  <c r="K39" i="60"/>
  <c r="K32" i="60"/>
  <c r="X41" i="60"/>
  <c r="X37" i="60"/>
  <c r="X32" i="60"/>
  <c r="X43" i="60"/>
  <c r="X39" i="60"/>
  <c r="X27" i="60"/>
  <c r="AJ41" i="60"/>
  <c r="AJ37" i="60"/>
  <c r="AJ32" i="60"/>
  <c r="AJ26" i="60"/>
  <c r="AJ27" i="60"/>
  <c r="AJ43" i="60"/>
  <c r="AJ39" i="60"/>
  <c r="AV41" i="60"/>
  <c r="AV37" i="60"/>
  <c r="AV32" i="60"/>
  <c r="AV26" i="60"/>
  <c r="AV27" i="60"/>
  <c r="X30" i="60"/>
  <c r="AK50" i="60"/>
  <c r="AK33" i="60"/>
  <c r="AD47" i="60"/>
  <c r="AD48" i="60" s="1"/>
  <c r="AD45" i="60"/>
  <c r="AL47" i="60"/>
  <c r="AL48" i="60" s="1"/>
  <c r="AL45" i="60"/>
  <c r="AS45" i="60"/>
  <c r="M7" i="60"/>
  <c r="AY56" i="60"/>
  <c r="U27" i="60"/>
  <c r="U30" i="60"/>
  <c r="Y27" i="60"/>
  <c r="Y30" i="60"/>
  <c r="AC27" i="60"/>
  <c r="AC30" i="60"/>
  <c r="AG27" i="60"/>
  <c r="AG30" i="60"/>
  <c r="AK27" i="60"/>
  <c r="AK30" i="60"/>
  <c r="AO27" i="60"/>
  <c r="AO30" i="60"/>
  <c r="AS27" i="60"/>
  <c r="AS30" i="60"/>
  <c r="AW27" i="60"/>
  <c r="BA27" i="60"/>
  <c r="L26" i="60"/>
  <c r="AG26" i="60"/>
  <c r="AW26" i="60"/>
  <c r="D30" i="60"/>
  <c r="K30" i="60"/>
  <c r="H32" i="60"/>
  <c r="Y32" i="60"/>
  <c r="F44" i="60"/>
  <c r="F37" i="60"/>
  <c r="J44" i="60"/>
  <c r="J37" i="60"/>
  <c r="AF39" i="60"/>
  <c r="G41" i="60"/>
  <c r="G32" i="60"/>
  <c r="G43" i="60"/>
  <c r="G39" i="60"/>
  <c r="AB41" i="60"/>
  <c r="AB37" i="60"/>
  <c r="AB43" i="60"/>
  <c r="AB39" i="60"/>
  <c r="AB32" i="60"/>
  <c r="AB26" i="60"/>
  <c r="AB27" i="60"/>
  <c r="AN41" i="60"/>
  <c r="AN37" i="60"/>
  <c r="AN32" i="60"/>
  <c r="AN26" i="60"/>
  <c r="AN43" i="60"/>
  <c r="AN39" i="60"/>
  <c r="AN27" i="60"/>
  <c r="AZ41" i="60"/>
  <c r="AZ37" i="60"/>
  <c r="AZ32" i="60"/>
  <c r="AZ26" i="60"/>
  <c r="AZ27" i="60"/>
  <c r="AZ43" i="60"/>
  <c r="AZ39" i="60"/>
  <c r="AN30" i="60"/>
  <c r="U33" i="60"/>
  <c r="AX45" i="60"/>
  <c r="AV43" i="60"/>
  <c r="E43" i="60"/>
  <c r="E39" i="60"/>
  <c r="E41" i="60"/>
  <c r="E37" i="60"/>
  <c r="E32" i="60"/>
  <c r="I43" i="60"/>
  <c r="I39" i="60"/>
  <c r="I41" i="60"/>
  <c r="I37" i="60"/>
  <c r="I32" i="60"/>
  <c r="V37" i="60"/>
  <c r="V32" i="60"/>
  <c r="Z37" i="60"/>
  <c r="AD43" i="60"/>
  <c r="AD39" i="60"/>
  <c r="AD41" i="60"/>
  <c r="AD37" i="60"/>
  <c r="AD32" i="60"/>
  <c r="AD26" i="60"/>
  <c r="AH39" i="60"/>
  <c r="AH32" i="60"/>
  <c r="AH26" i="60"/>
  <c r="AL43" i="60"/>
  <c r="AL39" i="60"/>
  <c r="AL41" i="60"/>
  <c r="AL37" i="60"/>
  <c r="AL32" i="60"/>
  <c r="AL26" i="60"/>
  <c r="AP43" i="60"/>
  <c r="AP39" i="60"/>
  <c r="AP41" i="60"/>
  <c r="AP37" i="60"/>
  <c r="AP32" i="60"/>
  <c r="AP26" i="60"/>
  <c r="AT43" i="60"/>
  <c r="AT39" i="60"/>
  <c r="AT41" i="60"/>
  <c r="AT37" i="60"/>
  <c r="AT32" i="60"/>
  <c r="AT26" i="60"/>
  <c r="AX43" i="60"/>
  <c r="AX39" i="60"/>
  <c r="AX32" i="60"/>
  <c r="AX26" i="60"/>
  <c r="H26" i="60"/>
  <c r="X26" i="60"/>
  <c r="AH27" i="60"/>
  <c r="AX27" i="60"/>
  <c r="E30" i="60"/>
  <c r="I30" i="60"/>
  <c r="AD30" i="60"/>
  <c r="AH30" i="60"/>
  <c r="AL30" i="60"/>
  <c r="AP30" i="60"/>
  <c r="AT30" i="60"/>
  <c r="AX30" i="60"/>
  <c r="AV30" i="60"/>
  <c r="L32" i="60"/>
  <c r="AC32" i="60"/>
  <c r="AS32" i="60"/>
  <c r="AH37" i="60"/>
  <c r="AV39" i="60"/>
  <c r="I45" i="60"/>
  <c r="C41" i="60"/>
  <c r="C32" i="60"/>
  <c r="C43" i="60"/>
  <c r="C39" i="60"/>
  <c r="T41" i="60"/>
  <c r="T32" i="60"/>
  <c r="T27" i="60"/>
  <c r="T43" i="60"/>
  <c r="T39" i="60"/>
  <c r="AF41" i="60"/>
  <c r="AF37" i="60"/>
  <c r="AF32" i="60"/>
  <c r="AF26" i="60"/>
  <c r="AF27" i="60"/>
  <c r="AR41" i="60"/>
  <c r="AR37" i="60"/>
  <c r="AR43" i="60"/>
  <c r="AR39" i="60"/>
  <c r="AR32" i="60"/>
  <c r="AR26" i="60"/>
  <c r="AR27" i="60"/>
  <c r="K26" i="60"/>
  <c r="G30" i="60"/>
  <c r="D33" i="60"/>
  <c r="BA33" i="60"/>
  <c r="AH47" i="60"/>
  <c r="AH48" i="60" s="1"/>
  <c r="AH45" i="60"/>
  <c r="AT47" i="60"/>
  <c r="AT48" i="60" s="1"/>
  <c r="AT45" i="60"/>
  <c r="F32" i="60"/>
  <c r="F26" i="60"/>
  <c r="J32" i="60"/>
  <c r="J26" i="60"/>
  <c r="S33" i="60"/>
  <c r="W32" i="60"/>
  <c r="W26" i="60"/>
  <c r="W27" i="60"/>
  <c r="AA32" i="60"/>
  <c r="AA26" i="60"/>
  <c r="AE32" i="60"/>
  <c r="AE26" i="60"/>
  <c r="AE27" i="60"/>
  <c r="AI32" i="60"/>
  <c r="AI26" i="60"/>
  <c r="AI27" i="60"/>
  <c r="AM26" i="60"/>
  <c r="AM27" i="60"/>
  <c r="AQ26" i="60"/>
  <c r="AQ27" i="60"/>
  <c r="AU32" i="60"/>
  <c r="AU26" i="60"/>
  <c r="AU27" i="60"/>
  <c r="AY32" i="60"/>
  <c r="AY26" i="60"/>
  <c r="AY27" i="60"/>
  <c r="I26" i="60"/>
  <c r="AL27" i="60"/>
  <c r="F30" i="60"/>
  <c r="J30" i="60"/>
  <c r="S30" i="60"/>
  <c r="W30" i="60"/>
  <c r="AA30" i="60"/>
  <c r="AE30" i="60"/>
  <c r="AI30" i="60"/>
  <c r="AM30" i="60"/>
  <c r="AU30" i="60"/>
  <c r="AY30" i="60"/>
  <c r="C30" i="60"/>
  <c r="T30" i="60"/>
  <c r="AJ30" i="60"/>
  <c r="AZ30" i="60"/>
  <c r="AG32" i="60"/>
  <c r="AW50" i="60"/>
  <c r="AW33" i="60"/>
  <c r="AG45" i="60"/>
  <c r="AK45" i="60"/>
  <c r="AK47" i="60"/>
  <c r="AK48" i="60" s="1"/>
  <c r="AW45" i="60"/>
  <c r="BA47" i="60"/>
  <c r="BA48" i="60" s="1"/>
  <c r="AX37" i="60"/>
  <c r="AF43" i="60"/>
  <c r="AC45" i="60"/>
  <c r="AW30" i="60"/>
  <c r="BA30" i="60"/>
  <c r="C45" i="60"/>
  <c r="C47" i="60"/>
  <c r="C48" i="60" s="1"/>
  <c r="G45" i="60"/>
  <c r="G47" i="60"/>
  <c r="G48" i="60" s="1"/>
  <c r="K45" i="60"/>
  <c r="K47" i="60"/>
  <c r="K48" i="60" s="1"/>
  <c r="S44" i="60"/>
  <c r="S37" i="60"/>
  <c r="W44" i="60"/>
  <c r="W37" i="60"/>
  <c r="AA44" i="60"/>
  <c r="AA37" i="60"/>
  <c r="AE44" i="60"/>
  <c r="AE37" i="60"/>
  <c r="AI44" i="60"/>
  <c r="AI37" i="60"/>
  <c r="AM44" i="60"/>
  <c r="AM37" i="60"/>
  <c r="AQ44" i="60"/>
  <c r="AQ37" i="60"/>
  <c r="AU44" i="60"/>
  <c r="AU37" i="60"/>
  <c r="AY45" i="60"/>
  <c r="F39" i="60"/>
  <c r="J39" i="60"/>
  <c r="S39" i="60"/>
  <c r="W39" i="60"/>
  <c r="AA39" i="60"/>
  <c r="AE39" i="60"/>
  <c r="AI39" i="60"/>
  <c r="AM39" i="60"/>
  <c r="AQ39" i="60"/>
  <c r="AU39" i="60"/>
  <c r="AY39" i="60"/>
  <c r="F41" i="60"/>
  <c r="J41" i="60"/>
  <c r="S41" i="60"/>
  <c r="W41" i="60"/>
  <c r="AA41" i="60"/>
  <c r="AE41" i="60"/>
  <c r="AI41" i="60"/>
  <c r="AM41" i="60"/>
  <c r="AQ41" i="60"/>
  <c r="AU41" i="60"/>
  <c r="AY41" i="60"/>
  <c r="F43" i="60"/>
  <c r="J43" i="60"/>
  <c r="S43" i="60"/>
  <c r="W43" i="60"/>
  <c r="AA43" i="60"/>
  <c r="AE43" i="60"/>
  <c r="AI43" i="60"/>
  <c r="AM43" i="60"/>
  <c r="AQ43" i="60"/>
  <c r="AU43" i="60"/>
  <c r="AY43" i="60"/>
  <c r="D37" i="60"/>
  <c r="H37" i="60"/>
  <c r="L37" i="60"/>
  <c r="T45" i="60"/>
  <c r="T47" i="60"/>
  <c r="T48" i="60" s="1"/>
  <c r="X45" i="60"/>
  <c r="X47" i="60"/>
  <c r="X48" i="60" s="1"/>
  <c r="AB45" i="60"/>
  <c r="AB47" i="60"/>
  <c r="AB48" i="60" s="1"/>
  <c r="AF45" i="60"/>
  <c r="AF47" i="60"/>
  <c r="AF48" i="60" s="1"/>
  <c r="AJ45" i="60"/>
  <c r="AJ47" i="60"/>
  <c r="AJ48" i="60" s="1"/>
  <c r="AN45" i="60"/>
  <c r="AN47" i="60"/>
  <c r="AN48" i="60" s="1"/>
  <c r="AR45" i="60"/>
  <c r="AR47" i="60"/>
  <c r="AR48" i="60" s="1"/>
  <c r="AV45" i="60"/>
  <c r="AV47" i="60"/>
  <c r="AV48" i="60" s="1"/>
  <c r="AZ45" i="60"/>
  <c r="AZ47" i="60"/>
  <c r="AZ48" i="60" s="1"/>
  <c r="D44" i="60"/>
  <c r="E47" i="60"/>
  <c r="E48" i="60" s="1"/>
  <c r="U37" i="60"/>
  <c r="Y37" i="60"/>
  <c r="AC37" i="60"/>
  <c r="AG37" i="60"/>
  <c r="AK37" i="60"/>
  <c r="AO37" i="60"/>
  <c r="AS37" i="60"/>
  <c r="AW37" i="60"/>
  <c r="BA37" i="60"/>
  <c r="D39" i="60"/>
  <c r="H39" i="60"/>
  <c r="L39" i="60"/>
  <c r="U39" i="60"/>
  <c r="Y39" i="60"/>
  <c r="AC39" i="60"/>
  <c r="AG39" i="60"/>
  <c r="AK39" i="60"/>
  <c r="AO39" i="60"/>
  <c r="AS39" i="60"/>
  <c r="AW39" i="60"/>
  <c r="BA39" i="60"/>
  <c r="D41" i="60"/>
  <c r="H41" i="60"/>
  <c r="L41" i="60"/>
  <c r="U41" i="60"/>
  <c r="Y41" i="60"/>
  <c r="AC41" i="60"/>
  <c r="AG41" i="60"/>
  <c r="AK41" i="60"/>
  <c r="AO41" i="60"/>
  <c r="AS41" i="60"/>
  <c r="AW41" i="60"/>
  <c r="BA41" i="60"/>
  <c r="D43" i="60"/>
  <c r="H43" i="60"/>
  <c r="L43" i="60"/>
  <c r="U43" i="60"/>
  <c r="Y43" i="60"/>
  <c r="AC43" i="60"/>
  <c r="AG43" i="60"/>
  <c r="AK43" i="60"/>
  <c r="AO43" i="60"/>
  <c r="AS43" i="60"/>
  <c r="AW43" i="60"/>
  <c r="BA43" i="60"/>
  <c r="H44" i="60"/>
  <c r="Y44" i="60"/>
  <c r="AO44" i="60"/>
  <c r="E45" i="60"/>
  <c r="AY47" i="60"/>
  <c r="AY48" i="60" s="1"/>
  <c r="AY37" i="60"/>
  <c r="C37" i="60"/>
  <c r="G37" i="60"/>
  <c r="K37" i="60"/>
  <c r="T37" i="60"/>
  <c r="D9" i="60"/>
  <c r="D11" i="60" s="1"/>
  <c r="D24" i="60" s="1"/>
  <c r="H9" i="60"/>
  <c r="H11" i="60" s="1"/>
  <c r="L9" i="60"/>
  <c r="L11" i="60" s="1"/>
  <c r="L24" i="60" s="1"/>
  <c r="U9" i="60"/>
  <c r="U11" i="60" s="1"/>
  <c r="U24" i="60" s="1"/>
  <c r="Y9" i="60"/>
  <c r="Y11" i="60" s="1"/>
  <c r="Y24" i="60" s="1"/>
  <c r="AC9" i="60"/>
  <c r="AG9" i="60"/>
  <c r="AK9" i="60"/>
  <c r="AK11" i="60" s="1"/>
  <c r="AK24" i="60" s="1"/>
  <c r="AO9" i="60"/>
  <c r="AO11" i="60" s="1"/>
  <c r="AO24" i="60" s="1"/>
  <c r="AS9" i="60"/>
  <c r="AS11" i="60" s="1"/>
  <c r="AS24" i="60" s="1"/>
  <c r="AW9" i="60"/>
  <c r="AW11" i="60" s="1"/>
  <c r="AW24" i="60" s="1"/>
  <c r="BA9" i="60"/>
  <c r="BA11" i="60" s="1"/>
  <c r="BA24" i="60" s="1"/>
  <c r="C9" i="60"/>
  <c r="C11" i="60" s="1"/>
  <c r="C23" i="60" s="1"/>
  <c r="G9" i="60"/>
  <c r="G11" i="60" s="1"/>
  <c r="G24" i="60" s="1"/>
  <c r="K9" i="60"/>
  <c r="K11" i="60" s="1"/>
  <c r="K24" i="60" s="1"/>
  <c r="T9" i="60"/>
  <c r="T11" i="60" s="1"/>
  <c r="T24" i="60" s="1"/>
  <c r="X9" i="60"/>
  <c r="X11" i="60" s="1"/>
  <c r="X24" i="60" s="1"/>
  <c r="AB9" i="60"/>
  <c r="AB11" i="60" s="1"/>
  <c r="AB24" i="60" s="1"/>
  <c r="AF9" i="60"/>
  <c r="AF11" i="60" s="1"/>
  <c r="AJ9" i="60"/>
  <c r="AJ11" i="60" s="1"/>
  <c r="AJ24" i="60" s="1"/>
  <c r="AN9" i="60"/>
  <c r="AN11" i="60" s="1"/>
  <c r="AN24" i="60" s="1"/>
  <c r="AR9" i="60"/>
  <c r="AR11" i="60" s="1"/>
  <c r="AR24" i="60" s="1"/>
  <c r="AV9" i="60"/>
  <c r="AV11" i="60" s="1"/>
  <c r="AV24" i="60" s="1"/>
  <c r="AP9" i="60"/>
  <c r="AP11" i="60" s="1"/>
  <c r="AP24" i="60" s="1"/>
  <c r="AT9" i="60"/>
  <c r="AT11" i="60" s="1"/>
  <c r="AT24" i="60" s="1"/>
  <c r="AX9" i="60"/>
  <c r="AX11" i="60" s="1"/>
  <c r="AX24" i="60" s="1"/>
  <c r="E9" i="60"/>
  <c r="I9" i="60"/>
  <c r="V9" i="60"/>
  <c r="V11" i="60" s="1"/>
  <c r="V24" i="60" s="1"/>
  <c r="AD9" i="60"/>
  <c r="AL9" i="60"/>
  <c r="F9" i="60"/>
  <c r="F11" i="60" s="1"/>
  <c r="F23" i="60" s="1"/>
  <c r="F24" i="60" s="1"/>
  <c r="J9" i="60"/>
  <c r="J11" i="60" s="1"/>
  <c r="J24" i="60" s="1"/>
  <c r="S9" i="60"/>
  <c r="S11" i="60" s="1"/>
  <c r="S24" i="60" s="1"/>
  <c r="W9" i="60"/>
  <c r="W11" i="60" s="1"/>
  <c r="W24" i="60" s="1"/>
  <c r="AA9" i="60"/>
  <c r="AA11" i="60" s="1"/>
  <c r="AA24" i="60" s="1"/>
  <c r="AE9" i="60"/>
  <c r="AE11" i="60" s="1"/>
  <c r="AE23" i="60" s="1"/>
  <c r="AE24" i="60" s="1"/>
  <c r="AI9" i="60"/>
  <c r="AI11" i="60" s="1"/>
  <c r="AI24" i="60" s="1"/>
  <c r="AM9" i="60"/>
  <c r="AM11" i="60" s="1"/>
  <c r="AM24" i="60" s="1"/>
  <c r="AQ9" i="60"/>
  <c r="AQ11" i="60" s="1"/>
  <c r="AQ24" i="60" s="1"/>
  <c r="AU9" i="60"/>
  <c r="AU11" i="60" s="1"/>
  <c r="AU24" i="60" s="1"/>
  <c r="AY9" i="60"/>
  <c r="AY11" i="60" s="1"/>
  <c r="AZ9" i="60"/>
  <c r="AZ11" i="60" s="1"/>
  <c r="AZ24" i="60" s="1"/>
  <c r="E11" i="60"/>
  <c r="E24" i="60" s="1"/>
  <c r="I11" i="60"/>
  <c r="I24" i="60" s="1"/>
  <c r="AD11" i="60"/>
  <c r="AD24" i="60" s="1"/>
  <c r="AL11" i="60"/>
  <c r="AL24" i="60" s="1"/>
  <c r="M8" i="60"/>
  <c r="AC11" i="60"/>
  <c r="AC24" i="60" s="1"/>
  <c r="AG11" i="60"/>
  <c r="C24" i="60"/>
  <c r="BC121" i="58"/>
  <c r="BD99" i="58"/>
  <c r="BB57" i="58"/>
  <c r="M55" i="58"/>
  <c r="M56" i="58" s="1"/>
  <c r="BD35" i="58"/>
  <c r="BE9" i="59"/>
  <c r="BD24" i="59"/>
  <c r="BE45" i="59"/>
  <c r="F118" i="58"/>
  <c r="AT113" i="58"/>
  <c r="AT118" i="58"/>
  <c r="BD109" i="58"/>
  <c r="BC107" i="58"/>
  <c r="F89" i="58"/>
  <c r="E113" i="58"/>
  <c r="E118" i="58"/>
  <c r="E117" i="58"/>
  <c r="J74" i="58"/>
  <c r="J61" i="58"/>
  <c r="H112" i="58"/>
  <c r="H117" i="58"/>
  <c r="BC111" i="58"/>
  <c r="BB79" i="58"/>
  <c r="BC80" i="58"/>
  <c r="D118" i="58"/>
  <c r="BD105" i="58"/>
  <c r="BB85" i="58"/>
  <c r="BC86" i="58"/>
  <c r="BB63" i="58"/>
  <c r="BC64" i="58"/>
  <c r="BC56" i="58"/>
  <c r="BD18" i="59"/>
  <c r="AT43" i="58"/>
  <c r="AT44" i="58"/>
  <c r="BG23" i="58"/>
  <c r="AT114" i="58"/>
  <c r="AT109" i="58"/>
  <c r="AX107" i="58"/>
  <c r="AX114" i="58"/>
  <c r="BC97" i="58"/>
  <c r="BD95" i="58"/>
  <c r="BB82" i="58"/>
  <c r="BC83" i="58"/>
  <c r="I73" i="58"/>
  <c r="H73" i="58"/>
  <c r="BB60" i="58"/>
  <c r="BC61" i="58"/>
  <c r="K56" i="58"/>
  <c r="BD49" i="58"/>
  <c r="BD39" i="58"/>
  <c r="BD56" i="58"/>
  <c r="BD55" i="58" s="1"/>
  <c r="AX44" i="58"/>
  <c r="BC25" i="58"/>
  <c r="M13" i="58"/>
  <c r="BB15" i="58"/>
  <c r="BB53" i="58"/>
  <c r="BC37" i="58"/>
  <c r="BE33" i="58"/>
  <c r="BB26" i="58"/>
  <c r="BC27" i="58"/>
  <c r="BC22" i="59"/>
  <c r="BC41" i="58"/>
  <c r="BC13" i="58"/>
  <c r="BD14" i="58"/>
  <c r="Z48" i="59"/>
  <c r="Z34" i="59"/>
  <c r="Z18" i="59"/>
  <c r="Z11" i="59"/>
  <c r="Z12" i="59" s="1"/>
  <c r="AA6" i="59"/>
  <c r="Z5" i="59"/>
  <c r="Z20" i="59"/>
  <c r="BC20" i="59"/>
  <c r="C34" i="59"/>
  <c r="C29" i="59"/>
  <c r="U28" i="59"/>
  <c r="U26" i="59"/>
  <c r="AK30" i="59"/>
  <c r="AK26" i="59"/>
  <c r="AO30" i="59"/>
  <c r="AO26" i="59"/>
  <c r="AW26" i="59"/>
  <c r="AW30" i="59"/>
  <c r="BA30" i="59"/>
  <c r="BA26" i="59"/>
  <c r="AS26" i="59"/>
  <c r="AH43" i="59"/>
  <c r="AH33" i="59"/>
  <c r="Z6" i="59"/>
  <c r="Z9" i="59"/>
  <c r="Z16" i="59"/>
  <c r="BC16" i="59"/>
  <c r="D30" i="59"/>
  <c r="D26" i="59"/>
  <c r="H30" i="59"/>
  <c r="H26" i="59"/>
  <c r="L30" i="59"/>
  <c r="L26" i="59"/>
  <c r="F56" i="59"/>
  <c r="F55" i="59"/>
  <c r="J56" i="59"/>
  <c r="J55" i="59"/>
  <c r="AO11" i="59"/>
  <c r="AO12" i="59" s="1"/>
  <c r="Z25" i="59"/>
  <c r="Z24" i="59"/>
  <c r="AD48" i="59"/>
  <c r="AD34" i="59"/>
  <c r="AD5" i="59"/>
  <c r="AH5" i="59"/>
  <c r="AL5" i="59"/>
  <c r="W6" i="59"/>
  <c r="AE6" i="59"/>
  <c r="AI6" i="59"/>
  <c r="AD11" i="59"/>
  <c r="AD12" i="59" s="1"/>
  <c r="AD25" i="59"/>
  <c r="F26" i="59"/>
  <c r="AC26" i="59"/>
  <c r="AH29" i="59"/>
  <c r="AH55" i="59"/>
  <c r="AH34" i="59"/>
  <c r="AH9" i="59"/>
  <c r="AM11" i="59"/>
  <c r="AM12" i="59" s="1"/>
  <c r="AH25" i="59"/>
  <c r="AD24" i="59"/>
  <c r="AH24" i="59"/>
  <c r="AM30" i="59"/>
  <c r="V33" i="59"/>
  <c r="V18" i="59"/>
  <c r="AD18" i="59"/>
  <c r="V25" i="59"/>
  <c r="C30" i="59"/>
  <c r="C26" i="59"/>
  <c r="G30" i="59"/>
  <c r="G26" i="59"/>
  <c r="K30" i="59"/>
  <c r="K26" i="59"/>
  <c r="Y30" i="59"/>
  <c r="Y26" i="59"/>
  <c r="Z29" i="59"/>
  <c r="T29" i="59"/>
  <c r="AD33" i="59"/>
  <c r="S34" i="59"/>
  <c r="S56" i="59"/>
  <c r="S55" i="59"/>
  <c r="S26" i="59"/>
  <c r="AI26" i="59"/>
  <c r="AT26" i="59"/>
  <c r="AY26" i="59"/>
  <c r="Z45" i="59"/>
  <c r="V54" i="59"/>
  <c r="V55" i="59" s="1"/>
  <c r="V48" i="59"/>
  <c r="V56" i="59"/>
  <c r="I26" i="59"/>
  <c r="AE26" i="59"/>
  <c r="AP26" i="59"/>
  <c r="AU26" i="59"/>
  <c r="Z33" i="59"/>
  <c r="M38" i="59"/>
  <c r="BB39" i="59"/>
  <c r="M39" i="59" s="1"/>
  <c r="BB40" i="59"/>
  <c r="AI56" i="59"/>
  <c r="AI55" i="59"/>
  <c r="AM56" i="59"/>
  <c r="AM55" i="59"/>
  <c r="AQ56" i="59"/>
  <c r="AQ55" i="59"/>
  <c r="AU55" i="59"/>
  <c r="AU56" i="59"/>
  <c r="AY55" i="59"/>
  <c r="AY56" i="59"/>
  <c r="AE55" i="59"/>
  <c r="T30" i="59"/>
  <c r="T26" i="59"/>
  <c r="X30" i="59"/>
  <c r="X26" i="59"/>
  <c r="AB30" i="59"/>
  <c r="AB26" i="59"/>
  <c r="AF30" i="59"/>
  <c r="AF26" i="59"/>
  <c r="AJ30" i="59"/>
  <c r="AJ26" i="59"/>
  <c r="AN30" i="59"/>
  <c r="AN26" i="59"/>
  <c r="AR30" i="59"/>
  <c r="AR26" i="59"/>
  <c r="AV30" i="59"/>
  <c r="AV26" i="59"/>
  <c r="AZ30" i="59"/>
  <c r="AZ26" i="59"/>
  <c r="AD43" i="59"/>
  <c r="BC38" i="59"/>
  <c r="BC7" i="60" s="1"/>
  <c r="AD49" i="59"/>
  <c r="AD45" i="59"/>
  <c r="M51" i="59"/>
  <c r="BC51" i="59"/>
  <c r="W56" i="59"/>
  <c r="W55" i="59"/>
  <c r="AA56" i="59"/>
  <c r="AA55" i="59"/>
  <c r="U55" i="59"/>
  <c r="AF55" i="59"/>
  <c r="L56" i="59"/>
  <c r="AC56" i="59"/>
  <c r="AG55" i="59"/>
  <c r="E56" i="59"/>
  <c r="AL56" i="59"/>
  <c r="AT56" i="59"/>
  <c r="AH48" i="59"/>
  <c r="Z55" i="59"/>
  <c r="AD55" i="59"/>
  <c r="AD62" i="59"/>
  <c r="AD61" i="59"/>
  <c r="AH64" i="62" l="1"/>
  <c r="AH63" i="62"/>
  <c r="AD63" i="62"/>
  <c r="AD64" i="62"/>
  <c r="BD63" i="62"/>
  <c r="U47" i="60"/>
  <c r="U48" i="60" s="1"/>
  <c r="V39" i="60"/>
  <c r="V30" i="60"/>
  <c r="AQ30" i="59"/>
  <c r="AQ62" i="62"/>
  <c r="AQ61" i="62"/>
  <c r="AQ29" i="60"/>
  <c r="AQ11" i="59"/>
  <c r="AQ12" i="59" s="1"/>
  <c r="AQ9" i="59"/>
  <c r="V27" i="60"/>
  <c r="V43" i="60"/>
  <c r="AP47" i="60"/>
  <c r="AP48" i="60" s="1"/>
  <c r="AP45" i="60"/>
  <c r="L45" i="60"/>
  <c r="L47" i="60"/>
  <c r="L48" i="60" s="1"/>
  <c r="Z27" i="60"/>
  <c r="Z43" i="60"/>
  <c r="Z32" i="60"/>
  <c r="Z50" i="60" s="1"/>
  <c r="Z39" i="60"/>
  <c r="Z26" i="60"/>
  <c r="Z30" i="60"/>
  <c r="AA27" i="60"/>
  <c r="BC69" i="60"/>
  <c r="BD65" i="59"/>
  <c r="BC66" i="59"/>
  <c r="BC70" i="60" s="1"/>
  <c r="V41" i="60"/>
  <c r="Z47" i="60"/>
  <c r="Z48" i="60" s="1"/>
  <c r="Z45" i="60"/>
  <c r="V44" i="60"/>
  <c r="V64" i="62"/>
  <c r="V63" i="62"/>
  <c r="BA50" i="60"/>
  <c r="BA55" i="60" s="1"/>
  <c r="Z41" i="60"/>
  <c r="U50" i="60"/>
  <c r="BO66" i="61"/>
  <c r="BD52" i="59"/>
  <c r="BE52" i="59" s="1"/>
  <c r="BF52" i="59" s="1"/>
  <c r="BG52" i="59" s="1"/>
  <c r="C113" i="58"/>
  <c r="C118" i="58"/>
  <c r="BC53" i="60"/>
  <c r="BC8" i="60"/>
  <c r="BD37" i="59"/>
  <c r="Z64" i="62"/>
  <c r="Z63" i="62"/>
  <c r="AH41" i="60"/>
  <c r="BD62" i="62"/>
  <c r="S30" i="59"/>
  <c r="M66" i="59"/>
  <c r="BB70" i="60"/>
  <c r="BD59" i="62"/>
  <c r="BD60" i="62"/>
  <c r="BD33" i="62"/>
  <c r="BD64" i="62"/>
  <c r="BF61" i="62"/>
  <c r="BG40" i="62"/>
  <c r="BH40" i="62" s="1"/>
  <c r="BI40" i="62" s="1"/>
  <c r="BJ40" i="62" s="1"/>
  <c r="N40" i="62"/>
  <c r="BK22" i="62"/>
  <c r="BL22" i="62" s="1"/>
  <c r="BM22" i="62" s="1"/>
  <c r="BN22" i="62" s="1"/>
  <c r="O22" i="62"/>
  <c r="M19" i="62"/>
  <c r="BD39" i="62"/>
  <c r="BD54" i="62"/>
  <c r="BE33" i="62"/>
  <c r="BK32" i="62"/>
  <c r="BL32" i="62" s="1"/>
  <c r="BM32" i="62" s="1"/>
  <c r="BN32" i="62" s="1"/>
  <c r="O32" i="62"/>
  <c r="BK6" i="62"/>
  <c r="BL6" i="62" s="1"/>
  <c r="BM6" i="62" s="1"/>
  <c r="BN6" i="62" s="1"/>
  <c r="O6" i="62"/>
  <c r="O44" i="62"/>
  <c r="BK44" i="62"/>
  <c r="BL44" i="62" s="1"/>
  <c r="BM44" i="62" s="1"/>
  <c r="BN44" i="62" s="1"/>
  <c r="BC53" i="62"/>
  <c r="BC55" i="62" s="1"/>
  <c r="BD29" i="62"/>
  <c r="N42" i="62"/>
  <c r="BG42" i="62"/>
  <c r="BH42" i="62" s="1"/>
  <c r="BI42" i="62" s="1"/>
  <c r="BJ42" i="62" s="1"/>
  <c r="BK20" i="62"/>
  <c r="BL20" i="62" s="1"/>
  <c r="BM20" i="62" s="1"/>
  <c r="BN20" i="62" s="1"/>
  <c r="O20" i="62"/>
  <c r="BG18" i="62"/>
  <c r="BH18" i="62" s="1"/>
  <c r="BI18" i="62" s="1"/>
  <c r="BJ18" i="62" s="1"/>
  <c r="N18" i="62"/>
  <c r="F56" i="62"/>
  <c r="F57" i="62" s="1"/>
  <c r="BD17" i="62"/>
  <c r="BC19" i="62"/>
  <c r="BK34" i="62"/>
  <c r="BL34" i="62" s="1"/>
  <c r="BM34" i="62" s="1"/>
  <c r="BN34" i="62" s="1"/>
  <c r="O34" i="62"/>
  <c r="BK43" i="62"/>
  <c r="BL43" i="62" s="1"/>
  <c r="BM43" i="62" s="1"/>
  <c r="BN43" i="62" s="1"/>
  <c r="O43" i="62"/>
  <c r="BK11" i="62"/>
  <c r="BL11" i="62" s="1"/>
  <c r="BM11" i="62" s="1"/>
  <c r="BN11" i="62" s="1"/>
  <c r="O11" i="62"/>
  <c r="O12" i="61"/>
  <c r="BE68" i="61"/>
  <c r="BL53" i="61"/>
  <c r="BM53" i="61" s="1"/>
  <c r="BN53" i="61" s="1"/>
  <c r="BO53" i="61" s="1"/>
  <c r="P53" i="61"/>
  <c r="V35" i="61"/>
  <c r="V41" i="61" s="1"/>
  <c r="U41" i="61"/>
  <c r="O53" i="61"/>
  <c r="BD45" i="61"/>
  <c r="BC54" i="61"/>
  <c r="BC55" i="61" s="1"/>
  <c r="BL12" i="61"/>
  <c r="AI45" i="60"/>
  <c r="AI47" i="60"/>
  <c r="AI48" i="60" s="1"/>
  <c r="AA45" i="60"/>
  <c r="AA47" i="60"/>
  <c r="AA48" i="60" s="1"/>
  <c r="AU50" i="60"/>
  <c r="AU33" i="60"/>
  <c r="J50" i="60"/>
  <c r="J33" i="60"/>
  <c r="V50" i="60"/>
  <c r="V33" i="60"/>
  <c r="AZ33" i="60"/>
  <c r="AZ50" i="60"/>
  <c r="AB50" i="60"/>
  <c r="AB33" i="60"/>
  <c r="F45" i="60"/>
  <c r="F47" i="60"/>
  <c r="F48" i="60" s="1"/>
  <c r="K50" i="60"/>
  <c r="K33" i="60"/>
  <c r="D45" i="60"/>
  <c r="D47" i="60"/>
  <c r="D48" i="60" s="1"/>
  <c r="AW55" i="60"/>
  <c r="AW51" i="60"/>
  <c r="AI50" i="60"/>
  <c r="AI33" i="60"/>
  <c r="AF50" i="60"/>
  <c r="AF33" i="60"/>
  <c r="AP50" i="60"/>
  <c r="AP33" i="60"/>
  <c r="AH50" i="60"/>
  <c r="AH33" i="60"/>
  <c r="E50" i="60"/>
  <c r="E33" i="60"/>
  <c r="AU45" i="60"/>
  <c r="AU47" i="60"/>
  <c r="AU48" i="60" s="1"/>
  <c r="AM45" i="60"/>
  <c r="AM47" i="60"/>
  <c r="AM48" i="60" s="1"/>
  <c r="AE45" i="60"/>
  <c r="AE47" i="60"/>
  <c r="AE48" i="60" s="1"/>
  <c r="W45" i="60"/>
  <c r="W47" i="60"/>
  <c r="W48" i="60" s="1"/>
  <c r="AG50" i="60"/>
  <c r="AG33" i="60"/>
  <c r="AM50" i="60"/>
  <c r="AM33" i="60"/>
  <c r="W50" i="60"/>
  <c r="W33" i="60"/>
  <c r="F33" i="60"/>
  <c r="F50" i="60"/>
  <c r="AR50" i="60"/>
  <c r="AR33" i="60"/>
  <c r="AC50" i="60"/>
  <c r="AC33" i="60"/>
  <c r="J45" i="60"/>
  <c r="J47" i="60"/>
  <c r="J48" i="60" s="1"/>
  <c r="Y45" i="60"/>
  <c r="Y47" i="60"/>
  <c r="Y48" i="60" s="1"/>
  <c r="AQ45" i="60"/>
  <c r="S45" i="60"/>
  <c r="S47" i="60"/>
  <c r="S48" i="60" s="1"/>
  <c r="AE50" i="60"/>
  <c r="AE33" i="60"/>
  <c r="S50" i="60"/>
  <c r="I50" i="60"/>
  <c r="I33" i="60"/>
  <c r="U55" i="60"/>
  <c r="U51" i="60"/>
  <c r="Y50" i="60"/>
  <c r="Y33" i="60"/>
  <c r="AV50" i="60"/>
  <c r="AV33" i="60"/>
  <c r="H45" i="60"/>
  <c r="H47" i="60"/>
  <c r="H48" i="60" s="1"/>
  <c r="AY50" i="60"/>
  <c r="AY33" i="60"/>
  <c r="C50" i="60"/>
  <c r="C33" i="60"/>
  <c r="AS50" i="60"/>
  <c r="AS33" i="60"/>
  <c r="AD50" i="60"/>
  <c r="AD33" i="60"/>
  <c r="H50" i="60"/>
  <c r="H33" i="60"/>
  <c r="AK55" i="60"/>
  <c r="AK51" i="60"/>
  <c r="X50" i="60"/>
  <c r="X33" i="60"/>
  <c r="AO45" i="60"/>
  <c r="AO47" i="60"/>
  <c r="AO48" i="60" s="1"/>
  <c r="AA50" i="60"/>
  <c r="AA33" i="60"/>
  <c r="D50" i="60"/>
  <c r="T33" i="60"/>
  <c r="T50" i="60"/>
  <c r="L50" i="60"/>
  <c r="L33" i="60"/>
  <c r="AX50" i="60"/>
  <c r="AX33" i="60"/>
  <c r="AT50" i="60"/>
  <c r="AT33" i="60"/>
  <c r="AL50" i="60"/>
  <c r="AL33" i="60"/>
  <c r="AN50" i="60"/>
  <c r="AN33" i="60"/>
  <c r="G50" i="60"/>
  <c r="G33" i="60"/>
  <c r="AO50" i="60"/>
  <c r="AO33" i="60"/>
  <c r="AJ50" i="60"/>
  <c r="AJ33" i="60"/>
  <c r="AY24" i="60"/>
  <c r="AF23" i="60"/>
  <c r="AF24" i="60" s="1"/>
  <c r="H23" i="60"/>
  <c r="H24" i="60" s="1"/>
  <c r="AG23" i="60"/>
  <c r="AG24" i="60" s="1"/>
  <c r="M26" i="58"/>
  <c r="U34" i="59"/>
  <c r="U29" i="59"/>
  <c r="BD25" i="58"/>
  <c r="BE49" i="58"/>
  <c r="BC60" i="58"/>
  <c r="BD61" i="58"/>
  <c r="BD83" i="58"/>
  <c r="BC82" i="58"/>
  <c r="BC96" i="58"/>
  <c r="BD97" i="58"/>
  <c r="BC55" i="58"/>
  <c r="BC63" i="58"/>
  <c r="BD64" i="58"/>
  <c r="BE56" i="58"/>
  <c r="BF56" i="58" s="1"/>
  <c r="BF45" i="59"/>
  <c r="BF9" i="59"/>
  <c r="BD121" i="58"/>
  <c r="BD41" i="58"/>
  <c r="BD37" i="58"/>
  <c r="M14" i="58"/>
  <c r="BH23" i="58"/>
  <c r="BB81" i="58"/>
  <c r="M79" i="58"/>
  <c r="M80" i="58" s="1"/>
  <c r="BB94" i="58"/>
  <c r="M94" i="58" s="1"/>
  <c r="H118" i="58"/>
  <c r="H113" i="58"/>
  <c r="BD107" i="58"/>
  <c r="M40" i="59"/>
  <c r="V28" i="59"/>
  <c r="V30" i="59" s="1"/>
  <c r="V26" i="59"/>
  <c r="AH30" i="59"/>
  <c r="AH26" i="59"/>
  <c r="AD30" i="59"/>
  <c r="AD26" i="59"/>
  <c r="Z30" i="59"/>
  <c r="Z26" i="59"/>
  <c r="U30" i="59"/>
  <c r="BD20" i="59"/>
  <c r="BD13" i="58"/>
  <c r="BE14" i="58"/>
  <c r="BD22" i="59"/>
  <c r="BF33" i="58"/>
  <c r="BB7" i="58"/>
  <c r="BB62" i="58"/>
  <c r="M60" i="58"/>
  <c r="M61" i="58" s="1"/>
  <c r="BB84" i="58"/>
  <c r="M82" i="58"/>
  <c r="M83" i="58" s="1"/>
  <c r="BB96" i="58"/>
  <c r="M96" i="58" s="1"/>
  <c r="M97" i="58" s="1"/>
  <c r="M63" i="58"/>
  <c r="M64" i="58" s="1"/>
  <c r="BB65" i="58"/>
  <c r="BE105" i="58"/>
  <c r="BD111" i="58"/>
  <c r="BE24" i="59"/>
  <c r="BD16" i="59"/>
  <c r="BB87" i="58"/>
  <c r="M85" i="58"/>
  <c r="M86" i="58" s="1"/>
  <c r="BB88" i="58"/>
  <c r="BB91" i="58"/>
  <c r="BD51" i="59"/>
  <c r="BE51" i="59" s="1"/>
  <c r="BF51" i="59" s="1"/>
  <c r="BG51" i="59" s="1"/>
  <c r="BC39" i="59"/>
  <c r="BD38" i="59"/>
  <c r="BD7" i="60" s="1"/>
  <c r="BC15" i="58"/>
  <c r="BC26" i="58"/>
  <c r="BD27" i="58"/>
  <c r="BB52" i="58"/>
  <c r="BC53" i="58"/>
  <c r="BE39" i="58"/>
  <c r="BE95" i="58"/>
  <c r="BE18" i="59"/>
  <c r="BC85" i="58"/>
  <c r="BD86" i="58"/>
  <c r="BD80" i="58"/>
  <c r="BC79" i="58"/>
  <c r="BB98" i="58"/>
  <c r="BE109" i="58"/>
  <c r="BE35" i="58"/>
  <c r="BE99" i="58"/>
  <c r="BE62" i="62" l="1"/>
  <c r="BH52" i="59"/>
  <c r="BI52" i="59" s="1"/>
  <c r="BJ52" i="59" s="1"/>
  <c r="BK52" i="59" s="1"/>
  <c r="AQ32" i="60"/>
  <c r="AQ30" i="60"/>
  <c r="N52" i="59"/>
  <c r="V47" i="60"/>
  <c r="V48" i="60" s="1"/>
  <c r="V45" i="60"/>
  <c r="Z33" i="60"/>
  <c r="BA51" i="60"/>
  <c r="AQ47" i="60"/>
  <c r="AQ48" i="60" s="1"/>
  <c r="M67" i="59"/>
  <c r="M70" i="60"/>
  <c r="BP66" i="61"/>
  <c r="BD66" i="59"/>
  <c r="BD70" i="60" s="1"/>
  <c r="BD69" i="60"/>
  <c r="BE65" i="59"/>
  <c r="BE37" i="59"/>
  <c r="BD8" i="60"/>
  <c r="BD53" i="60"/>
  <c r="BE63" i="62"/>
  <c r="BE60" i="62"/>
  <c r="BG61" i="62"/>
  <c r="BE64" i="62"/>
  <c r="O40" i="62"/>
  <c r="BK40" i="62"/>
  <c r="BL40" i="62" s="1"/>
  <c r="BM40" i="62" s="1"/>
  <c r="BN40" i="62" s="1"/>
  <c r="BE59" i="62"/>
  <c r="P20" i="62"/>
  <c r="BO20" i="62"/>
  <c r="BP20" i="62" s="1"/>
  <c r="BQ20" i="62" s="1"/>
  <c r="BR20" i="62" s="1"/>
  <c r="Q20" i="62" s="1"/>
  <c r="BK42" i="62"/>
  <c r="BL42" i="62" s="1"/>
  <c r="BM42" i="62" s="1"/>
  <c r="BN42" i="62" s="1"/>
  <c r="O42" i="62"/>
  <c r="BE39" i="62"/>
  <c r="BO43" i="62"/>
  <c r="BP43" i="62" s="1"/>
  <c r="BQ43" i="62" s="1"/>
  <c r="BR43" i="62" s="1"/>
  <c r="Q43" i="62" s="1"/>
  <c r="P43" i="62"/>
  <c r="BK18" i="62"/>
  <c r="BL18" i="62" s="1"/>
  <c r="BM18" i="62" s="1"/>
  <c r="BN18" i="62" s="1"/>
  <c r="O18" i="62"/>
  <c r="BO11" i="62"/>
  <c r="BP11" i="62" s="1"/>
  <c r="BQ11" i="62" s="1"/>
  <c r="BR11" i="62" s="1"/>
  <c r="Q11" i="62" s="1"/>
  <c r="P11" i="62"/>
  <c r="BO6" i="62"/>
  <c r="BP6" i="62" s="1"/>
  <c r="BQ6" i="62" s="1"/>
  <c r="BR6" i="62" s="1"/>
  <c r="Q6" i="62" s="1"/>
  <c r="P6" i="62"/>
  <c r="P32" i="62"/>
  <c r="BO32" i="62"/>
  <c r="BP32" i="62" s="1"/>
  <c r="BQ32" i="62" s="1"/>
  <c r="BR32" i="62" s="1"/>
  <c r="Q32" i="62" s="1"/>
  <c r="P34" i="62"/>
  <c r="BO34" i="62"/>
  <c r="BP34" i="62" s="1"/>
  <c r="BQ34" i="62" s="1"/>
  <c r="BR34" i="62" s="1"/>
  <c r="Q34" i="62" s="1"/>
  <c r="BD19" i="62"/>
  <c r="BE17" i="62"/>
  <c r="BD53" i="62"/>
  <c r="BD55" i="62" s="1"/>
  <c r="BE29" i="62"/>
  <c r="BO44" i="62"/>
  <c r="BP44" i="62" s="1"/>
  <c r="BQ44" i="62" s="1"/>
  <c r="BR44" i="62" s="1"/>
  <c r="Q44" i="62" s="1"/>
  <c r="P44" i="62"/>
  <c r="BE54" i="62"/>
  <c r="BF33" i="62"/>
  <c r="P22" i="62"/>
  <c r="BO22" i="62"/>
  <c r="BP22" i="62" s="1"/>
  <c r="BQ22" i="62" s="1"/>
  <c r="BR22" i="62" s="1"/>
  <c r="Q22" i="62" s="1"/>
  <c r="BF68" i="61"/>
  <c r="BM12" i="61"/>
  <c r="BD54" i="61"/>
  <c r="BD55" i="61" s="1"/>
  <c r="BE45" i="61"/>
  <c r="BP53" i="61"/>
  <c r="BQ53" i="61" s="1"/>
  <c r="BR53" i="61" s="1"/>
  <c r="Q53" i="61"/>
  <c r="G51" i="60"/>
  <c r="G55" i="60"/>
  <c r="AM51" i="60"/>
  <c r="AM55" i="60"/>
  <c r="T51" i="60"/>
  <c r="T55" i="60"/>
  <c r="X51" i="60"/>
  <c r="X55" i="60"/>
  <c r="H55" i="60"/>
  <c r="H51" i="60"/>
  <c r="C51" i="60"/>
  <c r="C55" i="60"/>
  <c r="BA59" i="60"/>
  <c r="BA57" i="60"/>
  <c r="U59" i="60"/>
  <c r="U57" i="60"/>
  <c r="F51" i="60"/>
  <c r="F55" i="60"/>
  <c r="E55" i="60"/>
  <c r="E51" i="60"/>
  <c r="AP55" i="60"/>
  <c r="AP51" i="60"/>
  <c r="AF51" i="60"/>
  <c r="AF55" i="60"/>
  <c r="AT55" i="60"/>
  <c r="AT51" i="60"/>
  <c r="L55" i="60"/>
  <c r="L51" i="60"/>
  <c r="AV51" i="60"/>
  <c r="AV55" i="60"/>
  <c r="AE51" i="60"/>
  <c r="AE55" i="60"/>
  <c r="AC55" i="60"/>
  <c r="AC51" i="60"/>
  <c r="AG55" i="60"/>
  <c r="AG51" i="60"/>
  <c r="AU51" i="60"/>
  <c r="AU55" i="60"/>
  <c r="AJ51" i="60"/>
  <c r="AJ55" i="60"/>
  <c r="AO55" i="60"/>
  <c r="AO51" i="60"/>
  <c r="AN51" i="60"/>
  <c r="AN55" i="60"/>
  <c r="AL55" i="60"/>
  <c r="AL51" i="60"/>
  <c r="AX55" i="60"/>
  <c r="AX51" i="60"/>
  <c r="S51" i="60"/>
  <c r="S55" i="60"/>
  <c r="AR51" i="60"/>
  <c r="AR55" i="60"/>
  <c r="W51" i="60"/>
  <c r="W55" i="60"/>
  <c r="AB51" i="60"/>
  <c r="AB55" i="60"/>
  <c r="J51" i="60"/>
  <c r="J55" i="60"/>
  <c r="Z55" i="60"/>
  <c r="Z51" i="60"/>
  <c r="V55" i="60"/>
  <c r="V51" i="60"/>
  <c r="D55" i="60"/>
  <c r="D51" i="60"/>
  <c r="AA51" i="60"/>
  <c r="AA55" i="60"/>
  <c r="AK59" i="60"/>
  <c r="AK57" i="60"/>
  <c r="AD55" i="60"/>
  <c r="AD51" i="60"/>
  <c r="AS55" i="60"/>
  <c r="AS51" i="60"/>
  <c r="AY51" i="60"/>
  <c r="AY55" i="60"/>
  <c r="Y55" i="60"/>
  <c r="Y51" i="60"/>
  <c r="I55" i="60"/>
  <c r="I51" i="60"/>
  <c r="AH55" i="60"/>
  <c r="AH51" i="60"/>
  <c r="AI51" i="60"/>
  <c r="AI55" i="60"/>
  <c r="AW59" i="60"/>
  <c r="AW57" i="60"/>
  <c r="K51" i="60"/>
  <c r="K55" i="60"/>
  <c r="AZ51" i="60"/>
  <c r="AZ55" i="60"/>
  <c r="BF55" i="58"/>
  <c r="BH56" i="58"/>
  <c r="BH55" i="58" s="1"/>
  <c r="BG56" i="58"/>
  <c r="BF109" i="58"/>
  <c r="BC52" i="58"/>
  <c r="BE64" i="58"/>
  <c r="BD63" i="58"/>
  <c r="M27" i="58"/>
  <c r="BB100" i="58"/>
  <c r="M98" i="58"/>
  <c r="BB102" i="58"/>
  <c r="BD85" i="58"/>
  <c r="BE86" i="58"/>
  <c r="BB10" i="58"/>
  <c r="BB54" i="58"/>
  <c r="M52" i="58"/>
  <c r="M53" i="58" s="1"/>
  <c r="N51" i="59"/>
  <c r="M88" i="58"/>
  <c r="BB90" i="58"/>
  <c r="BB89" i="58"/>
  <c r="BB108" i="58"/>
  <c r="M108" i="58" s="1"/>
  <c r="M109" i="58" s="1"/>
  <c r="BB120" i="58"/>
  <c r="M120" i="58" s="1"/>
  <c r="M121" i="58" s="1"/>
  <c r="BB106" i="58"/>
  <c r="M106" i="58" s="1"/>
  <c r="M107" i="58" s="1"/>
  <c r="BB110" i="58"/>
  <c r="M110" i="58" s="1"/>
  <c r="M111" i="58" s="1"/>
  <c r="BB104" i="58"/>
  <c r="M104" i="58" s="1"/>
  <c r="M105" i="58" s="1"/>
  <c r="BE16" i="59"/>
  <c r="BF24" i="59"/>
  <c r="BF105" i="58"/>
  <c r="BE13" i="58"/>
  <c r="BF14" i="58"/>
  <c r="BE107" i="58"/>
  <c r="M95" i="58"/>
  <c r="BI23" i="58"/>
  <c r="BE121" i="58"/>
  <c r="BC65" i="58"/>
  <c r="BG55" i="58"/>
  <c r="BC57" i="58"/>
  <c r="N55" i="58"/>
  <c r="N56" i="58" s="1"/>
  <c r="BC84" i="58"/>
  <c r="BE25" i="58"/>
  <c r="BF95" i="58"/>
  <c r="BE22" i="59"/>
  <c r="BG9" i="59"/>
  <c r="BC7" i="58"/>
  <c r="BC62" i="58"/>
  <c r="BF35" i="58"/>
  <c r="BC87" i="58"/>
  <c r="BC88" i="58"/>
  <c r="BC98" i="58"/>
  <c r="BF18" i="59"/>
  <c r="BF39" i="58"/>
  <c r="BD26" i="58"/>
  <c r="BE27" i="58"/>
  <c r="BE38" i="59"/>
  <c r="BE7" i="60" s="1"/>
  <c r="BD39" i="59"/>
  <c r="BD40" i="59" s="1"/>
  <c r="BH51" i="59"/>
  <c r="BI51" i="59" s="1"/>
  <c r="BJ51" i="59" s="1"/>
  <c r="BK51" i="59" s="1"/>
  <c r="O51" i="59"/>
  <c r="BG33" i="58"/>
  <c r="BD15" i="58"/>
  <c r="BE37" i="58"/>
  <c r="BG45" i="59"/>
  <c r="BD82" i="58"/>
  <c r="BE83" i="58"/>
  <c r="BF49" i="58"/>
  <c r="BD53" i="58"/>
  <c r="BD79" i="58"/>
  <c r="BE80" i="58"/>
  <c r="BE111" i="58"/>
  <c r="BE20" i="59"/>
  <c r="BF99" i="58"/>
  <c r="BC81" i="58"/>
  <c r="BC94" i="58"/>
  <c r="BC40" i="59"/>
  <c r="BB9" i="58"/>
  <c r="M7" i="58"/>
  <c r="M8" i="58" s="1"/>
  <c r="BB8" i="58"/>
  <c r="BB22" i="58"/>
  <c r="M22" i="58" s="1"/>
  <c r="V29" i="59"/>
  <c r="V34" i="59"/>
  <c r="BE41" i="58"/>
  <c r="BE55" i="58"/>
  <c r="BE97" i="58"/>
  <c r="BD96" i="58"/>
  <c r="BD60" i="58"/>
  <c r="BE61" i="58"/>
  <c r="BD57" i="58"/>
  <c r="BL52" i="59" l="1"/>
  <c r="BM52" i="59" s="1"/>
  <c r="BN52" i="59" s="1"/>
  <c r="BO52" i="59" s="1"/>
  <c r="P52" i="59"/>
  <c r="N7" i="60"/>
  <c r="BF63" i="62"/>
  <c r="BF37" i="59"/>
  <c r="BE53" i="60"/>
  <c r="BE8" i="60"/>
  <c r="AQ33" i="60"/>
  <c r="AQ50" i="60"/>
  <c r="BF62" i="62"/>
  <c r="N37" i="59"/>
  <c r="N53" i="60" s="1"/>
  <c r="BE69" i="60"/>
  <c r="BF65" i="59"/>
  <c r="BE66" i="59"/>
  <c r="BE70" i="60" s="1"/>
  <c r="N65" i="59"/>
  <c r="N69" i="60" s="1"/>
  <c r="BQ66" i="61"/>
  <c r="O52" i="59"/>
  <c r="P40" i="62"/>
  <c r="BO40" i="62"/>
  <c r="BP40" i="62" s="1"/>
  <c r="BQ40" i="62" s="1"/>
  <c r="BR40" i="62" s="1"/>
  <c r="Q40" i="62" s="1"/>
  <c r="BF64" i="62"/>
  <c r="BF59" i="62"/>
  <c r="BH61" i="62"/>
  <c r="BF60" i="62"/>
  <c r="BF54" i="62"/>
  <c r="N33" i="62"/>
  <c r="N54" i="62" s="1"/>
  <c r="BG33" i="62"/>
  <c r="BE19" i="62"/>
  <c r="BF17" i="62"/>
  <c r="BF39" i="62"/>
  <c r="P42" i="62"/>
  <c r="BO42" i="62"/>
  <c r="BP42" i="62" s="1"/>
  <c r="BQ42" i="62" s="1"/>
  <c r="BR42" i="62" s="1"/>
  <c r="Q42" i="62" s="1"/>
  <c r="BE53" i="62"/>
  <c r="BE55" i="62" s="1"/>
  <c r="BF29" i="62"/>
  <c r="P18" i="62"/>
  <c r="BO18" i="62"/>
  <c r="BP18" i="62" s="1"/>
  <c r="BQ18" i="62" s="1"/>
  <c r="BR18" i="62" s="1"/>
  <c r="Q18" i="62" s="1"/>
  <c r="BE54" i="61"/>
  <c r="BF45" i="61"/>
  <c r="BN12" i="61"/>
  <c r="P12" i="61" s="1"/>
  <c r="BG68" i="61"/>
  <c r="AG59" i="60"/>
  <c r="AG57" i="60"/>
  <c r="L59" i="60"/>
  <c r="L57" i="60"/>
  <c r="AZ59" i="60"/>
  <c r="AZ57" i="60"/>
  <c r="AH59" i="60"/>
  <c r="AH57" i="60"/>
  <c r="Y59" i="60"/>
  <c r="Y57" i="60"/>
  <c r="AD59" i="60"/>
  <c r="AD57" i="60"/>
  <c r="AK60" i="60"/>
  <c r="AK63" i="60"/>
  <c r="AK64" i="60"/>
  <c r="D59" i="60"/>
  <c r="D57" i="60"/>
  <c r="Z59" i="60"/>
  <c r="Z57" i="60"/>
  <c r="AL59" i="60"/>
  <c r="AL57" i="60"/>
  <c r="AO59" i="60"/>
  <c r="AO57" i="60"/>
  <c r="AU59" i="60"/>
  <c r="AU57" i="60"/>
  <c r="AV59" i="60"/>
  <c r="AV57" i="60"/>
  <c r="AF59" i="60"/>
  <c r="AF57" i="60"/>
  <c r="AM59" i="60"/>
  <c r="AM57" i="60"/>
  <c r="U60" i="60"/>
  <c r="U63" i="60"/>
  <c r="U64" i="60"/>
  <c r="AW60" i="60"/>
  <c r="AW64" i="60"/>
  <c r="AW63" i="60"/>
  <c r="AY59" i="60"/>
  <c r="AY57" i="60"/>
  <c r="AA59" i="60"/>
  <c r="AA57" i="60"/>
  <c r="J59" i="60"/>
  <c r="J57" i="60"/>
  <c r="W59" i="60"/>
  <c r="W57" i="60"/>
  <c r="S59" i="60"/>
  <c r="S57" i="60"/>
  <c r="AN59" i="60"/>
  <c r="AN57" i="60"/>
  <c r="AJ59" i="60"/>
  <c r="AJ57" i="60"/>
  <c r="AC59" i="60"/>
  <c r="AC57" i="60"/>
  <c r="AT59" i="60"/>
  <c r="AT57" i="60"/>
  <c r="AP59" i="60"/>
  <c r="AP57" i="60"/>
  <c r="BA60" i="60"/>
  <c r="BA63" i="60"/>
  <c r="BA64" i="60"/>
  <c r="H59" i="60"/>
  <c r="H57" i="60"/>
  <c r="AB59" i="60"/>
  <c r="AB57" i="60"/>
  <c r="AR59" i="60"/>
  <c r="AR57" i="60"/>
  <c r="E59" i="60"/>
  <c r="E57" i="60"/>
  <c r="K59" i="60"/>
  <c r="K57" i="60"/>
  <c r="AI59" i="60"/>
  <c r="AI57" i="60"/>
  <c r="I59" i="60"/>
  <c r="I57" i="60"/>
  <c r="AS59" i="60"/>
  <c r="AS57" i="60"/>
  <c r="V59" i="60"/>
  <c r="V57" i="60"/>
  <c r="AX59" i="60"/>
  <c r="AX57" i="60"/>
  <c r="AE59" i="60"/>
  <c r="AE57" i="60"/>
  <c r="F59" i="60"/>
  <c r="F57" i="60"/>
  <c r="C59" i="60"/>
  <c r="C57" i="60"/>
  <c r="X59" i="60"/>
  <c r="X57" i="60"/>
  <c r="T59" i="60"/>
  <c r="T57" i="60"/>
  <c r="G59" i="60"/>
  <c r="G57" i="60"/>
  <c r="BE82" i="58"/>
  <c r="BF83" i="58"/>
  <c r="BC89" i="58"/>
  <c r="BC90" i="58"/>
  <c r="BC104" i="58"/>
  <c r="BC108" i="58"/>
  <c r="BC110" i="58"/>
  <c r="BC120" i="58"/>
  <c r="BC106" i="58"/>
  <c r="BJ23" i="58"/>
  <c r="BF16" i="59"/>
  <c r="BD87" i="58"/>
  <c r="BD88" i="58"/>
  <c r="BD91" i="58"/>
  <c r="BD98" i="58"/>
  <c r="BG109" i="58"/>
  <c r="BE96" i="58"/>
  <c r="BF97" i="58"/>
  <c r="BE79" i="58"/>
  <c r="BF80" i="58"/>
  <c r="BD84" i="58"/>
  <c r="BF37" i="58"/>
  <c r="BL51" i="59"/>
  <c r="BM51" i="59" s="1"/>
  <c r="BN51" i="59" s="1"/>
  <c r="BO51" i="59" s="1"/>
  <c r="BF27" i="58"/>
  <c r="BE26" i="58"/>
  <c r="BC100" i="58"/>
  <c r="BG14" i="58"/>
  <c r="BF13" i="58"/>
  <c r="BI56" i="58"/>
  <c r="BF41" i="58"/>
  <c r="BG18" i="59"/>
  <c r="BF22" i="59"/>
  <c r="BF25" i="58"/>
  <c r="BB12" i="58"/>
  <c r="M10" i="58"/>
  <c r="BB11" i="58"/>
  <c r="BB24" i="58"/>
  <c r="BB16" i="58"/>
  <c r="BB19" i="58"/>
  <c r="BH57" i="58"/>
  <c r="BF61" i="58"/>
  <c r="BE60" i="58"/>
  <c r="BE57" i="58"/>
  <c r="BI55" i="58"/>
  <c r="BF20" i="59"/>
  <c r="BD81" i="58"/>
  <c r="BD94" i="58"/>
  <c r="BE53" i="58"/>
  <c r="BG39" i="58"/>
  <c r="BG57" i="58"/>
  <c r="BF121" i="58"/>
  <c r="BE15" i="58"/>
  <c r="N13" i="58"/>
  <c r="BG24" i="59"/>
  <c r="M89" i="58"/>
  <c r="M99" i="58"/>
  <c r="BD65" i="58"/>
  <c r="BH45" i="59"/>
  <c r="BC9" i="58"/>
  <c r="BC8" i="58"/>
  <c r="BC22" i="58"/>
  <c r="BG95" i="58"/>
  <c r="BF107" i="58"/>
  <c r="BG105" i="58"/>
  <c r="BD7" i="58"/>
  <c r="BD62" i="58"/>
  <c r="M23" i="58"/>
  <c r="BG99" i="58"/>
  <c r="BF111" i="58"/>
  <c r="BD52" i="58"/>
  <c r="BG49" i="58"/>
  <c r="BH33" i="58"/>
  <c r="BE39" i="59"/>
  <c r="BF38" i="59"/>
  <c r="BF7" i="60" s="1"/>
  <c r="BC91" i="58"/>
  <c r="BG35" i="58"/>
  <c r="BH9" i="59"/>
  <c r="BF53" i="58"/>
  <c r="BF52" i="58" s="1"/>
  <c r="BE85" i="58"/>
  <c r="BF86" i="58"/>
  <c r="M100" i="58"/>
  <c r="BB112" i="58"/>
  <c r="BB101" i="58"/>
  <c r="BE63" i="58"/>
  <c r="BF64" i="58"/>
  <c r="BC10" i="58"/>
  <c r="BC54" i="58"/>
  <c r="BJ56" i="58"/>
  <c r="BF57" i="58"/>
  <c r="BJ55" i="58"/>
  <c r="BF69" i="60" l="1"/>
  <c r="BF66" i="59"/>
  <c r="BG65" i="59"/>
  <c r="BG62" i="62"/>
  <c r="BG63" i="62"/>
  <c r="P51" i="59"/>
  <c r="BR66" i="61"/>
  <c r="AQ51" i="60"/>
  <c r="AQ55" i="60"/>
  <c r="BG37" i="59"/>
  <c r="BF8" i="60"/>
  <c r="N8" i="60" s="1"/>
  <c r="BF53" i="60"/>
  <c r="Q52" i="59"/>
  <c r="BP52" i="59"/>
  <c r="BQ52" i="59" s="1"/>
  <c r="BR52" i="59" s="1"/>
  <c r="BI61" i="62"/>
  <c r="BG64" i="62"/>
  <c r="BG59" i="62"/>
  <c r="BG60" i="62"/>
  <c r="BF53" i="62"/>
  <c r="BF55" i="62" s="1"/>
  <c r="BG29" i="62"/>
  <c r="N29" i="62"/>
  <c r="BG39" i="62"/>
  <c r="N39" i="62"/>
  <c r="BF19" i="62"/>
  <c r="BG17" i="62"/>
  <c r="N17" i="62"/>
  <c r="BG54" i="62"/>
  <c r="BH33" i="62"/>
  <c r="BG45" i="61"/>
  <c r="BF54" i="61"/>
  <c r="N54" i="61" s="1"/>
  <c r="BH68" i="61"/>
  <c r="BO12" i="61"/>
  <c r="BE55" i="61"/>
  <c r="N45" i="61"/>
  <c r="G64" i="60"/>
  <c r="G65" i="60" s="1"/>
  <c r="G60" i="60"/>
  <c r="G63" i="60"/>
  <c r="C63" i="60"/>
  <c r="C64" i="60"/>
  <c r="C60" i="60"/>
  <c r="AX63" i="60"/>
  <c r="AX64" i="60"/>
  <c r="AX60" i="60"/>
  <c r="V63" i="60"/>
  <c r="V64" i="60"/>
  <c r="V66" i="60" s="1"/>
  <c r="V60" i="60"/>
  <c r="BA65" i="60"/>
  <c r="Y60" i="60"/>
  <c r="Y63" i="60"/>
  <c r="Y64" i="60"/>
  <c r="AS60" i="60"/>
  <c r="AS64" i="60"/>
  <c r="AS63" i="60"/>
  <c r="K64" i="60"/>
  <c r="K60" i="60"/>
  <c r="K63" i="60"/>
  <c r="AR64" i="60"/>
  <c r="AR60" i="60"/>
  <c r="AR63" i="60"/>
  <c r="H60" i="60"/>
  <c r="H63" i="60"/>
  <c r="H64" i="60"/>
  <c r="H65" i="60" s="1"/>
  <c r="AT63" i="60"/>
  <c r="AT60" i="60"/>
  <c r="AT64" i="60"/>
  <c r="AJ63" i="60"/>
  <c r="AJ64" i="60"/>
  <c r="AJ60" i="60"/>
  <c r="S64" i="60"/>
  <c r="S60" i="60"/>
  <c r="S63" i="60"/>
  <c r="J64" i="60"/>
  <c r="J63" i="60"/>
  <c r="J60" i="60"/>
  <c r="AW66" i="60"/>
  <c r="AV63" i="60"/>
  <c r="AV64" i="60"/>
  <c r="AV60" i="60"/>
  <c r="AO60" i="60"/>
  <c r="AO63" i="60"/>
  <c r="AO64" i="60"/>
  <c r="D60" i="60"/>
  <c r="D63" i="60"/>
  <c r="D64" i="60"/>
  <c r="D65" i="60" s="1"/>
  <c r="AG60" i="60"/>
  <c r="AG64" i="60"/>
  <c r="AG63" i="60"/>
  <c r="T63" i="60"/>
  <c r="T60" i="60"/>
  <c r="T64" i="60"/>
  <c r="X64" i="60"/>
  <c r="X60" i="60"/>
  <c r="X63" i="60"/>
  <c r="F64" i="60"/>
  <c r="F60" i="60"/>
  <c r="F63" i="60"/>
  <c r="AE64" i="60"/>
  <c r="AE63" i="60"/>
  <c r="AE60" i="60"/>
  <c r="AD63" i="60"/>
  <c r="AD60" i="60"/>
  <c r="AD64" i="60"/>
  <c r="AH63" i="60"/>
  <c r="AH64" i="60"/>
  <c r="AH60" i="60"/>
  <c r="AZ63" i="60"/>
  <c r="AZ64" i="60"/>
  <c r="AZ60" i="60"/>
  <c r="I63" i="60"/>
  <c r="I64" i="60"/>
  <c r="I60" i="60"/>
  <c r="AI64" i="60"/>
  <c r="AI60" i="60"/>
  <c r="AI63" i="60"/>
  <c r="E63" i="60"/>
  <c r="E64" i="60"/>
  <c r="E65" i="60" s="1"/>
  <c r="E60" i="60"/>
  <c r="AB64" i="60"/>
  <c r="AB60" i="60"/>
  <c r="AB63" i="60"/>
  <c r="AP63" i="60"/>
  <c r="AP64" i="60"/>
  <c r="AP60" i="60"/>
  <c r="AC60" i="60"/>
  <c r="AC64" i="60"/>
  <c r="AC63" i="60"/>
  <c r="AN64" i="60"/>
  <c r="AN60" i="60"/>
  <c r="AN63" i="60"/>
  <c r="W64" i="60"/>
  <c r="W60" i="60"/>
  <c r="W63" i="60"/>
  <c r="AA64" i="60"/>
  <c r="AA63" i="60"/>
  <c r="AA60" i="60"/>
  <c r="AY64" i="60"/>
  <c r="AY60" i="60"/>
  <c r="AY63" i="60"/>
  <c r="U66" i="60"/>
  <c r="AM64" i="60"/>
  <c r="AM60" i="60"/>
  <c r="AM63" i="60"/>
  <c r="AF63" i="60"/>
  <c r="AF64" i="60"/>
  <c r="AF60" i="60"/>
  <c r="AU64" i="60"/>
  <c r="AU63" i="60"/>
  <c r="AU60" i="60"/>
  <c r="AL63" i="60"/>
  <c r="AL64" i="60"/>
  <c r="AL60" i="60"/>
  <c r="Z63" i="60"/>
  <c r="Z64" i="60"/>
  <c r="Z60" i="60"/>
  <c r="L60" i="60"/>
  <c r="L64" i="60"/>
  <c r="L63" i="60"/>
  <c r="BF10" i="58"/>
  <c r="BF24" i="58" s="1"/>
  <c r="BF54" i="58"/>
  <c r="BD8" i="58"/>
  <c r="BD22" i="58"/>
  <c r="BD9" i="58"/>
  <c r="N14" i="58"/>
  <c r="BH39" i="58"/>
  <c r="BG20" i="59"/>
  <c r="M11" i="58"/>
  <c r="BF96" i="58"/>
  <c r="N96" i="58" s="1"/>
  <c r="BG97" i="58"/>
  <c r="BJ57" i="58"/>
  <c r="BE65" i="58"/>
  <c r="N63" i="58"/>
  <c r="N64" i="58" s="1"/>
  <c r="M101" i="58"/>
  <c r="BI9" i="59"/>
  <c r="BI33" i="58"/>
  <c r="BG107" i="58"/>
  <c r="BI45" i="59"/>
  <c r="BG121" i="58"/>
  <c r="O55" i="58"/>
  <c r="O56" i="58" s="1"/>
  <c r="BI57" i="58"/>
  <c r="BG61" i="58"/>
  <c r="BF60" i="58"/>
  <c r="M16" i="58"/>
  <c r="M17" i="58" s="1"/>
  <c r="BB18" i="58"/>
  <c r="BB17" i="58"/>
  <c r="BB40" i="58"/>
  <c r="BB36" i="58"/>
  <c r="M36" i="58" s="1"/>
  <c r="BB34" i="58"/>
  <c r="M34" i="58" s="1"/>
  <c r="BB48" i="58"/>
  <c r="M48" i="58" s="1"/>
  <c r="BB32" i="58"/>
  <c r="M32" i="58" s="1"/>
  <c r="M33" i="58" s="1"/>
  <c r="BB38" i="58"/>
  <c r="M38" i="58" s="1"/>
  <c r="BB4" i="59"/>
  <c r="BG22" i="59"/>
  <c r="BG41" i="58"/>
  <c r="BG27" i="58"/>
  <c r="BF26" i="58"/>
  <c r="BG37" i="58"/>
  <c r="BG80" i="58"/>
  <c r="BF79" i="58"/>
  <c r="BE84" i="58"/>
  <c r="BB113" i="58"/>
  <c r="M112" i="58"/>
  <c r="BB116" i="58"/>
  <c r="BB118" i="58"/>
  <c r="BF39" i="59"/>
  <c r="N39" i="59" s="1"/>
  <c r="BG38" i="59"/>
  <c r="BG7" i="60" s="1"/>
  <c r="BE7" i="58"/>
  <c r="BE62" i="58"/>
  <c r="BD100" i="58"/>
  <c r="BG83" i="58"/>
  <c r="BF82" i="58"/>
  <c r="BG86" i="58"/>
  <c r="BF85" i="58"/>
  <c r="BE40" i="59"/>
  <c r="BD10" i="58"/>
  <c r="BD54" i="58"/>
  <c r="BH99" i="58"/>
  <c r="BK56" i="58"/>
  <c r="M102" i="58"/>
  <c r="M24" i="58"/>
  <c r="BB30" i="58"/>
  <c r="BB28" i="58"/>
  <c r="BG25" i="58"/>
  <c r="BH18" i="59"/>
  <c r="BF15" i="58"/>
  <c r="BC101" i="58"/>
  <c r="BC112" i="58"/>
  <c r="BC114" i="58" s="1"/>
  <c r="BE81" i="58"/>
  <c r="BE94" i="58"/>
  <c r="BH109" i="58"/>
  <c r="BD90" i="58"/>
  <c r="BD89" i="58"/>
  <c r="BD108" i="58"/>
  <c r="BD104" i="58"/>
  <c r="BD106" i="58"/>
  <c r="BD120" i="58"/>
  <c r="BD110" i="58"/>
  <c r="BG16" i="59"/>
  <c r="BG64" i="58"/>
  <c r="BF63" i="58"/>
  <c r="BH35" i="58"/>
  <c r="N38" i="59"/>
  <c r="BC12" i="58"/>
  <c r="BC11" i="58"/>
  <c r="BC24" i="58"/>
  <c r="BC16" i="58"/>
  <c r="BC19" i="58" s="1"/>
  <c r="BB114" i="58"/>
  <c r="BE88" i="58"/>
  <c r="BE91" i="58"/>
  <c r="BE87" i="58"/>
  <c r="BE98" i="58"/>
  <c r="N60" i="58"/>
  <c r="N61" i="58" s="1"/>
  <c r="BH49" i="58"/>
  <c r="BG111" i="58"/>
  <c r="BH105" i="58"/>
  <c r="BH95" i="58"/>
  <c r="BH24" i="59"/>
  <c r="BE52" i="58"/>
  <c r="BG53" i="58"/>
  <c r="BH14" i="58"/>
  <c r="BG13" i="58"/>
  <c r="BC102" i="58"/>
  <c r="Q51" i="59"/>
  <c r="BP51" i="59"/>
  <c r="BQ51" i="59" s="1"/>
  <c r="BR51" i="59" s="1"/>
  <c r="BK23" i="58"/>
  <c r="AQ59" i="60" l="1"/>
  <c r="AQ57" i="60"/>
  <c r="BH62" i="62"/>
  <c r="BB25" i="60"/>
  <c r="BB34" i="61"/>
  <c r="BB8" i="62"/>
  <c r="BB7" i="62"/>
  <c r="BH63" i="62"/>
  <c r="BG69" i="60"/>
  <c r="BH65" i="59"/>
  <c r="BG66" i="59"/>
  <c r="BG70" i="60" s="1"/>
  <c r="N66" i="59"/>
  <c r="BF70" i="60"/>
  <c r="BG53" i="60"/>
  <c r="BG8" i="60"/>
  <c r="BH37" i="59"/>
  <c r="BH64" i="62"/>
  <c r="BH60" i="62"/>
  <c r="BH59" i="62"/>
  <c r="BJ61" i="62"/>
  <c r="BH54" i="62"/>
  <c r="BI33" i="62"/>
  <c r="BG53" i="62"/>
  <c r="BG55" i="62" s="1"/>
  <c r="BH29" i="62"/>
  <c r="N19" i="62"/>
  <c r="BH39" i="62"/>
  <c r="BH17" i="62"/>
  <c r="BG19" i="62"/>
  <c r="N53" i="62"/>
  <c r="N55" i="62" s="1"/>
  <c r="BF55" i="61"/>
  <c r="N55" i="61"/>
  <c r="BI68" i="61"/>
  <c r="BP12" i="61"/>
  <c r="BG55" i="61"/>
  <c r="BH45" i="61"/>
  <c r="BG54" i="61"/>
  <c r="AH66" i="60"/>
  <c r="AH65" i="60"/>
  <c r="AE65" i="60"/>
  <c r="AE66" i="60"/>
  <c r="AG66" i="60"/>
  <c r="AG65" i="60"/>
  <c r="AL65" i="60"/>
  <c r="W65" i="60"/>
  <c r="W66" i="60"/>
  <c r="AP65" i="60"/>
  <c r="AZ65" i="60"/>
  <c r="AZ66" i="60"/>
  <c r="Y66" i="60"/>
  <c r="Y65" i="60"/>
  <c r="Z66" i="60"/>
  <c r="Z65" i="60"/>
  <c r="AA65" i="60"/>
  <c r="AA66" i="60"/>
  <c r="AC65" i="60"/>
  <c r="AC66" i="60"/>
  <c r="AB66" i="60"/>
  <c r="AB65" i="60"/>
  <c r="I65" i="60"/>
  <c r="AD66" i="60"/>
  <c r="AD65" i="60"/>
  <c r="X66" i="60"/>
  <c r="X65" i="60"/>
  <c r="J65" i="60"/>
  <c r="AF66" i="60"/>
  <c r="AF65" i="60"/>
  <c r="AY65" i="60"/>
  <c r="F65" i="60"/>
  <c r="T66" i="60"/>
  <c r="AV66" i="60"/>
  <c r="AS66" i="60"/>
  <c r="BA66" i="60"/>
  <c r="N94" i="58"/>
  <c r="N95" i="58" s="1"/>
  <c r="BG15" i="58"/>
  <c r="BC28" i="58"/>
  <c r="BC30" i="58"/>
  <c r="BI35" i="58"/>
  <c r="BI18" i="59"/>
  <c r="BH86" i="58"/>
  <c r="BG85" i="58"/>
  <c r="BD101" i="58"/>
  <c r="BD112" i="58"/>
  <c r="BE9" i="58"/>
  <c r="BE8" i="58"/>
  <c r="BE22" i="58"/>
  <c r="BF81" i="58"/>
  <c r="BF94" i="58"/>
  <c r="M40" i="58"/>
  <c r="BB42" i="58"/>
  <c r="BB44" i="58"/>
  <c r="BI14" i="58"/>
  <c r="BH13" i="58"/>
  <c r="BE10" i="58"/>
  <c r="BE54" i="58"/>
  <c r="N52" i="58"/>
  <c r="N53" i="58" s="1"/>
  <c r="BI95" i="58"/>
  <c r="BE100" i="58"/>
  <c r="BE90" i="58"/>
  <c r="BE89" i="58"/>
  <c r="BE104" i="58"/>
  <c r="BE108" i="58"/>
  <c r="BE120" i="58"/>
  <c r="BE106" i="58"/>
  <c r="BE110" i="58"/>
  <c r="N40" i="59"/>
  <c r="BF65" i="58"/>
  <c r="BH16" i="59"/>
  <c r="BI109" i="58"/>
  <c r="M25" i="58"/>
  <c r="M30" i="58"/>
  <c r="BI99" i="58"/>
  <c r="BD11" i="58"/>
  <c r="BD12" i="58"/>
  <c r="BD24" i="58"/>
  <c r="BD19" i="58"/>
  <c r="BD16" i="58"/>
  <c r="BF84" i="58"/>
  <c r="N82" i="58"/>
  <c r="N83" i="58" s="1"/>
  <c r="BD102" i="58"/>
  <c r="BF40" i="59"/>
  <c r="M116" i="58"/>
  <c r="M117" i="58" s="1"/>
  <c r="BB117" i="58"/>
  <c r="BH80" i="58"/>
  <c r="BG79" i="58"/>
  <c r="BG26" i="58"/>
  <c r="BH27" i="58"/>
  <c r="BH22" i="59"/>
  <c r="M49" i="58"/>
  <c r="BF7" i="58"/>
  <c r="BF62" i="58"/>
  <c r="BJ45" i="59"/>
  <c r="BJ9" i="59"/>
  <c r="BG96" i="58"/>
  <c r="BH97" i="58"/>
  <c r="BI24" i="59"/>
  <c r="BH111" i="58"/>
  <c r="BH64" i="58"/>
  <c r="BG63" i="58"/>
  <c r="N79" i="58"/>
  <c r="N80" i="58" s="1"/>
  <c r="BH25" i="58"/>
  <c r="BH83" i="58"/>
  <c r="BG82" i="58"/>
  <c r="BG39" i="59"/>
  <c r="BH38" i="59"/>
  <c r="BH7" i="60" s="1"/>
  <c r="M113" i="58"/>
  <c r="M118" i="58"/>
  <c r="BH41" i="58"/>
  <c r="BB23" i="59"/>
  <c r="BB8" i="59"/>
  <c r="M4" i="59"/>
  <c r="BB11" i="59"/>
  <c r="BB5" i="59"/>
  <c r="BB6" i="59"/>
  <c r="BB17" i="59"/>
  <c r="BB15" i="59"/>
  <c r="BB21" i="59"/>
  <c r="BB19" i="59"/>
  <c r="M19" i="59" s="1"/>
  <c r="M35" i="58"/>
  <c r="BH61" i="58"/>
  <c r="BG60" i="58"/>
  <c r="BH121" i="58"/>
  <c r="BH107" i="58"/>
  <c r="BH20" i="59"/>
  <c r="BH53" i="58"/>
  <c r="BG52" i="58"/>
  <c r="BL23" i="58"/>
  <c r="BI105" i="58"/>
  <c r="BI49" i="58"/>
  <c r="BC17" i="58"/>
  <c r="BC18" i="58"/>
  <c r="BC34" i="58"/>
  <c r="BC48" i="58"/>
  <c r="BC32" i="58"/>
  <c r="BC38" i="58"/>
  <c r="BC40" i="58"/>
  <c r="BC36" i="58"/>
  <c r="BC4" i="59"/>
  <c r="BC113" i="58"/>
  <c r="BC116" i="58"/>
  <c r="M28" i="58"/>
  <c r="M29" i="58" s="1"/>
  <c r="BB29" i="58"/>
  <c r="BK55" i="58"/>
  <c r="BL56" i="58"/>
  <c r="BF87" i="58"/>
  <c r="BF88" i="58"/>
  <c r="N85" i="58"/>
  <c r="N86" i="58" s="1"/>
  <c r="BF98" i="58"/>
  <c r="N98" i="58" s="1"/>
  <c r="BH37" i="58"/>
  <c r="M39" i="58"/>
  <c r="M37" i="58"/>
  <c r="BJ33" i="58"/>
  <c r="M114" i="58"/>
  <c r="N26" i="58"/>
  <c r="M19" i="58"/>
  <c r="BI39" i="58"/>
  <c r="BF12" i="58"/>
  <c r="BF11" i="58"/>
  <c r="N67" i="59" l="1"/>
  <c r="N70" i="60"/>
  <c r="M15" i="59"/>
  <c r="M36" i="60" s="1"/>
  <c r="BB36" i="60"/>
  <c r="BB19" i="61"/>
  <c r="M19" i="61" s="1"/>
  <c r="BI37" i="59"/>
  <c r="BH53" i="60"/>
  <c r="BH8" i="60"/>
  <c r="M8" i="62"/>
  <c r="BB24" i="61"/>
  <c r="M24" i="61" s="1"/>
  <c r="BI62" i="62"/>
  <c r="M21" i="59"/>
  <c r="M40" i="60" s="1"/>
  <c r="BB7" i="61"/>
  <c r="BB40" i="60"/>
  <c r="BB41" i="60" s="1"/>
  <c r="BB8" i="61"/>
  <c r="M8" i="61" s="1"/>
  <c r="BB42" i="60"/>
  <c r="BB43" i="60" s="1"/>
  <c r="BH69" i="60"/>
  <c r="BH66" i="59"/>
  <c r="BH70" i="60" s="1"/>
  <c r="BI65" i="59"/>
  <c r="M25" i="60"/>
  <c r="M65" i="62"/>
  <c r="BB40" i="61"/>
  <c r="M40" i="61" s="1"/>
  <c r="M34" i="61"/>
  <c r="BB23" i="61"/>
  <c r="M7" i="62"/>
  <c r="M59" i="62" s="1"/>
  <c r="M17" i="59"/>
  <c r="M38" i="60" s="1"/>
  <c r="M39" i="60" s="1"/>
  <c r="BB38" i="60"/>
  <c r="BB39" i="60" s="1"/>
  <c r="BC25" i="60"/>
  <c r="BC34" i="61"/>
  <c r="BC8" i="62"/>
  <c r="BC24" i="61" s="1"/>
  <c r="BC7" i="62"/>
  <c r="BC23" i="61" s="1"/>
  <c r="M8" i="59"/>
  <c r="M29" i="60" s="1"/>
  <c r="BB9" i="62"/>
  <c r="BB29" i="60"/>
  <c r="BB30" i="60" s="1"/>
  <c r="BB10" i="62"/>
  <c r="BI63" i="62"/>
  <c r="BB27" i="60"/>
  <c r="BB26" i="60"/>
  <c r="AQ64" i="60"/>
  <c r="AQ63" i="60"/>
  <c r="AQ60" i="60"/>
  <c r="BK61" i="62"/>
  <c r="BI59" i="62"/>
  <c r="BI64" i="62"/>
  <c r="BI60" i="62"/>
  <c r="BI39" i="62"/>
  <c r="BI54" i="62"/>
  <c r="BJ33" i="62"/>
  <c r="BH53" i="62"/>
  <c r="BH55" i="62" s="1"/>
  <c r="BI29" i="62"/>
  <c r="BH19" i="62"/>
  <c r="BI17" i="62"/>
  <c r="BH54" i="61"/>
  <c r="BH55" i="61" s="1"/>
  <c r="BI45" i="61"/>
  <c r="BJ68" i="61"/>
  <c r="BQ12" i="61"/>
  <c r="N99" i="58"/>
  <c r="BF4" i="59"/>
  <c r="BF90" i="58"/>
  <c r="BF89" i="58"/>
  <c r="BF108" i="58"/>
  <c r="N108" i="58" s="1"/>
  <c r="BF104" i="58"/>
  <c r="BF106" i="58"/>
  <c r="N106" i="58" s="1"/>
  <c r="N107" i="58" s="1"/>
  <c r="BF120" i="58"/>
  <c r="N120" i="58" s="1"/>
  <c r="N121" i="58" s="1"/>
  <c r="BF110" i="58"/>
  <c r="N110" i="58" s="1"/>
  <c r="N111" i="58" s="1"/>
  <c r="BJ105" i="58"/>
  <c r="BM23" i="58"/>
  <c r="BG81" i="58"/>
  <c r="BG94" i="58"/>
  <c r="BE112" i="58"/>
  <c r="BE114" i="58"/>
  <c r="BE101" i="58"/>
  <c r="BJ95" i="58"/>
  <c r="N22" i="58"/>
  <c r="BD113" i="58"/>
  <c r="BD116" i="58"/>
  <c r="BD117" i="58" s="1"/>
  <c r="BJ39" i="58"/>
  <c r="BI20" i="59"/>
  <c r="BI121" i="58"/>
  <c r="M20" i="59"/>
  <c r="M9" i="59"/>
  <c r="BI41" i="58"/>
  <c r="BG84" i="58"/>
  <c r="BI111" i="58"/>
  <c r="BK9" i="59"/>
  <c r="BF9" i="58"/>
  <c r="BF8" i="58"/>
  <c r="BF22" i="58"/>
  <c r="BF16" i="58"/>
  <c r="BF19" i="58"/>
  <c r="N7" i="58"/>
  <c r="N8" i="58" s="1"/>
  <c r="BI22" i="59"/>
  <c r="BI80" i="58"/>
  <c r="BH79" i="58"/>
  <c r="BD17" i="58"/>
  <c r="BD18" i="58"/>
  <c r="BD32" i="58"/>
  <c r="BD38" i="58"/>
  <c r="BD48" i="58"/>
  <c r="BD34" i="58"/>
  <c r="BD40" i="58"/>
  <c r="BD36" i="58"/>
  <c r="BD4" i="59"/>
  <c r="BI16" i="59"/>
  <c r="N88" i="58"/>
  <c r="BE102" i="58"/>
  <c r="BE12" i="58"/>
  <c r="BE11" i="58"/>
  <c r="BE24" i="58"/>
  <c r="BE16" i="58"/>
  <c r="N10" i="58"/>
  <c r="M42" i="58"/>
  <c r="M43" i="58" s="1"/>
  <c r="BB43" i="58"/>
  <c r="BB46" i="58"/>
  <c r="BJ18" i="59"/>
  <c r="BC29" i="58"/>
  <c r="BF100" i="58"/>
  <c r="BC42" i="58"/>
  <c r="BC44" i="58" s="1"/>
  <c r="M5" i="59"/>
  <c r="BL55" i="58"/>
  <c r="BM56" i="58"/>
  <c r="BM55" i="58" s="1"/>
  <c r="BC117" i="58"/>
  <c r="BC11" i="59"/>
  <c r="BC5" i="59"/>
  <c r="BC6" i="59"/>
  <c r="BC8" i="59"/>
  <c r="BC23" i="59"/>
  <c r="BC17" i="59"/>
  <c r="BC38" i="60" s="1"/>
  <c r="BC39" i="60" s="1"/>
  <c r="BC19" i="59"/>
  <c r="BC21" i="59"/>
  <c r="BC15" i="59"/>
  <c r="BG10" i="58"/>
  <c r="BG54" i="58"/>
  <c r="BI107" i="58"/>
  <c r="BG7" i="58"/>
  <c r="BG62" i="58"/>
  <c r="M22" i="59"/>
  <c r="BB25" i="59"/>
  <c r="M23" i="59"/>
  <c r="BI38" i="59"/>
  <c r="BI7" i="60" s="1"/>
  <c r="BH39" i="59"/>
  <c r="BH40" i="59" s="1"/>
  <c r="BI83" i="58"/>
  <c r="BH82" i="58"/>
  <c r="BG65" i="58"/>
  <c r="BI97" i="58"/>
  <c r="BH96" i="58"/>
  <c r="BH26" i="58"/>
  <c r="BI27" i="58"/>
  <c r="BJ99" i="58"/>
  <c r="N104" i="58"/>
  <c r="N105" i="58" s="1"/>
  <c r="BH15" i="58"/>
  <c r="M41" i="58"/>
  <c r="M44" i="58"/>
  <c r="BG87" i="58"/>
  <c r="BG88" i="58"/>
  <c r="BG98" i="58"/>
  <c r="N97" i="58"/>
  <c r="N27" i="58"/>
  <c r="BK33" i="58"/>
  <c r="BI37" i="58"/>
  <c r="BF91" i="58"/>
  <c r="BK57" i="58"/>
  <c r="BC118" i="58"/>
  <c r="BJ49" i="58"/>
  <c r="BI53" i="58"/>
  <c r="BH52" i="58"/>
  <c r="BI61" i="58"/>
  <c r="BH60" i="58"/>
  <c r="BB12" i="59"/>
  <c r="M11" i="59"/>
  <c r="M12" i="59" s="1"/>
  <c r="BG40" i="59"/>
  <c r="BI25" i="58"/>
  <c r="BI64" i="58"/>
  <c r="BH63" i="58"/>
  <c r="BJ24" i="59"/>
  <c r="BK45" i="59"/>
  <c r="BD30" i="58"/>
  <c r="BD28" i="58"/>
  <c r="BD29" i="58" s="1"/>
  <c r="BJ109" i="58"/>
  <c r="BJ14" i="58"/>
  <c r="BI13" i="58"/>
  <c r="BD114" i="58"/>
  <c r="BI86" i="58"/>
  <c r="BH85" i="58"/>
  <c r="BJ35" i="58"/>
  <c r="M26" i="60" l="1"/>
  <c r="M32" i="60"/>
  <c r="M33" i="60" s="1"/>
  <c r="M37" i="60"/>
  <c r="M16" i="59"/>
  <c r="AU65" i="60"/>
  <c r="AQ66" i="60"/>
  <c r="AR66" i="60"/>
  <c r="M9" i="62"/>
  <c r="M61" i="62" s="1"/>
  <c r="BB25" i="61"/>
  <c r="M25" i="61" s="1"/>
  <c r="BC40" i="61"/>
  <c r="BC41" i="61"/>
  <c r="BB41" i="61"/>
  <c r="M41" i="60"/>
  <c r="BJ37" i="59"/>
  <c r="O37" i="59" s="1"/>
  <c r="O53" i="60" s="1"/>
  <c r="BI53" i="60"/>
  <c r="BI8" i="60"/>
  <c r="BB9" i="61"/>
  <c r="M7" i="61"/>
  <c r="BC36" i="60"/>
  <c r="BC19" i="61"/>
  <c r="BD25" i="60"/>
  <c r="BD34" i="61"/>
  <c r="BD8" i="62"/>
  <c r="BD7" i="62"/>
  <c r="M18" i="59"/>
  <c r="BB32" i="60"/>
  <c r="BJ63" i="62"/>
  <c r="M30" i="60"/>
  <c r="BC26" i="60"/>
  <c r="BC27" i="60"/>
  <c r="M41" i="61"/>
  <c r="M68" i="61"/>
  <c r="BI69" i="60"/>
  <c r="BJ65" i="59"/>
  <c r="BI66" i="59"/>
  <c r="BI70" i="60" s="1"/>
  <c r="M60" i="62"/>
  <c r="M67" i="61"/>
  <c r="M66" i="61"/>
  <c r="BF25" i="60"/>
  <c r="BF34" i="61"/>
  <c r="BF8" i="62"/>
  <c r="BF7" i="62"/>
  <c r="BD24" i="61"/>
  <c r="M24" i="59"/>
  <c r="M42" i="60"/>
  <c r="M43" i="60" s="1"/>
  <c r="BC8" i="61"/>
  <c r="BC42" i="60"/>
  <c r="BC43" i="60" s="1"/>
  <c r="BB27" i="62"/>
  <c r="BB28" i="62"/>
  <c r="BC40" i="60"/>
  <c r="BC41" i="60" s="1"/>
  <c r="BC7" i="61"/>
  <c r="BC29" i="60"/>
  <c r="BC9" i="62"/>
  <c r="BC10" i="62"/>
  <c r="BB26" i="61"/>
  <c r="M26" i="61" s="1"/>
  <c r="M10" i="62"/>
  <c r="M62" i="62" s="1"/>
  <c r="BD23" i="61"/>
  <c r="M23" i="61"/>
  <c r="BJ62" i="62"/>
  <c r="BB44" i="60"/>
  <c r="BB37" i="60"/>
  <c r="BL61" i="62"/>
  <c r="BJ59" i="62"/>
  <c r="BJ64" i="62"/>
  <c r="BJ60" i="62"/>
  <c r="BK33" i="62"/>
  <c r="O33" i="62"/>
  <c r="O54" i="62" s="1"/>
  <c r="BJ54" i="62"/>
  <c r="BJ39" i="62"/>
  <c r="BI19" i="62"/>
  <c r="BJ17" i="62"/>
  <c r="BI53" i="62"/>
  <c r="BJ29" i="62"/>
  <c r="BI55" i="62"/>
  <c r="BK68" i="61"/>
  <c r="BI54" i="61"/>
  <c r="BI55" i="61"/>
  <c r="BJ45" i="61"/>
  <c r="O45" i="61" s="1"/>
  <c r="BR12" i="61"/>
  <c r="BJ86" i="58"/>
  <c r="BI85" i="58"/>
  <c r="BL45" i="59"/>
  <c r="BH65" i="58"/>
  <c r="BH7" i="58"/>
  <c r="BH62" i="58"/>
  <c r="BK49" i="58"/>
  <c r="BG100" i="58"/>
  <c r="BG102" i="58" s="1"/>
  <c r="BG89" i="58"/>
  <c r="BG90" i="58"/>
  <c r="BG108" i="58"/>
  <c r="BG104" i="58"/>
  <c r="BG106" i="58"/>
  <c r="BG110" i="58"/>
  <c r="BG120" i="58"/>
  <c r="BK99" i="58"/>
  <c r="BG9" i="58"/>
  <c r="BG8" i="58"/>
  <c r="BG22" i="58"/>
  <c r="BC25" i="59"/>
  <c r="BM57" i="58"/>
  <c r="BF112" i="58"/>
  <c r="BF114" i="58"/>
  <c r="BF101" i="58"/>
  <c r="BK18" i="59"/>
  <c r="BD44" i="58"/>
  <c r="BD42" i="58"/>
  <c r="BH81" i="58"/>
  <c r="BH94" i="58"/>
  <c r="BJ111" i="58"/>
  <c r="BJ20" i="59"/>
  <c r="BJ64" i="58"/>
  <c r="BI63" i="58"/>
  <c r="BJ61" i="58"/>
  <c r="BI60" i="58"/>
  <c r="BJ97" i="58"/>
  <c r="BL57" i="58"/>
  <c r="M46" i="58"/>
  <c r="M47" i="58" s="1"/>
  <c r="BB47" i="58"/>
  <c r="BE18" i="58"/>
  <c r="BE17" i="58"/>
  <c r="BE32" i="58"/>
  <c r="BE48" i="58"/>
  <c r="BE34" i="58"/>
  <c r="N34" i="58" s="1"/>
  <c r="N35" i="58" s="1"/>
  <c r="BE38" i="58"/>
  <c r="N38" i="58" s="1"/>
  <c r="N39" i="58" s="1"/>
  <c r="BE40" i="58"/>
  <c r="BE36" i="58"/>
  <c r="N36" i="58" s="1"/>
  <c r="BE4" i="59"/>
  <c r="N16" i="58"/>
  <c r="N17" i="58" s="1"/>
  <c r="BJ121" i="58"/>
  <c r="BK95" i="58"/>
  <c r="BK105" i="58"/>
  <c r="BI15" i="58"/>
  <c r="O13" i="58"/>
  <c r="BH10" i="58"/>
  <c r="BH54" i="58"/>
  <c r="BJ27" i="58"/>
  <c r="BI26" i="58"/>
  <c r="BJ83" i="58"/>
  <c r="BI82" i="58"/>
  <c r="BJ107" i="58"/>
  <c r="BG12" i="58"/>
  <c r="BG11" i="58"/>
  <c r="BG16" i="58"/>
  <c r="BG24" i="58"/>
  <c r="N28" i="58"/>
  <c r="N29" i="58" s="1"/>
  <c r="BE19" i="58"/>
  <c r="BD5" i="59"/>
  <c r="BD6" i="59"/>
  <c r="BD8" i="59"/>
  <c r="BD23" i="59"/>
  <c r="BD17" i="59"/>
  <c r="BD38" i="60" s="1"/>
  <c r="BD15" i="59"/>
  <c r="BD21" i="59"/>
  <c r="BD19" i="59"/>
  <c r="BF18" i="58"/>
  <c r="BF17" i="58"/>
  <c r="BF32" i="58"/>
  <c r="N32" i="58" s="1"/>
  <c r="N33" i="58" s="1"/>
  <c r="BF38" i="58"/>
  <c r="BF48" i="58"/>
  <c r="BF34" i="58"/>
  <c r="BF40" i="58"/>
  <c r="BF36" i="58"/>
  <c r="BJ41" i="58"/>
  <c r="BD118" i="58"/>
  <c r="BE113" i="58"/>
  <c r="N112" i="58"/>
  <c r="N113" i="58" s="1"/>
  <c r="BE116" i="58"/>
  <c r="BN23" i="58"/>
  <c r="BK109" i="58"/>
  <c r="BJ38" i="59"/>
  <c r="BJ7" i="60" s="1"/>
  <c r="O7" i="60" s="1"/>
  <c r="BI39" i="59"/>
  <c r="BC12" i="59"/>
  <c r="BC43" i="58"/>
  <c r="BC46" i="58"/>
  <c r="N11" i="58"/>
  <c r="BJ16" i="59"/>
  <c r="N23" i="58"/>
  <c r="BF5" i="59"/>
  <c r="BF6" i="59"/>
  <c r="BF8" i="59"/>
  <c r="BF17" i="59"/>
  <c r="BF38" i="60" s="1"/>
  <c r="BF39" i="60" s="1"/>
  <c r="BF23" i="59"/>
  <c r="BF19" i="59"/>
  <c r="BF21" i="59"/>
  <c r="BF15" i="59"/>
  <c r="BK35" i="58"/>
  <c r="BJ37" i="58"/>
  <c r="BH84" i="58"/>
  <c r="BJ80" i="58"/>
  <c r="BI79" i="58"/>
  <c r="BH87" i="58"/>
  <c r="BH88" i="58"/>
  <c r="BH98" i="58"/>
  <c r="BK14" i="58"/>
  <c r="BJ13" i="58"/>
  <c r="BK24" i="59"/>
  <c r="BJ25" i="58"/>
  <c r="BJ53" i="58"/>
  <c r="BI52" i="58"/>
  <c r="BL33" i="58"/>
  <c r="BG91" i="58"/>
  <c r="BB28" i="59"/>
  <c r="BB26" i="59"/>
  <c r="BB30" i="59"/>
  <c r="M25" i="59"/>
  <c r="BN56" i="58"/>
  <c r="BF102" i="58"/>
  <c r="BE28" i="58"/>
  <c r="BE29" i="58" s="1"/>
  <c r="BE30" i="58"/>
  <c r="N89" i="58"/>
  <c r="BJ22" i="59"/>
  <c r="BF30" i="58"/>
  <c r="BF28" i="58"/>
  <c r="BF29" i="58" s="1"/>
  <c r="BL9" i="59"/>
  <c r="BK39" i="58"/>
  <c r="N100" i="58"/>
  <c r="N109" i="58"/>
  <c r="N24" i="58"/>
  <c r="BD27" i="60" l="1"/>
  <c r="BD26" i="60"/>
  <c r="BF7" i="61"/>
  <c r="BF40" i="60"/>
  <c r="BF41" i="60" s="1"/>
  <c r="BF11" i="59"/>
  <c r="BF12" i="59" s="1"/>
  <c r="BF29" i="60"/>
  <c r="BF30" i="60" s="1"/>
  <c r="BF9" i="62"/>
  <c r="BF10" i="62"/>
  <c r="BD36" i="60"/>
  <c r="BD19" i="61"/>
  <c r="BE25" i="60"/>
  <c r="BE34" i="61"/>
  <c r="BE7" i="62"/>
  <c r="BF23" i="61" s="1"/>
  <c r="BE8" i="62"/>
  <c r="BC27" i="62"/>
  <c r="BC28" i="62"/>
  <c r="BC28" i="61" s="1"/>
  <c r="N7" i="62"/>
  <c r="N59" i="62" s="1"/>
  <c r="BJ69" i="60"/>
  <c r="BK65" i="59"/>
  <c r="BJ66" i="59"/>
  <c r="O65" i="59"/>
  <c r="O69" i="60" s="1"/>
  <c r="BK63" i="62"/>
  <c r="BE23" i="61"/>
  <c r="BD29" i="60"/>
  <c r="BD30" i="60" s="1"/>
  <c r="BD9" i="62"/>
  <c r="BD10" i="62"/>
  <c r="BC9" i="61"/>
  <c r="BB10" i="60"/>
  <c r="M10" i="60" s="1"/>
  <c r="M9" i="61"/>
  <c r="BB16" i="62"/>
  <c r="BK62" i="62"/>
  <c r="M28" i="62"/>
  <c r="M64" i="62" s="1"/>
  <c r="BB28" i="61"/>
  <c r="M28" i="61" s="1"/>
  <c r="N8" i="62"/>
  <c r="BC44" i="60"/>
  <c r="BC45" i="60" s="1"/>
  <c r="BC37" i="60"/>
  <c r="M44" i="60"/>
  <c r="BF36" i="60"/>
  <c r="BF19" i="61"/>
  <c r="BD40" i="60"/>
  <c r="BD41" i="60" s="1"/>
  <c r="BD7" i="61"/>
  <c r="BF27" i="60"/>
  <c r="BF32" i="60"/>
  <c r="BF26" i="60"/>
  <c r="BK37" i="59"/>
  <c r="BJ53" i="60"/>
  <c r="BJ8" i="60"/>
  <c r="BD39" i="60"/>
  <c r="BF8" i="61"/>
  <c r="BF42" i="60"/>
  <c r="BF43" i="60" s="1"/>
  <c r="BD25" i="59"/>
  <c r="BD42" i="60"/>
  <c r="BD43" i="60" s="1"/>
  <c r="BD8" i="61"/>
  <c r="BD11" i="59"/>
  <c r="BD12" i="59" s="1"/>
  <c r="BB47" i="60"/>
  <c r="BB48" i="60" s="1"/>
  <c r="BB45" i="60"/>
  <c r="BC26" i="61"/>
  <c r="BC47" i="60"/>
  <c r="BC48" i="60" s="1"/>
  <c r="BC30" i="60"/>
  <c r="BB27" i="61"/>
  <c r="M27" i="61" s="1"/>
  <c r="M27" i="62"/>
  <c r="BB30" i="62"/>
  <c r="BF40" i="61"/>
  <c r="BF41" i="61" s="1"/>
  <c r="BC32" i="60"/>
  <c r="BB50" i="60"/>
  <c r="BB33" i="60"/>
  <c r="BD40" i="61"/>
  <c r="BD41" i="61"/>
  <c r="N34" i="61"/>
  <c r="BC25" i="61"/>
  <c r="BK60" i="62"/>
  <c r="BK64" i="62"/>
  <c r="BK59" i="62"/>
  <c r="BM61" i="62"/>
  <c r="BK54" i="62"/>
  <c r="BL33" i="62"/>
  <c r="BJ53" i="62"/>
  <c r="BJ55" i="62" s="1"/>
  <c r="BK29" i="62"/>
  <c r="O29" i="62"/>
  <c r="BK39" i="62"/>
  <c r="O39" i="62"/>
  <c r="BJ19" i="62"/>
  <c r="BK17" i="62"/>
  <c r="O17" i="62"/>
  <c r="BJ54" i="61"/>
  <c r="O54" i="61" s="1"/>
  <c r="O55" i="61" s="1"/>
  <c r="BK45" i="61"/>
  <c r="Q12" i="61"/>
  <c r="BL68" i="61"/>
  <c r="N25" i="58"/>
  <c r="N30" i="58"/>
  <c r="BL39" i="58"/>
  <c r="BE117" i="58"/>
  <c r="N116" i="58"/>
  <c r="N117" i="58" s="1"/>
  <c r="BF42" i="58"/>
  <c r="BG17" i="58"/>
  <c r="BG18" i="58"/>
  <c r="BG32" i="58"/>
  <c r="BG34" i="58"/>
  <c r="BG38" i="58"/>
  <c r="BG48" i="58"/>
  <c r="BG40" i="58"/>
  <c r="BG36" i="58"/>
  <c r="O14" i="58"/>
  <c r="BI88" i="58"/>
  <c r="BI91" i="58"/>
  <c r="BI87" i="58"/>
  <c r="BI98" i="58"/>
  <c r="O85" i="58"/>
  <c r="O86" i="58" s="1"/>
  <c r="BL35" i="58"/>
  <c r="BI40" i="59"/>
  <c r="BK107" i="58"/>
  <c r="BJ26" i="58"/>
  <c r="BK27" i="58"/>
  <c r="BL95" i="58"/>
  <c r="N40" i="58"/>
  <c r="BK97" i="58"/>
  <c r="BK20" i="59"/>
  <c r="BL18" i="59"/>
  <c r="BC28" i="59"/>
  <c r="BC26" i="59"/>
  <c r="BK86" i="58"/>
  <c r="BJ85" i="58"/>
  <c r="M28" i="59"/>
  <c r="BB29" i="59"/>
  <c r="BB32" i="59"/>
  <c r="BL24" i="59"/>
  <c r="BF25" i="59"/>
  <c r="BO23" i="58"/>
  <c r="BE118" i="58"/>
  <c r="BK41" i="58"/>
  <c r="BG28" i="58"/>
  <c r="BI84" i="58"/>
  <c r="BL105" i="58"/>
  <c r="BK121" i="58"/>
  <c r="N37" i="58"/>
  <c r="N48" i="58"/>
  <c r="N49" i="58" s="1"/>
  <c r="BI96" i="58"/>
  <c r="BK64" i="58"/>
  <c r="BJ63" i="58"/>
  <c r="BK111" i="58"/>
  <c r="BN55" i="58"/>
  <c r="BO56" i="58"/>
  <c r="BL14" i="58"/>
  <c r="BK13" i="58"/>
  <c r="BK16" i="59"/>
  <c r="BL109" i="58"/>
  <c r="BD30" i="59"/>
  <c r="BD26" i="59"/>
  <c r="BD28" i="59"/>
  <c r="BK61" i="58"/>
  <c r="BJ60" i="58"/>
  <c r="BL99" i="58"/>
  <c r="BG101" i="58"/>
  <c r="BG112" i="58"/>
  <c r="BG114" i="58"/>
  <c r="BI10" i="58"/>
  <c r="BI54" i="58"/>
  <c r="BH100" i="58"/>
  <c r="BH102" i="58" s="1"/>
  <c r="N19" i="58"/>
  <c r="BE6" i="59"/>
  <c r="BE5" i="59"/>
  <c r="BE8" i="59"/>
  <c r="BE17" i="59"/>
  <c r="BE23" i="59"/>
  <c r="BE19" i="59"/>
  <c r="N19" i="59" s="1"/>
  <c r="N20" i="59" s="1"/>
  <c r="BE21" i="59"/>
  <c r="BE15" i="59"/>
  <c r="N4" i="59"/>
  <c r="BI65" i="58"/>
  <c r="BF113" i="58"/>
  <c r="BF118" i="58"/>
  <c r="BF116" i="58"/>
  <c r="BF117" i="58" s="1"/>
  <c r="O26" i="58"/>
  <c r="N101" i="58"/>
  <c r="N114" i="58"/>
  <c r="N102" i="58"/>
  <c r="BM9" i="59"/>
  <c r="BK22" i="59"/>
  <c r="BJ52" i="58"/>
  <c r="BK53" i="58"/>
  <c r="BH90" i="58"/>
  <c r="BH89" i="58"/>
  <c r="BH108" i="58"/>
  <c r="BH104" i="58"/>
  <c r="BH120" i="58"/>
  <c r="BH110" i="58"/>
  <c r="BH106" i="58"/>
  <c r="BI81" i="58"/>
  <c r="BI94" i="58"/>
  <c r="BJ39" i="59"/>
  <c r="O39" i="59" s="1"/>
  <c r="BK38" i="59"/>
  <c r="BK7" i="60" s="1"/>
  <c r="M26" i="59"/>
  <c r="O63" i="58"/>
  <c r="O64" i="58" s="1"/>
  <c r="BM33" i="58"/>
  <c r="BK25" i="58"/>
  <c r="BJ15" i="58"/>
  <c r="BH91" i="58"/>
  <c r="BK80" i="58"/>
  <c r="BJ79" i="58"/>
  <c r="BK37" i="58"/>
  <c r="BC47" i="58"/>
  <c r="BG19" i="58"/>
  <c r="BK83" i="58"/>
  <c r="BJ82" i="58"/>
  <c r="BH11" i="58"/>
  <c r="BH12" i="58"/>
  <c r="BH16" i="58"/>
  <c r="BH19" i="58"/>
  <c r="BH24" i="58"/>
  <c r="BE42" i="58"/>
  <c r="BE44" i="58"/>
  <c r="BI7" i="58"/>
  <c r="BI62" i="58"/>
  <c r="BD43" i="58"/>
  <c r="BD46" i="58"/>
  <c r="BD47" i="58" s="1"/>
  <c r="BG4" i="59"/>
  <c r="BL49" i="58"/>
  <c r="BH8" i="58"/>
  <c r="BH9" i="58"/>
  <c r="BH22" i="58"/>
  <c r="BM45" i="59"/>
  <c r="O38" i="59"/>
  <c r="N15" i="59" l="1"/>
  <c r="BE19" i="61"/>
  <c r="N19" i="61" s="1"/>
  <c r="N66" i="61" s="1"/>
  <c r="BE36" i="60"/>
  <c r="BB29" i="61"/>
  <c r="BF44" i="60"/>
  <c r="BF37" i="60"/>
  <c r="BD44" i="60"/>
  <c r="BD37" i="60"/>
  <c r="BG25" i="60"/>
  <c r="BG34" i="61"/>
  <c r="BG7" i="62"/>
  <c r="BG8" i="62"/>
  <c r="N21" i="59"/>
  <c r="N40" i="60" s="1"/>
  <c r="BE7" i="61"/>
  <c r="BE40" i="60"/>
  <c r="BE41" i="60" s="1"/>
  <c r="N8" i="59"/>
  <c r="N29" i="60" s="1"/>
  <c r="BE29" i="60"/>
  <c r="BE30" i="60" s="1"/>
  <c r="BE9" i="62"/>
  <c r="BE10" i="62"/>
  <c r="BF26" i="61" s="1"/>
  <c r="N68" i="61"/>
  <c r="BB55" i="60"/>
  <c r="BB51" i="60"/>
  <c r="M30" i="62"/>
  <c r="BB35" i="62"/>
  <c r="M35" i="62" s="1"/>
  <c r="BB36" i="62"/>
  <c r="BK53" i="60"/>
  <c r="BK8" i="60"/>
  <c r="BL37" i="59"/>
  <c r="BD9" i="61"/>
  <c r="BD10" i="60" s="1"/>
  <c r="N23" i="61"/>
  <c r="BL62" i="62"/>
  <c r="N7" i="61"/>
  <c r="BK69" i="60"/>
  <c r="BK66" i="59"/>
  <c r="BK70" i="60" s="1"/>
  <c r="BL65" i="59"/>
  <c r="BE40" i="61"/>
  <c r="N40" i="61" s="1"/>
  <c r="N41" i="61" s="1"/>
  <c r="N10" i="62"/>
  <c r="N62" i="62" s="1"/>
  <c r="BD32" i="60"/>
  <c r="N17" i="59"/>
  <c r="N38" i="60" s="1"/>
  <c r="BE38" i="60"/>
  <c r="BE39" i="60" s="1"/>
  <c r="BC50" i="60"/>
  <c r="BC33" i="60"/>
  <c r="M63" i="62"/>
  <c r="M31" i="62"/>
  <c r="BD27" i="62"/>
  <c r="BD28" i="62"/>
  <c r="BD28" i="61" s="1"/>
  <c r="M50" i="60"/>
  <c r="M47" i="60"/>
  <c r="M48" i="60" s="1"/>
  <c r="M45" i="60"/>
  <c r="M16" i="62"/>
  <c r="BC16" i="62"/>
  <c r="BC10" i="60"/>
  <c r="BL63" i="62"/>
  <c r="BC27" i="61"/>
  <c r="BC29" i="61" s="1"/>
  <c r="BC30" i="62"/>
  <c r="BE32" i="60"/>
  <c r="BE26" i="60"/>
  <c r="BE27" i="60"/>
  <c r="BF25" i="61"/>
  <c r="N9" i="62"/>
  <c r="N61" i="62" s="1"/>
  <c r="BF9" i="61"/>
  <c r="BF10" i="60" s="1"/>
  <c r="BE25" i="61"/>
  <c r="O66" i="59"/>
  <c r="BJ70" i="60"/>
  <c r="BJ40" i="59"/>
  <c r="N25" i="60"/>
  <c r="N65" i="62"/>
  <c r="BE25" i="59"/>
  <c r="BE42" i="60"/>
  <c r="BE43" i="60" s="1"/>
  <c r="BE8" i="61"/>
  <c r="N8" i="61" s="1"/>
  <c r="BE11" i="59"/>
  <c r="BF28" i="62"/>
  <c r="BF27" i="62"/>
  <c r="BB31" i="62"/>
  <c r="BF50" i="60"/>
  <c r="BF33" i="60"/>
  <c r="O8" i="60"/>
  <c r="N60" i="62"/>
  <c r="N67" i="61"/>
  <c r="BD25" i="61"/>
  <c r="N25" i="61" s="1"/>
  <c r="BD26" i="61"/>
  <c r="BE24" i="61"/>
  <c r="BF24" i="61"/>
  <c r="N24" i="61" s="1"/>
  <c r="BL60" i="62"/>
  <c r="BL59" i="62"/>
  <c r="BN61" i="62"/>
  <c r="BL64" i="62"/>
  <c r="BL39" i="62"/>
  <c r="O19" i="62"/>
  <c r="BK53" i="62"/>
  <c r="BL29" i="62"/>
  <c r="BL54" i="62"/>
  <c r="BM33" i="62"/>
  <c r="BL17" i="62"/>
  <c r="BK19" i="62"/>
  <c r="BK55" i="62"/>
  <c r="O53" i="62"/>
  <c r="O55" i="62" s="1"/>
  <c r="BM68" i="61"/>
  <c r="BJ55" i="61"/>
  <c r="BL45" i="61"/>
  <c r="BK54" i="61"/>
  <c r="BM49" i="58"/>
  <c r="BI9" i="58"/>
  <c r="BI8" i="58"/>
  <c r="BI22" i="58"/>
  <c r="BH28" i="58"/>
  <c r="BH29" i="58" s="1"/>
  <c r="BH30" i="58"/>
  <c r="BL37" i="58"/>
  <c r="BL53" i="58"/>
  <c r="BK52" i="58"/>
  <c r="BE26" i="59"/>
  <c r="BE28" i="59"/>
  <c r="BM105" i="58"/>
  <c r="BG29" i="58"/>
  <c r="BC29" i="59"/>
  <c r="BC32" i="59"/>
  <c r="BM95" i="58"/>
  <c r="BM35" i="58"/>
  <c r="N23" i="59"/>
  <c r="O40" i="59"/>
  <c r="BJ84" i="58"/>
  <c r="O82" i="58"/>
  <c r="O83" i="58" s="1"/>
  <c r="O27" i="58"/>
  <c r="BG113" i="58"/>
  <c r="BG116" i="58"/>
  <c r="BJ65" i="58"/>
  <c r="M29" i="59"/>
  <c r="BL97" i="58"/>
  <c r="BE43" i="58"/>
  <c r="N42" i="58"/>
  <c r="N43" i="58" s="1"/>
  <c r="BE46" i="58"/>
  <c r="BE47" i="58" s="1"/>
  <c r="BH18" i="58"/>
  <c r="BH17" i="58"/>
  <c r="BH32" i="58"/>
  <c r="BH34" i="58"/>
  <c r="BH48" i="58"/>
  <c r="BH38" i="58"/>
  <c r="BH36" i="58"/>
  <c r="BH40" i="58"/>
  <c r="BL83" i="58"/>
  <c r="BK82" i="58"/>
  <c r="BL80" i="58"/>
  <c r="BK79" i="58"/>
  <c r="M30" i="59"/>
  <c r="N22" i="59"/>
  <c r="N9" i="59"/>
  <c r="BI12" i="58"/>
  <c r="BI11" i="58"/>
  <c r="BI16" i="58"/>
  <c r="BI19" i="58"/>
  <c r="BI24" i="58"/>
  <c r="BL61" i="58"/>
  <c r="BK60" i="58"/>
  <c r="BK15" i="58"/>
  <c r="BL64" i="58"/>
  <c r="BK63" i="58"/>
  <c r="BL41" i="58"/>
  <c r="BP23" i="58"/>
  <c r="BB42" i="59"/>
  <c r="BB43" i="59"/>
  <c r="BB33" i="59"/>
  <c r="M32" i="59"/>
  <c r="M34" i="59" s="1"/>
  <c r="BJ87" i="58"/>
  <c r="BJ88" i="58"/>
  <c r="BJ98" i="58"/>
  <c r="BC30" i="59"/>
  <c r="BM18" i="59"/>
  <c r="BJ96" i="58"/>
  <c r="BK26" i="58"/>
  <c r="BL27" i="58"/>
  <c r="BI100" i="58"/>
  <c r="BI4" i="59"/>
  <c r="BI90" i="58"/>
  <c r="BI89" i="58"/>
  <c r="BI108" i="58"/>
  <c r="BI104" i="58"/>
  <c r="BI110" i="58"/>
  <c r="BI120" i="58"/>
  <c r="BI106" i="58"/>
  <c r="BG42" i="58"/>
  <c r="BG44" i="58" s="1"/>
  <c r="BL25" i="58"/>
  <c r="N5" i="59"/>
  <c r="BO55" i="58"/>
  <c r="BP56" i="58"/>
  <c r="BL111" i="58"/>
  <c r="BL20" i="59"/>
  <c r="BL107" i="58"/>
  <c r="BF43" i="58"/>
  <c r="BF46" i="58"/>
  <c r="BF47" i="58" s="1"/>
  <c r="BM39" i="58"/>
  <c r="BG5" i="59"/>
  <c r="BG6" i="59"/>
  <c r="BG8" i="59"/>
  <c r="BG17" i="59"/>
  <c r="BG38" i="60" s="1"/>
  <c r="BG39" i="60" s="1"/>
  <c r="BG23" i="59"/>
  <c r="BG15" i="59"/>
  <c r="BG21" i="59"/>
  <c r="BG19" i="59"/>
  <c r="BJ81" i="58"/>
  <c r="BJ94" i="58"/>
  <c r="O94" i="58" s="1"/>
  <c r="BK39" i="59"/>
  <c r="BL38" i="59"/>
  <c r="BL7" i="60" s="1"/>
  <c r="BJ10" i="58"/>
  <c r="O10" i="58" s="1"/>
  <c r="BJ54" i="58"/>
  <c r="BN9" i="59"/>
  <c r="N18" i="59"/>
  <c r="BH101" i="58"/>
  <c r="BH112" i="58"/>
  <c r="BH114" i="58" s="1"/>
  <c r="BJ7" i="58"/>
  <c r="O7" i="58" s="1"/>
  <c r="O8" i="58" s="1"/>
  <c r="BJ62" i="58"/>
  <c r="O60" i="58"/>
  <c r="O61" i="58" s="1"/>
  <c r="BL16" i="59"/>
  <c r="BN57" i="58"/>
  <c r="P55" i="58"/>
  <c r="P56" i="58" s="1"/>
  <c r="BM24" i="59"/>
  <c r="BN45" i="59"/>
  <c r="O79" i="58"/>
  <c r="O80" i="58" s="1"/>
  <c r="BN33" i="58"/>
  <c r="N118" i="58"/>
  <c r="BH4" i="59"/>
  <c r="BL22" i="59"/>
  <c r="O52" i="58"/>
  <c r="O53" i="58" s="1"/>
  <c r="BM99" i="58"/>
  <c r="BD29" i="59"/>
  <c r="BD32" i="59"/>
  <c r="BD34" i="59"/>
  <c r="BM109" i="58"/>
  <c r="BM14" i="58"/>
  <c r="BL13" i="58"/>
  <c r="O96" i="58"/>
  <c r="O97" i="58" s="1"/>
  <c r="BL121" i="58"/>
  <c r="BG30" i="58"/>
  <c r="BF28" i="59"/>
  <c r="BF30" i="59"/>
  <c r="BF26" i="59"/>
  <c r="BB34" i="59"/>
  <c r="BL86" i="58"/>
  <c r="BK85" i="58"/>
  <c r="N25" i="59"/>
  <c r="N44" i="58"/>
  <c r="N41" i="58"/>
  <c r="BF44" i="58"/>
  <c r="BD50" i="60" l="1"/>
  <c r="BD33" i="60"/>
  <c r="BG23" i="61"/>
  <c r="BD45" i="60"/>
  <c r="BD47" i="60"/>
  <c r="BD48" i="60" s="1"/>
  <c r="M29" i="61"/>
  <c r="BG40" i="60"/>
  <c r="BG41" i="60" s="1"/>
  <c r="BG7" i="61"/>
  <c r="BG29" i="60"/>
  <c r="BG30" i="60" s="1"/>
  <c r="BG9" i="62"/>
  <c r="BG10" i="62"/>
  <c r="BF51" i="60"/>
  <c r="BF55" i="60"/>
  <c r="N28" i="62"/>
  <c r="N64" i="62" s="1"/>
  <c r="BF28" i="61"/>
  <c r="N28" i="61" s="1"/>
  <c r="BE27" i="62"/>
  <c r="BE28" i="62"/>
  <c r="BE28" i="61" s="1"/>
  <c r="BD16" i="62"/>
  <c r="M55" i="60"/>
  <c r="M51" i="60"/>
  <c r="BL69" i="60"/>
  <c r="BM65" i="59"/>
  <c r="BL66" i="59"/>
  <c r="BL70" i="60" s="1"/>
  <c r="BM62" i="62"/>
  <c r="BE9" i="61"/>
  <c r="BE10" i="60" s="1"/>
  <c r="N10" i="60" s="1"/>
  <c r="BG40" i="61"/>
  <c r="BG41" i="61"/>
  <c r="BE44" i="60"/>
  <c r="BE37" i="60"/>
  <c r="BD29" i="61"/>
  <c r="BG36" i="60"/>
  <c r="BG19" i="61"/>
  <c r="BI25" i="60"/>
  <c r="BI34" i="61"/>
  <c r="BI40" i="61" s="1"/>
  <c r="BI41" i="61" s="1"/>
  <c r="BI8" i="62"/>
  <c r="BI7" i="62"/>
  <c r="BE12" i="59"/>
  <c r="N11" i="59"/>
  <c r="N12" i="59" s="1"/>
  <c r="O67" i="59"/>
  <c r="O70" i="60"/>
  <c r="BE33" i="60"/>
  <c r="BM63" i="62"/>
  <c r="BM37" i="59"/>
  <c r="BL53" i="60"/>
  <c r="BL8" i="60"/>
  <c r="N41" i="60"/>
  <c r="BG26" i="60"/>
  <c r="BG27" i="60"/>
  <c r="BG32" i="60"/>
  <c r="N24" i="59"/>
  <c r="N42" i="60"/>
  <c r="N43" i="60" s="1"/>
  <c r="N27" i="62"/>
  <c r="BF27" i="61"/>
  <c r="BF30" i="62"/>
  <c r="BF31" i="62"/>
  <c r="BH25" i="60"/>
  <c r="BH34" i="61"/>
  <c r="BH8" i="62"/>
  <c r="BI24" i="61" s="1"/>
  <c r="BH7" i="62"/>
  <c r="BG8" i="61"/>
  <c r="BG42" i="60"/>
  <c r="BG43" i="60" s="1"/>
  <c r="BE26" i="61"/>
  <c r="N32" i="60"/>
  <c r="N26" i="60"/>
  <c r="BC31" i="62"/>
  <c r="BC35" i="62"/>
  <c r="BC36" i="62" s="1"/>
  <c r="BD27" i="61"/>
  <c r="BD30" i="62"/>
  <c r="BC55" i="60"/>
  <c r="BC51" i="60"/>
  <c r="N39" i="60"/>
  <c r="BE41" i="61"/>
  <c r="M36" i="62"/>
  <c r="N30" i="60"/>
  <c r="BG24" i="61"/>
  <c r="BF47" i="60"/>
  <c r="BF48" i="60" s="1"/>
  <c r="BF45" i="60"/>
  <c r="N16" i="59"/>
  <c r="N36" i="60"/>
  <c r="BM59" i="62"/>
  <c r="BM60" i="62"/>
  <c r="BM64" i="62"/>
  <c r="BO61" i="62"/>
  <c r="BL19" i="62"/>
  <c r="BM17" i="62"/>
  <c r="BL55" i="62"/>
  <c r="BM54" i="62"/>
  <c r="BN33" i="62"/>
  <c r="BL53" i="62"/>
  <c r="BM29" i="62"/>
  <c r="BM39" i="62"/>
  <c r="BL54" i="61"/>
  <c r="BL55" i="61" s="1"/>
  <c r="BM45" i="61"/>
  <c r="BN68" i="61"/>
  <c r="BK55" i="61"/>
  <c r="O11" i="58"/>
  <c r="BM107" i="58"/>
  <c r="BO57" i="58"/>
  <c r="BJ90" i="58"/>
  <c r="BJ89" i="58"/>
  <c r="BJ104" i="58"/>
  <c r="O104" i="58" s="1"/>
  <c r="O105" i="58" s="1"/>
  <c r="BJ108" i="58"/>
  <c r="BJ110" i="58"/>
  <c r="O110" i="58" s="1"/>
  <c r="BJ120" i="58"/>
  <c r="O120" i="58" s="1"/>
  <c r="O121" i="58" s="1"/>
  <c r="BJ106" i="58"/>
  <c r="BK81" i="58"/>
  <c r="BK94" i="58"/>
  <c r="BM83" i="58"/>
  <c r="BL82" i="58"/>
  <c r="BK10" i="58"/>
  <c r="BK54" i="58"/>
  <c r="BO33" i="58"/>
  <c r="BI6" i="59"/>
  <c r="BI5" i="59"/>
  <c r="BI8" i="59"/>
  <c r="BI17" i="59"/>
  <c r="BI38" i="60" s="1"/>
  <c r="BI23" i="59"/>
  <c r="BI15" i="59"/>
  <c r="BI21" i="59"/>
  <c r="BI19" i="59"/>
  <c r="BM41" i="58"/>
  <c r="BM86" i="58"/>
  <c r="BL85" i="58"/>
  <c r="BF29" i="59"/>
  <c r="BF32" i="59"/>
  <c r="BN14" i="58"/>
  <c r="BM13" i="58"/>
  <c r="BD33" i="59"/>
  <c r="BD42" i="59"/>
  <c r="BH11" i="59"/>
  <c r="BH12" i="59" s="1"/>
  <c r="BH5" i="59"/>
  <c r="BH6" i="59"/>
  <c r="BH8" i="59"/>
  <c r="BH23" i="59"/>
  <c r="BH17" i="59"/>
  <c r="BH38" i="60" s="1"/>
  <c r="BH39" i="60" s="1"/>
  <c r="BH19" i="59"/>
  <c r="BH21" i="59"/>
  <c r="BH15" i="59"/>
  <c r="BO9" i="59"/>
  <c r="O95" i="58"/>
  <c r="BI112" i="58"/>
  <c r="BI101" i="58"/>
  <c r="BJ100" i="58"/>
  <c r="BJ102" i="58"/>
  <c r="O98" i="58"/>
  <c r="BB44" i="59"/>
  <c r="M42" i="59"/>
  <c r="BK7" i="58"/>
  <c r="BK62" i="58"/>
  <c r="BI18" i="58"/>
  <c r="BI17" i="58"/>
  <c r="BI32" i="58"/>
  <c r="BI48" i="58"/>
  <c r="BI38" i="58"/>
  <c r="BI34" i="58"/>
  <c r="BI40" i="58"/>
  <c r="BI36" i="58"/>
  <c r="BM80" i="58"/>
  <c r="BL79" i="58"/>
  <c r="BH42" i="58"/>
  <c r="BG117" i="58"/>
  <c r="BC33" i="59"/>
  <c r="BC42" i="59"/>
  <c r="BE29" i="59"/>
  <c r="BE32" i="59"/>
  <c r="BE34" i="59" s="1"/>
  <c r="BM53" i="58"/>
  <c r="BL52" i="58"/>
  <c r="BK87" i="58"/>
  <c r="BK88" i="58"/>
  <c r="BK98" i="58"/>
  <c r="BL15" i="58"/>
  <c r="BM22" i="59"/>
  <c r="BH113" i="58"/>
  <c r="BH116" i="58"/>
  <c r="BH117" i="58" s="1"/>
  <c r="BN39" i="58"/>
  <c r="BG43" i="58"/>
  <c r="BG46" i="58"/>
  <c r="BM121" i="58"/>
  <c r="BN24" i="59"/>
  <c r="BL40" i="59"/>
  <c r="BM38" i="59"/>
  <c r="BM7" i="60" s="1"/>
  <c r="BL39" i="59"/>
  <c r="BG11" i="59"/>
  <c r="BM111" i="58"/>
  <c r="O88" i="58"/>
  <c r="BI102" i="58"/>
  <c r="M43" i="59"/>
  <c r="M33" i="59"/>
  <c r="BQ23" i="58"/>
  <c r="BK65" i="58"/>
  <c r="BM61" i="58"/>
  <c r="BL60" i="58"/>
  <c r="N46" i="58"/>
  <c r="N47" i="58" s="1"/>
  <c r="BM97" i="58"/>
  <c r="BL96" i="58"/>
  <c r="BG118" i="58"/>
  <c r="BN35" i="58"/>
  <c r="BC34" i="59"/>
  <c r="N26" i="59"/>
  <c r="BN109" i="58"/>
  <c r="BN99" i="58"/>
  <c r="BO45" i="59"/>
  <c r="BM16" i="59"/>
  <c r="BJ9" i="58"/>
  <c r="BJ8" i="58"/>
  <c r="BJ22" i="58"/>
  <c r="O22" i="58" s="1"/>
  <c r="O23" i="58" s="1"/>
  <c r="BJ12" i="58"/>
  <c r="BJ11" i="58"/>
  <c r="BJ24" i="58"/>
  <c r="BJ19" i="58"/>
  <c r="BJ16" i="58"/>
  <c r="BK40" i="59"/>
  <c r="BG25" i="59"/>
  <c r="BM20" i="59"/>
  <c r="BQ56" i="58"/>
  <c r="BP55" i="58"/>
  <c r="BP57" i="58" s="1"/>
  <c r="BM25" i="58"/>
  <c r="O106" i="58"/>
  <c r="O107" i="58" s="1"/>
  <c r="O108" i="58"/>
  <c r="O109" i="58" s="1"/>
  <c r="BM27" i="58"/>
  <c r="BL26" i="58"/>
  <c r="BN18" i="59"/>
  <c r="BJ91" i="58"/>
  <c r="BM64" i="58"/>
  <c r="BL63" i="58"/>
  <c r="BI28" i="58"/>
  <c r="BI29" i="58" s="1"/>
  <c r="BK84" i="58"/>
  <c r="BK96" i="58"/>
  <c r="BN95" i="58"/>
  <c r="N28" i="59"/>
  <c r="N30" i="59" s="1"/>
  <c r="BN105" i="58"/>
  <c r="BE30" i="59"/>
  <c r="BM37" i="58"/>
  <c r="BN49" i="58"/>
  <c r="BH42" i="60" l="1"/>
  <c r="BH43" i="60" s="1"/>
  <c r="BH8" i="61"/>
  <c r="BI26" i="60"/>
  <c r="BI27" i="60"/>
  <c r="BE45" i="60"/>
  <c r="BE47" i="60"/>
  <c r="BE48" i="60" s="1"/>
  <c r="BH26" i="61"/>
  <c r="BG26" i="61"/>
  <c r="BH40" i="60"/>
  <c r="BH41" i="60" s="1"/>
  <c r="BH7" i="61"/>
  <c r="BH9" i="61" s="1"/>
  <c r="BH10" i="60" s="1"/>
  <c r="BH29" i="60"/>
  <c r="BH30" i="60" s="1"/>
  <c r="BH9" i="62"/>
  <c r="BH10" i="62"/>
  <c r="BI25" i="59"/>
  <c r="BI42" i="60"/>
  <c r="BI43" i="60" s="1"/>
  <c r="BI8" i="61"/>
  <c r="BH40" i="61"/>
  <c r="BH41" i="61" s="1"/>
  <c r="BF35" i="62"/>
  <c r="N35" i="62" s="1"/>
  <c r="N30" i="62"/>
  <c r="BM69" i="60"/>
  <c r="BM66" i="59"/>
  <c r="BM70" i="60" s="1"/>
  <c r="BN65" i="59"/>
  <c r="BE16" i="62"/>
  <c r="BF16" i="62" s="1"/>
  <c r="BH25" i="61"/>
  <c r="BG25" i="61"/>
  <c r="BD55" i="60"/>
  <c r="BD51" i="60"/>
  <c r="BN37" i="59"/>
  <c r="BM53" i="60"/>
  <c r="BM8" i="60"/>
  <c r="P37" i="59"/>
  <c r="P53" i="60" s="1"/>
  <c r="BI39" i="60"/>
  <c r="N44" i="60"/>
  <c r="N37" i="60"/>
  <c r="N9" i="61"/>
  <c r="BH27" i="60"/>
  <c r="BH32" i="60"/>
  <c r="BH26" i="60"/>
  <c r="BG33" i="60"/>
  <c r="BN63" i="62"/>
  <c r="BG44" i="60"/>
  <c r="BG50" i="60" s="1"/>
  <c r="BG37" i="60"/>
  <c r="BF29" i="61"/>
  <c r="BN62" i="62"/>
  <c r="M44" i="59"/>
  <c r="BB6" i="60"/>
  <c r="BB56" i="60"/>
  <c r="BH36" i="60"/>
  <c r="BH19" i="61"/>
  <c r="BI36" i="60"/>
  <c r="BI19" i="61"/>
  <c r="BD31" i="62"/>
  <c r="BD35" i="62"/>
  <c r="BD36" i="62" s="1"/>
  <c r="BG28" i="62"/>
  <c r="BG28" i="61" s="1"/>
  <c r="BG27" i="62"/>
  <c r="BI40" i="60"/>
  <c r="BI41" i="60" s="1"/>
  <c r="BI7" i="61"/>
  <c r="BI9" i="61" s="1"/>
  <c r="BI10" i="60" s="1"/>
  <c r="BI11" i="59"/>
  <c r="BI12" i="59" s="1"/>
  <c r="BI29" i="60"/>
  <c r="BI30" i="60" s="1"/>
  <c r="BI9" i="62"/>
  <c r="BI10" i="62"/>
  <c r="BH24" i="61"/>
  <c r="N33" i="60"/>
  <c r="N50" i="60"/>
  <c r="BI23" i="61"/>
  <c r="N26" i="61"/>
  <c r="N63" i="62"/>
  <c r="N31" i="62"/>
  <c r="BE50" i="60"/>
  <c r="BE27" i="61"/>
  <c r="BE29" i="61" s="1"/>
  <c r="BE30" i="62"/>
  <c r="BG9" i="61"/>
  <c r="BH23" i="61"/>
  <c r="BP61" i="62"/>
  <c r="BN64" i="62"/>
  <c r="BN60" i="62"/>
  <c r="BN59" i="62"/>
  <c r="BN39" i="62"/>
  <c r="BM53" i="62"/>
  <c r="BM55" i="62" s="1"/>
  <c r="BN29" i="62"/>
  <c r="P33" i="62"/>
  <c r="P54" i="62" s="1"/>
  <c r="BN54" i="62"/>
  <c r="BO33" i="62"/>
  <c r="BM19" i="62"/>
  <c r="BN17" i="62"/>
  <c r="BM54" i="61"/>
  <c r="BM55" i="61"/>
  <c r="BN45" i="61"/>
  <c r="P45" i="61" s="1"/>
  <c r="BO68" i="61"/>
  <c r="O48" i="58"/>
  <c r="O49" i="58" s="1"/>
  <c r="BN64" i="58"/>
  <c r="BM63" i="58"/>
  <c r="BP45" i="59"/>
  <c r="BO35" i="58"/>
  <c r="BM96" i="58"/>
  <c r="BN97" i="58"/>
  <c r="BR23" i="58"/>
  <c r="BG12" i="59"/>
  <c r="BM39" i="59"/>
  <c r="BN38" i="59"/>
  <c r="BN7" i="60" s="1"/>
  <c r="BN22" i="59"/>
  <c r="BK89" i="58"/>
  <c r="BK90" i="58"/>
  <c r="BK108" i="58"/>
  <c r="BK104" i="58"/>
  <c r="BK110" i="58"/>
  <c r="BK106" i="58"/>
  <c r="BK120" i="58"/>
  <c r="BN53" i="58"/>
  <c r="BM52" i="58"/>
  <c r="BC44" i="59"/>
  <c r="BL81" i="58"/>
  <c r="BL94" i="58"/>
  <c r="O34" i="58"/>
  <c r="O35" i="58" s="1"/>
  <c r="BI113" i="58"/>
  <c r="BI116" i="58"/>
  <c r="BI117" i="58" s="1"/>
  <c r="BM15" i="58"/>
  <c r="BN41" i="58"/>
  <c r="BI28" i="59"/>
  <c r="BI30" i="59" s="1"/>
  <c r="BI26" i="59"/>
  <c r="BL84" i="58"/>
  <c r="O111" i="58"/>
  <c r="BN37" i="58"/>
  <c r="BO105" i="58"/>
  <c r="BI30" i="58"/>
  <c r="BN27" i="58"/>
  <c r="BM26" i="58"/>
  <c r="BN25" i="58"/>
  <c r="BN20" i="59"/>
  <c r="BJ17" i="58"/>
  <c r="BJ18" i="58"/>
  <c r="BJ32" i="58"/>
  <c r="BJ38" i="58"/>
  <c r="O38" i="58" s="1"/>
  <c r="O39" i="58" s="1"/>
  <c r="BJ34" i="58"/>
  <c r="BJ48" i="58"/>
  <c r="BJ40" i="58"/>
  <c r="BJ36" i="58"/>
  <c r="O16" i="58"/>
  <c r="BN16" i="59"/>
  <c r="BO99" i="58"/>
  <c r="O89" i="58"/>
  <c r="BN121" i="58"/>
  <c r="BH118" i="58"/>
  <c r="BK100" i="58"/>
  <c r="BE42" i="59"/>
  <c r="BE33" i="59"/>
  <c r="N32" i="59"/>
  <c r="BN80" i="58"/>
  <c r="BM79" i="58"/>
  <c r="BJ112" i="58"/>
  <c r="BJ101" i="58"/>
  <c r="O100" i="58"/>
  <c r="BP9" i="59"/>
  <c r="BD44" i="59"/>
  <c r="BO14" i="58"/>
  <c r="BN13" i="58"/>
  <c r="BL87" i="58"/>
  <c r="BL88" i="58"/>
  <c r="BL98" i="58"/>
  <c r="BP33" i="58"/>
  <c r="BN83" i="58"/>
  <c r="BM82" i="58"/>
  <c r="N29" i="59"/>
  <c r="N34" i="59"/>
  <c r="BL7" i="58"/>
  <c r="BL62" i="58"/>
  <c r="BN111" i="58"/>
  <c r="BG47" i="58"/>
  <c r="BO39" i="58"/>
  <c r="BH43" i="58"/>
  <c r="BH46" i="58"/>
  <c r="BH47" i="58" s="1"/>
  <c r="O36" i="58"/>
  <c r="O37" i="58" s="1"/>
  <c r="BK9" i="58"/>
  <c r="BK8" i="58"/>
  <c r="BK22" i="58"/>
  <c r="BH25" i="59"/>
  <c r="BF42" i="59"/>
  <c r="BF33" i="59"/>
  <c r="BN86" i="58"/>
  <c r="BM85" i="58"/>
  <c r="BK12" i="58"/>
  <c r="BK11" i="58"/>
  <c r="BK16" i="58"/>
  <c r="BK24" i="58"/>
  <c r="BO49" i="58"/>
  <c r="BO95" i="58"/>
  <c r="BL65" i="58"/>
  <c r="BO18" i="59"/>
  <c r="BR56" i="58"/>
  <c r="BR55" i="58" s="1"/>
  <c r="BR57" i="58" s="1"/>
  <c r="BQ55" i="58"/>
  <c r="BQ57" i="58" s="1"/>
  <c r="BG26" i="59"/>
  <c r="BG28" i="59"/>
  <c r="BJ28" i="58"/>
  <c r="BJ29" i="58" s="1"/>
  <c r="BO109" i="58"/>
  <c r="BN61" i="58"/>
  <c r="BM60" i="58"/>
  <c r="BO24" i="59"/>
  <c r="BK91" i="58"/>
  <c r="BL10" i="58"/>
  <c r="BL54" i="58"/>
  <c r="BC43" i="59"/>
  <c r="BH44" i="58"/>
  <c r="BI42" i="58"/>
  <c r="BI44" i="58"/>
  <c r="O40" i="58"/>
  <c r="O32" i="58"/>
  <c r="O33" i="58" s="1"/>
  <c r="BB47" i="59"/>
  <c r="BB5" i="60" s="1"/>
  <c r="M5" i="60" s="1"/>
  <c r="O99" i="58"/>
  <c r="O102" i="58"/>
  <c r="BI114" i="58"/>
  <c r="BD43" i="59"/>
  <c r="BF34" i="59"/>
  <c r="BJ4" i="59"/>
  <c r="BN107" i="58"/>
  <c r="O24" i="58"/>
  <c r="N29" i="61" l="1"/>
  <c r="BG55" i="60"/>
  <c r="BG51" i="60"/>
  <c r="BH28" i="62"/>
  <c r="BH28" i="61" s="1"/>
  <c r="BH27" i="62"/>
  <c r="BJ25" i="60"/>
  <c r="BJ34" i="61"/>
  <c r="BJ7" i="62"/>
  <c r="BJ8" i="62"/>
  <c r="M45" i="59"/>
  <c r="M56" i="60" s="1"/>
  <c r="BE31" i="62"/>
  <c r="BE35" i="62"/>
  <c r="BE36" i="62"/>
  <c r="N55" i="60"/>
  <c r="N51" i="60"/>
  <c r="BH44" i="60"/>
  <c r="BH37" i="60"/>
  <c r="N45" i="60"/>
  <c r="N47" i="60"/>
  <c r="N48" i="60" s="1"/>
  <c r="BI27" i="62"/>
  <c r="BI28" i="62"/>
  <c r="BE55" i="60"/>
  <c r="BE51" i="60"/>
  <c r="BO62" i="62"/>
  <c r="BI25" i="61"/>
  <c r="BB57" i="60"/>
  <c r="BB59" i="60"/>
  <c r="BO63" i="62"/>
  <c r="N27" i="61"/>
  <c r="BO37" i="59"/>
  <c r="BN53" i="60"/>
  <c r="BN8" i="60"/>
  <c r="BF36" i="62"/>
  <c r="BI26" i="61"/>
  <c r="BI32" i="60"/>
  <c r="BH33" i="60"/>
  <c r="P65" i="59"/>
  <c r="P69" i="60" s="1"/>
  <c r="BN69" i="60"/>
  <c r="BN66" i="59"/>
  <c r="BO65" i="59"/>
  <c r="BD47" i="59"/>
  <c r="BD5" i="60" s="1"/>
  <c r="BD6" i="60"/>
  <c r="BD56" i="60"/>
  <c r="BD57" i="60" s="1"/>
  <c r="BC47" i="59"/>
  <c r="BC5" i="60" s="1"/>
  <c r="BC6" i="60"/>
  <c r="BC56" i="60"/>
  <c r="BG10" i="60"/>
  <c r="BG27" i="61"/>
  <c r="BG29" i="61" s="1"/>
  <c r="BG30" i="62"/>
  <c r="BI44" i="60"/>
  <c r="BI37" i="60"/>
  <c r="M6" i="60"/>
  <c r="BB9" i="60"/>
  <c r="BG45" i="60"/>
  <c r="BG47" i="60"/>
  <c r="BG48" i="60" s="1"/>
  <c r="BG16" i="62"/>
  <c r="BH16" i="62" s="1"/>
  <c r="BI16" i="62" s="1"/>
  <c r="N16" i="62"/>
  <c r="N36" i="62"/>
  <c r="P7" i="60"/>
  <c r="BO64" i="62"/>
  <c r="BQ61" i="62"/>
  <c r="BO59" i="62"/>
  <c r="BO60" i="62"/>
  <c r="BN53" i="62"/>
  <c r="BN55" i="62" s="1"/>
  <c r="P29" i="62"/>
  <c r="BO29" i="62"/>
  <c r="BN19" i="62"/>
  <c r="BO17" i="62"/>
  <c r="P17" i="62"/>
  <c r="BO54" i="62"/>
  <c r="BP33" i="62"/>
  <c r="BO39" i="62"/>
  <c r="P39" i="62"/>
  <c r="BP68" i="61"/>
  <c r="BN54" i="61"/>
  <c r="P54" i="61" s="1"/>
  <c r="P55" i="61" s="1"/>
  <c r="BO45" i="61"/>
  <c r="BC54" i="59"/>
  <c r="BC5" i="61" s="1"/>
  <c r="BC48" i="59"/>
  <c r="BD54" i="59"/>
  <c r="BO61" i="58"/>
  <c r="BN60" i="58"/>
  <c r="BG29" i="59"/>
  <c r="BG32" i="59"/>
  <c r="BK17" i="58"/>
  <c r="BK18" i="58"/>
  <c r="BK32" i="58"/>
  <c r="BK34" i="58"/>
  <c r="BK48" i="58"/>
  <c r="BK38" i="58"/>
  <c r="BK36" i="58"/>
  <c r="BK40" i="58"/>
  <c r="BO16" i="59"/>
  <c r="BN26" i="58"/>
  <c r="BO27" i="58"/>
  <c r="BK4" i="59"/>
  <c r="BN39" i="59"/>
  <c r="P39" i="59" s="1"/>
  <c r="BO38" i="59"/>
  <c r="BO7" i="60" s="1"/>
  <c r="BQ45" i="59"/>
  <c r="BO107" i="58"/>
  <c r="BB54" i="59"/>
  <c r="BB5" i="61" s="1"/>
  <c r="BB48" i="59"/>
  <c r="M47" i="59"/>
  <c r="BI43" i="58"/>
  <c r="BI46" i="58"/>
  <c r="BI47" i="58" s="1"/>
  <c r="BO86" i="58"/>
  <c r="BN85" i="58"/>
  <c r="BH30" i="59"/>
  <c r="BH26" i="59"/>
  <c r="BH28" i="59"/>
  <c r="BM84" i="58"/>
  <c r="BL100" i="58"/>
  <c r="O101" i="58"/>
  <c r="BB49" i="59"/>
  <c r="N43" i="59"/>
  <c r="N33" i="59"/>
  <c r="BK101" i="58"/>
  <c r="BK112" i="58"/>
  <c r="BO121" i="58"/>
  <c r="O17" i="58"/>
  <c r="O19" i="58"/>
  <c r="BO25" i="58"/>
  <c r="BO37" i="58"/>
  <c r="BI29" i="59"/>
  <c r="BI32" i="59"/>
  <c r="BI34" i="59" s="1"/>
  <c r="BI118" i="58"/>
  <c r="BO53" i="58"/>
  <c r="BN52" i="58"/>
  <c r="BP35" i="58"/>
  <c r="BM88" i="58"/>
  <c r="BM87" i="58"/>
  <c r="P85" i="58"/>
  <c r="P86" i="58" s="1"/>
  <c r="BM98" i="58"/>
  <c r="BJ113" i="58"/>
  <c r="BJ116" i="58"/>
  <c r="BE44" i="59"/>
  <c r="BP105" i="58"/>
  <c r="BM10" i="58"/>
  <c r="BM54" i="58"/>
  <c r="BO64" i="58"/>
  <c r="BN63" i="58"/>
  <c r="BJ5" i="59"/>
  <c r="BJ6" i="59"/>
  <c r="BJ8" i="59"/>
  <c r="BJ17" i="59"/>
  <c r="BJ23" i="59"/>
  <c r="BJ19" i="59"/>
  <c r="O19" i="59" s="1"/>
  <c r="O20" i="59" s="1"/>
  <c r="BJ21" i="59"/>
  <c r="BJ15" i="59"/>
  <c r="O4" i="59"/>
  <c r="BL11" i="58"/>
  <c r="BL12" i="58"/>
  <c r="BL16" i="58"/>
  <c r="BL19" i="58"/>
  <c r="BL24" i="58"/>
  <c r="BP24" i="59"/>
  <c r="BJ30" i="58"/>
  <c r="BP18" i="59"/>
  <c r="BP95" i="58"/>
  <c r="BK19" i="58"/>
  <c r="BO111" i="58"/>
  <c r="BL8" i="58"/>
  <c r="BL9" i="58"/>
  <c r="BL22" i="58"/>
  <c r="BO83" i="58"/>
  <c r="BN82" i="58"/>
  <c r="BL4" i="59"/>
  <c r="BL90" i="58"/>
  <c r="BL89" i="58"/>
  <c r="BL108" i="58"/>
  <c r="BL104" i="58"/>
  <c r="BL110" i="58"/>
  <c r="BL106" i="58"/>
  <c r="BL120" i="58"/>
  <c r="BN15" i="58"/>
  <c r="P13" i="58"/>
  <c r="BM81" i="58"/>
  <c r="BM94" i="58"/>
  <c r="BP99" i="58"/>
  <c r="N42" i="59"/>
  <c r="BO22" i="59"/>
  <c r="BM40" i="59"/>
  <c r="P52" i="58"/>
  <c r="P53" i="58" s="1"/>
  <c r="BF44" i="59"/>
  <c r="BQ9" i="59"/>
  <c r="O25" i="58"/>
  <c r="O112" i="58"/>
  <c r="O41" i="58"/>
  <c r="BM7" i="58"/>
  <c r="BM62" i="58"/>
  <c r="BP109" i="58"/>
  <c r="BG30" i="59"/>
  <c r="BP49" i="58"/>
  <c r="BK28" i="58"/>
  <c r="BK30" i="58"/>
  <c r="BF43" i="59"/>
  <c r="BP39" i="58"/>
  <c r="O28" i="58"/>
  <c r="O29" i="58" s="1"/>
  <c r="Q55" i="58"/>
  <c r="Q56" i="58" s="1"/>
  <c r="BQ33" i="58"/>
  <c r="BL91" i="58"/>
  <c r="BP14" i="58"/>
  <c r="BO13" i="58"/>
  <c r="BJ114" i="58"/>
  <c r="BO80" i="58"/>
  <c r="BN79" i="58"/>
  <c r="BE43" i="59"/>
  <c r="BK102" i="58"/>
  <c r="BJ42" i="58"/>
  <c r="BJ44" i="58"/>
  <c r="BO20" i="59"/>
  <c r="BO41" i="58"/>
  <c r="BC49" i="59"/>
  <c r="P38" i="59"/>
  <c r="BN96" i="58"/>
  <c r="P96" i="58" s="1"/>
  <c r="BO97" i="58"/>
  <c r="BM65" i="58"/>
  <c r="P60" i="58"/>
  <c r="P61" i="58" s="1"/>
  <c r="M57" i="60" l="1"/>
  <c r="M59" i="60"/>
  <c r="BL25" i="60"/>
  <c r="BL34" i="61"/>
  <c r="BL8" i="62"/>
  <c r="BL7" i="62"/>
  <c r="BC9" i="60"/>
  <c r="BP62" i="62"/>
  <c r="BJ40" i="61"/>
  <c r="O40" i="61" s="1"/>
  <c r="BJ41" i="61"/>
  <c r="O34" i="61"/>
  <c r="O25" i="60"/>
  <c r="O65" i="62"/>
  <c r="BJ42" i="60"/>
  <c r="BJ43" i="60" s="1"/>
  <c r="BJ8" i="61"/>
  <c r="O8" i="61" s="1"/>
  <c r="BO69" i="60"/>
  <c r="BO66" i="59"/>
  <c r="BO70" i="60" s="1"/>
  <c r="BP65" i="59"/>
  <c r="BD59" i="60"/>
  <c r="BI33" i="60"/>
  <c r="BI50" i="60"/>
  <c r="P8" i="60"/>
  <c r="BJ27" i="60"/>
  <c r="BJ26" i="60"/>
  <c r="BD56" i="59"/>
  <c r="BD5" i="61"/>
  <c r="N5" i="61" s="1"/>
  <c r="BI27" i="61"/>
  <c r="BI30" i="62"/>
  <c r="BI31" i="62"/>
  <c r="O15" i="59"/>
  <c r="O36" i="60" s="1"/>
  <c r="BJ36" i="60"/>
  <c r="BJ19" i="61"/>
  <c r="O19" i="61" s="1"/>
  <c r="BC30" i="61"/>
  <c r="BI47" i="60"/>
  <c r="BI48" i="60" s="1"/>
  <c r="BI45" i="60"/>
  <c r="P66" i="59"/>
  <c r="BN70" i="60"/>
  <c r="BO8" i="60"/>
  <c r="BO53" i="60"/>
  <c r="BP37" i="59"/>
  <c r="BB63" i="60"/>
  <c r="BB64" i="60"/>
  <c r="BB66" i="60" s="1"/>
  <c r="BB60" i="60"/>
  <c r="BH47" i="60"/>
  <c r="BH48" i="60" s="1"/>
  <c r="BH45" i="60"/>
  <c r="BK24" i="61"/>
  <c r="O8" i="62"/>
  <c r="BJ24" i="61"/>
  <c r="O24" i="61" s="1"/>
  <c r="BP63" i="62"/>
  <c r="O17" i="59"/>
  <c r="O38" i="60" s="1"/>
  <c r="O39" i="60" s="1"/>
  <c r="BJ38" i="60"/>
  <c r="BJ39" i="60" s="1"/>
  <c r="M5" i="61"/>
  <c r="BB41" i="62"/>
  <c r="BB30" i="61"/>
  <c r="BB31" i="61" s="1"/>
  <c r="BF47" i="59"/>
  <c r="BF5" i="60" s="1"/>
  <c r="BF6" i="60"/>
  <c r="BF9" i="60" s="1"/>
  <c r="BF11" i="60" s="1"/>
  <c r="BF23" i="60" s="1"/>
  <c r="BF24" i="60" s="1"/>
  <c r="BF56" i="60"/>
  <c r="O21" i="59"/>
  <c r="O40" i="60" s="1"/>
  <c r="O41" i="60" s="1"/>
  <c r="BJ7" i="61"/>
  <c r="BJ40" i="60"/>
  <c r="BJ41" i="60" s="1"/>
  <c r="O8" i="59"/>
  <c r="O29" i="60" s="1"/>
  <c r="O30" i="60" s="1"/>
  <c r="BJ29" i="60"/>
  <c r="BJ30" i="60" s="1"/>
  <c r="BJ9" i="62"/>
  <c r="BJ10" i="62"/>
  <c r="BE47" i="59"/>
  <c r="BE5" i="60" s="1"/>
  <c r="N5" i="60" s="1"/>
  <c r="BE6" i="60"/>
  <c r="BE9" i="60" s="1"/>
  <c r="BE11" i="60" s="1"/>
  <c r="BE23" i="60" s="1"/>
  <c r="BE24" i="60" s="1"/>
  <c r="BE56" i="60"/>
  <c r="BE57" i="60" s="1"/>
  <c r="BD49" i="59"/>
  <c r="BK25" i="60"/>
  <c r="BK34" i="61"/>
  <c r="BK8" i="62"/>
  <c r="BK7" i="62"/>
  <c r="BL23" i="61" s="1"/>
  <c r="BD48" i="59"/>
  <c r="BB11" i="60"/>
  <c r="M9" i="60"/>
  <c r="BG31" i="62"/>
  <c r="BG35" i="62"/>
  <c r="BG36" i="62"/>
  <c r="BC57" i="60"/>
  <c r="BC59" i="60"/>
  <c r="BD9" i="60"/>
  <c r="BD11" i="60" s="1"/>
  <c r="BH50" i="60"/>
  <c r="BI28" i="61"/>
  <c r="O7" i="62"/>
  <c r="O59" i="62" s="1"/>
  <c r="BK23" i="61"/>
  <c r="BJ23" i="61"/>
  <c r="BH27" i="61"/>
  <c r="BH29" i="61" s="1"/>
  <c r="BH30" i="62"/>
  <c r="BP59" i="62"/>
  <c r="BP64" i="62"/>
  <c r="BP60" i="62"/>
  <c r="BR61" i="62"/>
  <c r="BO19" i="62"/>
  <c r="BP17" i="62"/>
  <c r="BO53" i="62"/>
  <c r="BP29" i="62"/>
  <c r="BP39" i="62"/>
  <c r="BP54" i="62"/>
  <c r="BQ33" i="62"/>
  <c r="P19" i="62"/>
  <c r="P53" i="62"/>
  <c r="P55" i="62" s="1"/>
  <c r="BO55" i="62"/>
  <c r="BN55" i="61"/>
  <c r="BO54" i="61"/>
  <c r="BP45" i="61"/>
  <c r="BQ68" i="61"/>
  <c r="BF48" i="59"/>
  <c r="BF54" i="59"/>
  <c r="BF5" i="61" s="1"/>
  <c r="BF49" i="59"/>
  <c r="BE54" i="59"/>
  <c r="BE5" i="61" s="1"/>
  <c r="BE48" i="59"/>
  <c r="N47" i="59"/>
  <c r="BQ99" i="58"/>
  <c r="BJ117" i="58"/>
  <c r="O116" i="58"/>
  <c r="O117" i="58" s="1"/>
  <c r="P26" i="58"/>
  <c r="BN81" i="58"/>
  <c r="P79" i="58"/>
  <c r="P80" i="58" s="1"/>
  <c r="BN94" i="58"/>
  <c r="BQ14" i="58"/>
  <c r="BP13" i="58"/>
  <c r="BK29" i="58"/>
  <c r="O113" i="58"/>
  <c r="BR9" i="59"/>
  <c r="BN84" i="58"/>
  <c r="BQ95" i="58"/>
  <c r="O5" i="59"/>
  <c r="BJ25" i="59"/>
  <c r="O23" i="59"/>
  <c r="BN65" i="58"/>
  <c r="P63" i="58"/>
  <c r="P64" i="58" s="1"/>
  <c r="BM12" i="58"/>
  <c r="BM11" i="58"/>
  <c r="BM24" i="58"/>
  <c r="BM16" i="58"/>
  <c r="BJ118" i="58"/>
  <c r="BN10" i="58"/>
  <c r="BN54" i="58"/>
  <c r="BP25" i="58"/>
  <c r="BP121" i="58"/>
  <c r="BL101" i="58"/>
  <c r="BL112" i="58"/>
  <c r="BB59" i="59"/>
  <c r="M59" i="59" s="1"/>
  <c r="BB55" i="59"/>
  <c r="BB60" i="59"/>
  <c r="M54" i="59"/>
  <c r="M55" i="59" s="1"/>
  <c r="BR45" i="59"/>
  <c r="BK5" i="59"/>
  <c r="BK6" i="59"/>
  <c r="BK8" i="59"/>
  <c r="BK17" i="59"/>
  <c r="BK38" i="60" s="1"/>
  <c r="BK39" i="60" s="1"/>
  <c r="BK23" i="59"/>
  <c r="BK21" i="59"/>
  <c r="BK19" i="59"/>
  <c r="BK15" i="59"/>
  <c r="BG33" i="59"/>
  <c r="BG42" i="59"/>
  <c r="BN7" i="58"/>
  <c r="BN62" i="58"/>
  <c r="BP20" i="59"/>
  <c r="BO15" i="58"/>
  <c r="BR33" i="58"/>
  <c r="BP22" i="59"/>
  <c r="BL5" i="59"/>
  <c r="BL6" i="59"/>
  <c r="BL8" i="59"/>
  <c r="BL17" i="59"/>
  <c r="BL38" i="60" s="1"/>
  <c r="BL39" i="60" s="1"/>
  <c r="BL23" i="59"/>
  <c r="BL21" i="59"/>
  <c r="BL15" i="59"/>
  <c r="BL19" i="59"/>
  <c r="BQ18" i="59"/>
  <c r="BL30" i="58"/>
  <c r="BL28" i="58"/>
  <c r="BL29" i="58" s="1"/>
  <c r="BI42" i="59"/>
  <c r="BI33" i="59"/>
  <c r="BI43" i="59"/>
  <c r="BP37" i="58"/>
  <c r="BD60" i="59"/>
  <c r="BD59" i="59"/>
  <c r="BD55" i="59"/>
  <c r="BP97" i="58"/>
  <c r="BJ43" i="58"/>
  <c r="BJ46" i="58"/>
  <c r="BJ47" i="58" s="1"/>
  <c r="BP80" i="58"/>
  <c r="BO79" i="58"/>
  <c r="BM9" i="58"/>
  <c r="BM8" i="58"/>
  <c r="BM22" i="58"/>
  <c r="O30" i="58"/>
  <c r="P14" i="58"/>
  <c r="BP83" i="58"/>
  <c r="BO82" i="58"/>
  <c r="BO96" i="58" s="1"/>
  <c r="BQ24" i="59"/>
  <c r="BL18" i="58"/>
  <c r="BL17" i="58"/>
  <c r="BL32" i="58"/>
  <c r="BL48" i="58"/>
  <c r="BL34" i="58"/>
  <c r="BL38" i="58"/>
  <c r="BL40" i="58"/>
  <c r="BL36" i="58"/>
  <c r="O18" i="59"/>
  <c r="BJ11" i="59"/>
  <c r="BP64" i="58"/>
  <c r="BO63" i="58"/>
  <c r="N44" i="59"/>
  <c r="BE49" i="59"/>
  <c r="BQ35" i="58"/>
  <c r="BP53" i="58"/>
  <c r="BO52" i="58"/>
  <c r="O114" i="58"/>
  <c r="BL102" i="58"/>
  <c r="O46" i="58"/>
  <c r="O47" i="58" s="1"/>
  <c r="BN87" i="58"/>
  <c r="BN88" i="58"/>
  <c r="BN91" i="58"/>
  <c r="BN98" i="58"/>
  <c r="BB56" i="59"/>
  <c r="BP107" i="58"/>
  <c r="BN40" i="59"/>
  <c r="BP16" i="59"/>
  <c r="BG34" i="59"/>
  <c r="BP61" i="58"/>
  <c r="BO60" i="58"/>
  <c r="BC59" i="59"/>
  <c r="BC55" i="59"/>
  <c r="BC60" i="59"/>
  <c r="N54" i="59"/>
  <c r="N55" i="59" s="1"/>
  <c r="P40" i="59"/>
  <c r="BM4" i="59"/>
  <c r="BM90" i="58"/>
  <c r="BM89" i="58"/>
  <c r="BM108" i="58"/>
  <c r="BM104" i="58"/>
  <c r="BM110" i="58"/>
  <c r="BM106" i="58"/>
  <c r="BM120" i="58"/>
  <c r="P88" i="58"/>
  <c r="BK113" i="58"/>
  <c r="BK116" i="58"/>
  <c r="BP41" i="58"/>
  <c r="BQ39" i="58"/>
  <c r="BQ49" i="58"/>
  <c r="BQ109" i="58"/>
  <c r="N49" i="59"/>
  <c r="P94" i="58"/>
  <c r="P95" i="58" s="1"/>
  <c r="BP111" i="58"/>
  <c r="O9" i="59"/>
  <c r="BQ105" i="58"/>
  <c r="BM100" i="58"/>
  <c r="BM91" i="58"/>
  <c r="BK114" i="58"/>
  <c r="P82" i="58"/>
  <c r="P83" i="58" s="1"/>
  <c r="BH29" i="59"/>
  <c r="BH32" i="59"/>
  <c r="BP86" i="58"/>
  <c r="BO85" i="58"/>
  <c r="O42" i="58"/>
  <c r="M48" i="59"/>
  <c r="M56" i="59"/>
  <c r="M49" i="59"/>
  <c r="BO39" i="59"/>
  <c r="BP38" i="59"/>
  <c r="BP7" i="60" s="1"/>
  <c r="BO26" i="58"/>
  <c r="BP27" i="58"/>
  <c r="BK42" i="58"/>
  <c r="BK44" i="58" s="1"/>
  <c r="BC56" i="59"/>
  <c r="BL40" i="60" l="1"/>
  <c r="BL41" i="60" s="1"/>
  <c r="BL7" i="61"/>
  <c r="BH55" i="60"/>
  <c r="BH51" i="60"/>
  <c r="BK40" i="61"/>
  <c r="BK41" i="61"/>
  <c r="O37" i="60"/>
  <c r="N45" i="59"/>
  <c r="N56" i="60"/>
  <c r="BL42" i="60"/>
  <c r="BL8" i="61"/>
  <c r="BK8" i="61"/>
  <c r="BK42" i="60"/>
  <c r="BK43" i="60" s="1"/>
  <c r="BJ28" i="62"/>
  <c r="BJ27" i="62"/>
  <c r="BF30" i="61"/>
  <c r="BH31" i="62"/>
  <c r="BH35" i="62"/>
  <c r="BH36" i="62"/>
  <c r="BD23" i="60"/>
  <c r="BD24" i="60"/>
  <c r="BK27" i="60"/>
  <c r="BK26" i="60"/>
  <c r="BF57" i="60"/>
  <c r="BF59" i="60"/>
  <c r="BD63" i="60"/>
  <c r="BD60" i="60"/>
  <c r="BD64" i="60"/>
  <c r="O32" i="60"/>
  <c r="O26" i="60"/>
  <c r="BC11" i="60"/>
  <c r="N9" i="60"/>
  <c r="BL40" i="61"/>
  <c r="BL41" i="61"/>
  <c r="BC60" i="60"/>
  <c r="BC63" i="60"/>
  <c r="BC64" i="60"/>
  <c r="O10" i="62"/>
  <c r="O62" i="62" s="1"/>
  <c r="BJ26" i="61"/>
  <c r="O26" i="61" s="1"/>
  <c r="BC41" i="62"/>
  <c r="M41" i="62"/>
  <c r="BB45" i="62"/>
  <c r="BB46" i="62" s="1"/>
  <c r="BQ63" i="62"/>
  <c r="O66" i="61"/>
  <c r="BI35" i="62"/>
  <c r="BP69" i="60"/>
  <c r="BQ65" i="59"/>
  <c r="BP66" i="59"/>
  <c r="BQ62" i="62"/>
  <c r="N6" i="60"/>
  <c r="BL43" i="60"/>
  <c r="BL26" i="60"/>
  <c r="BL27" i="60"/>
  <c r="BM25" i="60"/>
  <c r="BM34" i="61"/>
  <c r="BM7" i="62"/>
  <c r="BM8" i="62"/>
  <c r="BK7" i="61"/>
  <c r="BK40" i="60"/>
  <c r="BK41" i="60" s="1"/>
  <c r="O24" i="59"/>
  <c r="O42" i="60"/>
  <c r="O43" i="60" s="1"/>
  <c r="BB23" i="60"/>
  <c r="M23" i="60" s="1"/>
  <c r="M11" i="60"/>
  <c r="M24" i="60" s="1"/>
  <c r="BB64" i="61"/>
  <c r="M64" i="61" s="1"/>
  <c r="M30" i="61"/>
  <c r="BB58" i="61"/>
  <c r="P67" i="59"/>
  <c r="P70" i="60"/>
  <c r="BC64" i="61"/>
  <c r="BC58" i="61"/>
  <c r="BD30" i="61"/>
  <c r="BD31" i="61" s="1"/>
  <c r="BM24" i="61"/>
  <c r="O22" i="59"/>
  <c r="O16" i="59"/>
  <c r="BK36" i="60"/>
  <c r="BK19" i="61"/>
  <c r="BL36" i="60"/>
  <c r="BL19" i="61"/>
  <c r="BL11" i="59"/>
  <c r="BL12" i="59" s="1"/>
  <c r="BL29" i="60"/>
  <c r="BL30" i="60" s="1"/>
  <c r="BL9" i="62"/>
  <c r="BL10" i="62"/>
  <c r="BK29" i="60"/>
  <c r="BK30" i="60" s="1"/>
  <c r="BK9" i="62"/>
  <c r="BL25" i="61" s="1"/>
  <c r="BK10" i="62"/>
  <c r="BE30" i="61"/>
  <c r="BE31" i="61" s="1"/>
  <c r="BF56" i="59"/>
  <c r="O23" i="61"/>
  <c r="BL24" i="61"/>
  <c r="O9" i="62"/>
  <c r="O61" i="62" s="1"/>
  <c r="BJ25" i="61"/>
  <c r="O25" i="61" s="1"/>
  <c r="BJ9" i="61"/>
  <c r="O7" i="61"/>
  <c r="O60" i="62"/>
  <c r="O67" i="61"/>
  <c r="BE59" i="60"/>
  <c r="BQ37" i="59"/>
  <c r="BP8" i="60"/>
  <c r="BP53" i="60"/>
  <c r="BC31" i="61"/>
  <c r="BJ44" i="60"/>
  <c r="BJ37" i="60"/>
  <c r="BI29" i="61"/>
  <c r="BJ32" i="60"/>
  <c r="BI55" i="60"/>
  <c r="BI51" i="60"/>
  <c r="O68" i="61"/>
  <c r="O41" i="61"/>
  <c r="BM23" i="61"/>
  <c r="M63" i="60"/>
  <c r="M60" i="60"/>
  <c r="M64" i="60"/>
  <c r="M65" i="60" s="1"/>
  <c r="BQ59" i="62"/>
  <c r="BQ60" i="62"/>
  <c r="BQ64" i="62"/>
  <c r="BQ39" i="62"/>
  <c r="BP19" i="62"/>
  <c r="BQ17" i="62"/>
  <c r="BQ54" i="62"/>
  <c r="BR33" i="62"/>
  <c r="BP53" i="62"/>
  <c r="BP55" i="62" s="1"/>
  <c r="BQ29" i="62"/>
  <c r="BQ45" i="61"/>
  <c r="BP54" i="61"/>
  <c r="BR68" i="61"/>
  <c r="BO55" i="61"/>
  <c r="BH33" i="59"/>
  <c r="BH42" i="59"/>
  <c r="BH43" i="59" s="1"/>
  <c r="BQ111" i="58"/>
  <c r="BK117" i="58"/>
  <c r="BO7" i="58"/>
  <c r="BO62" i="58"/>
  <c r="BL42" i="58"/>
  <c r="BQ97" i="58"/>
  <c r="BG44" i="59"/>
  <c r="BR14" i="58"/>
  <c r="BR13" i="58" s="1"/>
  <c r="BQ13" i="58"/>
  <c r="BE60" i="59"/>
  <c r="BE59" i="59"/>
  <c r="BE55" i="59"/>
  <c r="BQ38" i="59"/>
  <c r="BQ7" i="60" s="1"/>
  <c r="BP39" i="59"/>
  <c r="BP40" i="59" s="1"/>
  <c r="BO87" i="58"/>
  <c r="BO88" i="58"/>
  <c r="BO91" i="58"/>
  <c r="BO98" i="58"/>
  <c r="BM112" i="58"/>
  <c r="BM101" i="58"/>
  <c r="BQ41" i="58"/>
  <c r="BK118" i="58"/>
  <c r="BC61" i="59"/>
  <c r="BC62" i="59"/>
  <c r="BQ61" i="58"/>
  <c r="BP60" i="58"/>
  <c r="BQ16" i="59"/>
  <c r="BQ53" i="58"/>
  <c r="BP52" i="58"/>
  <c r="BR24" i="59"/>
  <c r="BQ80" i="58"/>
  <c r="BP79" i="58"/>
  <c r="BK11" i="59"/>
  <c r="BM18" i="58"/>
  <c r="BM17" i="58"/>
  <c r="BM32" i="58"/>
  <c r="BM38" i="58"/>
  <c r="BM34" i="58"/>
  <c r="BM48" i="58"/>
  <c r="BM40" i="58"/>
  <c r="BM36" i="58"/>
  <c r="BR95" i="58"/>
  <c r="P27" i="58"/>
  <c r="BE56" i="59"/>
  <c r="BK43" i="58"/>
  <c r="BK46" i="58"/>
  <c r="O43" i="58"/>
  <c r="O44" i="58"/>
  <c r="BR109" i="58"/>
  <c r="P89" i="58"/>
  <c r="BO10" i="58"/>
  <c r="BO54" i="58"/>
  <c r="BJ12" i="59"/>
  <c r="O11" i="59"/>
  <c r="O12" i="59" s="1"/>
  <c r="BO81" i="58"/>
  <c r="BO94" i="58"/>
  <c r="BD62" i="59"/>
  <c r="BD61" i="59"/>
  <c r="BO40" i="59"/>
  <c r="BQ86" i="58"/>
  <c r="BP85" i="58"/>
  <c r="BM102" i="58"/>
  <c r="BR49" i="58"/>
  <c r="BM6" i="59"/>
  <c r="BM5" i="59"/>
  <c r="BM8" i="59"/>
  <c r="BM23" i="59"/>
  <c r="BM17" i="59"/>
  <c r="BM38" i="60" s="1"/>
  <c r="BM39" i="60" s="1"/>
  <c r="BM15" i="59"/>
  <c r="BM19" i="59"/>
  <c r="BM21" i="59"/>
  <c r="BN90" i="58"/>
  <c r="BN89" i="58"/>
  <c r="BN104" i="58"/>
  <c r="BN108" i="58"/>
  <c r="P108" i="58" s="1"/>
  <c r="P109" i="58" s="1"/>
  <c r="BN106" i="58"/>
  <c r="P106" i="58" s="1"/>
  <c r="P107" i="58" s="1"/>
  <c r="BN120" i="58"/>
  <c r="P120" i="58" s="1"/>
  <c r="P121" i="58" s="1"/>
  <c r="BN110" i="58"/>
  <c r="P110" i="58" s="1"/>
  <c r="P111" i="58" s="1"/>
  <c r="BO65" i="58"/>
  <c r="BO84" i="58"/>
  <c r="BI47" i="59"/>
  <c r="BI5" i="60" s="1"/>
  <c r="BI49" i="59"/>
  <c r="BI44" i="59"/>
  <c r="BR18" i="59"/>
  <c r="BL25" i="59"/>
  <c r="BN9" i="58"/>
  <c r="BN8" i="58"/>
  <c r="BN22" i="58"/>
  <c r="P22" i="58" s="1"/>
  <c r="P23" i="58" s="1"/>
  <c r="BG43" i="59"/>
  <c r="BL113" i="58"/>
  <c r="BL118" i="58"/>
  <c r="BL116" i="58"/>
  <c r="BL117" i="58" s="1"/>
  <c r="BQ121" i="58"/>
  <c r="BN12" i="58"/>
  <c r="BN11" i="58"/>
  <c r="P10" i="58"/>
  <c r="BN19" i="58"/>
  <c r="BN24" i="58"/>
  <c r="BN16" i="58"/>
  <c r="BM19" i="58"/>
  <c r="BJ28" i="59"/>
  <c r="BJ30" i="59"/>
  <c r="BJ26" i="59"/>
  <c r="O25" i="59"/>
  <c r="BR99" i="58"/>
  <c r="N56" i="59"/>
  <c r="N48" i="59"/>
  <c r="P104" i="58"/>
  <c r="P105" i="58" s="1"/>
  <c r="BP26" i="58"/>
  <c r="BQ27" i="58"/>
  <c r="BH34" i="59"/>
  <c r="BR105" i="58"/>
  <c r="BR39" i="58"/>
  <c r="BQ107" i="58"/>
  <c r="BN100" i="58"/>
  <c r="BN102" i="58" s="1"/>
  <c r="P98" i="58"/>
  <c r="BR35" i="58"/>
  <c r="BQ64" i="58"/>
  <c r="BP63" i="58"/>
  <c r="BP65" i="58" s="1"/>
  <c r="BQ83" i="58"/>
  <c r="BP82" i="58"/>
  <c r="BP84" i="58" s="1"/>
  <c r="P7" i="58"/>
  <c r="P8" i="58" s="1"/>
  <c r="BQ37" i="58"/>
  <c r="BQ22" i="59"/>
  <c r="BQ20" i="59"/>
  <c r="BK25" i="59"/>
  <c r="BB62" i="59"/>
  <c r="M60" i="59"/>
  <c r="M61" i="59" s="1"/>
  <c r="BB61" i="59"/>
  <c r="BL114" i="58"/>
  <c r="BQ25" i="58"/>
  <c r="BM30" i="58"/>
  <c r="BM28" i="58"/>
  <c r="BM29" i="58" s="1"/>
  <c r="O118" i="58"/>
  <c r="BP15" i="58"/>
  <c r="BF59" i="59"/>
  <c r="BF55" i="59"/>
  <c r="BF60" i="59"/>
  <c r="P97" i="58"/>
  <c r="BM11" i="59" l="1"/>
  <c r="BM12" i="59" s="1"/>
  <c r="BM29" i="60"/>
  <c r="BM30" i="60" s="1"/>
  <c r="BM9" i="62"/>
  <c r="BM10" i="62"/>
  <c r="BG6" i="60"/>
  <c r="BG56" i="60"/>
  <c r="BJ45" i="60"/>
  <c r="BJ47" i="60"/>
  <c r="BJ48" i="60" s="1"/>
  <c r="BR37" i="59"/>
  <c r="BQ53" i="60"/>
  <c r="BQ8" i="60"/>
  <c r="BP70" i="60"/>
  <c r="BJ27" i="61"/>
  <c r="O27" i="61" s="1"/>
  <c r="O27" i="62"/>
  <c r="O63" i="62" s="1"/>
  <c r="BJ30" i="62"/>
  <c r="BL27" i="62"/>
  <c r="BL28" i="62"/>
  <c r="BM36" i="60"/>
  <c r="BM19" i="61"/>
  <c r="BG47" i="59"/>
  <c r="BG5" i="60" s="1"/>
  <c r="BJ50" i="60"/>
  <c r="BJ33" i="60"/>
  <c r="BE60" i="60"/>
  <c r="BE63" i="60"/>
  <c r="BE64" i="60"/>
  <c r="BJ10" i="60"/>
  <c r="O9" i="61"/>
  <c r="BJ16" i="62"/>
  <c r="BK44" i="60"/>
  <c r="BK37" i="60"/>
  <c r="M31" i="61"/>
  <c r="BB24" i="60"/>
  <c r="BQ69" i="60"/>
  <c r="BQ66" i="59"/>
  <c r="BQ70" i="60" s="1"/>
  <c r="BR65" i="59"/>
  <c r="BR63" i="62"/>
  <c r="O33" i="60"/>
  <c r="BK32" i="60"/>
  <c r="BJ28" i="61"/>
  <c r="O28" i="61" s="1"/>
  <c r="O28" i="62"/>
  <c r="O64" i="62" s="1"/>
  <c r="BK28" i="62"/>
  <c r="BK28" i="61" s="1"/>
  <c r="BK27" i="62"/>
  <c r="M58" i="61"/>
  <c r="M59" i="61" s="1"/>
  <c r="BB61" i="61"/>
  <c r="BB62" i="61"/>
  <c r="O44" i="60"/>
  <c r="BE58" i="61"/>
  <c r="BE64" i="61"/>
  <c r="BM26" i="61"/>
  <c r="BD58" i="61"/>
  <c r="BD64" i="61"/>
  <c r="BB59" i="61"/>
  <c r="BM41" i="61"/>
  <c r="BM40" i="61"/>
  <c r="BL32" i="60"/>
  <c r="BR62" i="62"/>
  <c r="M45" i="62"/>
  <c r="BB48" i="62"/>
  <c r="BC65" i="60"/>
  <c r="BC66" i="60"/>
  <c r="BF63" i="60"/>
  <c r="BF64" i="60"/>
  <c r="BF60" i="60"/>
  <c r="BF64" i="61"/>
  <c r="BF58" i="61"/>
  <c r="N57" i="60"/>
  <c r="N59" i="60"/>
  <c r="BI59" i="60"/>
  <c r="BC59" i="61"/>
  <c r="BD41" i="62"/>
  <c r="BC45" i="62"/>
  <c r="N59" i="59"/>
  <c r="BI6" i="60"/>
  <c r="BI9" i="60" s="1"/>
  <c r="BI11" i="60" s="1"/>
  <c r="BI23" i="60" s="1"/>
  <c r="BI24" i="60" s="1"/>
  <c r="BI56" i="60"/>
  <c r="BI57" i="60" s="1"/>
  <c r="BM40" i="60"/>
  <c r="BM41" i="60" s="1"/>
  <c r="BM7" i="61"/>
  <c r="BM9" i="61" s="1"/>
  <c r="BM10" i="60" s="1"/>
  <c r="BM25" i="59"/>
  <c r="BM8" i="61"/>
  <c r="BM42" i="60"/>
  <c r="BM43" i="60" s="1"/>
  <c r="BK25" i="61"/>
  <c r="BJ29" i="61"/>
  <c r="BL26" i="61"/>
  <c r="BM25" i="61"/>
  <c r="BL44" i="60"/>
  <c r="BL37" i="60"/>
  <c r="N30" i="61"/>
  <c r="BK9" i="61"/>
  <c r="BM26" i="60"/>
  <c r="BM27" i="60"/>
  <c r="BI36" i="62"/>
  <c r="M46" i="62"/>
  <c r="BK26" i="61"/>
  <c r="N11" i="60"/>
  <c r="BC23" i="60"/>
  <c r="BD66" i="60"/>
  <c r="BD65" i="60"/>
  <c r="BF31" i="61"/>
  <c r="BL9" i="61"/>
  <c r="BL10" i="60" s="1"/>
  <c r="BR60" i="62"/>
  <c r="BR64" i="62"/>
  <c r="BR59" i="62"/>
  <c r="BR54" i="62"/>
  <c r="Q33" i="62"/>
  <c r="Q54" i="62" s="1"/>
  <c r="BR39" i="62"/>
  <c r="BQ53" i="62"/>
  <c r="BQ55" i="62" s="1"/>
  <c r="BR29" i="62"/>
  <c r="BQ19" i="62"/>
  <c r="BR17" i="62"/>
  <c r="BP55" i="61"/>
  <c r="BQ54" i="61"/>
  <c r="BQ55" i="61"/>
  <c r="BR45" i="61"/>
  <c r="Q45" i="61"/>
  <c r="P32" i="58"/>
  <c r="P33" i="58" s="1"/>
  <c r="BK26" i="59"/>
  <c r="BK28" i="59"/>
  <c r="BR22" i="59"/>
  <c r="P99" i="58"/>
  <c r="BN28" i="58"/>
  <c r="P24" i="58"/>
  <c r="BN30" i="58"/>
  <c r="BO12" i="58"/>
  <c r="BO11" i="58"/>
  <c r="BO19" i="58"/>
  <c r="BO24" i="58"/>
  <c r="BO16" i="58"/>
  <c r="BP81" i="58"/>
  <c r="BP94" i="58"/>
  <c r="BP7" i="58"/>
  <c r="BP62" i="58"/>
  <c r="BM113" i="58"/>
  <c r="BM116" i="58"/>
  <c r="BQ15" i="58"/>
  <c r="Q13" i="58"/>
  <c r="BJ29" i="59"/>
  <c r="BJ32" i="59"/>
  <c r="O28" i="59"/>
  <c r="O30" i="59" s="1"/>
  <c r="BI54" i="59"/>
  <c r="BI5" i="61" s="1"/>
  <c r="BI30" i="61" s="1"/>
  <c r="BI48" i="59"/>
  <c r="BR80" i="58"/>
  <c r="BR79" i="58" s="1"/>
  <c r="BR81" i="58" s="1"/>
  <c r="BQ79" i="58"/>
  <c r="BR53" i="58"/>
  <c r="BR52" i="58" s="1"/>
  <c r="BQ52" i="58"/>
  <c r="BR61" i="58"/>
  <c r="BR60" i="58" s="1"/>
  <c r="Q60" i="58" s="1"/>
  <c r="Q61" i="58" s="1"/>
  <c r="BQ60" i="58"/>
  <c r="BR41" i="58"/>
  <c r="BO102" i="58"/>
  <c r="BO100" i="58"/>
  <c r="BR15" i="58"/>
  <c r="BG54" i="59"/>
  <c r="BG5" i="61" s="1"/>
  <c r="BG48" i="59"/>
  <c r="BR111" i="58"/>
  <c r="BF62" i="59"/>
  <c r="BF61" i="59"/>
  <c r="BR64" i="58"/>
  <c r="BR63" i="58" s="1"/>
  <c r="BQ63" i="58"/>
  <c r="BQ65" i="58" s="1"/>
  <c r="BR107" i="58"/>
  <c r="BR27" i="58"/>
  <c r="BR26" i="58" s="1"/>
  <c r="BQ26" i="58"/>
  <c r="BL30" i="59"/>
  <c r="BL26" i="59"/>
  <c r="BL28" i="59"/>
  <c r="BK12" i="59"/>
  <c r="BP10" i="58"/>
  <c r="BP54" i="58"/>
  <c r="BQ96" i="58"/>
  <c r="BR97" i="58"/>
  <c r="BR25" i="58"/>
  <c r="BR37" i="58"/>
  <c r="BR83" i="58"/>
  <c r="BR82" i="58" s="1"/>
  <c r="BQ82" i="58"/>
  <c r="BQ84" i="58" s="1"/>
  <c r="BN112" i="58"/>
  <c r="BN101" i="58"/>
  <c r="O26" i="59"/>
  <c r="P11" i="58"/>
  <c r="BR121" i="58"/>
  <c r="BP87" i="58"/>
  <c r="BP88" i="58"/>
  <c r="BP98" i="58"/>
  <c r="BK47" i="58"/>
  <c r="N60" i="59"/>
  <c r="N61" i="59" s="1"/>
  <c r="BG49" i="59"/>
  <c r="BL43" i="58"/>
  <c r="BL46" i="58"/>
  <c r="BL47" i="58" s="1"/>
  <c r="BO9" i="58"/>
  <c r="BO8" i="58"/>
  <c r="BO22" i="58"/>
  <c r="BM26" i="59"/>
  <c r="BM28" i="59"/>
  <c r="BM30" i="59" s="1"/>
  <c r="BR20" i="59"/>
  <c r="P100" i="58"/>
  <c r="BN17" i="58"/>
  <c r="BN18" i="58"/>
  <c r="BN32" i="58"/>
  <c r="BN34" i="58"/>
  <c r="P34" i="58" s="1"/>
  <c r="P35" i="58" s="1"/>
  <c r="BN38" i="58"/>
  <c r="P38" i="58" s="1"/>
  <c r="P39" i="58" s="1"/>
  <c r="BN48" i="58"/>
  <c r="P48" i="58" s="1"/>
  <c r="P49" i="58" s="1"/>
  <c r="BN36" i="58"/>
  <c r="P36" i="58" s="1"/>
  <c r="P37" i="58" s="1"/>
  <c r="BN40" i="58"/>
  <c r="P16" i="58"/>
  <c r="P17" i="58" s="1"/>
  <c r="Q82" i="58"/>
  <c r="Q83" i="58" s="1"/>
  <c r="BN4" i="59"/>
  <c r="BR86" i="58"/>
  <c r="BR85" i="58" s="1"/>
  <c r="BQ85" i="58"/>
  <c r="Q52" i="58"/>
  <c r="Q53" i="58" s="1"/>
  <c r="BM42" i="58"/>
  <c r="BR16" i="59"/>
  <c r="BM114" i="58"/>
  <c r="BO4" i="59"/>
  <c r="BO89" i="58"/>
  <c r="BO90" i="58"/>
  <c r="BO108" i="58"/>
  <c r="BO104" i="58"/>
  <c r="BO110" i="58"/>
  <c r="BO106" i="58"/>
  <c r="BO120" i="58"/>
  <c r="BR38" i="59"/>
  <c r="BR7" i="60" s="1"/>
  <c r="BQ39" i="59"/>
  <c r="BE62" i="59"/>
  <c r="BE61" i="59"/>
  <c r="BP96" i="58"/>
  <c r="BL44" i="58"/>
  <c r="BH44" i="59"/>
  <c r="BI64" i="61" l="1"/>
  <c r="BI58" i="61"/>
  <c r="BI59" i="61" s="1"/>
  <c r="N58" i="61"/>
  <c r="BL50" i="60"/>
  <c r="BL33" i="60"/>
  <c r="BR66" i="59"/>
  <c r="BR69" i="60"/>
  <c r="BK45" i="60"/>
  <c r="BK47" i="60"/>
  <c r="BK48" i="60" s="1"/>
  <c r="BL27" i="61"/>
  <c r="BL30" i="62"/>
  <c r="BL31" i="62"/>
  <c r="BG57" i="60"/>
  <c r="BG59" i="60"/>
  <c r="BO25" i="60"/>
  <c r="BO34" i="61"/>
  <c r="BO7" i="62"/>
  <c r="BO8" i="62"/>
  <c r="N59" i="61"/>
  <c r="N31" i="61"/>
  <c r="BC46" i="62"/>
  <c r="BC48" i="62"/>
  <c r="BC49" i="62"/>
  <c r="Q7" i="60"/>
  <c r="BF59" i="61"/>
  <c r="BD59" i="61"/>
  <c r="BI31" i="61"/>
  <c r="BC60" i="61"/>
  <c r="BB5" i="62"/>
  <c r="BK27" i="61"/>
  <c r="BK30" i="62"/>
  <c r="BE65" i="60"/>
  <c r="BE66" i="60"/>
  <c r="BJ51" i="60"/>
  <c r="BJ55" i="60"/>
  <c r="BJ31" i="62"/>
  <c r="O30" i="62"/>
  <c r="BJ35" i="62"/>
  <c r="O35" i="62" s="1"/>
  <c r="BR53" i="60"/>
  <c r="BR8" i="60"/>
  <c r="BG9" i="60"/>
  <c r="BF65" i="60"/>
  <c r="BF66" i="60"/>
  <c r="BE59" i="61"/>
  <c r="BC24" i="60"/>
  <c r="N23" i="60"/>
  <c r="N24" i="60" s="1"/>
  <c r="BM32" i="60"/>
  <c r="BE41" i="62"/>
  <c r="BD45" i="62"/>
  <c r="N64" i="60"/>
  <c r="N65" i="60" s="1"/>
  <c r="N63" i="60"/>
  <c r="N60" i="60"/>
  <c r="N64" i="61"/>
  <c r="M61" i="61"/>
  <c r="N60" i="61" s="1"/>
  <c r="BK50" i="60"/>
  <c r="BK33" i="60"/>
  <c r="BK16" i="62"/>
  <c r="BL16" i="62" s="1"/>
  <c r="BM16" i="62" s="1"/>
  <c r="O16" i="62"/>
  <c r="BM44" i="60"/>
  <c r="BM37" i="60"/>
  <c r="Q37" i="59"/>
  <c r="Q53" i="60" s="1"/>
  <c r="BN25" i="60"/>
  <c r="BN34" i="61"/>
  <c r="BN7" i="62"/>
  <c r="BN8" i="62"/>
  <c r="BK10" i="60"/>
  <c r="BI60" i="60"/>
  <c r="BI64" i="60"/>
  <c r="BI63" i="60"/>
  <c r="BB49" i="62"/>
  <c r="M48" i="62"/>
  <c r="M49" i="62" s="1"/>
  <c r="O10" i="60"/>
  <c r="BG30" i="61"/>
  <c r="BG31" i="61"/>
  <c r="BH47" i="59"/>
  <c r="BH5" i="60" s="1"/>
  <c r="BH6" i="60"/>
  <c r="BH9" i="60" s="1"/>
  <c r="BH11" i="60" s="1"/>
  <c r="BH56" i="60"/>
  <c r="BI56" i="59"/>
  <c r="O29" i="61"/>
  <c r="Q65" i="59"/>
  <c r="Q69" i="60" s="1"/>
  <c r="BL45" i="60"/>
  <c r="BL47" i="60"/>
  <c r="BL48" i="60" s="1"/>
  <c r="BK29" i="61"/>
  <c r="BM28" i="62"/>
  <c r="BM28" i="61" s="1"/>
  <c r="BM27" i="62"/>
  <c r="O47" i="60"/>
  <c r="O48" i="60" s="1"/>
  <c r="O45" i="60"/>
  <c r="O50" i="60"/>
  <c r="BL28" i="61"/>
  <c r="BL29" i="61" s="1"/>
  <c r="Q8" i="60"/>
  <c r="BR53" i="62"/>
  <c r="BR55" i="62" s="1"/>
  <c r="Q29" i="62"/>
  <c r="BR19" i="62"/>
  <c r="Q17" i="62"/>
  <c r="Q39" i="62"/>
  <c r="BR54" i="61"/>
  <c r="Q54" i="61" s="1"/>
  <c r="Q55" i="61" s="1"/>
  <c r="BH56" i="59"/>
  <c r="BH48" i="59"/>
  <c r="BH54" i="59"/>
  <c r="BH5" i="61" s="1"/>
  <c r="BM43" i="58"/>
  <c r="P42" i="58"/>
  <c r="P43" i="58" s="1"/>
  <c r="BM46" i="58"/>
  <c r="BQ88" i="58"/>
  <c r="BQ91" i="58"/>
  <c r="BQ87" i="58"/>
  <c r="BQ98" i="58"/>
  <c r="P101" i="58"/>
  <c r="BN113" i="58"/>
  <c r="BN116" i="58"/>
  <c r="BN117" i="58" s="1"/>
  <c r="BN118" i="58"/>
  <c r="P102" i="58"/>
  <c r="Q96" i="58"/>
  <c r="Q97" i="58" s="1"/>
  <c r="BR87" i="58"/>
  <c r="BR88" i="58"/>
  <c r="BM29" i="59"/>
  <c r="BM32" i="59"/>
  <c r="P19" i="58"/>
  <c r="BR98" i="58"/>
  <c r="BG59" i="59"/>
  <c r="BG55" i="59"/>
  <c r="BG60" i="59"/>
  <c r="BQ10" i="58"/>
  <c r="BQ54" i="58"/>
  <c r="Q63" i="58"/>
  <c r="Q64" i="58" s="1"/>
  <c r="O29" i="59"/>
  <c r="BK29" i="59"/>
  <c r="BK32" i="59"/>
  <c r="BR7" i="58"/>
  <c r="BR62" i="58"/>
  <c r="BM117" i="58"/>
  <c r="P116" i="58"/>
  <c r="P117" i="58" s="1"/>
  <c r="BO28" i="58"/>
  <c r="BO30" i="58" s="1"/>
  <c r="BH49" i="59"/>
  <c r="BQ40" i="59"/>
  <c r="BO5" i="59"/>
  <c r="BO6" i="59"/>
  <c r="BO8" i="59"/>
  <c r="BO23" i="59"/>
  <c r="BO17" i="59"/>
  <c r="BO38" i="60" s="1"/>
  <c r="BO39" i="60" s="1"/>
  <c r="BO15" i="59"/>
  <c r="BO19" i="59"/>
  <c r="BO21" i="59"/>
  <c r="BN42" i="58"/>
  <c r="BN44" i="58"/>
  <c r="P40" i="58"/>
  <c r="BP100" i="58"/>
  <c r="BR84" i="58"/>
  <c r="BP11" i="58"/>
  <c r="BP12" i="58"/>
  <c r="BP24" i="58"/>
  <c r="BP16" i="58"/>
  <c r="BP4" i="59" s="1"/>
  <c r="BL29" i="59"/>
  <c r="BL32" i="59"/>
  <c r="BL34" i="59" s="1"/>
  <c r="BR65" i="58"/>
  <c r="BG56" i="59"/>
  <c r="Q98" i="58"/>
  <c r="BR10" i="58"/>
  <c r="BR24" i="58" s="1"/>
  <c r="BR54" i="58"/>
  <c r="BJ42" i="59"/>
  <c r="BJ33" i="59"/>
  <c r="O32" i="59"/>
  <c r="Q14" i="58"/>
  <c r="BM118" i="58"/>
  <c r="BR94" i="58"/>
  <c r="P25" i="58"/>
  <c r="BP90" i="58"/>
  <c r="BP89" i="58"/>
  <c r="BP108" i="58"/>
  <c r="BP104" i="58"/>
  <c r="BP106" i="58"/>
  <c r="BP110" i="58"/>
  <c r="BP120" i="58"/>
  <c r="BR39" i="59"/>
  <c r="Q39" i="59" s="1"/>
  <c r="BR40" i="59"/>
  <c r="Q38" i="59"/>
  <c r="BM44" i="58"/>
  <c r="Q79" i="58"/>
  <c r="Q80" i="58" s="1"/>
  <c r="BN11" i="59"/>
  <c r="BN5" i="59"/>
  <c r="BN6" i="59"/>
  <c r="BN8" i="59"/>
  <c r="BN17" i="59"/>
  <c r="BN23" i="59"/>
  <c r="BN21" i="59"/>
  <c r="BN19" i="59"/>
  <c r="P19" i="59" s="1"/>
  <c r="BN15" i="59"/>
  <c r="P4" i="59"/>
  <c r="BP91" i="58"/>
  <c r="BN114" i="58"/>
  <c r="BR96" i="58"/>
  <c r="BO101" i="58"/>
  <c r="BO112" i="58"/>
  <c r="BQ7" i="58"/>
  <c r="BQ62" i="58"/>
  <c r="BQ81" i="58"/>
  <c r="BQ94" i="58"/>
  <c r="Q94" i="58" s="1"/>
  <c r="Q95" i="58" s="1"/>
  <c r="Q26" i="58"/>
  <c r="BI60" i="59"/>
  <c r="BI59" i="59"/>
  <c r="BI55" i="59"/>
  <c r="BJ34" i="59"/>
  <c r="P112" i="58"/>
  <c r="BP8" i="58"/>
  <c r="BP9" i="58"/>
  <c r="BP22" i="58"/>
  <c r="BO17" i="58"/>
  <c r="BO18" i="58"/>
  <c r="BO32" i="58"/>
  <c r="BO48" i="58"/>
  <c r="BO38" i="58"/>
  <c r="BO34" i="58"/>
  <c r="BO36" i="58"/>
  <c r="BO40" i="58"/>
  <c r="BN29" i="58"/>
  <c r="P28" i="58"/>
  <c r="P29" i="58" s="1"/>
  <c r="BK30" i="59"/>
  <c r="Q85" i="58"/>
  <c r="Q86" i="58" s="1"/>
  <c r="P21" i="59" l="1"/>
  <c r="BN7" i="61"/>
  <c r="BN40" i="60"/>
  <c r="BN41" i="60" s="1"/>
  <c r="O51" i="60"/>
  <c r="O55" i="60"/>
  <c r="P34" i="61"/>
  <c r="BN40" i="61"/>
  <c r="P40" i="61" s="1"/>
  <c r="BN41" i="61"/>
  <c r="BC61" i="61"/>
  <c r="BC62" i="61" s="1"/>
  <c r="BG60" i="60"/>
  <c r="BG63" i="60"/>
  <c r="BG64" i="60"/>
  <c r="BR70" i="60"/>
  <c r="Q66" i="59"/>
  <c r="P25" i="60"/>
  <c r="P65" i="62"/>
  <c r="BN42" i="60"/>
  <c r="BN43" i="60" s="1"/>
  <c r="BN8" i="61"/>
  <c r="P8" i="61" s="1"/>
  <c r="BO36" i="60"/>
  <c r="BO19" i="61"/>
  <c r="BH57" i="60"/>
  <c r="BH59" i="60"/>
  <c r="BG64" i="61"/>
  <c r="BG58" i="61"/>
  <c r="BG59" i="61"/>
  <c r="BI65" i="60"/>
  <c r="BN26" i="60"/>
  <c r="BN27" i="60"/>
  <c r="BM47" i="60"/>
  <c r="BM48" i="60" s="1"/>
  <c r="BM45" i="60"/>
  <c r="BD46" i="62"/>
  <c r="BD48" i="62"/>
  <c r="BD49" i="62"/>
  <c r="BM33" i="60"/>
  <c r="BM50" i="60"/>
  <c r="BG11" i="60"/>
  <c r="BJ36" i="62"/>
  <c r="BK31" i="62"/>
  <c r="BK35" i="62"/>
  <c r="BK36" i="62"/>
  <c r="BO40" i="61"/>
  <c r="BO41" i="61"/>
  <c r="N61" i="61"/>
  <c r="O60" i="61" s="1"/>
  <c r="BO29" i="60"/>
  <c r="BO30" i="60" s="1"/>
  <c r="BO9" i="62"/>
  <c r="BO10" i="62"/>
  <c r="BH30" i="61"/>
  <c r="BH31" i="61"/>
  <c r="BH23" i="60"/>
  <c r="BH24" i="60"/>
  <c r="P8" i="62"/>
  <c r="BO24" i="61"/>
  <c r="BN24" i="61"/>
  <c r="BK55" i="60"/>
  <c r="BK51" i="60"/>
  <c r="BF41" i="62"/>
  <c r="BE45" i="62"/>
  <c r="BE48" i="62" s="1"/>
  <c r="BE49" i="62" s="1"/>
  <c r="BO32" i="60"/>
  <c r="BO26" i="60"/>
  <c r="BO27" i="60"/>
  <c r="BL51" i="60"/>
  <c r="BL55" i="60"/>
  <c r="BM27" i="61"/>
  <c r="BM29" i="61" s="1"/>
  <c r="BM30" i="62"/>
  <c r="P15" i="59"/>
  <c r="BN36" i="60"/>
  <c r="BN19" i="61"/>
  <c r="P19" i="61" s="1"/>
  <c r="P17" i="59"/>
  <c r="BN38" i="60"/>
  <c r="BN39" i="60" s="1"/>
  <c r="BP25" i="60"/>
  <c r="BP34" i="61"/>
  <c r="BP40" i="61" s="1"/>
  <c r="BP41" i="61" s="1"/>
  <c r="BP7" i="62"/>
  <c r="BP8" i="62"/>
  <c r="BP24" i="61" s="1"/>
  <c r="P8" i="59"/>
  <c r="P29" i="60" s="1"/>
  <c r="BN29" i="60"/>
  <c r="BN30" i="60" s="1"/>
  <c r="BN9" i="62"/>
  <c r="BN10" i="62"/>
  <c r="BO7" i="61"/>
  <c r="BO40" i="60"/>
  <c r="BO41" i="60" s="1"/>
  <c r="BO8" i="61"/>
  <c r="BO42" i="60"/>
  <c r="BO43" i="60" s="1"/>
  <c r="BO23" i="61"/>
  <c r="P7" i="62"/>
  <c r="P59" i="62" s="1"/>
  <c r="BN23" i="61"/>
  <c r="P23" i="61" s="1"/>
  <c r="M62" i="61"/>
  <c r="O31" i="62"/>
  <c r="O36" i="62"/>
  <c r="BB12" i="62"/>
  <c r="BB52" i="62"/>
  <c r="BB56" i="62" s="1"/>
  <c r="BB57" i="62" s="1"/>
  <c r="M5" i="62"/>
  <c r="M52" i="62" s="1"/>
  <c r="M56" i="62" s="1"/>
  <c r="M57" i="62" s="1"/>
  <c r="BL36" i="62"/>
  <c r="BL35" i="62"/>
  <c r="Q19" i="62"/>
  <c r="Q53" i="62"/>
  <c r="Q55" i="62" s="1"/>
  <c r="BR55" i="61"/>
  <c r="BP11" i="59"/>
  <c r="BP12" i="59" s="1"/>
  <c r="BP5" i="59"/>
  <c r="BP6" i="59"/>
  <c r="BP8" i="59"/>
  <c r="BP23" i="59"/>
  <c r="BP17" i="59"/>
  <c r="BP38" i="60" s="1"/>
  <c r="BP39" i="60" s="1"/>
  <c r="BP15" i="59"/>
  <c r="BP19" i="59"/>
  <c r="BP21" i="59"/>
  <c r="BO42" i="58"/>
  <c r="Q99" i="58"/>
  <c r="BM42" i="59"/>
  <c r="BM33" i="59"/>
  <c r="P113" i="58"/>
  <c r="P118" i="58"/>
  <c r="BI61" i="59"/>
  <c r="P5" i="59"/>
  <c r="BN25" i="59"/>
  <c r="P23" i="59"/>
  <c r="O33" i="59"/>
  <c r="BP30" i="58"/>
  <c r="BP28" i="58"/>
  <c r="BP29" i="58" s="1"/>
  <c r="P41" i="58"/>
  <c r="P44" i="58"/>
  <c r="BO11" i="59"/>
  <c r="BK43" i="59"/>
  <c r="BK33" i="59"/>
  <c r="BK42" i="59"/>
  <c r="O34" i="59"/>
  <c r="BQ12" i="58"/>
  <c r="BQ11" i="58"/>
  <c r="BQ16" i="58"/>
  <c r="BQ24" i="58"/>
  <c r="Q10" i="58"/>
  <c r="BM34" i="59"/>
  <c r="BO113" i="58"/>
  <c r="BO116" i="58"/>
  <c r="BO118" i="58"/>
  <c r="Q40" i="59"/>
  <c r="BJ44" i="59"/>
  <c r="O42" i="59"/>
  <c r="O43" i="59" s="1"/>
  <c r="BP18" i="58"/>
  <c r="BP17" i="58"/>
  <c r="BP32" i="58"/>
  <c r="BP34" i="58"/>
  <c r="BP48" i="58"/>
  <c r="BP38" i="58"/>
  <c r="BP36" i="58"/>
  <c r="BP40" i="58"/>
  <c r="BO29" i="58"/>
  <c r="BR90" i="58"/>
  <c r="BR89" i="58"/>
  <c r="BR104" i="58"/>
  <c r="BR108" i="58"/>
  <c r="Q27" i="58"/>
  <c r="BQ9" i="58"/>
  <c r="BQ8" i="58"/>
  <c r="BQ22" i="58"/>
  <c r="Q7" i="58"/>
  <c r="Q8" i="58" s="1"/>
  <c r="BR120" i="58"/>
  <c r="Q120" i="58" s="1"/>
  <c r="Q121" i="58" s="1"/>
  <c r="BN12" i="59"/>
  <c r="P11" i="59"/>
  <c r="P12" i="59" s="1"/>
  <c r="BR12" i="58"/>
  <c r="BR11" i="58"/>
  <c r="BR16" i="58"/>
  <c r="BL42" i="59"/>
  <c r="BL43" i="59" s="1"/>
  <c r="BL33" i="59"/>
  <c r="BP19" i="58"/>
  <c r="BP101" i="58"/>
  <c r="BP112" i="58"/>
  <c r="Q24" i="58"/>
  <c r="BR9" i="58"/>
  <c r="BR8" i="58"/>
  <c r="BR22" i="58"/>
  <c r="BK34" i="59"/>
  <c r="BR110" i="58"/>
  <c r="BR100" i="58"/>
  <c r="BR102" i="58"/>
  <c r="P114" i="58"/>
  <c r="BQ4" i="59"/>
  <c r="BQ90" i="58"/>
  <c r="BQ89" i="58"/>
  <c r="BQ108" i="58"/>
  <c r="Q108" i="58" s="1"/>
  <c r="Q109" i="58" s="1"/>
  <c r="BQ104" i="58"/>
  <c r="Q104" i="58" s="1"/>
  <c r="BQ106" i="58"/>
  <c r="Q106" i="58" s="1"/>
  <c r="Q107" i="58" s="1"/>
  <c r="BQ110" i="58"/>
  <c r="Q110" i="58" s="1"/>
  <c r="Q111" i="58" s="1"/>
  <c r="BQ120" i="58"/>
  <c r="BO25" i="59"/>
  <c r="BO114" i="58"/>
  <c r="P20" i="59"/>
  <c r="P9" i="59"/>
  <c r="P30" i="58"/>
  <c r="BJ43" i="59"/>
  <c r="BP102" i="58"/>
  <c r="BN43" i="58"/>
  <c r="BN46" i="58"/>
  <c r="BN47" i="58" s="1"/>
  <c r="BR106" i="58"/>
  <c r="BG61" i="59"/>
  <c r="BG62" i="59"/>
  <c r="BR91" i="58"/>
  <c r="BQ102" i="58"/>
  <c r="BQ100" i="58"/>
  <c r="BM47" i="58"/>
  <c r="P46" i="58"/>
  <c r="P47" i="58" s="1"/>
  <c r="BH60" i="59"/>
  <c r="BH55" i="59"/>
  <c r="BH59" i="59"/>
  <c r="Q88" i="58"/>
  <c r="BP36" i="60" l="1"/>
  <c r="BP19" i="61"/>
  <c r="BM31" i="62"/>
  <c r="BM35" i="62"/>
  <c r="BM36" i="62" s="1"/>
  <c r="BN9" i="61"/>
  <c r="P7" i="61"/>
  <c r="BN28" i="62"/>
  <c r="BN27" i="62"/>
  <c r="BO25" i="61"/>
  <c r="P9" i="62"/>
  <c r="P61" i="62" s="1"/>
  <c r="BN25" i="61"/>
  <c r="P25" i="61" s="1"/>
  <c r="BQ23" i="61"/>
  <c r="P18" i="59"/>
  <c r="P38" i="60"/>
  <c r="P39" i="60" s="1"/>
  <c r="BP23" i="61"/>
  <c r="BE46" i="62"/>
  <c r="P24" i="61"/>
  <c r="BG23" i="60"/>
  <c r="BG66" i="60"/>
  <c r="BG65" i="60"/>
  <c r="P22" i="59"/>
  <c r="P40" i="60"/>
  <c r="P41" i="60" s="1"/>
  <c r="P24" i="59"/>
  <c r="P42" i="60"/>
  <c r="P43" i="60" s="1"/>
  <c r="P10" i="62"/>
  <c r="P62" i="62" s="1"/>
  <c r="BO26" i="61"/>
  <c r="BN26" i="61"/>
  <c r="P26" i="61" s="1"/>
  <c r="P16" i="59"/>
  <c r="P36" i="60"/>
  <c r="BD60" i="61"/>
  <c r="BC5" i="62"/>
  <c r="BP40" i="60"/>
  <c r="BP41" i="60" s="1"/>
  <c r="BP7" i="61"/>
  <c r="BB23" i="62"/>
  <c r="M12" i="62"/>
  <c r="P66" i="61"/>
  <c r="BO33" i="60"/>
  <c r="BG41" i="62"/>
  <c r="N41" i="62"/>
  <c r="BF45" i="62"/>
  <c r="BF46" i="62"/>
  <c r="BN32" i="60"/>
  <c r="BO44" i="60"/>
  <c r="BO50" i="60" s="1"/>
  <c r="BO37" i="60"/>
  <c r="P30" i="60"/>
  <c r="P26" i="60"/>
  <c r="P32" i="60"/>
  <c r="BQ24" i="61"/>
  <c r="P68" i="61"/>
  <c r="P41" i="61"/>
  <c r="BP25" i="59"/>
  <c r="BP42" i="60"/>
  <c r="BP43" i="60" s="1"/>
  <c r="BP8" i="61"/>
  <c r="BO27" i="62"/>
  <c r="BO28" i="62"/>
  <c r="BO28" i="61" s="1"/>
  <c r="BQ25" i="60"/>
  <c r="BQ34" i="61"/>
  <c r="BQ8" i="62"/>
  <c r="BQ7" i="62"/>
  <c r="O44" i="59"/>
  <c r="BJ6" i="60"/>
  <c r="BJ56" i="60"/>
  <c r="BP29" i="60"/>
  <c r="BP30" i="60" s="1"/>
  <c r="BP9" i="62"/>
  <c r="BP10" i="62"/>
  <c r="BP26" i="61" s="1"/>
  <c r="BB13" i="62"/>
  <c r="M13" i="62" s="1"/>
  <c r="BO9" i="61"/>
  <c r="BP26" i="60"/>
  <c r="BP27" i="60"/>
  <c r="BN44" i="60"/>
  <c r="BN37" i="60"/>
  <c r="P60" i="62"/>
  <c r="P67" i="61"/>
  <c r="BH64" i="61"/>
  <c r="BH58" i="61"/>
  <c r="N62" i="61"/>
  <c r="BM55" i="60"/>
  <c r="BM51" i="60"/>
  <c r="BH63" i="60"/>
  <c r="BH64" i="60"/>
  <c r="BH60" i="60"/>
  <c r="Q67" i="59"/>
  <c r="Q70" i="60"/>
  <c r="BP113" i="58"/>
  <c r="BP116" i="58"/>
  <c r="BP117" i="58" s="1"/>
  <c r="BP118" i="58"/>
  <c r="Q11" i="58"/>
  <c r="Q19" i="58"/>
  <c r="BN28" i="59"/>
  <c r="BN30" i="59"/>
  <c r="BN26" i="59"/>
  <c r="P25" i="59"/>
  <c r="BO43" i="58"/>
  <c r="BO46" i="58"/>
  <c r="Q89" i="58"/>
  <c r="Q25" i="58"/>
  <c r="BJ47" i="59"/>
  <c r="BJ5" i="60" s="1"/>
  <c r="O5" i="60" s="1"/>
  <c r="BO117" i="58"/>
  <c r="BQ28" i="58"/>
  <c r="BQ30" i="58"/>
  <c r="BM47" i="59"/>
  <c r="BM5" i="60" s="1"/>
  <c r="BM49" i="59"/>
  <c r="BM44" i="59"/>
  <c r="BR28" i="58"/>
  <c r="BR29" i="58" s="1"/>
  <c r="BH62" i="59"/>
  <c r="BH61" i="59"/>
  <c r="BQ6" i="59"/>
  <c r="BQ5" i="59"/>
  <c r="BQ8" i="59"/>
  <c r="BQ23" i="59"/>
  <c r="BQ17" i="59"/>
  <c r="BQ38" i="60" s="1"/>
  <c r="BQ39" i="60" s="1"/>
  <c r="BQ15" i="59"/>
  <c r="BQ21" i="59"/>
  <c r="BQ19" i="59"/>
  <c r="BI62" i="59"/>
  <c r="BP26" i="59"/>
  <c r="BP28" i="59"/>
  <c r="BO28" i="59"/>
  <c r="BO26" i="59"/>
  <c r="Q105" i="58"/>
  <c r="BR18" i="58"/>
  <c r="BR17" i="58"/>
  <c r="BR32" i="58"/>
  <c r="BR38" i="58"/>
  <c r="BR48" i="58"/>
  <c r="BR34" i="58"/>
  <c r="BR40" i="58"/>
  <c r="BR36" i="58"/>
  <c r="Q22" i="58"/>
  <c r="Q23" i="58" s="1"/>
  <c r="BR4" i="59"/>
  <c r="BP42" i="58"/>
  <c r="BJ49" i="59"/>
  <c r="Q112" i="58"/>
  <c r="Q113" i="58" s="1"/>
  <c r="BQ18" i="58"/>
  <c r="BQ17" i="58"/>
  <c r="BQ32" i="58"/>
  <c r="Q32" i="58" s="1"/>
  <c r="Q33" i="58" s="1"/>
  <c r="BQ38" i="58"/>
  <c r="Q38" i="58" s="1"/>
  <c r="BQ34" i="58"/>
  <c r="Q34" i="58" s="1"/>
  <c r="Q35" i="58" s="1"/>
  <c r="BQ48" i="58"/>
  <c r="Q48" i="58" s="1"/>
  <c r="BQ36" i="58"/>
  <c r="Q36" i="58" s="1"/>
  <c r="Q37" i="58" s="1"/>
  <c r="BQ40" i="58"/>
  <c r="BK44" i="59"/>
  <c r="BO12" i="59"/>
  <c r="BO44" i="58"/>
  <c r="BL44" i="59"/>
  <c r="BQ112" i="58"/>
  <c r="BQ114" i="58"/>
  <c r="BQ101" i="58"/>
  <c r="Q100" i="58"/>
  <c r="Q16" i="58"/>
  <c r="Q17" i="58" s="1"/>
  <c r="BR112" i="58"/>
  <c r="BR114" i="58"/>
  <c r="BR101" i="58"/>
  <c r="BP114" i="58"/>
  <c r="BR19" i="58"/>
  <c r="BQ19" i="58"/>
  <c r="BM43" i="59"/>
  <c r="BO51" i="60" l="1"/>
  <c r="BO55" i="60"/>
  <c r="BO29" i="61"/>
  <c r="BQ29" i="60"/>
  <c r="BQ30" i="60" s="1"/>
  <c r="BQ9" i="62"/>
  <c r="BQ10" i="62"/>
  <c r="BN47" i="60"/>
  <c r="BN48" i="60" s="1"/>
  <c r="BN45" i="60"/>
  <c r="BJ9" i="60"/>
  <c r="O6" i="60"/>
  <c r="BG24" i="60"/>
  <c r="BQ36" i="60"/>
  <c r="BQ19" i="61"/>
  <c r="BP32" i="60"/>
  <c r="BO10" i="60"/>
  <c r="O45" i="59"/>
  <c r="O56" i="60"/>
  <c r="BQ32" i="60"/>
  <c r="BQ26" i="60"/>
  <c r="BQ27" i="60"/>
  <c r="BP9" i="61"/>
  <c r="BP10" i="60" s="1"/>
  <c r="P37" i="60"/>
  <c r="P44" i="60"/>
  <c r="BN27" i="61"/>
  <c r="P27" i="62"/>
  <c r="BN31" i="62"/>
  <c r="BN30" i="62"/>
  <c r="BQ26" i="61"/>
  <c r="BH41" i="62"/>
  <c r="BG45" i="62"/>
  <c r="BH59" i="61"/>
  <c r="BR23" i="61"/>
  <c r="BP27" i="62"/>
  <c r="BP28" i="62"/>
  <c r="BP28" i="61" s="1"/>
  <c r="P33" i="60"/>
  <c r="P50" i="60"/>
  <c r="BO47" i="60"/>
  <c r="BO48" i="60" s="1"/>
  <c r="BO45" i="60"/>
  <c r="N45" i="62"/>
  <c r="BF48" i="62"/>
  <c r="BF49" i="62"/>
  <c r="BN28" i="61"/>
  <c r="P28" i="61" s="1"/>
  <c r="P28" i="62"/>
  <c r="P64" i="62" s="1"/>
  <c r="BP44" i="60"/>
  <c r="BP37" i="60"/>
  <c r="BQ7" i="61"/>
  <c r="BQ40" i="60"/>
  <c r="BQ41" i="60" s="1"/>
  <c r="BQ40" i="61"/>
  <c r="M23" i="62"/>
  <c r="M50" i="62" s="1"/>
  <c r="BB50" i="62"/>
  <c r="BD61" i="61"/>
  <c r="BN10" i="60"/>
  <c r="P10" i="60" s="1"/>
  <c r="P9" i="61"/>
  <c r="BN16" i="62"/>
  <c r="BK6" i="60"/>
  <c r="BK56" i="60"/>
  <c r="BQ11" i="59"/>
  <c r="BQ12" i="59" s="1"/>
  <c r="BL47" i="59"/>
  <c r="BL5" i="60" s="1"/>
  <c r="BL6" i="60"/>
  <c r="BL9" i="60" s="1"/>
  <c r="BL11" i="60" s="1"/>
  <c r="BL56" i="60"/>
  <c r="BK47" i="59"/>
  <c r="BK5" i="60" s="1"/>
  <c r="BR25" i="60"/>
  <c r="BR34" i="61"/>
  <c r="BR7" i="62"/>
  <c r="Q7" i="62" s="1"/>
  <c r="BR8" i="62"/>
  <c r="Q8" i="62" s="1"/>
  <c r="BQ8" i="61"/>
  <c r="BQ42" i="60"/>
  <c r="BQ43" i="60" s="1"/>
  <c r="BM6" i="60"/>
  <c r="BM9" i="60" s="1"/>
  <c r="BM11" i="60" s="1"/>
  <c r="BM23" i="60" s="1"/>
  <c r="BM24" i="60" s="1"/>
  <c r="BM56" i="60"/>
  <c r="BM57" i="60" s="1"/>
  <c r="BH66" i="60"/>
  <c r="BH65" i="60"/>
  <c r="BI66" i="60"/>
  <c r="BM59" i="60"/>
  <c r="BJ57" i="60"/>
  <c r="BJ59" i="60"/>
  <c r="BR24" i="61"/>
  <c r="Q24" i="61" s="1"/>
  <c r="BO27" i="61"/>
  <c r="BO31" i="62"/>
  <c r="BO30" i="62"/>
  <c r="BN50" i="60"/>
  <c r="BN33" i="60"/>
  <c r="BB24" i="62"/>
  <c r="BC52" i="62"/>
  <c r="BC56" i="62" s="1"/>
  <c r="BC57" i="62" s="1"/>
  <c r="BC12" i="62"/>
  <c r="BP25" i="61"/>
  <c r="BL54" i="59"/>
  <c r="BL5" i="61" s="1"/>
  <c r="BL48" i="59"/>
  <c r="BR11" i="59"/>
  <c r="BR12" i="59" s="1"/>
  <c r="BR5" i="59"/>
  <c r="BR6" i="59"/>
  <c r="BR8" i="59"/>
  <c r="BR17" i="59"/>
  <c r="BR38" i="60" s="1"/>
  <c r="BR39" i="60" s="1"/>
  <c r="BR23" i="59"/>
  <c r="BR15" i="59"/>
  <c r="BR21" i="59"/>
  <c r="BR19" i="59"/>
  <c r="BO29" i="59"/>
  <c r="BO32" i="59"/>
  <c r="BO34" i="59" s="1"/>
  <c r="P26" i="59"/>
  <c r="Q4" i="59"/>
  <c r="BR113" i="58"/>
  <c r="BR116" i="58"/>
  <c r="BR117" i="58" s="1"/>
  <c r="Q11" i="59"/>
  <c r="Q12" i="59" s="1"/>
  <c r="BK54" i="59"/>
  <c r="BK5" i="61" s="1"/>
  <c r="BK48" i="59"/>
  <c r="Q49" i="58"/>
  <c r="BP29" i="59"/>
  <c r="BP32" i="59"/>
  <c r="Q19" i="59"/>
  <c r="Q20" i="59" s="1"/>
  <c r="BQ25" i="59"/>
  <c r="BM54" i="59"/>
  <c r="BM5" i="61" s="1"/>
  <c r="BM48" i="59"/>
  <c r="BO47" i="58"/>
  <c r="BR30" i="58"/>
  <c r="Q114" i="58"/>
  <c r="Q101" i="58"/>
  <c r="Q102" i="58"/>
  <c r="BR42" i="58"/>
  <c r="BR44" i="58"/>
  <c r="BL49" i="59"/>
  <c r="BK49" i="59"/>
  <c r="BP43" i="58"/>
  <c r="BP46" i="58"/>
  <c r="BP47" i="58" s="1"/>
  <c r="BJ48" i="59"/>
  <c r="BJ54" i="59"/>
  <c r="BJ5" i="61" s="1"/>
  <c r="BJ56" i="59"/>
  <c r="O47" i="59"/>
  <c r="BQ113" i="58"/>
  <c r="BQ116" i="58"/>
  <c r="BQ118" i="58"/>
  <c r="BQ42" i="58"/>
  <c r="BQ44" i="58"/>
  <c r="Q39" i="58"/>
  <c r="BP44" i="58"/>
  <c r="BO30" i="59"/>
  <c r="BP30" i="59"/>
  <c r="BQ29" i="58"/>
  <c r="Q28" i="58"/>
  <c r="Q42" i="58"/>
  <c r="Q43" i="58" s="1"/>
  <c r="BN29" i="59"/>
  <c r="P28" i="59"/>
  <c r="BN32" i="59"/>
  <c r="Q40" i="58"/>
  <c r="C45" i="48"/>
  <c r="C44" i="48"/>
  <c r="BL23" i="60" l="1"/>
  <c r="BL24" i="60" s="1"/>
  <c r="BQ9" i="61"/>
  <c r="BQ10" i="60" s="1"/>
  <c r="BQ44" i="60"/>
  <c r="BQ37" i="60"/>
  <c r="Q17" i="59"/>
  <c r="BK31" i="61"/>
  <c r="BK30" i="61"/>
  <c r="Q25" i="60"/>
  <c r="Q65" i="62"/>
  <c r="BR8" i="61"/>
  <c r="Q8" i="61" s="1"/>
  <c r="BR42" i="60"/>
  <c r="BR43" i="60" s="1"/>
  <c r="BL30" i="61"/>
  <c r="BC23" i="62"/>
  <c r="BC50" i="62" s="1"/>
  <c r="Q23" i="61"/>
  <c r="BR26" i="60"/>
  <c r="BR27" i="60"/>
  <c r="P16" i="62"/>
  <c r="BO16" i="62"/>
  <c r="BP16" i="62" s="1"/>
  <c r="BQ16" i="62" s="1"/>
  <c r="BE60" i="61"/>
  <c r="BD5" i="62"/>
  <c r="M24" i="62"/>
  <c r="BI41" i="62"/>
  <c r="BH45" i="62"/>
  <c r="P63" i="62"/>
  <c r="O57" i="60"/>
  <c r="O59" i="60"/>
  <c r="BR36" i="60"/>
  <c r="BR19" i="61"/>
  <c r="Q19" i="61" s="1"/>
  <c r="Q66" i="61" s="1"/>
  <c r="BJ11" i="60"/>
  <c r="O9" i="60"/>
  <c r="BM30" i="61"/>
  <c r="BM31" i="61" s="1"/>
  <c r="BN55" i="60"/>
  <c r="BN51" i="60"/>
  <c r="BM63" i="60"/>
  <c r="BM60" i="60"/>
  <c r="BM64" i="60"/>
  <c r="Q67" i="61"/>
  <c r="Q60" i="62"/>
  <c r="BD62" i="61"/>
  <c r="BQ41" i="61"/>
  <c r="BP47" i="60"/>
  <c r="BP48" i="60" s="1"/>
  <c r="BP45" i="60"/>
  <c r="BP27" i="61"/>
  <c r="BP29" i="61" s="1"/>
  <c r="BP30" i="62"/>
  <c r="BP31" i="62"/>
  <c r="Q26" i="61"/>
  <c r="P27" i="61"/>
  <c r="BN29" i="61"/>
  <c r="BP50" i="60"/>
  <c r="BP33" i="60"/>
  <c r="BR40" i="61"/>
  <c r="Q40" i="61" s="1"/>
  <c r="BR41" i="61"/>
  <c r="BK9" i="60"/>
  <c r="N46" i="62"/>
  <c r="BG49" i="62"/>
  <c r="BG48" i="62"/>
  <c r="BQ50" i="60"/>
  <c r="BQ33" i="60"/>
  <c r="Q15" i="59"/>
  <c r="BJ30" i="61"/>
  <c r="O5" i="61"/>
  <c r="BQ27" i="62"/>
  <c r="BQ27" i="61" s="1"/>
  <c r="BQ28" i="62"/>
  <c r="BR7" i="61"/>
  <c r="Q7" i="61" s="1"/>
  <c r="BR40" i="60"/>
  <c r="BR41" i="60" s="1"/>
  <c r="Q8" i="59"/>
  <c r="Q29" i="60" s="1"/>
  <c r="Q30" i="60" s="1"/>
  <c r="BR29" i="60"/>
  <c r="BR30" i="60" s="1"/>
  <c r="BR9" i="62"/>
  <c r="Q9" i="62" s="1"/>
  <c r="BR10" i="62"/>
  <c r="Q10" i="62" s="1"/>
  <c r="Q21" i="59"/>
  <c r="BC13" i="62"/>
  <c r="BO35" i="62"/>
  <c r="BO36" i="62"/>
  <c r="BJ63" i="60"/>
  <c r="BJ60" i="60"/>
  <c r="BJ64" i="60"/>
  <c r="Q59" i="62"/>
  <c r="BL57" i="60"/>
  <c r="BL59" i="60"/>
  <c r="BK57" i="60"/>
  <c r="BK59" i="60"/>
  <c r="N48" i="62"/>
  <c r="N49" i="62" s="1"/>
  <c r="P51" i="60"/>
  <c r="P55" i="60"/>
  <c r="BG46" i="62"/>
  <c r="P30" i="62"/>
  <c r="P36" i="62" s="1"/>
  <c r="BN35" i="62"/>
  <c r="P35" i="62" s="1"/>
  <c r="BN36" i="62"/>
  <c r="P45" i="60"/>
  <c r="P47" i="60"/>
  <c r="P48" i="60" s="1"/>
  <c r="BQ25" i="61"/>
  <c r="BR26" i="61"/>
  <c r="Q34" i="61"/>
  <c r="Q41" i="58"/>
  <c r="Q44" i="58"/>
  <c r="O48" i="59"/>
  <c r="O49" i="59"/>
  <c r="BK59" i="59"/>
  <c r="BK55" i="59"/>
  <c r="BK60" i="59"/>
  <c r="BN42" i="59"/>
  <c r="BN43" i="59" s="1"/>
  <c r="BN33" i="59"/>
  <c r="P32" i="59"/>
  <c r="BQ117" i="58"/>
  <c r="Q116" i="58"/>
  <c r="BK56" i="59"/>
  <c r="BQ26" i="59"/>
  <c r="BQ28" i="59"/>
  <c r="BQ30" i="59" s="1"/>
  <c r="BN34" i="59"/>
  <c r="Q29" i="58"/>
  <c r="Q30" i="58"/>
  <c r="BQ43" i="58"/>
  <c r="BQ46" i="58"/>
  <c r="BQ47" i="58" s="1"/>
  <c r="BJ59" i="59"/>
  <c r="O59" i="59" s="1"/>
  <c r="BJ55" i="59"/>
  <c r="BJ60" i="59"/>
  <c r="O54" i="59"/>
  <c r="O55" i="59" s="1"/>
  <c r="BR43" i="58"/>
  <c r="BR46" i="58"/>
  <c r="BR47" i="58" s="1"/>
  <c r="BM60" i="59"/>
  <c r="BM59" i="59"/>
  <c r="BM55" i="59"/>
  <c r="BP42" i="59"/>
  <c r="BP43" i="59" s="1"/>
  <c r="BP33" i="59"/>
  <c r="Q5" i="59"/>
  <c r="BO33" i="59"/>
  <c r="BO42" i="59"/>
  <c r="Q9" i="59"/>
  <c r="BL60" i="59"/>
  <c r="BL59" i="59"/>
  <c r="BL55" i="59"/>
  <c r="BR25" i="59"/>
  <c r="Q23" i="59"/>
  <c r="P29" i="59"/>
  <c r="P34" i="59"/>
  <c r="BM56" i="59"/>
  <c r="BP34" i="59"/>
  <c r="BR118" i="58"/>
  <c r="P30" i="59"/>
  <c r="BL56" i="59"/>
  <c r="E11" i="48"/>
  <c r="E10" i="48"/>
  <c r="G10" i="48"/>
  <c r="G11" i="48"/>
  <c r="I11" i="48"/>
  <c r="I10" i="48"/>
  <c r="D11" i="48"/>
  <c r="D10" i="48"/>
  <c r="F11" i="48"/>
  <c r="F10" i="48"/>
  <c r="H11" i="48"/>
  <c r="H10" i="48"/>
  <c r="C5" i="48"/>
  <c r="BB72" i="59"/>
  <c r="C6" i="48"/>
  <c r="BL60" i="60" l="1"/>
  <c r="BL64" i="60"/>
  <c r="BL63" i="60"/>
  <c r="BQ30" i="62"/>
  <c r="BQ28" i="61"/>
  <c r="BQ29" i="61" s="1"/>
  <c r="BJ41" i="62"/>
  <c r="BI45" i="62"/>
  <c r="BE61" i="61"/>
  <c r="BE62" i="61" s="1"/>
  <c r="Q22" i="59"/>
  <c r="Q40" i="60"/>
  <c r="Q41" i="60" s="1"/>
  <c r="Q16" i="59"/>
  <c r="Q36" i="60"/>
  <c r="BP55" i="60"/>
  <c r="BP51" i="60"/>
  <c r="BR44" i="60"/>
  <c r="BR37" i="60"/>
  <c r="P31" i="62"/>
  <c r="BR32" i="60"/>
  <c r="BL58" i="61"/>
  <c r="BL59" i="61" s="1"/>
  <c r="BL64" i="61"/>
  <c r="Q24" i="59"/>
  <c r="Q42" i="60"/>
  <c r="Q43" i="60" s="1"/>
  <c r="BK63" i="60"/>
  <c r="BK60" i="60"/>
  <c r="BK64" i="60"/>
  <c r="Q62" i="62"/>
  <c r="BR25" i="61"/>
  <c r="BQ51" i="60"/>
  <c r="BQ55" i="60"/>
  <c r="P29" i="61"/>
  <c r="BP35" i="62"/>
  <c r="BP36" i="62" s="1"/>
  <c r="BL31" i="61"/>
  <c r="Q26" i="60"/>
  <c r="Q32" i="60"/>
  <c r="Q18" i="59"/>
  <c r="Q38" i="60"/>
  <c r="Q39" i="60" s="1"/>
  <c r="Q41" i="61"/>
  <c r="Q68" i="61"/>
  <c r="BJ64" i="61"/>
  <c r="O64" i="61" s="1"/>
  <c r="BJ58" i="61"/>
  <c r="O30" i="61"/>
  <c r="BM58" i="61"/>
  <c r="BM59" i="61" s="1"/>
  <c r="BM64" i="61"/>
  <c r="BR28" i="62"/>
  <c r="BR27" i="62"/>
  <c r="BJ66" i="60"/>
  <c r="BJ65" i="60"/>
  <c r="Q61" i="62"/>
  <c r="BR9" i="61"/>
  <c r="BR16" i="62" s="1"/>
  <c r="Q16" i="62" s="1"/>
  <c r="BJ31" i="61"/>
  <c r="BK11" i="60"/>
  <c r="BM66" i="60"/>
  <c r="BM65" i="60"/>
  <c r="BJ23" i="60"/>
  <c r="O11" i="60"/>
  <c r="O63" i="60"/>
  <c r="O60" i="60"/>
  <c r="O64" i="60"/>
  <c r="O65" i="60" s="1"/>
  <c r="BH46" i="62"/>
  <c r="BH48" i="62"/>
  <c r="BH49" i="62" s="1"/>
  <c r="BD12" i="62"/>
  <c r="BD52" i="62"/>
  <c r="BD56" i="62" s="1"/>
  <c r="BD57" i="62" s="1"/>
  <c r="BC24" i="62"/>
  <c r="BK58" i="61"/>
  <c r="BK64" i="61"/>
  <c r="BQ45" i="60"/>
  <c r="BQ47" i="60"/>
  <c r="BQ48" i="60" s="1"/>
  <c r="BO44" i="59"/>
  <c r="BN44" i="59"/>
  <c r="P42" i="59"/>
  <c r="O56" i="59"/>
  <c r="Q117" i="58"/>
  <c r="Q118" i="58"/>
  <c r="BL62" i="59"/>
  <c r="BL61" i="59"/>
  <c r="P33" i="59"/>
  <c r="Q46" i="58"/>
  <c r="Q47" i="58" s="1"/>
  <c r="BQ29" i="59"/>
  <c r="BQ32" i="59"/>
  <c r="M72" i="59"/>
  <c r="BB70" i="59"/>
  <c r="M70" i="59" s="1"/>
  <c r="BR28" i="59"/>
  <c r="BR26" i="59"/>
  <c r="BO43" i="59"/>
  <c r="BP47" i="59"/>
  <c r="BP5" i="60" s="1"/>
  <c r="BP44" i="59"/>
  <c r="BM62" i="59"/>
  <c r="BM61" i="59"/>
  <c r="BJ62" i="59"/>
  <c r="BJ61" i="59"/>
  <c r="O60" i="59"/>
  <c r="O61" i="59" s="1"/>
  <c r="Q25" i="59"/>
  <c r="BK61" i="59"/>
  <c r="BK62" i="59"/>
  <c r="H14" i="48"/>
  <c r="E15" i="48"/>
  <c r="C16" i="48"/>
  <c r="C34" i="48"/>
  <c r="D16" i="48"/>
  <c r="H15" i="48"/>
  <c r="E14" i="48"/>
  <c r="I14" i="48"/>
  <c r="F14" i="48"/>
  <c r="G16" i="48"/>
  <c r="C15" i="48"/>
  <c r="F34" i="48"/>
  <c r="D14" i="48"/>
  <c r="I16" i="48"/>
  <c r="D34" i="48"/>
  <c r="E34" i="48"/>
  <c r="H16" i="48"/>
  <c r="I15" i="48"/>
  <c r="G34" i="48"/>
  <c r="I34" i="48"/>
  <c r="C2" i="48"/>
  <c r="H34" i="48"/>
  <c r="D15" i="48"/>
  <c r="E16" i="48"/>
  <c r="F16" i="48"/>
  <c r="C14" i="48"/>
  <c r="G14" i="48"/>
  <c r="G15" i="48"/>
  <c r="F15" i="48"/>
  <c r="BC72" i="59"/>
  <c r="H35" i="48"/>
  <c r="C18" i="48"/>
  <c r="C17" i="48"/>
  <c r="G17" i="48"/>
  <c r="G18" i="48"/>
  <c r="C21" i="48"/>
  <c r="E21" i="48"/>
  <c r="F21" i="48"/>
  <c r="D21" i="48"/>
  <c r="C10" i="48"/>
  <c r="C11" i="48"/>
  <c r="I21" i="48"/>
  <c r="F17" i="48"/>
  <c r="F18" i="48"/>
  <c r="G21" i="48"/>
  <c r="G35" i="48"/>
  <c r="I18" i="48"/>
  <c r="I17" i="48"/>
  <c r="D18" i="48"/>
  <c r="D17" i="48"/>
  <c r="H21" i="48"/>
  <c r="H17" i="48"/>
  <c r="H18" i="48"/>
  <c r="E18" i="48"/>
  <c r="E17" i="48"/>
  <c r="F35" i="48"/>
  <c r="D35" i="48"/>
  <c r="I35" i="48"/>
  <c r="E35" i="48"/>
  <c r="C35" i="48"/>
  <c r="V72" i="59"/>
  <c r="E72" i="59" s="1"/>
  <c r="E71" i="59" s="1"/>
  <c r="AD72" i="59"/>
  <c r="G72" i="59" s="1"/>
  <c r="G71" i="59" s="1"/>
  <c r="AL72" i="59"/>
  <c r="I72" i="59" s="1"/>
  <c r="I71" i="59" s="1"/>
  <c r="AT72" i="59"/>
  <c r="K72" i="59" s="1"/>
  <c r="K71" i="59" s="1"/>
  <c r="AH72" i="59"/>
  <c r="H72" i="59" s="1"/>
  <c r="H71" i="59" s="1"/>
  <c r="Z72" i="59"/>
  <c r="F72" i="59" s="1"/>
  <c r="F71" i="59" s="1"/>
  <c r="AX72" i="59"/>
  <c r="L72" i="59" s="1"/>
  <c r="L71" i="59" s="1"/>
  <c r="AP72" i="59"/>
  <c r="J72" i="59" s="1"/>
  <c r="J71" i="59" s="1"/>
  <c r="P44" i="59" l="1"/>
  <c r="BN6" i="60"/>
  <c r="BN56" i="60"/>
  <c r="BK59" i="61"/>
  <c r="BD23" i="62"/>
  <c r="BD50" i="62" s="1"/>
  <c r="BD24" i="62"/>
  <c r="BJ24" i="60"/>
  <c r="O23" i="60"/>
  <c r="O24" i="60" s="1"/>
  <c r="BK23" i="60"/>
  <c r="Q33" i="60"/>
  <c r="Q37" i="60"/>
  <c r="Q44" i="60"/>
  <c r="BO56" i="60"/>
  <c r="BO6" i="60"/>
  <c r="Q27" i="62"/>
  <c r="BR27" i="61"/>
  <c r="Q27" i="61" s="1"/>
  <c r="BR30" i="62"/>
  <c r="BK65" i="60"/>
  <c r="BK66" i="60"/>
  <c r="BR50" i="60"/>
  <c r="BR33" i="60"/>
  <c r="BR47" i="60"/>
  <c r="BR48" i="60" s="1"/>
  <c r="BR45" i="60"/>
  <c r="BQ31" i="62"/>
  <c r="BQ35" i="62"/>
  <c r="BQ36" i="62"/>
  <c r="BF60" i="61"/>
  <c r="BE5" i="62"/>
  <c r="BD13" i="62"/>
  <c r="BR28" i="61"/>
  <c r="BR29" i="61" s="1"/>
  <c r="Q28" i="62"/>
  <c r="Q64" i="62" s="1"/>
  <c r="BJ59" i="61"/>
  <c r="O58" i="61"/>
  <c r="Q25" i="61"/>
  <c r="BI46" i="62"/>
  <c r="BI48" i="62"/>
  <c r="BI49" i="62" s="1"/>
  <c r="Q28" i="61"/>
  <c r="BP49" i="59"/>
  <c r="BP6" i="60"/>
  <c r="BP9" i="60" s="1"/>
  <c r="BP11" i="60" s="1"/>
  <c r="BP56" i="60"/>
  <c r="BP57" i="60" s="1"/>
  <c r="BR10" i="60"/>
  <c r="Q10" i="60" s="1"/>
  <c r="Q9" i="61"/>
  <c r="O31" i="61"/>
  <c r="BP59" i="60"/>
  <c r="O41" i="62"/>
  <c r="BK41" i="62"/>
  <c r="BJ45" i="62"/>
  <c r="BL66" i="60"/>
  <c r="BL65" i="60"/>
  <c r="Q26" i="59"/>
  <c r="BP54" i="59"/>
  <c r="BP5" i="61" s="1"/>
  <c r="BP48" i="59"/>
  <c r="BR29" i="59"/>
  <c r="BR32" i="59"/>
  <c r="BR34" i="59" s="1"/>
  <c r="BQ42" i="59"/>
  <c r="BQ43" i="59" s="1"/>
  <c r="BQ33" i="59"/>
  <c r="BC70" i="59"/>
  <c r="BQ34" i="59"/>
  <c r="P43" i="59"/>
  <c r="P45" i="59"/>
  <c r="BR30" i="59"/>
  <c r="M71" i="59"/>
  <c r="BN47" i="59"/>
  <c r="BN5" i="60" s="1"/>
  <c r="P5" i="60" s="1"/>
  <c r="BO47" i="59"/>
  <c r="BO5" i="60" s="1"/>
  <c r="Q28" i="59"/>
  <c r="C3" i="48"/>
  <c r="H22" i="48"/>
  <c r="BD72" i="59"/>
  <c r="BD70" i="59" s="1"/>
  <c r="G22" i="48"/>
  <c r="F25" i="48"/>
  <c r="F22" i="48"/>
  <c r="Q29" i="61" l="1"/>
  <c r="BF62" i="61"/>
  <c r="BF61" i="61"/>
  <c r="BR31" i="62"/>
  <c r="BR35" i="62"/>
  <c r="Q35" i="62" s="1"/>
  <c r="Q30" i="62"/>
  <c r="Q36" i="62" s="1"/>
  <c r="BO57" i="60"/>
  <c r="BO59" i="60"/>
  <c r="P56" i="60"/>
  <c r="BP60" i="60"/>
  <c r="BP64" i="60"/>
  <c r="BP63" i="60"/>
  <c r="Q47" i="60"/>
  <c r="Q48" i="60" s="1"/>
  <c r="Q45" i="60"/>
  <c r="Q50" i="60"/>
  <c r="BJ46" i="62"/>
  <c r="O45" i="62"/>
  <c r="BJ48" i="62"/>
  <c r="O48" i="62" s="1"/>
  <c r="BJ49" i="62"/>
  <c r="BP23" i="60"/>
  <c r="BP24" i="60"/>
  <c r="O61" i="61"/>
  <c r="P60" i="61" s="1"/>
  <c r="O62" i="61"/>
  <c r="Q63" i="62"/>
  <c r="BN57" i="60"/>
  <c r="BN59" i="60"/>
  <c r="Q32" i="59"/>
  <c r="BP30" i="61"/>
  <c r="BP31" i="61" s="1"/>
  <c r="BL41" i="62"/>
  <c r="BK45" i="62"/>
  <c r="BK48" i="62" s="1"/>
  <c r="BK49" i="62" s="1"/>
  <c r="BE52" i="62"/>
  <c r="BE56" i="62" s="1"/>
  <c r="BE57" i="62" s="1"/>
  <c r="BE12" i="62"/>
  <c r="BR51" i="60"/>
  <c r="BR55" i="60"/>
  <c r="O59" i="61"/>
  <c r="BO9" i="60"/>
  <c r="BK24" i="60"/>
  <c r="BN9" i="60"/>
  <c r="P6" i="60"/>
  <c r="Q29" i="59"/>
  <c r="Q34" i="59"/>
  <c r="Q33" i="59"/>
  <c r="BP60" i="59"/>
  <c r="BP59" i="59"/>
  <c r="BP55" i="59"/>
  <c r="BO54" i="59"/>
  <c r="BO5" i="61" s="1"/>
  <c r="BO48" i="59"/>
  <c r="BR42" i="59"/>
  <c r="BR43" i="59" s="1"/>
  <c r="BR33" i="59"/>
  <c r="BP56" i="59"/>
  <c r="BO49" i="59"/>
  <c r="BN48" i="59"/>
  <c r="BN54" i="59"/>
  <c r="BN5" i="61" s="1"/>
  <c r="P47" i="59"/>
  <c r="BN49" i="59"/>
  <c r="BQ44" i="59"/>
  <c r="Q30" i="59"/>
  <c r="H25" i="48"/>
  <c r="C4" i="48"/>
  <c r="BE72" i="59"/>
  <c r="BE70" i="59" s="1"/>
  <c r="E22" i="48"/>
  <c r="E25" i="48"/>
  <c r="C25" i="48"/>
  <c r="C22" i="48"/>
  <c r="G25" i="48"/>
  <c r="E38" i="48"/>
  <c r="E40" i="48"/>
  <c r="E41" i="48"/>
  <c r="E39" i="48"/>
  <c r="D39" i="48"/>
  <c r="D41" i="48"/>
  <c r="D40" i="48"/>
  <c r="D38" i="48"/>
  <c r="D25" i="48"/>
  <c r="D22" i="48"/>
  <c r="I40" i="48"/>
  <c r="I39" i="48"/>
  <c r="I38" i="48"/>
  <c r="I41" i="48"/>
  <c r="I25" i="48"/>
  <c r="I22" i="48"/>
  <c r="H38" i="48"/>
  <c r="H39" i="48"/>
  <c r="H41" i="48"/>
  <c r="H40" i="48"/>
  <c r="F39" i="48"/>
  <c r="F41" i="48"/>
  <c r="F38" i="48"/>
  <c r="F40" i="48"/>
  <c r="G40" i="48"/>
  <c r="G38" i="48"/>
  <c r="G39" i="48"/>
  <c r="G41" i="48"/>
  <c r="C38" i="48"/>
  <c r="C40" i="48"/>
  <c r="C39" i="48"/>
  <c r="C41" i="48"/>
  <c r="BQ6" i="60" l="1"/>
  <c r="BQ56" i="60"/>
  <c r="P5" i="61"/>
  <c r="BN31" i="61"/>
  <c r="BN30" i="61"/>
  <c r="BO30" i="61"/>
  <c r="BE23" i="62"/>
  <c r="BE50" i="62" s="1"/>
  <c r="BM41" i="62"/>
  <c r="BL45" i="62"/>
  <c r="O46" i="62"/>
  <c r="O49" i="62"/>
  <c r="P57" i="60"/>
  <c r="P59" i="60"/>
  <c r="BQ47" i="59"/>
  <c r="BQ5" i="60" s="1"/>
  <c r="BN56" i="59"/>
  <c r="BN63" i="60"/>
  <c r="BN64" i="60"/>
  <c r="BN60" i="60"/>
  <c r="BO63" i="60"/>
  <c r="BO64" i="60"/>
  <c r="BO60" i="60"/>
  <c r="BO11" i="60"/>
  <c r="BP58" i="61"/>
  <c r="BP59" i="61" s="1"/>
  <c r="BP64" i="61"/>
  <c r="Q55" i="60"/>
  <c r="Q51" i="60"/>
  <c r="BP65" i="60"/>
  <c r="BN11" i="60"/>
  <c r="P9" i="60"/>
  <c r="BE13" i="62"/>
  <c r="BK46" i="62"/>
  <c r="Q31" i="62"/>
  <c r="BR36" i="62"/>
  <c r="BF5" i="62"/>
  <c r="BG60" i="61"/>
  <c r="BQ54" i="59"/>
  <c r="BQ5" i="61" s="1"/>
  <c r="BQ48" i="59"/>
  <c r="Q42" i="59"/>
  <c r="BO59" i="59"/>
  <c r="BO55" i="59"/>
  <c r="BO60" i="59"/>
  <c r="P48" i="59"/>
  <c r="P49" i="59"/>
  <c r="BR47" i="59"/>
  <c r="BR5" i="60" s="1"/>
  <c r="BR44" i="59"/>
  <c r="BP61" i="59"/>
  <c r="BQ49" i="59"/>
  <c r="BN59" i="59"/>
  <c r="P59" i="59" s="1"/>
  <c r="BN55" i="59"/>
  <c r="BN60" i="59"/>
  <c r="P54" i="59"/>
  <c r="P55" i="59" s="1"/>
  <c r="BO56" i="59"/>
  <c r="H28" i="48"/>
  <c r="E28" i="48"/>
  <c r="BF72" i="59"/>
  <c r="BF70" i="59" s="1"/>
  <c r="N70" i="59" s="1"/>
  <c r="C7" i="48"/>
  <c r="F28" i="48"/>
  <c r="H26" i="48"/>
  <c r="H27" i="48"/>
  <c r="F26" i="48"/>
  <c r="F27" i="48"/>
  <c r="D26" i="48"/>
  <c r="D27" i="48"/>
  <c r="D28" i="48"/>
  <c r="BQ30" i="61" l="1"/>
  <c r="BQ31" i="61"/>
  <c r="BO23" i="60"/>
  <c r="BO66" i="60"/>
  <c r="BO65" i="60"/>
  <c r="P60" i="60"/>
  <c r="P64" i="60"/>
  <c r="P65" i="60" s="1"/>
  <c r="P63" i="60"/>
  <c r="BL46" i="62"/>
  <c r="BL48" i="62"/>
  <c r="BL49" i="62" s="1"/>
  <c r="BO64" i="61"/>
  <c r="BO58" i="61"/>
  <c r="Q47" i="59"/>
  <c r="BQ56" i="59"/>
  <c r="BN23" i="60"/>
  <c r="P11" i="60"/>
  <c r="BN41" i="62"/>
  <c r="BM45" i="62"/>
  <c r="BM48" i="62" s="1"/>
  <c r="BM49" i="62" s="1"/>
  <c r="BM46" i="62"/>
  <c r="BO31" i="61"/>
  <c r="Q44" i="59"/>
  <c r="BR6" i="60"/>
  <c r="BR9" i="60" s="1"/>
  <c r="BR11" i="60" s="1"/>
  <c r="BR23" i="60" s="1"/>
  <c r="BR24" i="60" s="1"/>
  <c r="BR56" i="60"/>
  <c r="P56" i="59"/>
  <c r="BG61" i="61"/>
  <c r="BG62" i="61"/>
  <c r="BP66" i="60"/>
  <c r="BE24" i="62"/>
  <c r="BQ57" i="60"/>
  <c r="BQ59" i="60"/>
  <c r="BF12" i="62"/>
  <c r="N5" i="62"/>
  <c r="N52" i="62" s="1"/>
  <c r="N56" i="62" s="1"/>
  <c r="N57" i="62" s="1"/>
  <c r="BF52" i="62"/>
  <c r="BF56" i="62" s="1"/>
  <c r="BF57" i="62" s="1"/>
  <c r="BF13" i="62"/>
  <c r="N13" i="62" s="1"/>
  <c r="BN66" i="60"/>
  <c r="BN65" i="60"/>
  <c r="Q5" i="60"/>
  <c r="BN64" i="61"/>
  <c r="P64" i="61" s="1"/>
  <c r="BN58" i="61"/>
  <c r="P30" i="61"/>
  <c r="BQ9" i="60"/>
  <c r="Q6" i="60"/>
  <c r="C31" i="48"/>
  <c r="C27" i="48"/>
  <c r="BN62" i="59"/>
  <c r="BN61" i="59"/>
  <c r="P60" i="59"/>
  <c r="P61" i="59" s="1"/>
  <c r="BR54" i="59"/>
  <c r="BR5" i="61" s="1"/>
  <c r="BR48" i="59"/>
  <c r="BO61" i="59"/>
  <c r="BO62" i="59"/>
  <c r="BP62" i="59"/>
  <c r="BR49" i="59"/>
  <c r="BQ60" i="59"/>
  <c r="BQ59" i="59"/>
  <c r="BQ55" i="59"/>
  <c r="Q48" i="59"/>
  <c r="N72" i="59"/>
  <c r="N71" i="59" s="1"/>
  <c r="Q49" i="59"/>
  <c r="Q43" i="59"/>
  <c r="C26" i="48"/>
  <c r="I26" i="48"/>
  <c r="I27" i="48"/>
  <c r="E27" i="48"/>
  <c r="I28" i="48"/>
  <c r="D31" i="48"/>
  <c r="F31" i="48"/>
  <c r="H31" i="48"/>
  <c r="E26" i="48"/>
  <c r="C28" i="48"/>
  <c r="BG72" i="59"/>
  <c r="G28" i="48"/>
  <c r="G26" i="48"/>
  <c r="G27" i="48"/>
  <c r="BR30" i="61" l="1"/>
  <c r="BR31" i="61"/>
  <c r="BQ60" i="60"/>
  <c r="BQ63" i="60"/>
  <c r="BQ64" i="60"/>
  <c r="BR57" i="60"/>
  <c r="BR59" i="60"/>
  <c r="BO24" i="60"/>
  <c r="BQ11" i="60"/>
  <c r="Q9" i="60"/>
  <c r="P59" i="61"/>
  <c r="Q5" i="61"/>
  <c r="BH60" i="61"/>
  <c r="BG5" i="62"/>
  <c r="Q45" i="59"/>
  <c r="Q56" i="60"/>
  <c r="BN24" i="60"/>
  <c r="P23" i="60"/>
  <c r="P24" i="60" s="1"/>
  <c r="BO59" i="61"/>
  <c r="BN59" i="61"/>
  <c r="P58" i="61"/>
  <c r="BF23" i="62"/>
  <c r="N12" i="62"/>
  <c r="P31" i="61"/>
  <c r="P41" i="62"/>
  <c r="BO41" i="62"/>
  <c r="BN45" i="62"/>
  <c r="BN46" i="62"/>
  <c r="BQ58" i="61"/>
  <c r="BQ64" i="61"/>
  <c r="I31" i="48"/>
  <c r="BG70" i="59"/>
  <c r="BQ62" i="59"/>
  <c r="BQ61" i="59"/>
  <c r="Q60" i="59"/>
  <c r="Q61" i="59" s="1"/>
  <c r="BR59" i="59"/>
  <c r="Q59" i="59" s="1"/>
  <c r="BR55" i="59"/>
  <c r="BR60" i="59"/>
  <c r="Q54" i="59"/>
  <c r="BR56" i="59"/>
  <c r="G31" i="48"/>
  <c r="E31" i="48"/>
  <c r="BH72" i="59"/>
  <c r="BH70" i="59" s="1"/>
  <c r="J34" i="48"/>
  <c r="N23" i="62" l="1"/>
  <c r="N50" i="62" s="1"/>
  <c r="BF50" i="62"/>
  <c r="P61" i="61"/>
  <c r="Q60" i="61" s="1"/>
  <c r="P62" i="61"/>
  <c r="BG52" i="62"/>
  <c r="BG56" i="62" s="1"/>
  <c r="BG57" i="62" s="1"/>
  <c r="BG12" i="62"/>
  <c r="BR64" i="60"/>
  <c r="BR60" i="60"/>
  <c r="BR63" i="60"/>
  <c r="BQ59" i="61"/>
  <c r="P45" i="62"/>
  <c r="BN48" i="62"/>
  <c r="P48" i="62" s="1"/>
  <c r="BN49" i="62"/>
  <c r="BF24" i="62"/>
  <c r="BH61" i="61"/>
  <c r="BQ23" i="60"/>
  <c r="Q23" i="60" s="1"/>
  <c r="Q24" i="60" s="1"/>
  <c r="Q11" i="60"/>
  <c r="BP41" i="62"/>
  <c r="BO45" i="62"/>
  <c r="BO46" i="62" s="1"/>
  <c r="N24" i="62"/>
  <c r="Q57" i="60"/>
  <c r="Q59" i="60"/>
  <c r="BQ66" i="60"/>
  <c r="BQ65" i="60"/>
  <c r="BR64" i="61"/>
  <c r="Q64" i="61" s="1"/>
  <c r="BR58" i="61"/>
  <c r="BR59" i="61" s="1"/>
  <c r="Q30" i="61"/>
  <c r="BR62" i="59"/>
  <c r="BR61" i="59"/>
  <c r="Q55" i="59"/>
  <c r="Q56" i="59"/>
  <c r="J15" i="48"/>
  <c r="BI72" i="59"/>
  <c r="BI70" i="59" s="1"/>
  <c r="J35" i="48"/>
  <c r="BQ41" i="62" l="1"/>
  <c r="BP45" i="62"/>
  <c r="BP46" i="62"/>
  <c r="BG24" i="62"/>
  <c r="BG23" i="62"/>
  <c r="BG50" i="62" s="1"/>
  <c r="BI60" i="61"/>
  <c r="BH5" i="62"/>
  <c r="Q31" i="61"/>
  <c r="BH62" i="61"/>
  <c r="P49" i="62"/>
  <c r="BR66" i="60"/>
  <c r="BR65" i="60"/>
  <c r="P46" i="62"/>
  <c r="Q63" i="60"/>
  <c r="Q60" i="60"/>
  <c r="Q64" i="60"/>
  <c r="Q65" i="60" s="1"/>
  <c r="BO48" i="62"/>
  <c r="BO49" i="62" s="1"/>
  <c r="BQ24" i="60"/>
  <c r="BG13" i="62"/>
  <c r="Q58" i="61"/>
  <c r="Q61" i="61" s="1"/>
  <c r="Q62" i="61" s="1"/>
  <c r="BJ72" i="59"/>
  <c r="BJ70" i="59" s="1"/>
  <c r="O70" i="59" s="1"/>
  <c r="BH52" i="62" l="1"/>
  <c r="BH56" i="62" s="1"/>
  <c r="BH57" i="62" s="1"/>
  <c r="BH12" i="62"/>
  <c r="BI61" i="61"/>
  <c r="Q59" i="61"/>
  <c r="BP48" i="62"/>
  <c r="BP49" i="62"/>
  <c r="BR41" i="62"/>
  <c r="BQ45" i="62"/>
  <c r="BQ46" i="62"/>
  <c r="O72" i="59"/>
  <c r="O71" i="59" s="1"/>
  <c r="J14" i="48"/>
  <c r="BK72" i="59"/>
  <c r="J22" i="48"/>
  <c r="BJ60" i="61" l="1"/>
  <c r="BI5" i="62"/>
  <c r="BH23" i="62"/>
  <c r="BH50" i="62" s="1"/>
  <c r="BH24" i="62"/>
  <c r="BQ49" i="62"/>
  <c r="BQ48" i="62"/>
  <c r="Q41" i="62"/>
  <c r="BR45" i="62"/>
  <c r="BI62" i="61"/>
  <c r="BH13" i="62"/>
  <c r="BK70" i="59"/>
  <c r="BL72" i="59"/>
  <c r="BL70" i="59" s="1"/>
  <c r="J25" i="48"/>
  <c r="J17" i="48"/>
  <c r="K34" i="48"/>
  <c r="BR46" i="62" l="1"/>
  <c r="Q45" i="62"/>
  <c r="BR48" i="62"/>
  <c r="Q48" i="62" s="1"/>
  <c r="BR49" i="62"/>
  <c r="Q46" i="62"/>
  <c r="BI52" i="62"/>
  <c r="BI56" i="62" s="1"/>
  <c r="BI57" i="62" s="1"/>
  <c r="BI12" i="62"/>
  <c r="BI13" i="62"/>
  <c r="BJ61" i="61"/>
  <c r="BJ62" i="61" s="1"/>
  <c r="J16" i="48"/>
  <c r="BM72" i="59"/>
  <c r="BM70" i="59" s="1"/>
  <c r="K35" i="48"/>
  <c r="BI23" i="62" l="1"/>
  <c r="BI50" i="62" s="1"/>
  <c r="BI24" i="62"/>
  <c r="Q49" i="62"/>
  <c r="BK60" i="61"/>
  <c r="BJ5" i="62"/>
  <c r="BN72" i="59"/>
  <c r="BN70" i="59" s="1"/>
  <c r="P70" i="59" s="1"/>
  <c r="BK61" i="61" l="1"/>
  <c r="BK62" i="61"/>
  <c r="BJ52" i="62"/>
  <c r="BJ56" i="62" s="1"/>
  <c r="BJ57" i="62" s="1"/>
  <c r="BJ12" i="62"/>
  <c r="O5" i="62"/>
  <c r="O52" i="62" s="1"/>
  <c r="O56" i="62" s="1"/>
  <c r="O57" i="62" s="1"/>
  <c r="P72" i="59"/>
  <c r="P71" i="59" s="1"/>
  <c r="K15" i="48"/>
  <c r="K14" i="48"/>
  <c r="BO72" i="59"/>
  <c r="BJ23" i="62" l="1"/>
  <c r="O12" i="62"/>
  <c r="BJ24" i="62"/>
  <c r="BJ13" i="62"/>
  <c r="O13" i="62" s="1"/>
  <c r="BL60" i="61"/>
  <c r="BK5" i="62"/>
  <c r="BO70" i="59"/>
  <c r="BP72" i="59"/>
  <c r="BP70" i="59" s="1"/>
  <c r="J26" i="48"/>
  <c r="K17" i="48"/>
  <c r="BK52" i="62" l="1"/>
  <c r="BK56" i="62" s="1"/>
  <c r="BK57" i="62" s="1"/>
  <c r="BK12" i="62"/>
  <c r="BK13" i="62"/>
  <c r="O24" i="62"/>
  <c r="BL61" i="61"/>
  <c r="BL62" i="61"/>
  <c r="O23" i="62"/>
  <c r="O50" i="62" s="1"/>
  <c r="BJ50" i="62"/>
  <c r="K25" i="48"/>
  <c r="K22" i="48"/>
  <c r="J31" i="48"/>
  <c r="K16" i="48"/>
  <c r="L34" i="48"/>
  <c r="BQ72" i="59"/>
  <c r="BQ70" i="59" s="1"/>
  <c r="BK23" i="62" l="1"/>
  <c r="BK50" i="62" s="1"/>
  <c r="BK24" i="62"/>
  <c r="BL5" i="62"/>
  <c r="BM60" i="61"/>
  <c r="L35" i="48"/>
  <c r="BR72" i="59"/>
  <c r="BR70" i="59" s="1"/>
  <c r="Q70" i="59" s="1"/>
  <c r="BM61" i="61" l="1"/>
  <c r="BL52" i="62"/>
  <c r="BL56" i="62" s="1"/>
  <c r="BL57" i="62" s="1"/>
  <c r="BL12" i="62"/>
  <c r="Q72" i="59"/>
  <c r="Q71" i="59" s="1"/>
  <c r="L15" i="48"/>
  <c r="BL23" i="62" l="1"/>
  <c r="BL50" i="62" s="1"/>
  <c r="BL24" i="62"/>
  <c r="BM5" i="62"/>
  <c r="BN60" i="61"/>
  <c r="BL13" i="62"/>
  <c r="BM62" i="61"/>
  <c r="L16" i="48"/>
  <c r="L14" i="48"/>
  <c r="K26" i="48"/>
  <c r="M34" i="48"/>
  <c r="BN61" i="61" l="1"/>
  <c r="BN62" i="61"/>
  <c r="BM52" i="62"/>
  <c r="BM56" i="62" s="1"/>
  <c r="BM57" i="62" s="1"/>
  <c r="BM12" i="62"/>
  <c r="L17" i="48"/>
  <c r="K31" i="48"/>
  <c r="L25" i="48"/>
  <c r="L22" i="48"/>
  <c r="M35" i="48"/>
  <c r="BM23" i="62" l="1"/>
  <c r="BM50" i="62" s="1"/>
  <c r="BM24" i="62"/>
  <c r="BM13" i="62"/>
  <c r="BN5" i="62"/>
  <c r="BO60" i="61"/>
  <c r="M15" i="48"/>
  <c r="P5" i="62" l="1"/>
  <c r="P52" i="62" s="1"/>
  <c r="P56" i="62" s="1"/>
  <c r="P57" i="62" s="1"/>
  <c r="BN12" i="62"/>
  <c r="BN52" i="62"/>
  <c r="BN56" i="62" s="1"/>
  <c r="BN57" i="62" s="1"/>
  <c r="BN13" i="62"/>
  <c r="P13" i="62" s="1"/>
  <c r="BO61" i="61"/>
  <c r="M14" i="48"/>
  <c r="BP60" i="61" l="1"/>
  <c r="BO5" i="62"/>
  <c r="BN23" i="62"/>
  <c r="P12" i="62"/>
  <c r="BO62" i="61"/>
  <c r="L26" i="48"/>
  <c r="L31" i="48"/>
  <c r="M25" i="48"/>
  <c r="M22" i="48"/>
  <c r="M17" i="48"/>
  <c r="P23" i="62" l="1"/>
  <c r="P50" i="62" s="1"/>
  <c r="BN50" i="62"/>
  <c r="BO13" i="62"/>
  <c r="BO12" i="62"/>
  <c r="BO52" i="62"/>
  <c r="BO56" i="62" s="1"/>
  <c r="BO57" i="62" s="1"/>
  <c r="BN24" i="62"/>
  <c r="BP62" i="61"/>
  <c r="BP61" i="61"/>
  <c r="M16" i="48"/>
  <c r="BQ60" i="61" l="1"/>
  <c r="BP5" i="62"/>
  <c r="BO23" i="62"/>
  <c r="BO50" i="62" s="1"/>
  <c r="BO24" i="62"/>
  <c r="P24" i="62"/>
  <c r="N34" i="48"/>
  <c r="N35" i="48"/>
  <c r="N15" i="48"/>
  <c r="BP12" i="62" l="1"/>
  <c r="BP52" i="62"/>
  <c r="BP56" i="62" s="1"/>
  <c r="BP57" i="62" s="1"/>
  <c r="BQ61" i="61"/>
  <c r="N14" i="48"/>
  <c r="M26" i="48"/>
  <c r="N25" i="48"/>
  <c r="N22" i="48"/>
  <c r="BP23" i="62" l="1"/>
  <c r="BP50" i="62" s="1"/>
  <c r="BP24" i="62"/>
  <c r="BQ5" i="62"/>
  <c r="BR60" i="61"/>
  <c r="BQ62" i="61"/>
  <c r="BP13" i="62"/>
  <c r="N16" i="48"/>
  <c r="M31" i="48"/>
  <c r="N17" i="48"/>
  <c r="BR61" i="61" l="1"/>
  <c r="BR5" i="62" s="1"/>
  <c r="BR62" i="61"/>
  <c r="BQ12" i="62"/>
  <c r="BQ13" i="62"/>
  <c r="BQ52" i="62"/>
  <c r="BQ56" i="62" s="1"/>
  <c r="BQ57" i="62" s="1"/>
  <c r="BQ23" i="62" l="1"/>
  <c r="BQ50" i="62" s="1"/>
  <c r="BQ24" i="62"/>
  <c r="BR52" i="62"/>
  <c r="BR56" i="62" s="1"/>
  <c r="BR57" i="62" s="1"/>
  <c r="BR12" i="62"/>
  <c r="Q5" i="62"/>
  <c r="Q52" i="62" s="1"/>
  <c r="Q56" i="62" s="1"/>
  <c r="Q57" i="62" s="1"/>
  <c r="BR13" i="62"/>
  <c r="Q13" i="62" s="1"/>
  <c r="BR23" i="62" l="1"/>
  <c r="Q12" i="62"/>
  <c r="N26" i="48"/>
  <c r="Q24" i="62" l="1"/>
  <c r="Q23" i="62"/>
  <c r="Q50" i="62" s="1"/>
  <c r="BR50" i="62"/>
  <c r="BR24" i="62"/>
  <c r="N31" i="48"/>
  <c r="A50" i="48" l="1"/>
  <c r="A49" i="48"/>
  <c r="A48" i="48"/>
  <c r="J10" i="48" l="1"/>
  <c r="J11" i="48"/>
  <c r="J21" i="48" l="1"/>
  <c r="J18" i="48"/>
  <c r="J27" i="48"/>
  <c r="J38" i="48"/>
  <c r="J41" i="48"/>
  <c r="J39" i="48"/>
  <c r="J40" i="48"/>
  <c r="J28" i="48" l="1"/>
  <c r="K11" i="48" l="1"/>
  <c r="K10" i="48" l="1"/>
  <c r="K28" i="48"/>
  <c r="K41" i="48"/>
  <c r="K38" i="48"/>
  <c r="K39" i="48"/>
  <c r="K40" i="48"/>
  <c r="K18" i="48" l="1"/>
  <c r="K27" i="48"/>
  <c r="K21" i="48"/>
  <c r="L11" i="48" l="1"/>
  <c r="L10" i="48"/>
  <c r="L40" i="48"/>
  <c r="L39" i="48"/>
  <c r="L38" i="48"/>
  <c r="L41" i="48"/>
  <c r="L28" i="48" l="1"/>
  <c r="L21" i="48"/>
  <c r="L27" i="48"/>
  <c r="L18" i="48"/>
  <c r="M39" i="48" l="1"/>
  <c r="M38" i="48"/>
  <c r="M40" i="48"/>
  <c r="M41" i="48"/>
  <c r="M11" i="48"/>
  <c r="M10" i="48"/>
  <c r="M21" i="48" l="1"/>
  <c r="M27" i="48"/>
  <c r="M18" i="48"/>
  <c r="M28" i="48"/>
  <c r="N10" i="48" l="1"/>
  <c r="N11" i="48"/>
  <c r="N28" i="48" l="1"/>
  <c r="N41" i="48"/>
  <c r="N38" i="48"/>
  <c r="N40" i="48"/>
  <c r="N39" i="48"/>
  <c r="N21" i="48"/>
  <c r="N27" i="48"/>
  <c r="N18" i="48"/>
</calcChain>
</file>

<file path=xl/sharedStrings.xml><?xml version="1.0" encoding="utf-8"?>
<sst xmlns="http://schemas.openxmlformats.org/spreadsheetml/2006/main" count="996" uniqueCount="353">
  <si>
    <t>Tax Rate</t>
  </si>
  <si>
    <t>Total Assets</t>
  </si>
  <si>
    <t>Total Liabilities</t>
  </si>
  <si>
    <t>Assets:</t>
  </si>
  <si>
    <t>Y/Y</t>
  </si>
  <si>
    <t>Q/Q</t>
  </si>
  <si>
    <t>% of Revenue</t>
  </si>
  <si>
    <t>Check</t>
  </si>
  <si>
    <t>Total Current Assets</t>
  </si>
  <si>
    <t>Total Current Liabilities</t>
  </si>
  <si>
    <t>Net Income</t>
  </si>
  <si>
    <t>Cash and Cash Equivalents</t>
  </si>
  <si>
    <t>Cash Flows from Operating Activities:</t>
  </si>
  <si>
    <t>Cash Flows from Financing Activities:</t>
  </si>
  <si>
    <t>Cash Flows from Investing Activities:</t>
  </si>
  <si>
    <t>2013A</t>
  </si>
  <si>
    <t>2014A</t>
  </si>
  <si>
    <t>2015A</t>
  </si>
  <si>
    <t>2016A</t>
  </si>
  <si>
    <t>1Q17A</t>
  </si>
  <si>
    <t>2Q17A</t>
  </si>
  <si>
    <t>3Q17A</t>
  </si>
  <si>
    <t>Depreciation and Amortization</t>
  </si>
  <si>
    <t>Operating Expenses:</t>
  </si>
  <si>
    <t>Total Operating Expenses</t>
  </si>
  <si>
    <t>2017A</t>
  </si>
  <si>
    <t>4Q17A</t>
  </si>
  <si>
    <t>Basic</t>
  </si>
  <si>
    <t>Diluted</t>
  </si>
  <si>
    <t>Net Debt</t>
  </si>
  <si>
    <t>Total Debt</t>
  </si>
  <si>
    <t>Free Cash Flow</t>
  </si>
  <si>
    <t>Invested Capital</t>
  </si>
  <si>
    <t>Short-Term Debt</t>
  </si>
  <si>
    <t>Long-Term Debt</t>
  </si>
  <si>
    <t>Earnings Per Common Share:</t>
  </si>
  <si>
    <t>Weighted Average Shares Outstanding:</t>
  </si>
  <si>
    <t>2018A</t>
  </si>
  <si>
    <t>1Q18A</t>
  </si>
  <si>
    <t>2Q18A</t>
  </si>
  <si>
    <t>3Q18A</t>
  </si>
  <si>
    <t>4Q18A</t>
  </si>
  <si>
    <t>Stockholders’ Equity (Deficit):</t>
  </si>
  <si>
    <t>Adjustments to Reconcile Net Income to Net Cash Provided by Operating Activities:</t>
  </si>
  <si>
    <t>Changes in Operating Assets and Liabilities:</t>
  </si>
  <si>
    <t>Net Changes in Operating Assets and Liabilities</t>
  </si>
  <si>
    <t>2Q20E</t>
  </si>
  <si>
    <t>3Q20E</t>
  </si>
  <si>
    <t>4Q20E</t>
  </si>
  <si>
    <t>1Q21E</t>
  </si>
  <si>
    <t>2Q21E</t>
  </si>
  <si>
    <t>3Q21E</t>
  </si>
  <si>
    <t>4Q21E</t>
  </si>
  <si>
    <t>1Q22E</t>
  </si>
  <si>
    <t>2Q22E</t>
  </si>
  <si>
    <t>3Q22E</t>
  </si>
  <si>
    <t>4Q22E</t>
  </si>
  <si>
    <t>1Q23E</t>
  </si>
  <si>
    <t>2Q23E</t>
  </si>
  <si>
    <t>3Q23E</t>
  </si>
  <si>
    <t>4Q23E</t>
  </si>
  <si>
    <t>2020E</t>
  </si>
  <si>
    <t>2021E</t>
  </si>
  <si>
    <t>2022E</t>
  </si>
  <si>
    <t>2023E</t>
  </si>
  <si>
    <t>Debt Ratio</t>
  </si>
  <si>
    <t>Interest Coverage Ratio</t>
  </si>
  <si>
    <t>Quick Ratio</t>
  </si>
  <si>
    <t>Current Ratio</t>
  </si>
  <si>
    <t>Effective Tax Rate</t>
  </si>
  <si>
    <t>Return on Assets</t>
  </si>
  <si>
    <t>Return on Invested Capital</t>
  </si>
  <si>
    <t>EBIT Margin</t>
  </si>
  <si>
    <t>Enterprise Value</t>
  </si>
  <si>
    <t>EV/ Sales</t>
  </si>
  <si>
    <t>EV/ EBITDA</t>
  </si>
  <si>
    <t>EV/ EBIT</t>
  </si>
  <si>
    <t>EV/ Operating Cash Flow</t>
  </si>
  <si>
    <t>Total Asset Turnover</t>
  </si>
  <si>
    <t>EBITDA</t>
  </si>
  <si>
    <t>Revenues</t>
  </si>
  <si>
    <t>EBIT</t>
  </si>
  <si>
    <t>Goodwill and Intangible Assets, net</t>
  </si>
  <si>
    <t>Waterfall Chart</t>
  </si>
  <si>
    <t>Revenue</t>
  </si>
  <si>
    <t>LIQUIDITY_CHART</t>
  </si>
  <si>
    <t>ASSET_MANAGEMENT</t>
  </si>
  <si>
    <t>Fixed Assets Turnover</t>
  </si>
  <si>
    <t>DEBT_MANAGEMENT</t>
  </si>
  <si>
    <t>PROFITABILITY_INDICATORS</t>
  </si>
  <si>
    <t>EPS</t>
  </si>
  <si>
    <t>SALES_AND_SALES_GROWTH</t>
  </si>
  <si>
    <t>EV_MULTIPLES</t>
  </si>
  <si>
    <t>REVENUE_SEGMENTS</t>
  </si>
  <si>
    <t>Net Income Margin</t>
  </si>
  <si>
    <t>OPEX</t>
  </si>
  <si>
    <t>Interest and Other</t>
  </si>
  <si>
    <t>Taxes</t>
  </si>
  <si>
    <t>DIVIDEND_PAYOUT</t>
  </si>
  <si>
    <t>NM</t>
  </si>
  <si>
    <t>NA</t>
  </si>
  <si>
    <t>Cash and Cash Equivalents (including Investments)</t>
  </si>
  <si>
    <t>1Q19A</t>
  </si>
  <si>
    <t>Z-Score Analysis</t>
  </si>
  <si>
    <t>Profitability Ratios</t>
  </si>
  <si>
    <t>ROE Decomposition</t>
  </si>
  <si>
    <t>Price Ratio Analysis</t>
  </si>
  <si>
    <t>Asset Management Ratios</t>
  </si>
  <si>
    <t>Per Share Data</t>
  </si>
  <si>
    <t>Employee Data</t>
  </si>
  <si>
    <t>Income Statement - Trend Analysis</t>
  </si>
  <si>
    <t>Income Statement - Common Size Analysis</t>
  </si>
  <si>
    <t>Balance Sheet - Common Size Analysis</t>
  </si>
  <si>
    <t>Balance Sheet - Trend Analysis</t>
  </si>
  <si>
    <t>Balance Sheet - Assets Utilization (% of Sales)</t>
  </si>
  <si>
    <t>Cash Flow Indicators</t>
  </si>
  <si>
    <t>2Q19A</t>
  </si>
  <si>
    <t>Operating Income (Loss)</t>
  </si>
  <si>
    <t>Non-Operating Income (Expense):</t>
  </si>
  <si>
    <t>Total Non-Operating Income (Expense)</t>
  </si>
  <si>
    <t>Pretax Income (Loss)</t>
  </si>
  <si>
    <t>Provision for (Benefit from) Income Taxes</t>
  </si>
  <si>
    <t>Net Income (Loss)</t>
  </si>
  <si>
    <t>Net Cash Provided by (Used in) Operating Activities</t>
  </si>
  <si>
    <t>Cash and Cash Equivalents, Beginning of the Period</t>
  </si>
  <si>
    <t>Liabilities:</t>
  </si>
  <si>
    <t>Total Stockholders' Equity</t>
  </si>
  <si>
    <t>Capex as % of Revenue</t>
  </si>
  <si>
    <t>Net Cash Provided by (Used in) Investing Activities</t>
  </si>
  <si>
    <t>Net Cash Provided by (Used in) Financing Activities</t>
  </si>
  <si>
    <t>Other Liabilities</t>
  </si>
  <si>
    <t>Additional Paid-in Capital</t>
  </si>
  <si>
    <t>1Q20A</t>
  </si>
  <si>
    <t>4Q19E</t>
  </si>
  <si>
    <t>2019E</t>
  </si>
  <si>
    <t>Non-controlling Interest</t>
  </si>
  <si>
    <t>Other Non-cash Items</t>
  </si>
  <si>
    <t>Prepaid Expenses and Other Assets</t>
  </si>
  <si>
    <t>Proceeds from Exercise of Stock Options</t>
  </si>
  <si>
    <t>Effect of Exchange Rates on Cash and Cash Equivalents</t>
  </si>
  <si>
    <t>Changes in Cash and Cash Equivalents</t>
  </si>
  <si>
    <t>Cash and Cash Equivalents, End of the Period</t>
  </si>
  <si>
    <t>Goodwill</t>
  </si>
  <si>
    <t>Other Intangible Assets, Net</t>
  </si>
  <si>
    <t>Accumulated Other Comprehensive Loss</t>
  </si>
  <si>
    <t>gaap_sales</t>
  </si>
  <si>
    <t>gaap_operating_profit</t>
  </si>
  <si>
    <t>interest_expense</t>
  </si>
  <si>
    <t>basic_eps</t>
  </si>
  <si>
    <t>diluted_eps</t>
  </si>
  <si>
    <t>cce</t>
  </si>
  <si>
    <t>account_receivables</t>
  </si>
  <si>
    <t>current_assets</t>
  </si>
  <si>
    <t>net_ppe</t>
  </si>
  <si>
    <t>intangible_assets</t>
  </si>
  <si>
    <t>total_assets</t>
  </si>
  <si>
    <t>current_liabilities</t>
  </si>
  <si>
    <t>total_liabilities</t>
  </si>
  <si>
    <t>common_equity</t>
  </si>
  <si>
    <t>additional_paid_in_capital</t>
  </si>
  <si>
    <t>retained_earnings</t>
  </si>
  <si>
    <t>liabilities_and_stockholders_equity</t>
  </si>
  <si>
    <t>cash_and_cash_equivalents</t>
  </si>
  <si>
    <t>short_term_debt</t>
  </si>
  <si>
    <t>long_term_debt</t>
  </si>
  <si>
    <t>total_debt</t>
  </si>
  <si>
    <t>net_debt</t>
  </si>
  <si>
    <t>invested_capital</t>
  </si>
  <si>
    <t>depreciation_and_amortization</t>
  </si>
  <si>
    <t>sbc</t>
  </si>
  <si>
    <t>cwc</t>
  </si>
  <si>
    <t>operating_cash_flow</t>
  </si>
  <si>
    <t>capex</t>
  </si>
  <si>
    <t>investing_cash_flow</t>
  </si>
  <si>
    <t>financing_cash_flow</t>
  </si>
  <si>
    <t>change_in_cash</t>
  </si>
  <si>
    <t>fcf</t>
  </si>
  <si>
    <t>2009A</t>
  </si>
  <si>
    <t>2010A</t>
  </si>
  <si>
    <t>2011A</t>
  </si>
  <si>
    <t>2012A</t>
  </si>
  <si>
    <t>1Q11A</t>
  </si>
  <si>
    <t>2Q11A</t>
  </si>
  <si>
    <t>3Q11A</t>
  </si>
  <si>
    <t>4Q11A</t>
  </si>
  <si>
    <t>1Q12A</t>
  </si>
  <si>
    <t>2Q12A</t>
  </si>
  <si>
    <t>3Q12A</t>
  </si>
  <si>
    <t>4Q12A</t>
  </si>
  <si>
    <t>1Q13A</t>
  </si>
  <si>
    <t>2Q13A</t>
  </si>
  <si>
    <t>3Q13A</t>
  </si>
  <si>
    <t>4Q13A</t>
  </si>
  <si>
    <t>1Q14A</t>
  </si>
  <si>
    <t>2Q14A</t>
  </si>
  <si>
    <t>3Q14A</t>
  </si>
  <si>
    <t>4Q14A</t>
  </si>
  <si>
    <t>1Q15A</t>
  </si>
  <si>
    <t>2Q15A</t>
  </si>
  <si>
    <t>3Q15A</t>
  </si>
  <si>
    <t>4Q15A</t>
  </si>
  <si>
    <t>1Q16A</t>
  </si>
  <si>
    <t>2Q16A</t>
  </si>
  <si>
    <t>3Q16A</t>
  </si>
  <si>
    <t>4Q16A</t>
  </si>
  <si>
    <t>3Q19A</t>
  </si>
  <si>
    <t>Revenues:</t>
  </si>
  <si>
    <t>Gaming Operations</t>
  </si>
  <si>
    <t>Gaming Equipment and Systems</t>
  </si>
  <si>
    <t>Gaming Other</t>
  </si>
  <si>
    <t>Games Total Revenues</t>
  </si>
  <si>
    <t>Cost of Revenues:</t>
  </si>
  <si>
    <t>Games Total Cost of Revenues</t>
  </si>
  <si>
    <t>Operating Expenses</t>
  </si>
  <si>
    <t>Research and Development</t>
  </si>
  <si>
    <t>Goodwill Impairment</t>
  </si>
  <si>
    <t>Depreciation</t>
  </si>
  <si>
    <t>Amortization</t>
  </si>
  <si>
    <t>Total Costs and Expenses</t>
  </si>
  <si>
    <t>Adjusted EBITDA</t>
  </si>
  <si>
    <t>Unit Sales:</t>
  </si>
  <si>
    <t>Units Sold</t>
  </si>
  <si>
    <t>Average Sales Price (ASP)</t>
  </si>
  <si>
    <t>Average Units Installed during Period:</t>
  </si>
  <si>
    <t>Average Units Installed</t>
  </si>
  <si>
    <t>Approximate Daily Win per Unit</t>
  </si>
  <si>
    <t>Units Installed at End of Period:</t>
  </si>
  <si>
    <t>Class II</t>
  </si>
  <si>
    <t>Class III</t>
  </si>
  <si>
    <t>Total Installed Base</t>
  </si>
  <si>
    <t>Installed Base - Oklahoma</t>
  </si>
  <si>
    <t>Installed Base - Non-Oklahoma</t>
  </si>
  <si>
    <t>Premium Units</t>
  </si>
  <si>
    <t>Cash Access Services</t>
  </si>
  <si>
    <t>Equipment</t>
  </si>
  <si>
    <t>Information Services and Other</t>
  </si>
  <si>
    <t>FinTech Total Revenues</t>
  </si>
  <si>
    <t>FinTech Total Cost of Revenues</t>
  </si>
  <si>
    <t>Cash Advance</t>
  </si>
  <si>
    <t>ATM</t>
  </si>
  <si>
    <t>Check Warranty</t>
  </si>
  <si>
    <t>Number of Transactions Completed:</t>
  </si>
  <si>
    <t>Cost of Goods and Services Sold</t>
  </si>
  <si>
    <t>Gross Profit</t>
  </si>
  <si>
    <t>Interest Expense, net of Interest Income</t>
  </si>
  <si>
    <t>Loss on Extinguishment of Debt</t>
  </si>
  <si>
    <t>Income from Continuing Operations, net of Tax</t>
  </si>
  <si>
    <t>Net Loss Attributable to Non-controlling Interest</t>
  </si>
  <si>
    <t>Income from Discontinued Operations, net of Tax</t>
  </si>
  <si>
    <t>Total Depreciation and Amortization</t>
  </si>
  <si>
    <t>Amortization of Financing Costs and Discounts</t>
  </si>
  <si>
    <t>Loss on Sale or Disposal of Assets</t>
  </si>
  <si>
    <t>Accretion of Contract Rights</t>
  </si>
  <si>
    <t>Provision for Bad Debts</t>
  </si>
  <si>
    <t>Deferred Income Taxes</t>
  </si>
  <si>
    <t>Write-down of Inventory and Fixed Assets</t>
  </si>
  <si>
    <t>Reserve for Obsolescence</t>
  </si>
  <si>
    <t>Stock-based Compensation</t>
  </si>
  <si>
    <t>Adjustments To Purchase Accounting Liabilities</t>
  </si>
  <si>
    <t>Settlement Receivables</t>
  </si>
  <si>
    <t>Trade and Other Receivables</t>
  </si>
  <si>
    <t>Inventory</t>
  </si>
  <si>
    <t>Prepaid and Other Assets</t>
  </si>
  <si>
    <t>Settlement Liabilities</t>
  </si>
  <si>
    <t>Capital Expenditures</t>
  </si>
  <si>
    <t>Acquisitions, Net of Cash Acquired</t>
  </si>
  <si>
    <t>Proceeds from Sale of Fixed Assets</t>
  </si>
  <si>
    <t>Placement Fee Agreements</t>
  </si>
  <si>
    <t>Repayments under Development Agreements</t>
  </si>
  <si>
    <t>Changes in Restricted Cash</t>
  </si>
  <si>
    <t>Proceeds from Credit Facility</t>
  </si>
  <si>
    <t>Repayments of Credit Facility</t>
  </si>
  <si>
    <t>Proceeds from Unsecured Notes</t>
  </si>
  <si>
    <t>Repayments of Secured Notes</t>
  </si>
  <si>
    <t>Repayments of Unsecured Notes</t>
  </si>
  <si>
    <t>Proceeds from Issuance of Secured Notes</t>
  </si>
  <si>
    <t>Proceeds from Issuance of Unsecured Notes</t>
  </si>
  <si>
    <t>Debt Issuance Costs and Discounts</t>
  </si>
  <si>
    <t>Purchase of Treasury Stock</t>
  </si>
  <si>
    <t>Restricted Cash and Cash Equivalents</t>
  </si>
  <si>
    <t>Trade and Other Receivables, net of Allowances</t>
  </si>
  <si>
    <t>Deferred Tax Asset</t>
  </si>
  <si>
    <t>Property, Plant and Equipment, Gross</t>
  </si>
  <si>
    <t>Accumulated Depreciation</t>
  </si>
  <si>
    <t>Property, Equipment and Leased Assets, net</t>
  </si>
  <si>
    <t>Deferred Income Taxes, net</t>
  </si>
  <si>
    <t>Other Receivables</t>
  </si>
  <si>
    <t>Other Assets</t>
  </si>
  <si>
    <t>Accounts Payable and Accrued Expenses</t>
  </si>
  <si>
    <t>Current Portion of Long-term Debt</t>
  </si>
  <si>
    <t>Deferred Tax Liability</t>
  </si>
  <si>
    <t>Long-term Debt, Less Current Portion</t>
  </si>
  <si>
    <t>Other Accrued Expenses and Liabilities</t>
  </si>
  <si>
    <t>Common Stock</t>
  </si>
  <si>
    <t>Retained Earnings (Accumulated Deficit)</t>
  </si>
  <si>
    <t>Treasury Stock, at Cost</t>
  </si>
  <si>
    <t>Total Liabilities and Stockholders’ Deficit</t>
  </si>
  <si>
    <t>(1) Games Segment:</t>
  </si>
  <si>
    <t>Reconcilation of Adjusted EBITDA:</t>
  </si>
  <si>
    <t>Non-cash Stock Compensation Expense</t>
  </si>
  <si>
    <t>Adjustment of Certain Purchase Accounting Liabilities</t>
  </si>
  <si>
    <t>Write-off of Inventory and Fixed Assets</t>
  </si>
  <si>
    <t>Asset Acquisition Expense and Other Non-recurring Professional Fees</t>
  </si>
  <si>
    <t>Separation Costs for Former CEO</t>
  </si>
  <si>
    <t>Manufacturing Relocation Costs</t>
  </si>
  <si>
    <t>Write-down of Note Receivable and Warrant</t>
  </si>
  <si>
    <t>Loss on Sale of the Aircraft</t>
  </si>
  <si>
    <t>Income from Continuing Operations</t>
  </si>
  <si>
    <t>Days in Period</t>
  </si>
  <si>
    <t>Aggregate Dollar Amount Processed:</t>
  </si>
  <si>
    <t>Purchases of Equity Securities:</t>
  </si>
  <si>
    <t>Weighted Average Price Paid for Share</t>
  </si>
  <si>
    <t>Purchased Costs</t>
  </si>
  <si>
    <t>Total Number of Shares Purchased (000’s)</t>
  </si>
  <si>
    <t>Dilutive Effect of Stock Options and Other Awards</t>
  </si>
  <si>
    <t>Legal Settlement Proceeds</t>
  </si>
  <si>
    <t>Provision for Bad Debts as % of Receivables</t>
  </si>
  <si>
    <t>Settlement Receivables as % of Revenue</t>
  </si>
  <si>
    <t>Trade and Other Receivables as % of Revenue</t>
  </si>
  <si>
    <t>Inventory as % of COGS</t>
  </si>
  <si>
    <t>Prepaid Expenses and Other Assets as % of COGS</t>
  </si>
  <si>
    <t>Settlement Liabilities as % of OPEX</t>
  </si>
  <si>
    <t>Accounts Payable and Accrued Expenses as % of OPEX</t>
  </si>
  <si>
    <t>Other Receivables as % of Revenue</t>
  </si>
  <si>
    <t>non_gaap_sales</t>
  </si>
  <si>
    <t>non_gaap_cogs</t>
  </si>
  <si>
    <t>non_gaap_gross_profit</t>
  </si>
  <si>
    <t>research_and_development</t>
  </si>
  <si>
    <t>sga</t>
  </si>
  <si>
    <t>non_gaap_operating_profit</t>
  </si>
  <si>
    <t>Non-cash Equity Compensation Expense as % of SG&amp;A</t>
  </si>
  <si>
    <t>non_gaap_ebitda</t>
  </si>
  <si>
    <t>non_gaap_pretax_profit</t>
  </si>
  <si>
    <t>income_tax</t>
  </si>
  <si>
    <t>non_gaap_tax_rate</t>
  </si>
  <si>
    <t>non_gaap_net_income</t>
  </si>
  <si>
    <t>non_gaap_diluted_eps</t>
  </si>
  <si>
    <t>y/y_non_gaap_diluted_eps</t>
  </si>
  <si>
    <t>diluted_shares</t>
  </si>
  <si>
    <t>inventory</t>
  </si>
  <si>
    <t>gross_ppe</t>
  </si>
  <si>
    <t>accumulated_depreciation</t>
  </si>
  <si>
    <t>accounts_payable</t>
  </si>
  <si>
    <t>non_controlling_interest</t>
  </si>
  <si>
    <t>stockholders_equity</t>
  </si>
  <si>
    <t>issuance_of_stock</t>
  </si>
  <si>
    <t>repurchase_of_stock</t>
  </si>
  <si>
    <t>Inventory Turnover</t>
  </si>
  <si>
    <t>Accounts Payable Turnover</t>
  </si>
  <si>
    <t>Games Revenue</t>
  </si>
  <si>
    <t>FinTech Revenue</t>
  </si>
  <si>
    <t>Account Receivable Turnover</t>
  </si>
  <si>
    <t>(2) Fincial Technology Solutions Segment: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</si>
</sst>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5" formatCode="&quot;$&quot;#,##0_);\(&quot;$&quot;#,##0\)"/>
    <numFmt numFmtId="7" formatCode="&quot;$&quot;#,##0.00_);\(&quot;$&quot;#,##0.00\)"/>
    <numFmt numFmtId="43" formatCode="_(* #,##0.00_);_(* \(#,##0.00\);_(* &quot;-&quot;??_);_(@_)"/>
    <numFmt numFmtId="164" formatCode="_ * #,##0.00_ ;_ * \-#,##0.00_ ;_ * &quot;-&quot;??_ ;_ @_ "/>
    <numFmt numFmtId="165" formatCode="#,##0.0_);\(#,##0.0\)"/>
    <numFmt numFmtId="166" formatCode="#,##0.000_);\(#,##0.000\)"/>
    <numFmt numFmtId="167" formatCode="[$-409]d\-mmm;@"/>
    <numFmt numFmtId="168" formatCode="0.0%;\(0.0%\)"/>
    <numFmt numFmtId="169" formatCode="0.00%;\(0.00%\)"/>
    <numFmt numFmtId="170" formatCode="#,##0.0%_);\(#,##0.0%\)"/>
    <numFmt numFmtId="174" formatCode="[$-409]mmm\-yy;@"/>
    <numFmt numFmtId="175" formatCode="#,##0.0000_);\(#,##0.0000\)"/>
  </numFmts>
  <fonts count="40" x14ac:knownFonts="1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u/>
      <sz val="10"/>
      <color theme="10"/>
      <name val="Arial"/>
      <family val="2"/>
    </font>
    <font>
      <sz val="10"/>
      <name val="Arial"/>
      <family val="2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rgb="FF0033CC"/>
      <name val="Calibri"/>
      <family val="2"/>
      <scheme val="minor"/>
    </font>
    <font>
      <i/>
      <sz val="10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0"/>
      <color rgb="FF0000FF"/>
      <name val="Calibri"/>
      <family val="2"/>
      <scheme val="minor"/>
    </font>
    <font>
      <sz val="10"/>
      <color rgb="FF0033CC"/>
      <name val="Calibri"/>
      <family val="2"/>
      <scheme val="minor"/>
    </font>
    <font>
      <sz val="10"/>
      <color rgb="FF0000FF"/>
      <name val="Calibri"/>
      <family val="2"/>
      <scheme val="minor"/>
    </font>
    <font>
      <sz val="10"/>
      <color rgb="FFFF0000"/>
      <name val="Calibri"/>
      <family val="2"/>
      <scheme val="minor"/>
    </font>
    <font>
      <u/>
      <sz val="10"/>
      <color theme="1"/>
      <name val="Calibri"/>
      <family val="2"/>
      <scheme val="minor"/>
    </font>
    <font>
      <u/>
      <sz val="10"/>
      <color rgb="FF0033CC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i/>
      <u/>
      <sz val="10"/>
      <color theme="1"/>
      <name val="Calibri"/>
      <family val="2"/>
      <scheme val="minor"/>
    </font>
    <font>
      <i/>
      <u/>
      <sz val="10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u/>
      <sz val="10"/>
      <color rgb="FF0000FF"/>
      <name val="Calibri"/>
      <family val="2"/>
      <scheme val="minor"/>
    </font>
    <font>
      <u/>
      <sz val="10"/>
      <name val="Calibri"/>
      <family val="2"/>
      <scheme val="minor"/>
    </font>
    <font>
      <i/>
      <sz val="10"/>
      <color rgb="FF0033CC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b/>
      <i/>
      <sz val="10"/>
      <name val="Calibri"/>
      <family val="2"/>
      <scheme val="minor"/>
    </font>
    <font>
      <sz val="10"/>
      <name val="Times New Roman"/>
      <family val="2"/>
    </font>
    <font>
      <b/>
      <u/>
      <sz val="10"/>
      <name val="Calibri"/>
      <family val="2"/>
      <scheme val="minor"/>
    </font>
    <font>
      <b/>
      <i/>
      <u/>
      <sz val="10"/>
      <color theme="1"/>
      <name val="Calibri"/>
      <family val="2"/>
      <scheme val="minor"/>
    </font>
    <font>
      <sz val="10"/>
      <color rgb="FF3333FF"/>
      <name val="Calibri"/>
      <family val="2"/>
      <scheme val="minor"/>
    </font>
    <font>
      <u/>
      <sz val="10"/>
      <color rgb="FF3333FF"/>
      <name val="Calibri"/>
      <family val="2"/>
      <scheme val="minor"/>
    </font>
    <font>
      <b/>
      <i/>
      <u/>
      <sz val="10"/>
      <name val="Calibri"/>
      <family val="2"/>
      <scheme val="minor"/>
    </font>
    <font>
      <i/>
      <u/>
      <sz val="10"/>
      <color rgb="FF0033CC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8168889431442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ashDotDot">
        <color auto="1"/>
      </left>
      <right/>
      <top/>
      <bottom/>
      <diagonal/>
    </border>
    <border>
      <left/>
      <right style="dashDotDot">
        <color auto="1"/>
      </right>
      <top/>
      <bottom/>
      <diagonal/>
    </border>
    <border>
      <left style="dashDotDot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ashDotDot">
        <color auto="1"/>
      </left>
      <right/>
      <top/>
      <bottom style="thin">
        <color auto="1"/>
      </bottom>
      <diagonal/>
    </border>
  </borders>
  <cellStyleXfs count="21">
    <xf numFmtId="0" fontId="0" fillId="0" borderId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9" fontId="7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6" fillId="0" borderId="0"/>
    <xf numFmtId="9" fontId="6" fillId="0" borderId="0" applyFont="0" applyFill="0" applyBorder="0" applyAlignment="0" applyProtection="0"/>
    <xf numFmtId="164" fontId="7" fillId="0" borderId="0" applyFont="0" applyFill="0" applyBorder="0" applyAlignment="0" applyProtection="0"/>
    <xf numFmtId="0" fontId="33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</cellStyleXfs>
  <cellXfs count="314">
    <xf numFmtId="0" fontId="0" fillId="0" borderId="0" xfId="0"/>
    <xf numFmtId="0" fontId="11" fillId="3" borderId="0" xfId="0" applyFont="1" applyFill="1" applyAlignment="1">
      <alignment horizontal="center" vertical="center"/>
    </xf>
    <xf numFmtId="0" fontId="13" fillId="2" borderId="0" xfId="0" applyFont="1" applyFill="1" applyAlignment="1">
      <alignment horizontal="center"/>
    </xf>
    <xf numFmtId="168" fontId="15" fillId="4" borderId="0" xfId="0" applyNumberFormat="1" applyFont="1" applyFill="1" applyBorder="1"/>
    <xf numFmtId="165" fontId="24" fillId="4" borderId="0" xfId="0" applyNumberFormat="1" applyFont="1" applyFill="1" applyBorder="1"/>
    <xf numFmtId="0" fontId="11" fillId="4" borderId="0" xfId="0" applyFont="1" applyFill="1"/>
    <xf numFmtId="0" fontId="12" fillId="4" borderId="0" xfId="0" applyFont="1" applyFill="1"/>
    <xf numFmtId="165" fontId="12" fillId="4" borderId="0" xfId="0" applyNumberFormat="1" applyFont="1" applyFill="1"/>
    <xf numFmtId="165" fontId="24" fillId="4" borderId="0" xfId="0" applyNumberFormat="1" applyFont="1" applyFill="1"/>
    <xf numFmtId="0" fontId="12" fillId="3" borderId="0" xfId="0" applyFont="1" applyFill="1"/>
    <xf numFmtId="165" fontId="12" fillId="3" borderId="0" xfId="0" applyNumberFormat="1" applyFont="1" applyFill="1"/>
    <xf numFmtId="165" fontId="12" fillId="3" borderId="0" xfId="0" applyNumberFormat="1" applyFont="1" applyFill="1" applyBorder="1"/>
    <xf numFmtId="168" fontId="15" fillId="3" borderId="0" xfId="0" applyNumberFormat="1" applyFont="1" applyFill="1"/>
    <xf numFmtId="164" fontId="20" fillId="3" borderId="0" xfId="0" applyNumberFormat="1" applyFont="1" applyFill="1"/>
    <xf numFmtId="165" fontId="21" fillId="3" borderId="0" xfId="0" applyNumberFormat="1" applyFont="1" applyFill="1"/>
    <xf numFmtId="168" fontId="16" fillId="3" borderId="0" xfId="0" applyNumberFormat="1" applyFont="1" applyFill="1" applyAlignment="1">
      <alignment horizontal="left"/>
    </xf>
    <xf numFmtId="0" fontId="11" fillId="3" borderId="0" xfId="1" applyFont="1" applyFill="1" applyBorder="1"/>
    <xf numFmtId="0" fontId="12" fillId="3" borderId="0" xfId="0" applyFont="1" applyFill="1" applyBorder="1"/>
    <xf numFmtId="7" fontId="12" fillId="3" borderId="0" xfId="0" applyNumberFormat="1" applyFont="1" applyFill="1" applyBorder="1"/>
    <xf numFmtId="165" fontId="11" fillId="3" borderId="0" xfId="1" applyNumberFormat="1" applyFont="1" applyFill="1"/>
    <xf numFmtId="165" fontId="24" fillId="3" borderId="0" xfId="0" applyNumberFormat="1" applyFont="1" applyFill="1"/>
    <xf numFmtId="0" fontId="11" fillId="3" borderId="0" xfId="1" applyNumberFormat="1" applyFont="1" applyFill="1"/>
    <xf numFmtId="0" fontId="11" fillId="3" borderId="0" xfId="1" applyFont="1" applyFill="1"/>
    <xf numFmtId="0" fontId="24" fillId="3" borderId="0" xfId="0" applyNumberFormat="1" applyFont="1" applyFill="1"/>
    <xf numFmtId="0" fontId="24" fillId="3" borderId="0" xfId="0" applyFont="1" applyFill="1"/>
    <xf numFmtId="7" fontId="24" fillId="4" borderId="0" xfId="0" applyNumberFormat="1" applyFont="1" applyFill="1" applyBorder="1" applyAlignment="1">
      <alignment horizontal="right"/>
    </xf>
    <xf numFmtId="168" fontId="16" fillId="3" borderId="0" xfId="1" applyNumberFormat="1" applyFont="1" applyFill="1"/>
    <xf numFmtId="168" fontId="16" fillId="3" borderId="0" xfId="1" applyNumberFormat="1" applyFont="1" applyFill="1" applyAlignment="1">
      <alignment horizontal="left"/>
    </xf>
    <xf numFmtId="37" fontId="12" fillId="4" borderId="0" xfId="0" applyNumberFormat="1" applyFont="1" applyFill="1"/>
    <xf numFmtId="0" fontId="21" fillId="3" borderId="0" xfId="0" applyFont="1" applyFill="1"/>
    <xf numFmtId="168" fontId="26" fillId="3" borderId="0" xfId="0" applyNumberFormat="1" applyFont="1" applyFill="1"/>
    <xf numFmtId="39" fontId="24" fillId="4" borderId="0" xfId="0" applyNumberFormat="1" applyFont="1" applyFill="1" applyAlignment="1">
      <alignment horizontal="right" vertical="center"/>
    </xf>
    <xf numFmtId="165" fontId="24" fillId="4" borderId="3" xfId="0" applyNumberFormat="1" applyFont="1" applyFill="1" applyBorder="1"/>
    <xf numFmtId="39" fontId="24" fillId="4" borderId="0" xfId="0" applyNumberFormat="1" applyFont="1" applyFill="1" applyBorder="1" applyAlignment="1">
      <alignment horizontal="right" vertical="center"/>
    </xf>
    <xf numFmtId="39" fontId="24" fillId="4" borderId="3" xfId="0" applyNumberFormat="1" applyFont="1" applyFill="1" applyBorder="1" applyAlignment="1">
      <alignment horizontal="right" vertical="center"/>
    </xf>
    <xf numFmtId="37" fontId="24" fillId="4" borderId="0" xfId="0" applyNumberFormat="1" applyFont="1" applyFill="1"/>
    <xf numFmtId="170" fontId="24" fillId="4" borderId="0" xfId="0" applyNumberFormat="1" applyFont="1" applyFill="1" applyAlignment="1">
      <alignment horizontal="right" vertical="center"/>
    </xf>
    <xf numFmtId="170" fontId="24" fillId="4" borderId="0" xfId="0" applyNumberFormat="1" applyFont="1" applyFill="1" applyBorder="1" applyAlignment="1">
      <alignment horizontal="right" vertical="center"/>
    </xf>
    <xf numFmtId="170" fontId="24" fillId="4" borderId="3" xfId="0" applyNumberFormat="1" applyFont="1" applyFill="1" applyBorder="1" applyAlignment="1">
      <alignment horizontal="right" vertical="center"/>
    </xf>
    <xf numFmtId="0" fontId="11" fillId="4" borderId="0" xfId="0" applyNumberFormat="1" applyFont="1" applyFill="1" applyAlignment="1"/>
    <xf numFmtId="0" fontId="13" fillId="5" borderId="0" xfId="0" applyFont="1" applyFill="1" applyAlignment="1">
      <alignment horizontal="center"/>
    </xf>
    <xf numFmtId="0" fontId="9" fillId="4" borderId="0" xfId="4" applyFill="1"/>
    <xf numFmtId="0" fontId="23" fillId="3" borderId="0" xfId="0" applyFont="1" applyFill="1"/>
    <xf numFmtId="0" fontId="29" fillId="3" borderId="0" xfId="0" applyFont="1" applyFill="1"/>
    <xf numFmtId="165" fontId="11" fillId="3" borderId="0" xfId="0" applyNumberFormat="1" applyFont="1" applyFill="1"/>
    <xf numFmtId="0" fontId="12" fillId="0" borderId="0" xfId="0" applyFont="1" applyFill="1"/>
    <xf numFmtId="167" fontId="11" fillId="0" borderId="0" xfId="2" applyNumberFormat="1" applyFont="1" applyFill="1" applyAlignment="1">
      <alignment horizontal="center"/>
    </xf>
    <xf numFmtId="168" fontId="31" fillId="0" borderId="0" xfId="2" applyNumberFormat="1" applyFont="1" applyFill="1"/>
    <xf numFmtId="167" fontId="23" fillId="0" borderId="0" xfId="2" applyNumberFormat="1" applyFont="1" applyFill="1" applyAlignment="1">
      <alignment horizontal="center"/>
    </xf>
    <xf numFmtId="167" fontId="34" fillId="0" borderId="0" xfId="2" applyNumberFormat="1" applyFont="1" applyFill="1" applyAlignment="1">
      <alignment horizontal="center"/>
    </xf>
    <xf numFmtId="164" fontId="11" fillId="0" borderId="0" xfId="2" applyNumberFormat="1" applyFont="1" applyFill="1"/>
    <xf numFmtId="165" fontId="11" fillId="0" borderId="0" xfId="2" applyNumberFormat="1" applyFont="1" applyFill="1"/>
    <xf numFmtId="165" fontId="11" fillId="0" borderId="0" xfId="2" applyNumberFormat="1" applyFont="1" applyFill="1" applyBorder="1"/>
    <xf numFmtId="168" fontId="16" fillId="0" borderId="0" xfId="1" applyNumberFormat="1" applyFont="1" applyFill="1"/>
    <xf numFmtId="165" fontId="27" fillId="0" borderId="0" xfId="2" applyNumberFormat="1" applyFont="1" applyFill="1"/>
    <xf numFmtId="167" fontId="11" fillId="0" borderId="0" xfId="1" applyNumberFormat="1" applyFont="1" applyFill="1" applyBorder="1" applyAlignment="1">
      <alignment horizontal="center"/>
    </xf>
    <xf numFmtId="167" fontId="11" fillId="0" borderId="0" xfId="2" applyNumberFormat="1" applyFont="1" applyFill="1" applyBorder="1" applyAlignment="1">
      <alignment horizontal="center"/>
    </xf>
    <xf numFmtId="7" fontId="11" fillId="0" borderId="0" xfId="2" applyNumberFormat="1" applyFont="1" applyFill="1" applyBorder="1" applyAlignment="1">
      <alignment horizontal="center"/>
    </xf>
    <xf numFmtId="168" fontId="35" fillId="0" borderId="0" xfId="2" applyNumberFormat="1" applyFont="1" applyFill="1"/>
    <xf numFmtId="165" fontId="11" fillId="0" borderId="0" xfId="2" applyNumberFormat="1" applyFont="1" applyFill="1" applyAlignment="1">
      <alignment horizontal="center"/>
    </xf>
    <xf numFmtId="167" fontId="11" fillId="0" borderId="0" xfId="1" applyNumberFormat="1" applyFont="1" applyFill="1" applyAlignment="1">
      <alignment horizontal="center"/>
    </xf>
    <xf numFmtId="167" fontId="27" fillId="0" borderId="0" xfId="2" applyNumberFormat="1" applyFont="1" applyFill="1" applyAlignment="1">
      <alignment horizontal="center"/>
    </xf>
    <xf numFmtId="165" fontId="11" fillId="0" borderId="0" xfId="1" applyNumberFormat="1" applyFont="1" applyFill="1"/>
    <xf numFmtId="165" fontId="11" fillId="0" borderId="0" xfId="1" applyNumberFormat="1" applyFont="1" applyFill="1" applyAlignment="1">
      <alignment horizontal="center"/>
    </xf>
    <xf numFmtId="7" fontId="24" fillId="0" borderId="0" xfId="0" applyNumberFormat="1" applyFont="1" applyFill="1" applyBorder="1"/>
    <xf numFmtId="164" fontId="20" fillId="0" borderId="0" xfId="0" applyNumberFormat="1" applyFont="1" applyFill="1" applyAlignment="1">
      <alignment horizontal="left"/>
    </xf>
    <xf numFmtId="165" fontId="11" fillId="0" borderId="0" xfId="0" applyNumberFormat="1" applyFont="1" applyFill="1" applyBorder="1"/>
    <xf numFmtId="165" fontId="12" fillId="0" borderId="0" xfId="0" applyNumberFormat="1" applyFont="1" applyFill="1"/>
    <xf numFmtId="168" fontId="16" fillId="0" borderId="0" xfId="0" applyNumberFormat="1" applyFont="1" applyFill="1" applyAlignment="1">
      <alignment horizontal="left" indent="1"/>
    </xf>
    <xf numFmtId="0" fontId="11" fillId="0" borderId="0" xfId="0" applyFont="1" applyFill="1" applyBorder="1"/>
    <xf numFmtId="0" fontId="12" fillId="0" borderId="0" xfId="0" applyFont="1" applyFill="1" applyBorder="1"/>
    <xf numFmtId="165" fontId="12" fillId="0" borderId="0" xfId="0" applyNumberFormat="1" applyFont="1" applyFill="1" applyBorder="1"/>
    <xf numFmtId="165" fontId="23" fillId="0" borderId="0" xfId="0" applyNumberFormat="1" applyFont="1" applyFill="1" applyBorder="1"/>
    <xf numFmtId="168" fontId="25" fillId="0" borderId="0" xfId="0" applyNumberFormat="1" applyFont="1" applyFill="1" applyAlignment="1">
      <alignment horizontal="left" indent="1"/>
    </xf>
    <xf numFmtId="165" fontId="24" fillId="0" borderId="0" xfId="0" applyNumberFormat="1" applyFont="1" applyFill="1"/>
    <xf numFmtId="0" fontId="12" fillId="0" borderId="0" xfId="0" applyFont="1" applyFill="1" applyBorder="1" applyAlignment="1">
      <alignment horizontal="center"/>
    </xf>
    <xf numFmtId="165" fontId="24" fillId="0" borderId="0" xfId="0" applyNumberFormat="1" applyFont="1" applyFill="1" applyBorder="1"/>
    <xf numFmtId="165" fontId="24" fillId="0" borderId="3" xfId="0" applyNumberFormat="1" applyFont="1" applyFill="1" applyBorder="1"/>
    <xf numFmtId="165" fontId="24" fillId="0" borderId="4" xfId="0" applyNumberFormat="1" applyFont="1" applyFill="1" applyBorder="1"/>
    <xf numFmtId="165" fontId="18" fillId="0" borderId="3" xfId="0" applyNumberFormat="1" applyFont="1" applyFill="1" applyBorder="1"/>
    <xf numFmtId="165" fontId="18" fillId="0" borderId="0" xfId="0" applyNumberFormat="1" applyFont="1" applyFill="1" applyBorder="1"/>
    <xf numFmtId="165" fontId="18" fillId="0" borderId="0" xfId="0" applyNumberFormat="1" applyFont="1" applyFill="1"/>
    <xf numFmtId="165" fontId="22" fillId="0" borderId="0" xfId="0" applyNumberFormat="1" applyFont="1" applyFill="1"/>
    <xf numFmtId="165" fontId="29" fillId="0" borderId="3" xfId="0" applyNumberFormat="1" applyFont="1" applyFill="1" applyBorder="1"/>
    <xf numFmtId="165" fontId="29" fillId="0" borderId="0" xfId="0" applyNumberFormat="1" applyFont="1" applyFill="1" applyBorder="1"/>
    <xf numFmtId="165" fontId="14" fillId="0" borderId="0" xfId="0" applyNumberFormat="1" applyFont="1" applyFill="1"/>
    <xf numFmtId="165" fontId="23" fillId="0" borderId="3" xfId="0" applyNumberFormat="1" applyFont="1" applyFill="1" applyBorder="1"/>
    <xf numFmtId="165" fontId="22" fillId="0" borderId="0" xfId="0" applyNumberFormat="1" applyFont="1" applyFill="1" applyBorder="1"/>
    <xf numFmtId="164" fontId="20" fillId="0" borderId="0" xfId="0" applyNumberFormat="1" applyFont="1" applyFill="1" applyBorder="1"/>
    <xf numFmtId="164" fontId="20" fillId="0" borderId="3" xfId="0" applyNumberFormat="1" applyFont="1" applyFill="1" applyBorder="1"/>
    <xf numFmtId="164" fontId="20" fillId="0" borderId="4" xfId="0" applyNumberFormat="1" applyFont="1" applyFill="1" applyBorder="1"/>
    <xf numFmtId="168" fontId="15" fillId="0" borderId="0" xfId="0" applyNumberFormat="1" applyFont="1" applyFill="1" applyBorder="1"/>
    <xf numFmtId="168" fontId="15" fillId="0" borderId="3" xfId="0" applyNumberFormat="1" applyFont="1" applyFill="1" applyBorder="1"/>
    <xf numFmtId="168" fontId="15" fillId="0" borderId="4" xfId="0" applyNumberFormat="1" applyFont="1" applyFill="1" applyBorder="1"/>
    <xf numFmtId="165" fontId="28" fillId="0" borderId="0" xfId="0" applyNumberFormat="1" applyFont="1" applyFill="1" applyBorder="1"/>
    <xf numFmtId="165" fontId="28" fillId="0" borderId="4" xfId="0" applyNumberFormat="1" applyFont="1" applyFill="1" applyBorder="1"/>
    <xf numFmtId="165" fontId="28" fillId="0" borderId="3" xfId="0" applyNumberFormat="1" applyFont="1" applyFill="1" applyBorder="1"/>
    <xf numFmtId="165" fontId="14" fillId="0" borderId="0" xfId="0" applyNumberFormat="1" applyFont="1" applyFill="1" applyBorder="1"/>
    <xf numFmtId="165" fontId="23" fillId="0" borderId="4" xfId="0" applyNumberFormat="1" applyFont="1" applyFill="1" applyBorder="1"/>
    <xf numFmtId="165" fontId="11" fillId="0" borderId="4" xfId="0" applyNumberFormat="1" applyFont="1" applyFill="1" applyBorder="1"/>
    <xf numFmtId="166" fontId="17" fillId="0" borderId="0" xfId="0" applyNumberFormat="1" applyFont="1" applyFill="1" applyBorder="1"/>
    <xf numFmtId="166" fontId="23" fillId="0" borderId="0" xfId="0" applyNumberFormat="1" applyFont="1" applyFill="1" applyBorder="1"/>
    <xf numFmtId="166" fontId="17" fillId="0" borderId="4" xfId="0" applyNumberFormat="1" applyFont="1" applyFill="1" applyBorder="1"/>
    <xf numFmtId="166" fontId="17" fillId="0" borderId="3" xfId="0" applyNumberFormat="1" applyFont="1" applyFill="1" applyBorder="1"/>
    <xf numFmtId="168" fontId="16" fillId="0" borderId="3" xfId="1" applyNumberFormat="1" applyFont="1" applyFill="1" applyBorder="1"/>
    <xf numFmtId="168" fontId="16" fillId="0" borderId="0" xfId="1" applyNumberFormat="1" applyFont="1" applyFill="1" applyBorder="1"/>
    <xf numFmtId="165" fontId="19" fillId="0" borderId="0" xfId="0" applyNumberFormat="1" applyFont="1" applyFill="1" applyBorder="1"/>
    <xf numFmtId="165" fontId="19" fillId="0" borderId="4" xfId="0" applyNumberFormat="1" applyFont="1" applyFill="1" applyBorder="1"/>
    <xf numFmtId="165" fontId="19" fillId="0" borderId="3" xfId="0" applyNumberFormat="1" applyFont="1" applyFill="1" applyBorder="1"/>
    <xf numFmtId="168" fontId="16" fillId="0" borderId="4" xfId="1" applyNumberFormat="1" applyFont="1" applyFill="1" applyBorder="1"/>
    <xf numFmtId="165" fontId="23" fillId="0" borderId="3" xfId="1" applyNumberFormat="1" applyFont="1" applyFill="1" applyBorder="1"/>
    <xf numFmtId="165" fontId="23" fillId="0" borderId="0" xfId="1" applyNumberFormat="1" applyFont="1" applyFill="1" applyBorder="1"/>
    <xf numFmtId="168" fontId="15" fillId="0" borderId="0" xfId="0" applyNumberFormat="1" applyFont="1" applyFill="1" applyBorder="1" applyAlignment="1">
      <alignment horizontal="right"/>
    </xf>
    <xf numFmtId="7" fontId="17" fillId="0" borderId="0" xfId="0" applyNumberFormat="1" applyFont="1" applyFill="1" applyBorder="1" applyAlignment="1">
      <alignment horizontal="right"/>
    </xf>
    <xf numFmtId="7" fontId="23" fillId="0" borderId="0" xfId="0" applyNumberFormat="1" applyFont="1" applyFill="1" applyBorder="1" applyAlignment="1">
      <alignment horizontal="right"/>
    </xf>
    <xf numFmtId="7" fontId="17" fillId="0" borderId="4" xfId="0" applyNumberFormat="1" applyFont="1" applyFill="1" applyBorder="1" applyAlignment="1">
      <alignment horizontal="right"/>
    </xf>
    <xf numFmtId="7" fontId="17" fillId="0" borderId="3" xfId="0" applyNumberFormat="1" applyFont="1" applyFill="1" applyBorder="1" applyAlignment="1">
      <alignment horizontal="right"/>
    </xf>
    <xf numFmtId="7" fontId="24" fillId="0" borderId="3" xfId="0" applyNumberFormat="1" applyFont="1" applyFill="1" applyBorder="1" applyAlignment="1">
      <alignment horizontal="right"/>
    </xf>
    <xf numFmtId="7" fontId="24" fillId="0" borderId="0" xfId="0" applyNumberFormat="1" applyFont="1" applyFill="1" applyBorder="1" applyAlignment="1">
      <alignment horizontal="right"/>
    </xf>
    <xf numFmtId="0" fontId="11" fillId="0" borderId="0" xfId="0" applyFont="1" applyFill="1" applyBorder="1" applyAlignment="1">
      <alignment horizontal="center"/>
    </xf>
    <xf numFmtId="0" fontId="11" fillId="0" borderId="4" xfId="0" applyFont="1" applyFill="1" applyBorder="1"/>
    <xf numFmtId="0" fontId="11" fillId="0" borderId="3" xfId="0" applyFont="1" applyFill="1" applyBorder="1"/>
    <xf numFmtId="168" fontId="26" fillId="0" borderId="0" xfId="0" applyNumberFormat="1" applyFont="1" applyFill="1" applyBorder="1"/>
    <xf numFmtId="168" fontId="26" fillId="0" borderId="4" xfId="0" applyNumberFormat="1" applyFont="1" applyFill="1" applyBorder="1"/>
    <xf numFmtId="165" fontId="12" fillId="0" borderId="4" xfId="0" applyNumberFormat="1" applyFont="1" applyFill="1" applyBorder="1"/>
    <xf numFmtId="165" fontId="12" fillId="0" borderId="3" xfId="0" applyNumberFormat="1" applyFont="1" applyFill="1" applyBorder="1"/>
    <xf numFmtId="165" fontId="24" fillId="0" borderId="3" xfId="0" applyNumberFormat="1" applyFont="1" applyFill="1" applyBorder="1" applyAlignment="1">
      <alignment horizontal="right"/>
    </xf>
    <xf numFmtId="165" fontId="24" fillId="0" borderId="0" xfId="0" applyNumberFormat="1" applyFont="1" applyFill="1" applyBorder="1" applyAlignment="1">
      <alignment horizontal="right"/>
    </xf>
    <xf numFmtId="165" fontId="18" fillId="0" borderId="0" xfId="0" applyNumberFormat="1" applyFont="1" applyFill="1" applyBorder="1" applyAlignment="1">
      <alignment horizontal="right"/>
    </xf>
    <xf numFmtId="165" fontId="29" fillId="0" borderId="3" xfId="0" applyNumberFormat="1" applyFont="1" applyFill="1" applyBorder="1" applyAlignment="1">
      <alignment horizontal="right"/>
    </xf>
    <xf numFmtId="165" fontId="29" fillId="0" borderId="0" xfId="0" applyNumberFormat="1" applyFont="1" applyFill="1" applyBorder="1" applyAlignment="1">
      <alignment horizontal="right"/>
    </xf>
    <xf numFmtId="165" fontId="11" fillId="0" borderId="3" xfId="1" applyNumberFormat="1" applyFont="1" applyFill="1" applyBorder="1" applyAlignment="1">
      <alignment horizontal="right"/>
    </xf>
    <xf numFmtId="165" fontId="11" fillId="0" borderId="0" xfId="1" applyNumberFormat="1" applyFont="1" applyFill="1" applyBorder="1" applyAlignment="1">
      <alignment horizontal="right"/>
    </xf>
    <xf numFmtId="165" fontId="17" fillId="0" borderId="0" xfId="0" applyNumberFormat="1" applyFont="1" applyFill="1" applyBorder="1"/>
    <xf numFmtId="165" fontId="17" fillId="0" borderId="4" xfId="0" applyNumberFormat="1" applyFont="1" applyFill="1" applyBorder="1"/>
    <xf numFmtId="165" fontId="17" fillId="0" borderId="3" xfId="0" applyNumberFormat="1" applyFont="1" applyFill="1" applyBorder="1"/>
    <xf numFmtId="165" fontId="11" fillId="0" borderId="3" xfId="1" applyNumberFormat="1" applyFont="1" applyFill="1" applyBorder="1"/>
    <xf numFmtId="165" fontId="11" fillId="0" borderId="0" xfId="1" applyNumberFormat="1" applyFont="1" applyFill="1" applyBorder="1"/>
    <xf numFmtId="165" fontId="19" fillId="0" borderId="0" xfId="0" applyNumberFormat="1" applyFont="1" applyFill="1"/>
    <xf numFmtId="0" fontId="12" fillId="0" borderId="3" xfId="0" applyFont="1" applyFill="1" applyBorder="1"/>
    <xf numFmtId="0" fontId="12" fillId="0" borderId="4" xfId="0" applyFont="1" applyFill="1" applyBorder="1"/>
    <xf numFmtId="165" fontId="18" fillId="0" borderId="0" xfId="0" applyNumberFormat="1" applyFont="1" applyAlignment="1">
      <alignment horizontal="right"/>
    </xf>
    <xf numFmtId="165" fontId="18" fillId="0" borderId="0" xfId="0" applyNumberFormat="1" applyFont="1"/>
    <xf numFmtId="165" fontId="22" fillId="0" borderId="0" xfId="0" applyNumberFormat="1" applyFont="1"/>
    <xf numFmtId="165" fontId="23" fillId="0" borderId="0" xfId="0" applyNumberFormat="1" applyFont="1"/>
    <xf numFmtId="165" fontId="14" fillId="0" borderId="0" xfId="0" applyNumberFormat="1" applyFont="1"/>
    <xf numFmtId="165" fontId="24" fillId="0" borderId="0" xfId="0" applyNumberFormat="1" applyFont="1"/>
    <xf numFmtId="7" fontId="18" fillId="0" borderId="0" xfId="0" applyNumberFormat="1" applyFont="1"/>
    <xf numFmtId="165" fontId="29" fillId="0" borderId="0" xfId="0" applyNumberFormat="1" applyFont="1"/>
    <xf numFmtId="0" fontId="12" fillId="3" borderId="0" xfId="1" applyFont="1" applyFill="1"/>
    <xf numFmtId="165" fontId="24" fillId="0" borderId="0" xfId="1" applyNumberFormat="1" applyFont="1" applyFill="1" applyBorder="1"/>
    <xf numFmtId="165" fontId="12" fillId="0" borderId="3" xfId="1" applyNumberFormat="1" applyFont="1" applyFill="1" applyBorder="1"/>
    <xf numFmtId="165" fontId="12" fillId="0" borderId="0" xfId="1" applyNumberFormat="1" applyFont="1" applyFill="1" applyBorder="1"/>
    <xf numFmtId="165" fontId="18" fillId="0" borderId="4" xfId="0" applyNumberFormat="1" applyFont="1" applyBorder="1"/>
    <xf numFmtId="165" fontId="24" fillId="0" borderId="4" xfId="0" applyNumberFormat="1" applyFont="1" applyBorder="1"/>
    <xf numFmtId="165" fontId="14" fillId="0" borderId="4" xfId="0" applyNumberFormat="1" applyFont="1" applyBorder="1"/>
    <xf numFmtId="165" fontId="29" fillId="0" borderId="4" xfId="0" applyNumberFormat="1" applyFont="1" applyBorder="1"/>
    <xf numFmtId="165" fontId="18" fillId="6" borderId="2" xfId="0" applyNumberFormat="1" applyFont="1" applyFill="1" applyBorder="1"/>
    <xf numFmtId="165" fontId="22" fillId="6" borderId="2" xfId="0" applyNumberFormat="1" applyFont="1" applyFill="1" applyBorder="1"/>
    <xf numFmtId="43" fontId="20" fillId="0" borderId="0" xfId="0" applyNumberFormat="1" applyFont="1"/>
    <xf numFmtId="43" fontId="20" fillId="0" borderId="4" xfId="0" applyNumberFormat="1" applyFont="1" applyBorder="1"/>
    <xf numFmtId="168" fontId="15" fillId="0" borderId="0" xfId="0" applyNumberFormat="1" applyFont="1" applyFill="1" applyAlignment="1">
      <alignment horizontal="left" indent="1"/>
    </xf>
    <xf numFmtId="165" fontId="22" fillId="0" borderId="0" xfId="0" applyNumberFormat="1" applyFont="1" applyAlignment="1">
      <alignment horizontal="right"/>
    </xf>
    <xf numFmtId="168" fontId="15" fillId="0" borderId="0" xfId="0" applyNumberFormat="1" applyFont="1"/>
    <xf numFmtId="168" fontId="26" fillId="0" borderId="0" xfId="0" applyNumberFormat="1" applyFont="1" applyFill="1" applyAlignment="1">
      <alignment horizontal="left" indent="1"/>
    </xf>
    <xf numFmtId="168" fontId="26" fillId="0" borderId="0" xfId="0" applyNumberFormat="1" applyFont="1"/>
    <xf numFmtId="165" fontId="24" fillId="0" borderId="3" xfId="0" applyNumberFormat="1" applyFont="1" applyBorder="1"/>
    <xf numFmtId="43" fontId="20" fillId="0" borderId="3" xfId="0" applyNumberFormat="1" applyFont="1" applyBorder="1"/>
    <xf numFmtId="0" fontId="24" fillId="0" borderId="0" xfId="0" applyNumberFormat="1" applyFont="1" applyAlignment="1">
      <alignment horizontal="left" vertical="top"/>
    </xf>
    <xf numFmtId="168" fontId="25" fillId="3" borderId="0" xfId="0" applyNumberFormat="1" applyFont="1" applyFill="1" applyAlignment="1">
      <alignment horizontal="left"/>
    </xf>
    <xf numFmtId="43" fontId="20" fillId="0" borderId="3" xfId="0" applyNumberFormat="1" applyFont="1" applyFill="1" applyBorder="1"/>
    <xf numFmtId="43" fontId="20" fillId="0" borderId="0" xfId="0" applyNumberFormat="1" applyFont="1" applyFill="1" applyBorder="1"/>
    <xf numFmtId="165" fontId="18" fillId="6" borderId="5" xfId="0" applyNumberFormat="1" applyFont="1" applyFill="1" applyBorder="1"/>
    <xf numFmtId="168" fontId="15" fillId="0" borderId="4" xfId="0" applyNumberFormat="1" applyFont="1" applyBorder="1"/>
    <xf numFmtId="168" fontId="15" fillId="0" borderId="3" xfId="0" applyNumberFormat="1" applyFont="1" applyBorder="1"/>
    <xf numFmtId="165" fontId="23" fillId="0" borderId="4" xfId="0" applyNumberFormat="1" applyFont="1" applyBorder="1"/>
    <xf numFmtId="166" fontId="23" fillId="0" borderId="3" xfId="0" applyNumberFormat="1" applyFont="1" applyFill="1" applyBorder="1"/>
    <xf numFmtId="168" fontId="26" fillId="0" borderId="3" xfId="0" applyNumberFormat="1" applyFont="1" applyFill="1" applyBorder="1"/>
    <xf numFmtId="7" fontId="23" fillId="0" borderId="3" xfId="0" applyNumberFormat="1" applyFont="1" applyFill="1" applyBorder="1" applyAlignment="1">
      <alignment horizontal="right"/>
    </xf>
    <xf numFmtId="165" fontId="24" fillId="0" borderId="3" xfId="1" applyNumberFormat="1" applyFont="1" applyFill="1" applyBorder="1"/>
    <xf numFmtId="165" fontId="11" fillId="0" borderId="3" xfId="0" applyNumberFormat="1" applyFont="1" applyFill="1" applyBorder="1"/>
    <xf numFmtId="37" fontId="24" fillId="3" borderId="0" xfId="0" applyNumberFormat="1" applyFont="1" applyFill="1"/>
    <xf numFmtId="7" fontId="18" fillId="0" borderId="0" xfId="0" applyNumberFormat="1" applyFont="1" applyFill="1" applyBorder="1"/>
    <xf numFmtId="165" fontId="12" fillId="0" borderId="0" xfId="0" applyNumberFormat="1" applyFont="1"/>
    <xf numFmtId="0" fontId="12" fillId="0" borderId="0" xfId="0" applyFont="1"/>
    <xf numFmtId="168" fontId="26" fillId="0" borderId="4" xfId="0" applyNumberFormat="1" applyFont="1" applyBorder="1"/>
    <xf numFmtId="168" fontId="26" fillId="0" borderId="3" xfId="0" applyNumberFormat="1" applyFont="1" applyBorder="1"/>
    <xf numFmtId="165" fontId="18" fillId="0" borderId="0" xfId="0" applyNumberFormat="1" applyFont="1" applyFill="1" applyAlignment="1">
      <alignment horizontal="right"/>
    </xf>
    <xf numFmtId="165" fontId="36" fillId="6" borderId="2" xfId="0" applyNumberFormat="1" applyFont="1" applyFill="1" applyBorder="1"/>
    <xf numFmtId="0" fontId="23" fillId="0" borderId="0" xfId="0" applyNumberFormat="1" applyFont="1" applyAlignment="1">
      <alignment horizontal="left" vertical="top"/>
    </xf>
    <xf numFmtId="169" fontId="30" fillId="6" borderId="2" xfId="3" applyNumberFormat="1" applyFont="1" applyFill="1" applyBorder="1"/>
    <xf numFmtId="168" fontId="30" fillId="6" borderId="2" xfId="3" applyNumberFormat="1" applyFont="1" applyFill="1" applyBorder="1"/>
    <xf numFmtId="0" fontId="23" fillId="0" borderId="0" xfId="0" applyFont="1" applyFill="1" applyBorder="1"/>
    <xf numFmtId="0" fontId="24" fillId="0" borderId="0" xfId="0" applyFont="1" applyFill="1" applyBorder="1"/>
    <xf numFmtId="165" fontId="37" fillId="6" borderId="2" xfId="0" applyNumberFormat="1" applyFont="1" applyFill="1" applyBorder="1"/>
    <xf numFmtId="169" fontId="15" fillId="0" borderId="4" xfId="0" applyNumberFormat="1" applyFont="1" applyFill="1" applyBorder="1"/>
    <xf numFmtId="169" fontId="16" fillId="3" borderId="0" xfId="0" applyNumberFormat="1" applyFont="1" applyFill="1"/>
    <xf numFmtId="169" fontId="15" fillId="0" borderId="3" xfId="0" applyNumberFormat="1" applyFont="1" applyFill="1" applyBorder="1"/>
    <xf numFmtId="169" fontId="15" fillId="0" borderId="0" xfId="0" applyNumberFormat="1" applyFont="1" applyFill="1" applyBorder="1"/>
    <xf numFmtId="174" fontId="13" fillId="2" borderId="0" xfId="0" applyNumberFormat="1" applyFont="1" applyFill="1" applyAlignment="1">
      <alignment horizontal="center"/>
    </xf>
    <xf numFmtId="174" fontId="13" fillId="5" borderId="0" xfId="0" applyNumberFormat="1" applyFont="1" applyFill="1" applyAlignment="1">
      <alignment horizontal="center"/>
    </xf>
    <xf numFmtId="0" fontId="29" fillId="0" borderId="0" xfId="0" applyNumberFormat="1" applyFont="1" applyAlignment="1">
      <alignment horizontal="left" vertical="top"/>
    </xf>
    <xf numFmtId="165" fontId="14" fillId="0" borderId="0" xfId="0" applyNumberFormat="1" applyFont="1" applyAlignment="1">
      <alignment horizontal="right"/>
    </xf>
    <xf numFmtId="165" fontId="14" fillId="0" borderId="3" xfId="0" applyNumberFormat="1" applyFont="1" applyFill="1" applyBorder="1"/>
    <xf numFmtId="165" fontId="22" fillId="0" borderId="3" xfId="0" applyNumberFormat="1" applyFont="1" applyFill="1" applyBorder="1"/>
    <xf numFmtId="165" fontId="11" fillId="3" borderId="0" xfId="0" applyNumberFormat="1" applyFont="1" applyFill="1" applyBorder="1"/>
    <xf numFmtId="165" fontId="22" fillId="0" borderId="0" xfId="0" applyNumberFormat="1" applyFont="1" applyFill="1" applyBorder="1" applyAlignment="1">
      <alignment horizontal="right"/>
    </xf>
    <xf numFmtId="165" fontId="11" fillId="0" borderId="0" xfId="0" applyNumberFormat="1" applyFont="1"/>
    <xf numFmtId="5" fontId="18" fillId="0" borderId="0" xfId="0" applyNumberFormat="1" applyFont="1"/>
    <xf numFmtId="7" fontId="24" fillId="0" borderId="0" xfId="0" applyNumberFormat="1" applyFont="1"/>
    <xf numFmtId="5" fontId="24" fillId="0" borderId="0" xfId="0" applyNumberFormat="1" applyFont="1"/>
    <xf numFmtId="168" fontId="26" fillId="0" borderId="0" xfId="0" applyNumberFormat="1" applyFont="1" applyFill="1" applyBorder="1" applyAlignment="1">
      <alignment horizontal="right"/>
    </xf>
    <xf numFmtId="168" fontId="15" fillId="0" borderId="0" xfId="0" applyNumberFormat="1" applyFont="1" applyAlignment="1">
      <alignment horizontal="right"/>
    </xf>
    <xf numFmtId="165" fontId="22" fillId="0" borderId="4" xfId="0" applyNumberFormat="1" applyFont="1" applyBorder="1"/>
    <xf numFmtId="0" fontId="11" fillId="3" borderId="0" xfId="0" applyFont="1" applyFill="1"/>
    <xf numFmtId="168" fontId="30" fillId="6" borderId="2" xfId="0" applyNumberFormat="1" applyFont="1" applyFill="1" applyBorder="1"/>
    <xf numFmtId="7" fontId="24" fillId="0" borderId="3" xfId="0" applyNumberFormat="1" applyFont="1" applyFill="1" applyBorder="1"/>
    <xf numFmtId="5" fontId="24" fillId="0" borderId="3" xfId="0" applyNumberFormat="1" applyFont="1" applyFill="1" applyBorder="1"/>
    <xf numFmtId="5" fontId="24" fillId="0" borderId="0" xfId="0" applyNumberFormat="1" applyFont="1" applyFill="1" applyBorder="1"/>
    <xf numFmtId="5" fontId="12" fillId="0" borderId="0" xfId="0" applyNumberFormat="1" applyFont="1"/>
    <xf numFmtId="168" fontId="39" fillId="6" borderId="2" xfId="0" applyNumberFormat="1" applyFont="1" applyFill="1" applyBorder="1"/>
    <xf numFmtId="7" fontId="19" fillId="0" borderId="4" xfId="0" applyNumberFormat="1" applyFont="1" applyFill="1" applyBorder="1"/>
    <xf numFmtId="7" fontId="18" fillId="6" borderId="2" xfId="0" applyNumberFormat="1" applyFont="1" applyFill="1" applyBorder="1"/>
    <xf numFmtId="165" fontId="24" fillId="0" borderId="6" xfId="0" applyNumberFormat="1" applyFont="1" applyFill="1" applyBorder="1"/>
    <xf numFmtId="165" fontId="24" fillId="0" borderId="1" xfId="0" applyNumberFormat="1" applyFont="1" applyFill="1" applyBorder="1"/>
    <xf numFmtId="168" fontId="15" fillId="0" borderId="0" xfId="1" applyNumberFormat="1" applyFont="1" applyFill="1" applyBorder="1"/>
    <xf numFmtId="168" fontId="15" fillId="0" borderId="4" xfId="0" applyNumberFormat="1" applyFont="1" applyBorder="1" applyAlignment="1">
      <alignment horizontal="right"/>
    </xf>
    <xf numFmtId="37" fontId="18" fillId="0" borderId="0" xfId="0" applyNumberFormat="1" applyFont="1"/>
    <xf numFmtId="37" fontId="18" fillId="0" borderId="0" xfId="0" applyNumberFormat="1" applyFont="1" applyAlignment="1">
      <alignment horizontal="right"/>
    </xf>
    <xf numFmtId="37" fontId="18" fillId="0" borderId="3" xfId="0" applyNumberFormat="1" applyFont="1" applyFill="1" applyBorder="1"/>
    <xf numFmtId="37" fontId="18" fillId="0" borderId="0" xfId="0" applyNumberFormat="1" applyFont="1" applyFill="1" applyBorder="1"/>
    <xf numFmtId="169" fontId="30" fillId="6" borderId="2" xfId="0" applyNumberFormat="1" applyFont="1" applyFill="1" applyBorder="1"/>
    <xf numFmtId="169" fontId="15" fillId="3" borderId="0" xfId="0" applyNumberFormat="1" applyFont="1" applyFill="1"/>
    <xf numFmtId="37" fontId="36" fillId="0" borderId="3" xfId="0" applyNumberFormat="1" applyFont="1" applyFill="1" applyBorder="1"/>
    <xf numFmtId="37" fontId="36" fillId="0" borderId="0" xfId="0" applyNumberFormat="1" applyFont="1" applyFill="1" applyBorder="1"/>
    <xf numFmtId="5" fontId="24" fillId="0" borderId="0" xfId="0" applyNumberFormat="1" applyFont="1" applyAlignment="1">
      <alignment horizontal="left" vertical="top"/>
    </xf>
    <xf numFmtId="5" fontId="24" fillId="3" borderId="0" xfId="0" applyNumberFormat="1" applyFont="1" applyFill="1"/>
    <xf numFmtId="7" fontId="24" fillId="0" borderId="0" xfId="0" applyNumberFormat="1" applyFont="1" applyAlignment="1">
      <alignment horizontal="left" vertical="top"/>
    </xf>
    <xf numFmtId="7" fontId="24" fillId="3" borderId="0" xfId="0" applyNumberFormat="1" applyFont="1" applyFill="1"/>
    <xf numFmtId="5" fontId="18" fillId="0" borderId="0" xfId="0" applyNumberFormat="1" applyFont="1" applyAlignment="1">
      <alignment horizontal="right"/>
    </xf>
    <xf numFmtId="5" fontId="18" fillId="0" borderId="3" xfId="0" applyNumberFormat="1" applyFont="1" applyFill="1" applyBorder="1"/>
    <xf numFmtId="5" fontId="18" fillId="0" borderId="0" xfId="0" applyNumberFormat="1" applyFont="1" applyFill="1" applyBorder="1"/>
    <xf numFmtId="0" fontId="13" fillId="2" borderId="0" xfId="0" applyFont="1" applyFill="1" applyAlignment="1">
      <alignment horizontal="center"/>
    </xf>
    <xf numFmtId="0" fontId="12" fillId="4" borderId="0" xfId="0" applyFont="1" applyFill="1"/>
    <xf numFmtId="165" fontId="12" fillId="4" borderId="0" xfId="0" applyNumberFormat="1" applyFont="1" applyFill="1"/>
    <xf numFmtId="39" fontId="12" fillId="4" borderId="0" xfId="0" applyNumberFormat="1" applyFont="1" applyFill="1"/>
    <xf numFmtId="0" fontId="13" fillId="5" borderId="0" xfId="0" applyFont="1" applyFill="1" applyAlignment="1">
      <alignment horizontal="center"/>
    </xf>
    <xf numFmtId="37" fontId="18" fillId="0" borderId="4" xfId="0" applyNumberFormat="1" applyFont="1" applyBorder="1"/>
    <xf numFmtId="168" fontId="30" fillId="6" borderId="5" xfId="0" applyNumberFormat="1" applyFont="1" applyFill="1" applyBorder="1"/>
    <xf numFmtId="168" fontId="39" fillId="6" borderId="5" xfId="0" applyNumberFormat="1" applyFont="1" applyFill="1" applyBorder="1"/>
    <xf numFmtId="5" fontId="18" fillId="0" borderId="4" xfId="0" applyNumberFormat="1" applyFont="1" applyBorder="1"/>
    <xf numFmtId="7" fontId="18" fillId="0" borderId="4" xfId="0" applyNumberFormat="1" applyFont="1" applyBorder="1"/>
    <xf numFmtId="165" fontId="14" fillId="0" borderId="4" xfId="0" applyNumberFormat="1" applyFont="1" applyFill="1" applyBorder="1"/>
    <xf numFmtId="165" fontId="22" fillId="6" borderId="5" xfId="0" applyNumberFormat="1" applyFont="1" applyFill="1" applyBorder="1"/>
    <xf numFmtId="168" fontId="30" fillId="6" borderId="5" xfId="3" applyNumberFormat="1" applyFont="1" applyFill="1" applyBorder="1"/>
    <xf numFmtId="7" fontId="18" fillId="6" borderId="5" xfId="0" applyNumberFormat="1" applyFont="1" applyFill="1" applyBorder="1"/>
    <xf numFmtId="165" fontId="29" fillId="0" borderId="3" xfId="0" applyNumberFormat="1" applyFont="1" applyBorder="1"/>
    <xf numFmtId="165" fontId="23" fillId="0" borderId="3" xfId="0" applyNumberFormat="1" applyFont="1" applyBorder="1"/>
    <xf numFmtId="168" fontId="15" fillId="0" borderId="3" xfId="1" applyNumberFormat="1" applyFont="1" applyFill="1" applyBorder="1"/>
    <xf numFmtId="7" fontId="24" fillId="0" borderId="4" xfId="0" applyNumberFormat="1" applyFont="1" applyBorder="1"/>
    <xf numFmtId="7" fontId="24" fillId="0" borderId="3" xfId="0" applyNumberFormat="1" applyFont="1" applyBorder="1"/>
    <xf numFmtId="168" fontId="15" fillId="0" borderId="3" xfId="0" applyNumberFormat="1" applyFont="1" applyFill="1" applyBorder="1" applyAlignment="1">
      <alignment horizontal="right"/>
    </xf>
    <xf numFmtId="169" fontId="30" fillId="6" borderId="5" xfId="3" applyNumberFormat="1" applyFont="1" applyFill="1" applyBorder="1"/>
    <xf numFmtId="165" fontId="18" fillId="0" borderId="4" xfId="0" applyNumberFormat="1" applyFont="1" applyBorder="1" applyAlignment="1">
      <alignment horizontal="right"/>
    </xf>
    <xf numFmtId="169" fontId="30" fillId="6" borderId="5" xfId="0" applyNumberFormat="1" applyFont="1" applyFill="1" applyBorder="1"/>
    <xf numFmtId="175" fontId="19" fillId="0" borderId="4" xfId="0" applyNumberFormat="1" applyFont="1" applyFill="1" applyBorder="1"/>
    <xf numFmtId="0" fontId="11" fillId="0" borderId="0" xfId="0" applyFont="1" applyFill="1" applyAlignment="1">
      <alignment horizontal="left"/>
    </xf>
    <xf numFmtId="0" fontId="12" fillId="0" borderId="0" xfId="0" applyFont="1" applyFill="1" applyAlignment="1">
      <alignment horizontal="left"/>
    </xf>
    <xf numFmtId="174" fontId="12" fillId="0" borderId="0" xfId="0" applyNumberFormat="1" applyFont="1" applyFill="1" applyAlignment="1">
      <alignment horizontal="left"/>
    </xf>
    <xf numFmtId="37" fontId="24" fillId="0" borderId="0" xfId="0" applyNumberFormat="1" applyFont="1" applyFill="1" applyAlignment="1">
      <alignment horizontal="left"/>
    </xf>
    <xf numFmtId="0" fontId="23" fillId="0" borderId="0" xfId="0" applyNumberFormat="1" applyFont="1" applyFill="1" applyAlignment="1">
      <alignment horizontal="left" vertical="top"/>
    </xf>
    <xf numFmtId="0" fontId="21" fillId="0" borderId="0" xfId="0" applyFont="1" applyFill="1" applyAlignment="1">
      <alignment horizontal="left"/>
    </xf>
    <xf numFmtId="0" fontId="23" fillId="0" borderId="0" xfId="0" applyFont="1" applyFill="1" applyAlignment="1">
      <alignment horizontal="left"/>
    </xf>
    <xf numFmtId="165" fontId="21" fillId="0" borderId="0" xfId="0" applyNumberFormat="1" applyFont="1" applyFill="1" applyAlignment="1">
      <alignment horizontal="left"/>
    </xf>
    <xf numFmtId="165" fontId="11" fillId="0" borderId="0" xfId="0" applyNumberFormat="1" applyFont="1" applyFill="1" applyAlignment="1">
      <alignment horizontal="left"/>
    </xf>
    <xf numFmtId="165" fontId="12" fillId="0" borderId="0" xfId="0" applyNumberFormat="1" applyFont="1" applyFill="1" applyAlignment="1">
      <alignment horizontal="left"/>
    </xf>
    <xf numFmtId="165" fontId="11" fillId="0" borderId="0" xfId="0" applyNumberFormat="1" applyFont="1" applyFill="1" applyBorder="1" applyAlignment="1">
      <alignment horizontal="left"/>
    </xf>
    <xf numFmtId="0" fontId="11" fillId="0" borderId="0" xfId="1" applyFont="1" applyFill="1" applyBorder="1" applyAlignment="1">
      <alignment horizontal="left"/>
    </xf>
    <xf numFmtId="0" fontId="11" fillId="0" borderId="0" xfId="0" applyFont="1" applyFill="1" applyBorder="1" applyAlignment="1">
      <alignment horizontal="left"/>
    </xf>
    <xf numFmtId="7" fontId="11" fillId="0" borderId="0" xfId="0" applyNumberFormat="1" applyFont="1" applyFill="1" applyBorder="1" applyAlignment="1">
      <alignment horizontal="left"/>
    </xf>
    <xf numFmtId="7" fontId="12" fillId="0" borderId="0" xfId="0" applyNumberFormat="1" applyFont="1" applyFill="1" applyBorder="1" applyAlignment="1">
      <alignment horizontal="left"/>
    </xf>
    <xf numFmtId="165" fontId="12" fillId="0" borderId="0" xfId="0" applyNumberFormat="1" applyFont="1" applyFill="1" applyBorder="1" applyAlignment="1">
      <alignment horizontal="left"/>
    </xf>
    <xf numFmtId="0" fontId="12" fillId="0" borderId="0" xfId="0" applyFont="1" applyFill="1" applyBorder="1" applyAlignment="1">
      <alignment horizontal="left"/>
    </xf>
    <xf numFmtId="165" fontId="24" fillId="0" borderId="0" xfId="0" applyNumberFormat="1" applyFont="1" applyAlignment="1">
      <alignment horizontal="left" vertical="top"/>
    </xf>
    <xf numFmtId="165" fontId="29" fillId="0" borderId="0" xfId="0" applyNumberFormat="1" applyFont="1" applyAlignment="1">
      <alignment horizontal="left" vertical="top"/>
    </xf>
    <xf numFmtId="165" fontId="29" fillId="0" borderId="0" xfId="0" applyNumberFormat="1" applyFont="1" applyFill="1" applyAlignment="1">
      <alignment horizontal="left"/>
    </xf>
    <xf numFmtId="0" fontId="11" fillId="0" borderId="0" xfId="1" applyFont="1" applyFill="1" applyAlignment="1">
      <alignment horizontal="left"/>
    </xf>
    <xf numFmtId="169" fontId="16" fillId="0" borderId="0" xfId="0" applyNumberFormat="1" applyFont="1" applyFill="1" applyAlignment="1">
      <alignment horizontal="left"/>
    </xf>
    <xf numFmtId="165" fontId="11" fillId="0" borderId="0" xfId="1" applyNumberFormat="1" applyFont="1" applyFill="1" applyAlignment="1">
      <alignment horizontal="left"/>
    </xf>
    <xf numFmtId="165" fontId="24" fillId="0" borderId="0" xfId="0" applyNumberFormat="1" applyFont="1" applyFill="1" applyAlignment="1">
      <alignment horizontal="left"/>
    </xf>
    <xf numFmtId="169" fontId="15" fillId="0" borderId="0" xfId="0" applyNumberFormat="1" applyFont="1" applyFill="1" applyAlignment="1">
      <alignment horizontal="left"/>
    </xf>
    <xf numFmtId="168" fontId="16" fillId="0" borderId="0" xfId="1" applyNumberFormat="1" applyFont="1" applyFill="1" applyAlignment="1">
      <alignment horizontal="left" indent="1"/>
    </xf>
    <xf numFmtId="0" fontId="12" fillId="3" borderId="0" xfId="0" applyFont="1" applyFill="1" applyAlignment="1">
      <alignment horizontal="left"/>
    </xf>
    <xf numFmtId="167" fontId="13" fillId="3" borderId="0" xfId="0" applyNumberFormat="1" applyFont="1" applyFill="1" applyAlignment="1">
      <alignment horizontal="center"/>
    </xf>
    <xf numFmtId="167" fontId="13" fillId="3" borderId="4" xfId="0" applyNumberFormat="1" applyFont="1" applyFill="1" applyBorder="1" applyAlignment="1">
      <alignment horizontal="center"/>
    </xf>
    <xf numFmtId="167" fontId="13" fillId="3" borderId="3" xfId="0" applyNumberFormat="1" applyFont="1" applyFill="1" applyBorder="1" applyAlignment="1">
      <alignment horizontal="center"/>
    </xf>
    <xf numFmtId="0" fontId="11" fillId="3" borderId="0" xfId="0" applyFont="1" applyFill="1" applyAlignment="1">
      <alignment horizontal="center"/>
    </xf>
    <xf numFmtId="0" fontId="11" fillId="0" borderId="0" xfId="2" applyFont="1" applyFill="1" applyAlignment="1">
      <alignment horizontal="center"/>
    </xf>
    <xf numFmtId="174" fontId="11" fillId="0" borderId="0" xfId="2" applyNumberFormat="1" applyFont="1" applyFill="1" applyAlignment="1">
      <alignment horizontal="center"/>
    </xf>
    <xf numFmtId="37" fontId="23" fillId="0" borderId="0" xfId="2" applyNumberFormat="1" applyFont="1" applyFill="1" applyAlignment="1">
      <alignment horizontal="center"/>
    </xf>
    <xf numFmtId="168" fontId="32" fillId="0" borderId="0" xfId="2" applyNumberFormat="1" applyFont="1" applyFill="1" applyAlignment="1">
      <alignment horizontal="center"/>
    </xf>
    <xf numFmtId="168" fontId="38" fillId="0" borderId="0" xfId="2" applyNumberFormat="1" applyFont="1" applyFill="1" applyAlignment="1">
      <alignment horizontal="center"/>
    </xf>
    <xf numFmtId="5" fontId="23" fillId="0" borderId="0" xfId="2" applyNumberFormat="1" applyFont="1" applyFill="1" applyAlignment="1">
      <alignment horizontal="center"/>
    </xf>
    <xf numFmtId="7" fontId="23" fillId="0" borderId="0" xfId="2" applyNumberFormat="1" applyFont="1" applyFill="1" applyAlignment="1">
      <alignment horizontal="center"/>
    </xf>
    <xf numFmtId="0" fontId="0" fillId="0" borderId="0" xfId="0" applyFill="1"/>
    <xf numFmtId="165" fontId="12" fillId="0" borderId="0" xfId="2" applyNumberFormat="1" applyFont="1" applyFill="1" applyBorder="1"/>
    <xf numFmtId="165" fontId="12" fillId="0" borderId="0" xfId="2" applyNumberFormat="1" applyFont="1" applyFill="1"/>
    <xf numFmtId="165" fontId="12" fillId="0" borderId="0" xfId="2" applyNumberFormat="1" applyFont="1" applyFill="1" applyBorder="1" applyAlignment="1">
      <alignment horizontal="center"/>
    </xf>
    <xf numFmtId="7" fontId="12" fillId="0" borderId="0" xfId="2" applyNumberFormat="1" applyFont="1" applyFill="1" applyBorder="1" applyAlignment="1">
      <alignment horizontal="center"/>
    </xf>
    <xf numFmtId="167" fontId="12" fillId="0" borderId="0" xfId="2" applyNumberFormat="1" applyFont="1" applyFill="1" applyAlignment="1">
      <alignment horizontal="center"/>
    </xf>
    <xf numFmtId="167" fontId="12" fillId="0" borderId="0" xfId="1" applyNumberFormat="1" applyFont="1" applyFill="1" applyAlignment="1">
      <alignment horizontal="center"/>
    </xf>
    <xf numFmtId="169" fontId="31" fillId="0" borderId="0" xfId="2" applyNumberFormat="1" applyFont="1" applyFill="1" applyAlignment="1">
      <alignment horizontal="center"/>
    </xf>
    <xf numFmtId="165" fontId="21" fillId="0" borderId="0" xfId="2" applyNumberFormat="1" applyFont="1" applyFill="1"/>
    <xf numFmtId="165" fontId="27" fillId="0" borderId="0" xfId="2" applyNumberFormat="1" applyFont="1" applyFill="1" applyAlignment="1">
      <alignment horizontal="center"/>
    </xf>
  </cellXfs>
  <cellStyles count="21">
    <cellStyle name="ColLevel_1" xfId="2" builtinId="2" iLevel="0"/>
    <cellStyle name="Comma 2" xfId="7"/>
    <cellStyle name="Comma 2 2" xfId="9"/>
    <cellStyle name="Hyperlink" xfId="4" builtinId="8"/>
    <cellStyle name="Normal" xfId="0" builtinId="0"/>
    <cellStyle name="Normal 2" xfId="5"/>
    <cellStyle name="Normal 2 2" xfId="11"/>
    <cellStyle name="Normal 2 3" xfId="19"/>
    <cellStyle name="Normal 3" xfId="8"/>
    <cellStyle name="Normal 4" xfId="13"/>
    <cellStyle name="Normal 5" xfId="15"/>
    <cellStyle name="Normal 6" xfId="17"/>
    <cellStyle name="Percent" xfId="3" builtinId="5"/>
    <cellStyle name="Percent 2" xfId="6"/>
    <cellStyle name="Percent 2 2" xfId="10"/>
    <cellStyle name="Percent 2 3" xfId="12"/>
    <cellStyle name="Percent 2 4" xfId="20"/>
    <cellStyle name="Percent 3" xfId="14"/>
    <cellStyle name="Percent 4" xfId="16"/>
    <cellStyle name="Percent 5" xfId="18"/>
    <cellStyle name="RowLevel_1" xfId="1" builtinId="1" iLevel="0"/>
  </cellStyles>
  <dxfs count="0"/>
  <tableStyles count="0" defaultTableStyle="TableStyleMedium2" defaultPivotStyle="PivotStyleLight16"/>
  <colors>
    <mruColors>
      <color rgb="FF3333FF"/>
      <color rgb="FF0033CC"/>
      <color rgb="FF008000"/>
      <color rgb="FFFC6F64"/>
      <color rgb="FFFF3300"/>
      <color rgb="FFFF7F61"/>
      <color rgb="FF993300"/>
      <color rgb="FF000000"/>
      <color rgb="FF003399"/>
      <color rgb="FFCC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externalLink" Target="externalLinks/externalLink6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5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4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Relationship Id="rId1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shim%20Mandal/Desktop/04.04.18%20EMN%20UB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phgit72\group\DOCUME~1\sfbwe\LOCALS~1\Temp\notes6C71CC\Copy%20of%20NEW%20Noter%2008_09%20MASTER%20note%208%20+%2032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phgit72\group\FINANCE%20GROUP\2007_08\ACTUAL\12%20APR%2008%20(Q4)\IR%20Reporting\Q4%2007_08%20MASTER%20FS%20&amp;%20Stock%20exchange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phgit72\group\FINANCE%20GROUP\2008_09\ACTUAL\12%20APR%2009%20(Q4)\IR%20REPORTING\NEW%20Noter%2008_09%20MASTER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ycroot\data\FINANCE%20GROUP\2008_09\ACTUAL\12%20APR%2009%20(Q4)\IR%20REPORTING\NEW%20Noter%2008_09%20MASTER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ycroot\data\FINANCE%20GROUP\2010_11\ACTUAL\09%20JAN%2011%20(Q3)\IR%20REPORTING\NEW%20Noter%2008_09%20MASTER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A-Disclaimer"/>
      <sheetName val="Model Disclaimer"/>
      <sheetName val="CUS Image"/>
      <sheetName val="Consol"/>
      <sheetName val="Income Statement"/>
      <sheetName val="Income Statement old"/>
      <sheetName val="Qtrly Inc"/>
      <sheetName val="Cash Flow"/>
      <sheetName val="Bal Sheet"/>
      <sheetName val="DCF"/>
      <sheetName val="Propane"/>
      <sheetName val="Summary"/>
      <sheetName val="Sales EBITDA Margin"/>
      <sheetName val="VAL"/>
      <sheetName val="A&amp;FP"/>
      <sheetName val="A&amp;P"/>
      <sheetName val="Advanced Materials"/>
      <sheetName val="AFP"/>
      <sheetName val="CI"/>
      <sheetName val="Fibers"/>
      <sheetName val="CASPI (2)"/>
      <sheetName val="Portfolio summary"/>
      <sheetName val="Regional split"/>
      <sheetName val="EPS Trend"/>
      <sheetName val="SOA"/>
      <sheetName val="AsReported"/>
      <sheetName val="Variance Analysis"/>
      <sheetName val="ScratchPad"/>
      <sheetName val="Longview"/>
      <sheetName val="Hedges"/>
      <sheetName val="Sheet1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/>
      <sheetData sheetId="7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OGIC"/>
      <sheetName val="Issues"/>
      <sheetName val="Instruks"/>
      <sheetName val="GEODATA "/>
      <sheetName val="SDATA "/>
      <sheetName val="DATA"/>
      <sheetName val="BSDATA"/>
      <sheetName val="FADATA"/>
      <sheetName val="VAL_FS"/>
      <sheetName val="Busi Segm  "/>
      <sheetName val="Shareholders"/>
      <sheetName val="Busi Segm"/>
      <sheetName val="Indhold regnskab"/>
      <sheetName val="Note PL 1 "/>
      <sheetName val="Note PL 2 "/>
      <sheetName val="Note PL 3"/>
      <sheetName val="Note FA"/>
      <sheetName val="Note FIN"/>
      <sheetName val="Note BS"/>
      <sheetName val="Note Def tax"/>
      <sheetName val="N CF køb"/>
      <sheetName val="Note CF"/>
      <sheetName val="N aktie 1 "/>
      <sheetName val="N aktie 2 "/>
      <sheetName val="N aktie 3"/>
      <sheetName val="Note Suppl"/>
      <sheetName val="Def Nø"/>
    </sheetNames>
    <sheetDataSet>
      <sheetData sheetId="0">
        <row r="98">
          <cell r="C98" t="str">
            <v>Attributable to discontinued operations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OGIC"/>
      <sheetName val="DATA"/>
      <sheetName val="Instruks"/>
      <sheetName val="Contents in FBM"/>
      <sheetName val="SDATA"/>
      <sheetName val="VAL_FS"/>
      <sheetName val="Qval"/>
      <sheetName val="Q Val New"/>
      <sheetName val="Q Keyfigures"/>
      <sheetName val="Q Ing. &amp; Sugar"/>
      <sheetName val="Q BS &amp; EQ"/>
      <sheetName val="Q growth"/>
      <sheetName val="Q Growth VAL"/>
      <sheetName val="Note Disc"/>
      <sheetName val="FSvalLY"/>
      <sheetName val="Q Note"/>
      <sheetName val="5 year"/>
      <sheetName val="Busi Seg"/>
      <sheetName val="Shareholders"/>
      <sheetName val="Proforma BS"/>
      <sheetName val="Indhold regnskab"/>
      <sheetName val="PL"/>
      <sheetName val="BS"/>
      <sheetName val="SORIE"/>
      <sheetName val="CF"/>
      <sheetName val="Note PL 1"/>
      <sheetName val="Note PL 2"/>
      <sheetName val="Note PL 3"/>
      <sheetName val="Note FA"/>
      <sheetName val="Note FIN"/>
      <sheetName val="Note BS"/>
      <sheetName val="Note Def tax"/>
      <sheetName val="Equity"/>
      <sheetName val="N CF køb"/>
      <sheetName val="Note CF"/>
      <sheetName val="N aktie 1 "/>
      <sheetName val="N aktie 2 "/>
      <sheetName val="N aktie 3"/>
      <sheetName val="Note Suppl"/>
      <sheetName val="Def Nø"/>
    </sheetNames>
    <sheetDataSet>
      <sheetData sheetId="0">
        <row r="3">
          <cell r="T3" t="str">
            <v>2004-2005</v>
          </cell>
        </row>
        <row r="4">
          <cell r="T4" t="str">
            <v>2005-2006</v>
          </cell>
        </row>
        <row r="5">
          <cell r="T5" t="str">
            <v>2006-2007</v>
          </cell>
        </row>
        <row r="6">
          <cell r="T6" t="str">
            <v>2007-2008</v>
          </cell>
        </row>
        <row r="7">
          <cell r="T7" t="str">
            <v>2008-2009</v>
          </cell>
        </row>
        <row r="8">
          <cell r="T8" t="str">
            <v>2009-2010</v>
          </cell>
        </row>
        <row r="9">
          <cell r="T9" t="str">
            <v>2010-2011</v>
          </cell>
        </row>
        <row r="17">
          <cell r="B17">
            <v>4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OGIC"/>
      <sheetName val="Issues"/>
      <sheetName val="Instruks"/>
      <sheetName val="GEODATA "/>
      <sheetName val="SDATA "/>
      <sheetName val="DATA"/>
      <sheetName val="BSDATA"/>
      <sheetName val="FADATA"/>
      <sheetName val="VAL_FS"/>
      <sheetName val="Busi Segm  "/>
      <sheetName val="Busi Segm"/>
      <sheetName val="Indhold regnskab"/>
      <sheetName val="Note PL 1 "/>
      <sheetName val="Note PL 2 "/>
      <sheetName val="Note PL 3"/>
      <sheetName val="Note FA"/>
      <sheetName val="Note FIN"/>
      <sheetName val="Note BS"/>
      <sheetName val="Note Def tax"/>
      <sheetName val="N CF køb"/>
      <sheetName val="Note CF"/>
      <sheetName val="N aktie 1 "/>
      <sheetName val="N aktie 2 "/>
      <sheetName val="N aktie 3"/>
      <sheetName val="Note Suppl"/>
      <sheetName val="Def Nø"/>
      <sheetName val="BExRepositorySheet"/>
    </sheetNames>
    <sheetDataSet>
      <sheetData sheetId="0">
        <row r="15">
          <cell r="C15" t="str">
            <v>(DKKm)</v>
          </cell>
        </row>
        <row r="33">
          <cell r="C33" t="str">
            <v>06/07</v>
          </cell>
        </row>
        <row r="34">
          <cell r="C34" t="str">
            <v>07/08</v>
          </cell>
        </row>
        <row r="35">
          <cell r="C35" t="str">
            <v>08/09</v>
          </cell>
        </row>
        <row r="53">
          <cell r="C53" t="str">
            <v>Genencor</v>
          </cell>
        </row>
        <row r="55">
          <cell r="C55" t="str">
            <v>Enablers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OGIC"/>
      <sheetName val="Issues"/>
      <sheetName val="Instruks"/>
      <sheetName val="GEODATA "/>
      <sheetName val="SDATA "/>
      <sheetName val="DATA"/>
      <sheetName val="BSDATA"/>
      <sheetName val="FADATA"/>
      <sheetName val="VAL_FS"/>
      <sheetName val="Busi Segm  "/>
      <sheetName val="Busi Segm"/>
      <sheetName val="Indhold regnskab"/>
      <sheetName val="Note PL 1 "/>
      <sheetName val="Note PL 2 "/>
      <sheetName val="Note PL 3"/>
      <sheetName val="Note FA"/>
      <sheetName val="Note FIN"/>
      <sheetName val="Note BS"/>
      <sheetName val="Note Def tax"/>
      <sheetName val="N CF køb"/>
      <sheetName val="Note CF"/>
      <sheetName val="N aktie 1 "/>
      <sheetName val="N aktie 2 "/>
      <sheetName val="N aktie 3"/>
      <sheetName val="Note Suppl"/>
      <sheetName val="Def Nø"/>
      <sheetName val="BExRepositorySheet"/>
    </sheetNames>
    <sheetDataSet>
      <sheetData sheetId="0">
        <row r="56">
          <cell r="C56" t="str">
            <v>Revenue</v>
          </cell>
        </row>
        <row r="57">
          <cell r="C57" t="str">
            <v>Non-current assets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OGIC"/>
      <sheetName val="Issues"/>
      <sheetName val="Instruks"/>
      <sheetName val="GEODATA "/>
      <sheetName val="SDATA "/>
      <sheetName val="DATA"/>
      <sheetName val="BSDATA"/>
      <sheetName val="FADATA"/>
      <sheetName val="VAL_FS"/>
      <sheetName val="Busi Segm  "/>
      <sheetName val="Busi Segm"/>
      <sheetName val="Indhold regnskab"/>
      <sheetName val="Note PL 1 "/>
      <sheetName val="Note PL 2 "/>
      <sheetName val="Note PL 3"/>
      <sheetName val="Note FA"/>
      <sheetName val="Note FIN"/>
      <sheetName val="Note BS"/>
      <sheetName val="Note Def tax"/>
      <sheetName val="N CF køb"/>
      <sheetName val="Note CF"/>
      <sheetName val="N aktie 1 "/>
      <sheetName val="N aktie 2 "/>
      <sheetName val="N aktie 3"/>
      <sheetName val="Note Suppl"/>
      <sheetName val="Def Nø"/>
    </sheetNames>
    <sheetDataSet>
      <sheetData sheetId="0">
        <row r="26">
          <cell r="C26" t="str">
            <v>2004/05</v>
          </cell>
        </row>
        <row r="27">
          <cell r="C27" t="str">
            <v>2005/06</v>
          </cell>
        </row>
        <row r="28">
          <cell r="C28" t="str">
            <v>2006/07</v>
          </cell>
        </row>
        <row r="29">
          <cell r="C29" t="str">
            <v>2007/08</v>
          </cell>
        </row>
        <row r="30">
          <cell r="C30" t="str">
            <v>2008/09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R72"/>
  <sheetViews>
    <sheetView tabSelected="1" workbookViewId="0">
      <pane xSplit="1" ySplit="2" topLeftCell="B3" activePane="bottomRight" state="frozen"/>
      <selection pane="topRight" activeCell="B1" sqref="B1"/>
      <selection pane="bottomLeft" activeCell="A3" sqref="A3"/>
      <selection pane="bottomRight"/>
    </sheetView>
  </sheetViews>
  <sheetFormatPr defaultRowHeight="12.75" x14ac:dyDescent="0.2"/>
  <cols>
    <col min="1" max="1" width="35.7109375" bestFit="1" customWidth="1"/>
    <col min="2" max="2" width="2.42578125" customWidth="1"/>
    <col min="3" max="3" width="6.42578125" bestFit="1" customWidth="1"/>
    <col min="4" max="5" width="7.42578125" bestFit="1" customWidth="1"/>
    <col min="6" max="8" width="8" bestFit="1" customWidth="1"/>
    <col min="9" max="12" width="8.42578125" bestFit="1" customWidth="1"/>
    <col min="13" max="17" width="7.42578125" bestFit="1" customWidth="1"/>
    <col min="18" max="18" width="9.140625" style="304" customWidth="1"/>
    <col min="19" max="19" width="6.7109375" bestFit="1" customWidth="1"/>
    <col min="20" max="20" width="7.42578125" bestFit="1" customWidth="1"/>
    <col min="21" max="21" width="6.42578125" bestFit="1" customWidth="1"/>
    <col min="22" max="25" width="7.28515625" bestFit="1" customWidth="1"/>
    <col min="26" max="37" width="7.42578125" bestFit="1" customWidth="1"/>
    <col min="38" max="53" width="8.42578125" bestFit="1" customWidth="1"/>
    <col min="54" max="70" width="7.42578125" bestFit="1" customWidth="1"/>
  </cols>
  <sheetData>
    <row r="1" spans="1:70" x14ac:dyDescent="0.2">
      <c r="A1" s="267"/>
      <c r="B1" s="1"/>
      <c r="C1" s="242" t="s">
        <v>177</v>
      </c>
      <c r="D1" s="242" t="s">
        <v>178</v>
      </c>
      <c r="E1" s="242" t="s">
        <v>179</v>
      </c>
      <c r="F1" s="242" t="s">
        <v>180</v>
      </c>
      <c r="G1" s="242" t="s">
        <v>15</v>
      </c>
      <c r="H1" s="242" t="s">
        <v>16</v>
      </c>
      <c r="I1" s="242" t="s">
        <v>17</v>
      </c>
      <c r="J1" s="242" t="s">
        <v>18</v>
      </c>
      <c r="K1" s="242" t="s">
        <v>25</v>
      </c>
      <c r="L1" s="242" t="s">
        <v>37</v>
      </c>
      <c r="M1" s="246" t="s">
        <v>134</v>
      </c>
      <c r="N1" s="246" t="s">
        <v>61</v>
      </c>
      <c r="O1" s="246" t="s">
        <v>62</v>
      </c>
      <c r="P1" s="246" t="s">
        <v>63</v>
      </c>
      <c r="Q1" s="246" t="s">
        <v>64</v>
      </c>
      <c r="R1" s="297"/>
      <c r="S1" s="242" t="s">
        <v>181</v>
      </c>
      <c r="T1" s="242" t="s">
        <v>182</v>
      </c>
      <c r="U1" s="242" t="s">
        <v>183</v>
      </c>
      <c r="V1" s="242" t="s">
        <v>184</v>
      </c>
      <c r="W1" s="242" t="s">
        <v>185</v>
      </c>
      <c r="X1" s="242" t="s">
        <v>186</v>
      </c>
      <c r="Y1" s="242" t="s">
        <v>187</v>
      </c>
      <c r="Z1" s="242" t="s">
        <v>188</v>
      </c>
      <c r="AA1" s="242" t="s">
        <v>189</v>
      </c>
      <c r="AB1" s="242" t="s">
        <v>190</v>
      </c>
      <c r="AC1" s="242" t="s">
        <v>191</v>
      </c>
      <c r="AD1" s="242" t="s">
        <v>192</v>
      </c>
      <c r="AE1" s="242" t="s">
        <v>193</v>
      </c>
      <c r="AF1" s="242" t="s">
        <v>194</v>
      </c>
      <c r="AG1" s="242" t="s">
        <v>195</v>
      </c>
      <c r="AH1" s="242" t="s">
        <v>196</v>
      </c>
      <c r="AI1" s="242" t="s">
        <v>197</v>
      </c>
      <c r="AJ1" s="242" t="s">
        <v>198</v>
      </c>
      <c r="AK1" s="242" t="s">
        <v>199</v>
      </c>
      <c r="AL1" s="242" t="s">
        <v>200</v>
      </c>
      <c r="AM1" s="242" t="s">
        <v>201</v>
      </c>
      <c r="AN1" s="242" t="s">
        <v>202</v>
      </c>
      <c r="AO1" s="242" t="s">
        <v>203</v>
      </c>
      <c r="AP1" s="242" t="s">
        <v>204</v>
      </c>
      <c r="AQ1" s="242" t="s">
        <v>19</v>
      </c>
      <c r="AR1" s="242" t="s">
        <v>20</v>
      </c>
      <c r="AS1" s="242" t="s">
        <v>21</v>
      </c>
      <c r="AT1" s="242" t="s">
        <v>26</v>
      </c>
      <c r="AU1" s="242" t="s">
        <v>38</v>
      </c>
      <c r="AV1" s="242" t="s">
        <v>39</v>
      </c>
      <c r="AW1" s="242" t="s">
        <v>40</v>
      </c>
      <c r="AX1" s="242" t="s">
        <v>41</v>
      </c>
      <c r="AY1" s="242" t="s">
        <v>102</v>
      </c>
      <c r="AZ1" s="242" t="s">
        <v>116</v>
      </c>
      <c r="BA1" s="242" t="s">
        <v>205</v>
      </c>
      <c r="BB1" s="246" t="s">
        <v>133</v>
      </c>
      <c r="BC1" s="246" t="s">
        <v>132</v>
      </c>
      <c r="BD1" s="246" t="s">
        <v>46</v>
      </c>
      <c r="BE1" s="246" t="s">
        <v>47</v>
      </c>
      <c r="BF1" s="246" t="s">
        <v>48</v>
      </c>
      <c r="BG1" s="246" t="s">
        <v>49</v>
      </c>
      <c r="BH1" s="246" t="s">
        <v>50</v>
      </c>
      <c r="BI1" s="246" t="s">
        <v>51</v>
      </c>
      <c r="BJ1" s="246" t="s">
        <v>52</v>
      </c>
      <c r="BK1" s="246" t="s">
        <v>53</v>
      </c>
      <c r="BL1" s="246" t="s">
        <v>54</v>
      </c>
      <c r="BM1" s="246" t="s">
        <v>55</v>
      </c>
      <c r="BN1" s="246" t="s">
        <v>56</v>
      </c>
      <c r="BO1" s="246" t="s">
        <v>57</v>
      </c>
      <c r="BP1" s="246" t="s">
        <v>58</v>
      </c>
      <c r="BQ1" s="246" t="s">
        <v>59</v>
      </c>
      <c r="BR1" s="246" t="s">
        <v>60</v>
      </c>
    </row>
    <row r="2" spans="1:70" x14ac:dyDescent="0.2">
      <c r="A2" s="268"/>
      <c r="B2" s="1"/>
      <c r="C2" s="199">
        <v>40178</v>
      </c>
      <c r="D2" s="199">
        <v>40543</v>
      </c>
      <c r="E2" s="199">
        <v>40908</v>
      </c>
      <c r="F2" s="199">
        <v>41274</v>
      </c>
      <c r="G2" s="199">
        <v>41639</v>
      </c>
      <c r="H2" s="199">
        <v>42004</v>
      </c>
      <c r="I2" s="199">
        <v>42369</v>
      </c>
      <c r="J2" s="199">
        <v>42735</v>
      </c>
      <c r="K2" s="199">
        <v>43100</v>
      </c>
      <c r="L2" s="199">
        <v>43465</v>
      </c>
      <c r="M2" s="200">
        <v>43830</v>
      </c>
      <c r="N2" s="200">
        <v>44196</v>
      </c>
      <c r="O2" s="200">
        <v>44561</v>
      </c>
      <c r="P2" s="200">
        <v>44926</v>
      </c>
      <c r="Q2" s="200">
        <v>45291</v>
      </c>
      <c r="R2" s="298"/>
      <c r="S2" s="199">
        <v>40633</v>
      </c>
      <c r="T2" s="199">
        <v>40724</v>
      </c>
      <c r="U2" s="199">
        <v>40816</v>
      </c>
      <c r="V2" s="199">
        <v>40908</v>
      </c>
      <c r="W2" s="199">
        <v>40999</v>
      </c>
      <c r="X2" s="199">
        <v>41090</v>
      </c>
      <c r="Y2" s="199">
        <v>41182</v>
      </c>
      <c r="Z2" s="199">
        <v>41274</v>
      </c>
      <c r="AA2" s="199">
        <v>41364</v>
      </c>
      <c r="AB2" s="199">
        <v>41455</v>
      </c>
      <c r="AC2" s="199">
        <v>41547</v>
      </c>
      <c r="AD2" s="199">
        <v>41639</v>
      </c>
      <c r="AE2" s="199">
        <v>41729</v>
      </c>
      <c r="AF2" s="199">
        <v>41820</v>
      </c>
      <c r="AG2" s="199">
        <v>41912</v>
      </c>
      <c r="AH2" s="199">
        <v>42004</v>
      </c>
      <c r="AI2" s="199">
        <v>42094</v>
      </c>
      <c r="AJ2" s="199">
        <v>42185</v>
      </c>
      <c r="AK2" s="199">
        <v>42277</v>
      </c>
      <c r="AL2" s="199">
        <v>42369</v>
      </c>
      <c r="AM2" s="199">
        <v>42460</v>
      </c>
      <c r="AN2" s="199">
        <v>42551</v>
      </c>
      <c r="AO2" s="199">
        <v>42643</v>
      </c>
      <c r="AP2" s="199">
        <v>42735</v>
      </c>
      <c r="AQ2" s="199">
        <v>42825</v>
      </c>
      <c r="AR2" s="199">
        <v>42916</v>
      </c>
      <c r="AS2" s="199">
        <v>43008</v>
      </c>
      <c r="AT2" s="199">
        <v>43100</v>
      </c>
      <c r="AU2" s="199">
        <v>43190</v>
      </c>
      <c r="AV2" s="199">
        <v>43281</v>
      </c>
      <c r="AW2" s="199">
        <v>43373</v>
      </c>
      <c r="AX2" s="199">
        <v>43465</v>
      </c>
      <c r="AY2" s="199">
        <v>43555</v>
      </c>
      <c r="AZ2" s="199">
        <v>43646</v>
      </c>
      <c r="BA2" s="199">
        <v>43738</v>
      </c>
      <c r="BB2" s="200">
        <v>43830</v>
      </c>
      <c r="BC2" s="200">
        <v>43921</v>
      </c>
      <c r="BD2" s="200">
        <v>44012</v>
      </c>
      <c r="BE2" s="200">
        <v>44104</v>
      </c>
      <c r="BF2" s="200">
        <v>44196</v>
      </c>
      <c r="BG2" s="200">
        <v>44286</v>
      </c>
      <c r="BH2" s="200">
        <v>44377</v>
      </c>
      <c r="BI2" s="200">
        <v>44469</v>
      </c>
      <c r="BJ2" s="200">
        <v>44561</v>
      </c>
      <c r="BK2" s="200">
        <v>44651</v>
      </c>
      <c r="BL2" s="200">
        <v>44742</v>
      </c>
      <c r="BM2" s="200">
        <v>44834</v>
      </c>
      <c r="BN2" s="200">
        <v>44926</v>
      </c>
      <c r="BO2" s="200">
        <v>45016</v>
      </c>
      <c r="BP2" s="200">
        <v>45107</v>
      </c>
      <c r="BQ2" s="200">
        <v>45199</v>
      </c>
      <c r="BR2" s="200">
        <v>45291</v>
      </c>
    </row>
    <row r="3" spans="1:70" x14ac:dyDescent="0.2">
      <c r="A3" s="292"/>
      <c r="B3" s="9"/>
      <c r="C3" s="293"/>
      <c r="D3" s="293"/>
      <c r="E3" s="293"/>
      <c r="F3" s="293"/>
      <c r="G3" s="293"/>
      <c r="H3" s="293"/>
      <c r="I3" s="293"/>
      <c r="J3" s="293"/>
      <c r="K3" s="293"/>
      <c r="L3" s="294"/>
      <c r="M3" s="295"/>
      <c r="N3" s="293"/>
      <c r="O3" s="293"/>
      <c r="P3" s="293"/>
      <c r="Q3" s="293"/>
      <c r="R3" s="46"/>
      <c r="S3" s="293"/>
      <c r="T3" s="293"/>
      <c r="U3" s="293"/>
      <c r="V3" s="293"/>
      <c r="W3" s="293"/>
      <c r="X3" s="293"/>
      <c r="Y3" s="293"/>
      <c r="Z3" s="293"/>
      <c r="AA3" s="293"/>
      <c r="AB3" s="293"/>
      <c r="AC3" s="293"/>
      <c r="AD3" s="293"/>
      <c r="AE3" s="293"/>
      <c r="AF3" s="293"/>
      <c r="AG3" s="293"/>
      <c r="AH3" s="293"/>
      <c r="AI3" s="293"/>
      <c r="AJ3" s="293"/>
      <c r="AK3" s="293"/>
      <c r="AL3" s="293"/>
      <c r="AM3" s="293"/>
      <c r="AN3" s="293"/>
      <c r="AO3" s="293"/>
      <c r="AP3" s="293"/>
      <c r="AQ3" s="293"/>
      <c r="AR3" s="293"/>
      <c r="AS3" s="293"/>
      <c r="AT3" s="293"/>
      <c r="AU3" s="293"/>
      <c r="AV3" s="293"/>
      <c r="AW3" s="293"/>
      <c r="AX3" s="293"/>
      <c r="AY3" s="293"/>
      <c r="AZ3" s="293"/>
      <c r="BA3" s="294"/>
      <c r="BB3" s="295"/>
      <c r="BC3" s="293"/>
      <c r="BD3" s="293"/>
      <c r="BE3" s="293"/>
      <c r="BF3" s="293"/>
      <c r="BG3" s="293"/>
      <c r="BH3" s="293"/>
      <c r="BI3" s="293"/>
      <c r="BJ3" s="293"/>
      <c r="BK3" s="293"/>
      <c r="BL3" s="293"/>
      <c r="BM3" s="293"/>
      <c r="BN3" s="293"/>
      <c r="BO3" s="296"/>
      <c r="BP3" s="296"/>
      <c r="BQ3" s="296"/>
      <c r="BR3" s="296"/>
    </row>
    <row r="4" spans="1:70" x14ac:dyDescent="0.2">
      <c r="A4" s="189" t="s">
        <v>80</v>
      </c>
      <c r="B4" s="11" t="s">
        <v>145</v>
      </c>
      <c r="C4" s="97">
        <v>667.72</v>
      </c>
      <c r="D4" s="97">
        <v>605.59</v>
      </c>
      <c r="E4" s="97">
        <v>544.06299999999999</v>
      </c>
      <c r="F4" s="97">
        <v>584.48599999999999</v>
      </c>
      <c r="G4" s="97">
        <v>582.44399999999996</v>
      </c>
      <c r="H4" s="97">
        <v>593.053</v>
      </c>
      <c r="I4" s="97">
        <v>826.99900000000002</v>
      </c>
      <c r="J4" s="145">
        <v>859.45600000000002</v>
      </c>
      <c r="K4" s="145">
        <v>974.94799999999998</v>
      </c>
      <c r="L4" s="145">
        <v>469.51499999999999</v>
      </c>
      <c r="M4" s="86">
        <f>SUM(AY4:BB4)</f>
        <v>520.05026632025942</v>
      </c>
      <c r="N4" s="72">
        <f>SUM(BC4:BF4)</f>
        <v>595.08215948616999</v>
      </c>
      <c r="O4" s="72">
        <f>SUM(BG4:BJ4)</f>
        <v>718.66704753675015</v>
      </c>
      <c r="P4" s="72">
        <f>SUM(BK4:BN4)</f>
        <v>872.96602223963896</v>
      </c>
      <c r="Q4" s="72">
        <f>SUM(BO4:BR4)</f>
        <v>1078.3212307519229</v>
      </c>
      <c r="R4" s="52"/>
      <c r="S4" s="97">
        <v>134.38900000000001</v>
      </c>
      <c r="T4" s="97">
        <v>135.05199999999999</v>
      </c>
      <c r="U4" s="97">
        <v>136.88800000000001</v>
      </c>
      <c r="V4" s="144">
        <f>E4-U4-T4-S4</f>
        <v>137.73399999999992</v>
      </c>
      <c r="W4" s="97">
        <v>151.065</v>
      </c>
      <c r="X4" s="97">
        <v>147.465</v>
      </c>
      <c r="Y4" s="97">
        <v>149.82400000000001</v>
      </c>
      <c r="Z4" s="144">
        <f>F4-Y4-X4-W4</f>
        <v>136.13200000000001</v>
      </c>
      <c r="AA4" s="97">
        <v>146.822</v>
      </c>
      <c r="AB4" s="97">
        <v>149.066</v>
      </c>
      <c r="AC4" s="97">
        <v>146.101</v>
      </c>
      <c r="AD4" s="144">
        <f>G4-AC4-AB4-AA4</f>
        <v>140.45499999999993</v>
      </c>
      <c r="AE4" s="97">
        <v>150.571</v>
      </c>
      <c r="AF4" s="97">
        <v>144.946</v>
      </c>
      <c r="AG4" s="97">
        <v>145.48099999999999</v>
      </c>
      <c r="AH4" s="144">
        <f>H4-AG4-AF4-AE4</f>
        <v>152.05499999999998</v>
      </c>
      <c r="AI4" s="97">
        <v>207.47300000000001</v>
      </c>
      <c r="AJ4" s="97">
        <v>206.364</v>
      </c>
      <c r="AK4" s="97">
        <v>208.74600000000001</v>
      </c>
      <c r="AL4" s="145">
        <v>204.416</v>
      </c>
      <c r="AM4" s="97">
        <v>205.76900000000001</v>
      </c>
      <c r="AN4" s="97">
        <v>214</v>
      </c>
      <c r="AO4" s="97">
        <v>222.17699999999999</v>
      </c>
      <c r="AP4" s="145">
        <v>217.511</v>
      </c>
      <c r="AQ4" s="97">
        <v>237.53700000000001</v>
      </c>
      <c r="AR4" s="97">
        <v>242.23</v>
      </c>
      <c r="AS4" s="97">
        <v>247.322</v>
      </c>
      <c r="AT4" s="145">
        <v>247.85900000000001</v>
      </c>
      <c r="AU4" s="145">
        <v>111.001</v>
      </c>
      <c r="AV4" s="145">
        <v>118.682</v>
      </c>
      <c r="AW4" s="145">
        <v>120.33</v>
      </c>
      <c r="AX4" s="145">
        <v>119.502</v>
      </c>
      <c r="AY4" s="145">
        <v>123.77500000000001</v>
      </c>
      <c r="AZ4" s="145">
        <v>129.70599999999999</v>
      </c>
      <c r="BA4" s="155">
        <v>134.56899999999999</v>
      </c>
      <c r="BB4" s="86">
        <f>RD!BB88+RD!BB16</f>
        <v>132.00026632025941</v>
      </c>
      <c r="BC4" s="72">
        <f>RD!BC88+RD!BC16</f>
        <v>138.5872523715048</v>
      </c>
      <c r="BD4" s="72">
        <f>RD!BD88+RD!BD16</f>
        <v>146.2756074758768</v>
      </c>
      <c r="BE4" s="72">
        <f>RD!BE88+RD!BE16</f>
        <v>153.3708809723384</v>
      </c>
      <c r="BF4" s="72">
        <f>RD!BF88+RD!BF16</f>
        <v>156.8484186664499</v>
      </c>
      <c r="BG4" s="72">
        <f>RD!BG88+RD!BG16</f>
        <v>165.90146776192765</v>
      </c>
      <c r="BH4" s="72">
        <f>RD!BH88+RD!BH16</f>
        <v>178.0656335677252</v>
      </c>
      <c r="BI4" s="72">
        <f>RD!BI88+RD!BI16</f>
        <v>185.57688449923</v>
      </c>
      <c r="BJ4" s="72">
        <f>RD!BJ88+RD!BJ16</f>
        <v>189.12306170786738</v>
      </c>
      <c r="BK4" s="72">
        <f>RD!BK88+RD!BK16</f>
        <v>199.29388430948319</v>
      </c>
      <c r="BL4" s="72">
        <f>RD!BL88+RD!BL16</f>
        <v>217.44922422341253</v>
      </c>
      <c r="BM4" s="72">
        <f>RD!BM88+RD!BM16</f>
        <v>226.27508790111472</v>
      </c>
      <c r="BN4" s="72">
        <f>RD!BN88+RD!BN16</f>
        <v>229.94782580562858</v>
      </c>
      <c r="BO4" s="72">
        <f>RD!BO88+RD!BO16</f>
        <v>243.93795635208892</v>
      </c>
      <c r="BP4" s="72">
        <f>RD!BP88+RD!BP16</f>
        <v>270.71370883041538</v>
      </c>
      <c r="BQ4" s="72">
        <f>RD!BQ88+RD!BQ16</f>
        <v>280.47904422161247</v>
      </c>
      <c r="BR4" s="72">
        <f>RD!BR88+RD!BR16</f>
        <v>283.19052134780634</v>
      </c>
    </row>
    <row r="5" spans="1:70" x14ac:dyDescent="0.2">
      <c r="A5" s="161" t="s">
        <v>4</v>
      </c>
      <c r="B5" s="12"/>
      <c r="C5" s="163"/>
      <c r="D5" s="163">
        <f>D4/C4-1</f>
        <v>-9.304798418498772E-2</v>
      </c>
      <c r="E5" s="163">
        <f>E4/D4-1</f>
        <v>-0.10159844118958383</v>
      </c>
      <c r="F5" s="163">
        <f>F4/E4-1</f>
        <v>7.429838088603713E-2</v>
      </c>
      <c r="G5" s="163">
        <f>G4/F4-1</f>
        <v>-3.4936679407205906E-3</v>
      </c>
      <c r="H5" s="163">
        <f>H4/G4-1</f>
        <v>1.8214626642218068E-2</v>
      </c>
      <c r="I5" s="163">
        <f>I4/H4-1</f>
        <v>0.39447739072224586</v>
      </c>
      <c r="J5" s="163">
        <f>J4/I4-1</f>
        <v>3.924672218467018E-2</v>
      </c>
      <c r="K5" s="163">
        <f>K4/J4-1</f>
        <v>0.13437802516940933</v>
      </c>
      <c r="L5" s="173">
        <f>L4/K4-1</f>
        <v>-0.5184204696045327</v>
      </c>
      <c r="M5" s="174">
        <f>M4/L4-1</f>
        <v>0.10763291123874508</v>
      </c>
      <c r="N5" s="163">
        <f>N4/M4-1</f>
        <v>0.14427815544988909</v>
      </c>
      <c r="O5" s="163">
        <f>O4/N4-1</f>
        <v>0.20767701750173595</v>
      </c>
      <c r="P5" s="163">
        <f>P4/O4-1</f>
        <v>0.21470161353821982</v>
      </c>
      <c r="Q5" s="163">
        <f>Q4/P4-1</f>
        <v>0.23523848956392901</v>
      </c>
      <c r="R5" s="300"/>
      <c r="S5" s="91"/>
      <c r="T5" s="91"/>
      <c r="U5" s="91"/>
      <c r="V5" s="91"/>
      <c r="W5" s="91">
        <f>W4/S4-1</f>
        <v>0.12408753692638519</v>
      </c>
      <c r="X5" s="91">
        <f>X4/T4-1</f>
        <v>9.1912744720552109E-2</v>
      </c>
      <c r="Y5" s="91">
        <f>Y4/U4-1</f>
        <v>9.4500613640348341E-2</v>
      </c>
      <c r="Z5" s="91">
        <f>Z4/V4-1</f>
        <v>-1.1631115047845308E-2</v>
      </c>
      <c r="AA5" s="91">
        <f>AA4/W4-1</f>
        <v>-2.8087247211465272E-2</v>
      </c>
      <c r="AB5" s="91">
        <f>AB4/X4-1</f>
        <v>1.0856813481165073E-2</v>
      </c>
      <c r="AC5" s="91">
        <f>AC4/Y4-1</f>
        <v>-2.4849156343443091E-2</v>
      </c>
      <c r="AD5" s="91">
        <f>AD4/Z4-1</f>
        <v>3.1755942761436895E-2</v>
      </c>
      <c r="AE5" s="91">
        <f>AE4/AA4-1</f>
        <v>2.5534320469684291E-2</v>
      </c>
      <c r="AF5" s="91">
        <f>AF4/AB4-1</f>
        <v>-2.7638764037406283E-2</v>
      </c>
      <c r="AG5" s="91">
        <f>AG4/AC4-1</f>
        <v>-4.243639673924271E-3</v>
      </c>
      <c r="AH5" s="91">
        <f>AH4/AD4-1</f>
        <v>8.2588729486312795E-2</v>
      </c>
      <c r="AI5" s="91">
        <f>AI4/AE4-1</f>
        <v>0.3779080965126087</v>
      </c>
      <c r="AJ5" s="91">
        <f>AJ4/AF4-1</f>
        <v>0.42373021677038358</v>
      </c>
      <c r="AK5" s="91">
        <f>AK4/AG4-1</f>
        <v>0.43486778342189036</v>
      </c>
      <c r="AL5" s="91">
        <f>AL4/AH4-1</f>
        <v>0.34435566078063884</v>
      </c>
      <c r="AM5" s="91">
        <f>AM4/AI4-1</f>
        <v>-8.2131168874987059E-3</v>
      </c>
      <c r="AN5" s="91">
        <f>AN4/AJ4-1</f>
        <v>3.7002577969025507E-2</v>
      </c>
      <c r="AO5" s="91">
        <f>AO4/AK4-1</f>
        <v>6.4341352648673356E-2</v>
      </c>
      <c r="AP5" s="91">
        <f>AP4/AL4-1</f>
        <v>6.4060543206011289E-2</v>
      </c>
      <c r="AQ5" s="91">
        <f>AQ4/AM4-1</f>
        <v>0.15438671520005443</v>
      </c>
      <c r="AR5" s="91">
        <f>AR4/AN4-1</f>
        <v>0.13191588785046715</v>
      </c>
      <c r="AS5" s="91">
        <f>AS4/AO4-1</f>
        <v>0.11317553122060353</v>
      </c>
      <c r="AT5" s="91">
        <f>AT4/AP4-1</f>
        <v>0.1395239780976596</v>
      </c>
      <c r="AU5" s="91">
        <f>AU4/AQ4-1</f>
        <v>-0.53270016881580551</v>
      </c>
      <c r="AV5" s="91">
        <f>AV4/AR4-1</f>
        <v>-0.51004417289353099</v>
      </c>
      <c r="AW5" s="91">
        <f>AW4/AS4-1</f>
        <v>-0.51346827213106794</v>
      </c>
      <c r="AX5" s="91">
        <f>AX4/AT4-1</f>
        <v>-0.51786297854828756</v>
      </c>
      <c r="AY5" s="91">
        <f>AY4/AU4-1</f>
        <v>0.11508004432392505</v>
      </c>
      <c r="AZ5" s="91">
        <f>AZ4/AV4-1</f>
        <v>9.28868741679445E-2</v>
      </c>
      <c r="BA5" s="93">
        <f>BA4/AW4-1</f>
        <v>0.11833291780935751</v>
      </c>
      <c r="BB5" s="92">
        <f>BB4/AX4-1</f>
        <v>0.10458625228246743</v>
      </c>
      <c r="BC5" s="91">
        <f>BC4/AY4-1</f>
        <v>0.11967079274089909</v>
      </c>
      <c r="BD5" s="91">
        <f>BD4/AZ4-1</f>
        <v>0.12774742475966261</v>
      </c>
      <c r="BE5" s="91">
        <f>BE4/BA4-1</f>
        <v>0.1397192590592069</v>
      </c>
      <c r="BF5" s="91">
        <f>BF4/BB4-1</f>
        <v>0.18824319858494709</v>
      </c>
      <c r="BG5" s="91">
        <f>BG4/BC4-1</f>
        <v>0.19709038835117987</v>
      </c>
      <c r="BH5" s="91">
        <f>BH4/BD4-1</f>
        <v>0.21732964668829768</v>
      </c>
      <c r="BI5" s="91">
        <f>BI4/BE4-1</f>
        <v>0.20998773249988822</v>
      </c>
      <c r="BJ5" s="91">
        <f>BJ4/BF4-1</f>
        <v>0.20576964253654317</v>
      </c>
      <c r="BK5" s="91">
        <f>BK4/BG4-1</f>
        <v>0.20127860830908628</v>
      </c>
      <c r="BL5" s="91">
        <f>BL4/BH4-1</f>
        <v>0.22117457404102758</v>
      </c>
      <c r="BM5" s="91">
        <f>BM4/BI4-1</f>
        <v>0.21930642661507549</v>
      </c>
      <c r="BN5" s="91">
        <f>BN4/BJ4-1</f>
        <v>0.21586348977800474</v>
      </c>
      <c r="BO5" s="91">
        <f>BO4/BK4-1</f>
        <v>0.2240112495036628</v>
      </c>
      <c r="BP5" s="91">
        <f>BP4/BL4-1</f>
        <v>0.24495136644993343</v>
      </c>
      <c r="BQ5" s="91">
        <f>BQ4/BM4-1</f>
        <v>0.2395489349856561</v>
      </c>
      <c r="BR5" s="91">
        <f>BR4/BN4-1</f>
        <v>0.23154250472097537</v>
      </c>
    </row>
    <row r="6" spans="1:70" x14ac:dyDescent="0.2">
      <c r="A6" s="161" t="s">
        <v>5</v>
      </c>
      <c r="B6" s="12"/>
      <c r="C6" s="163"/>
      <c r="D6" s="163"/>
      <c r="E6" s="163"/>
      <c r="F6" s="163"/>
      <c r="G6" s="163"/>
      <c r="H6" s="163"/>
      <c r="I6" s="163"/>
      <c r="J6" s="163"/>
      <c r="K6" s="163"/>
      <c r="L6" s="173"/>
      <c r="M6" s="92"/>
      <c r="N6" s="91"/>
      <c r="O6" s="91"/>
      <c r="P6" s="91"/>
      <c r="Q6" s="91"/>
      <c r="R6" s="300"/>
      <c r="S6" s="91"/>
      <c r="T6" s="91">
        <f>T4/S4-1</f>
        <v>4.9334394928155501E-3</v>
      </c>
      <c r="U6" s="91">
        <f>U4/T4-1</f>
        <v>1.3594763498504303E-2</v>
      </c>
      <c r="V6" s="91">
        <f>V4/U4-1</f>
        <v>6.1802349365898124E-3</v>
      </c>
      <c r="W6" s="91">
        <f>W4/V4-1</f>
        <v>9.6788011674677765E-2</v>
      </c>
      <c r="X6" s="91">
        <f>X4/W4-1</f>
        <v>-2.3830801310694039E-2</v>
      </c>
      <c r="Y6" s="91">
        <f>Y4/X4-1</f>
        <v>1.5997016241142026E-2</v>
      </c>
      <c r="Z6" s="91">
        <f>Z4/Y4-1</f>
        <v>-9.1387227680478467E-2</v>
      </c>
      <c r="AA6" s="91">
        <f>AA4/Z4-1</f>
        <v>7.8526724061939834E-2</v>
      </c>
      <c r="AB6" s="91">
        <f>AB4/AA4-1</f>
        <v>1.5283813052539896E-2</v>
      </c>
      <c r="AC6" s="91">
        <f>AC4/AB4-1</f>
        <v>-1.9890518293910087E-2</v>
      </c>
      <c r="AD6" s="91">
        <f>AD4/AC4-1</f>
        <v>-3.86444993531877E-2</v>
      </c>
      <c r="AE6" s="91">
        <f>AE4/AD4-1</f>
        <v>7.2023067886512138E-2</v>
      </c>
      <c r="AF6" s="91">
        <f>AF4/AE4-1</f>
        <v>-3.7357791340962065E-2</v>
      </c>
      <c r="AG6" s="91">
        <f>AG4/AF4-1</f>
        <v>3.6910297628081068E-3</v>
      </c>
      <c r="AH6" s="91">
        <f>AH4/AG4-1</f>
        <v>4.518803142678407E-2</v>
      </c>
      <c r="AI6" s="91">
        <f>AI4/AH4-1</f>
        <v>0.36446022820689916</v>
      </c>
      <c r="AJ6" s="91">
        <f>AJ4/AI4-1</f>
        <v>-5.3452738428615421E-3</v>
      </c>
      <c r="AK6" s="91">
        <f>AK4/AJ4-1</f>
        <v>1.1542710937954226E-2</v>
      </c>
      <c r="AL6" s="91">
        <f>AL4/AK4-1</f>
        <v>-2.0742912439040806E-2</v>
      </c>
      <c r="AM6" s="91">
        <f>AM4/AL4-1</f>
        <v>6.6188556668753673E-3</v>
      </c>
      <c r="AN6" s="91">
        <f>AN4/AM4-1</f>
        <v>4.0001166356448126E-2</v>
      </c>
      <c r="AO6" s="91">
        <f>AO4/AN4-1</f>
        <v>3.8210280373831784E-2</v>
      </c>
      <c r="AP6" s="91">
        <f>AP4/AO4-1</f>
        <v>-2.1001273759210015E-2</v>
      </c>
      <c r="AQ6" s="91">
        <f>AQ4/AP4-1</f>
        <v>9.2068906859883004E-2</v>
      </c>
      <c r="AR6" s="91">
        <f>AR4/AQ4-1</f>
        <v>1.9756922079507522E-2</v>
      </c>
      <c r="AS6" s="91">
        <f>AS4/AR4-1</f>
        <v>2.1021343351360411E-2</v>
      </c>
      <c r="AT6" s="91">
        <f>AT4/AS4-1</f>
        <v>2.1712585212800839E-3</v>
      </c>
      <c r="AU6" s="91">
        <f>AU4/AT4-1</f>
        <v>-0.55216070427138009</v>
      </c>
      <c r="AV6" s="91">
        <f>AV4/AU4-1</f>
        <v>6.9197574796623362E-2</v>
      </c>
      <c r="AW6" s="91">
        <f>AW4/AV4-1</f>
        <v>1.3885846210882846E-2</v>
      </c>
      <c r="AX6" s="91">
        <f>AX4/AW4-1</f>
        <v>-6.8810770381451114E-3</v>
      </c>
      <c r="AY6" s="91">
        <f>AY4/AX4-1</f>
        <v>3.5756723736841245E-2</v>
      </c>
      <c r="AZ6" s="91">
        <f>AZ4/AY4-1</f>
        <v>4.7917592405574583E-2</v>
      </c>
      <c r="BA6" s="93">
        <f>BA4/AZ4-1</f>
        <v>3.7492483000015397E-2</v>
      </c>
      <c r="BB6" s="92">
        <f>BB4/BA4-1</f>
        <v>-1.9088599006759188E-2</v>
      </c>
      <c r="BC6" s="91">
        <f>BC4/BB4-1</f>
        <v>4.990130879936272E-2</v>
      </c>
      <c r="BD6" s="91">
        <f>BD4/BC4-1</f>
        <v>5.5476639970912789E-2</v>
      </c>
      <c r="BE6" s="91">
        <f>BE4/BD4-1</f>
        <v>4.8506197437134135E-2</v>
      </c>
      <c r="BF6" s="91">
        <f>BF4/BE4-1</f>
        <v>2.2674041330822847E-2</v>
      </c>
      <c r="BG6" s="91">
        <f>BG4/BF4-1</f>
        <v>5.7718459468372174E-2</v>
      </c>
      <c r="BH6" s="91">
        <f>BH4/BG4-1</f>
        <v>7.3321628614241074E-2</v>
      </c>
      <c r="BI6" s="91">
        <f>BI4/BH4-1</f>
        <v>4.2182485081535992E-2</v>
      </c>
      <c r="BJ6" s="91">
        <f>BJ4/BI4-1</f>
        <v>1.9108938153620469E-2</v>
      </c>
      <c r="BK6" s="91">
        <f>BK4/BJ4-1</f>
        <v>5.3778859699968207E-2</v>
      </c>
      <c r="BL6" s="91">
        <f>BL4/BK4-1</f>
        <v>9.1098329368381137E-2</v>
      </c>
      <c r="BM6" s="91">
        <f>BM4/BL4-1</f>
        <v>4.0588158956291753E-2</v>
      </c>
      <c r="BN6" s="91">
        <f>BN4/BM4-1</f>
        <v>1.6231295891127484E-2</v>
      </c>
      <c r="BO6" s="91">
        <f>BO4/BN4-1</f>
        <v>6.0840455861870035E-2</v>
      </c>
      <c r="BP6" s="91">
        <f>BP4/BO4-1</f>
        <v>0.10976460112537612</v>
      </c>
      <c r="BQ6" s="91">
        <f>BQ4/BP4-1</f>
        <v>3.6072555887128877E-2</v>
      </c>
      <c r="BR6" s="91">
        <f>BR4/BQ4-1</f>
        <v>9.6673073516733155E-3</v>
      </c>
    </row>
    <row r="7" spans="1:70" x14ac:dyDescent="0.2">
      <c r="A7" s="267"/>
      <c r="B7" s="9"/>
      <c r="C7" s="100"/>
      <c r="D7" s="100"/>
      <c r="E7" s="100"/>
      <c r="F7" s="100"/>
      <c r="G7" s="100"/>
      <c r="H7" s="100"/>
      <c r="I7" s="100"/>
      <c r="J7" s="100"/>
      <c r="K7" s="100"/>
      <c r="L7" s="102"/>
      <c r="M7" s="176"/>
      <c r="N7" s="101"/>
      <c r="O7" s="101"/>
      <c r="P7" s="101"/>
      <c r="Q7" s="101"/>
      <c r="R7" s="46"/>
      <c r="S7" s="100"/>
      <c r="T7" s="100"/>
      <c r="U7" s="100"/>
      <c r="V7" s="100"/>
      <c r="W7" s="100"/>
      <c r="X7" s="100"/>
      <c r="Y7" s="100"/>
      <c r="Z7" s="100"/>
      <c r="AA7" s="100"/>
      <c r="AB7" s="100"/>
      <c r="AC7" s="100"/>
      <c r="AD7" s="100"/>
      <c r="AE7" s="100"/>
      <c r="AF7" s="100"/>
      <c r="AG7" s="100"/>
      <c r="AH7" s="100"/>
      <c r="AI7" s="100"/>
      <c r="AJ7" s="100"/>
      <c r="AK7" s="100"/>
      <c r="AL7" s="100"/>
      <c r="AM7" s="100"/>
      <c r="AN7" s="100"/>
      <c r="AO7" s="100"/>
      <c r="AP7" s="100"/>
      <c r="AQ7" s="100"/>
      <c r="AR7" s="100"/>
      <c r="AS7" s="100"/>
      <c r="AT7" s="100"/>
      <c r="AU7" s="100"/>
      <c r="AV7" s="100"/>
      <c r="AW7" s="100"/>
      <c r="AX7" s="100"/>
      <c r="AY7" s="100"/>
      <c r="AZ7" s="100"/>
      <c r="BA7" s="102"/>
      <c r="BB7" s="103"/>
      <c r="BC7" s="100"/>
      <c r="BD7" s="100"/>
      <c r="BE7" s="100"/>
      <c r="BF7" s="100"/>
      <c r="BG7" s="100"/>
      <c r="BH7" s="100"/>
      <c r="BI7" s="100"/>
      <c r="BJ7" s="100"/>
      <c r="BK7" s="100"/>
      <c r="BL7" s="100"/>
      <c r="BM7" s="100"/>
      <c r="BN7" s="100"/>
      <c r="BO7" s="100"/>
      <c r="BP7" s="100"/>
      <c r="BQ7" s="100"/>
      <c r="BR7" s="100"/>
    </row>
    <row r="8" spans="1:70" x14ac:dyDescent="0.2">
      <c r="A8" s="168" t="s">
        <v>242</v>
      </c>
      <c r="B8" s="11"/>
      <c r="C8" s="80">
        <v>501.81</v>
      </c>
      <c r="D8" s="80">
        <v>463.04500000000002</v>
      </c>
      <c r="E8" s="80">
        <v>419.60599999999999</v>
      </c>
      <c r="F8" s="80">
        <v>436.05900000000003</v>
      </c>
      <c r="G8" s="80">
        <v>439.79399999999998</v>
      </c>
      <c r="H8" s="80">
        <v>440.07100000000003</v>
      </c>
      <c r="I8" s="80">
        <v>510.39699999999999</v>
      </c>
      <c r="J8" s="142">
        <v>549.01400000000001</v>
      </c>
      <c r="K8" s="142">
        <v>638.54499999999996</v>
      </c>
      <c r="L8" s="142">
        <v>94.436999999999998</v>
      </c>
      <c r="M8" s="77">
        <f>SUM(AY8:BB8)</f>
        <v>106.69421259728685</v>
      </c>
      <c r="N8" s="76">
        <f>SUM(BC8:BF8)</f>
        <v>125.04910719370667</v>
      </c>
      <c r="O8" s="76">
        <f>SUM(BG8:BJ8)</f>
        <v>151.01893281695058</v>
      </c>
      <c r="P8" s="76">
        <f>SUM(BK8:BN8)</f>
        <v>183.44294136756989</v>
      </c>
      <c r="Q8" s="76">
        <f>SUM(BO8:BR8)</f>
        <v>226.59578181604144</v>
      </c>
      <c r="R8" s="305"/>
      <c r="S8" s="80">
        <v>105.233</v>
      </c>
      <c r="T8" s="80">
        <v>105.714</v>
      </c>
      <c r="U8" s="80">
        <v>106.953</v>
      </c>
      <c r="V8" s="146">
        <f>E8-U8-T8-S8</f>
        <v>101.70600000000002</v>
      </c>
      <c r="W8" s="80">
        <v>113.815</v>
      </c>
      <c r="X8" s="80">
        <v>108.378</v>
      </c>
      <c r="Y8" s="80">
        <v>111.373</v>
      </c>
      <c r="Z8" s="146">
        <f>F8-Y8-X8-W8</f>
        <v>102.49300000000005</v>
      </c>
      <c r="AA8" s="80">
        <v>111.099</v>
      </c>
      <c r="AB8" s="80">
        <v>111.724</v>
      </c>
      <c r="AC8" s="80">
        <v>111.10599999999999</v>
      </c>
      <c r="AD8" s="146">
        <f>G8-AC8-AB8-AA8</f>
        <v>105.86499999999999</v>
      </c>
      <c r="AE8" s="80">
        <v>113.238</v>
      </c>
      <c r="AF8" s="80">
        <v>109.375</v>
      </c>
      <c r="AG8" s="80">
        <v>108.568</v>
      </c>
      <c r="AH8" s="146">
        <f>H8-AG8-AF8-AE8</f>
        <v>108.89000000000004</v>
      </c>
      <c r="AI8" s="80">
        <v>127.023</v>
      </c>
      <c r="AJ8" s="80">
        <v>127.22199999999999</v>
      </c>
      <c r="AK8" s="80">
        <v>129.81700000000001</v>
      </c>
      <c r="AL8" s="142">
        <v>126.33499999999999</v>
      </c>
      <c r="AM8" s="76">
        <f>AM28-AM25</f>
        <v>131.09300000000002</v>
      </c>
      <c r="AN8" s="76">
        <f>AN28-AN25</f>
        <v>136.46600000000001</v>
      </c>
      <c r="AO8" s="76">
        <f>AO28-AO25</f>
        <v>142.678</v>
      </c>
      <c r="AP8" s="142">
        <v>138.77600000000001</v>
      </c>
      <c r="AQ8" s="76">
        <f>AQ28-AQ25</f>
        <v>153.24299999999999</v>
      </c>
      <c r="AR8" s="76">
        <f>AR28-AR25</f>
        <v>158.70599999999999</v>
      </c>
      <c r="AS8" s="142">
        <v>163.65799999999999</v>
      </c>
      <c r="AT8" s="142">
        <v>162.93800000000002</v>
      </c>
      <c r="AU8" s="142">
        <v>20.884</v>
      </c>
      <c r="AV8" s="142">
        <v>23.667000000000002</v>
      </c>
      <c r="AW8" s="142">
        <v>24.602</v>
      </c>
      <c r="AX8" s="142">
        <v>25.283999999999999</v>
      </c>
      <c r="AY8" s="142">
        <v>24.638000000000002</v>
      </c>
      <c r="AZ8" s="142">
        <v>26.04</v>
      </c>
      <c r="BA8" s="153">
        <v>28.277999999999999</v>
      </c>
      <c r="BB8" s="77">
        <f>BB9*BB4</f>
        <v>27.738212597286861</v>
      </c>
      <c r="BC8" s="76">
        <f>BC9*BC4</f>
        <v>29.122385709646448</v>
      </c>
      <c r="BD8" s="76">
        <f>BD9*BD4</f>
        <v>30.737997816754557</v>
      </c>
      <c r="BE8" s="76">
        <f>BE9*BE4</f>
        <v>32.228981207676249</v>
      </c>
      <c r="BF8" s="76">
        <f>BF9*BF4</f>
        <v>32.95974245962941</v>
      </c>
      <c r="BG8" s="76">
        <f>BG9*BG4</f>
        <v>34.862128018873513</v>
      </c>
      <c r="BH8" s="76">
        <f>BH9*BH4</f>
        <v>37.41827602217549</v>
      </c>
      <c r="BI8" s="76">
        <f>BI9*BI4</f>
        <v>38.996671892257694</v>
      </c>
      <c r="BJ8" s="76">
        <f>BJ9*BJ4</f>
        <v>39.741856883643884</v>
      </c>
      <c r="BK8" s="76">
        <f>BK9*BK4</f>
        <v>41.879128629205582</v>
      </c>
      <c r="BL8" s="76">
        <f>BL9*BL4</f>
        <v>45.694247282729748</v>
      </c>
      <c r="BM8" s="76">
        <f>BM9*BM4</f>
        <v>47.548892654829288</v>
      </c>
      <c r="BN8" s="76">
        <f>BN9*BN4</f>
        <v>48.320672800805276</v>
      </c>
      <c r="BO8" s="76">
        <f>BO9*BO4</f>
        <v>51.260524561558533</v>
      </c>
      <c r="BP8" s="76">
        <f>BP9*BP4</f>
        <v>56.887115593535555</v>
      </c>
      <c r="BQ8" s="76">
        <f>BQ9*BQ4</f>
        <v>58.93917925004093</v>
      </c>
      <c r="BR8" s="76">
        <f>BR9*BR4</f>
        <v>59.508962410906435</v>
      </c>
    </row>
    <row r="9" spans="1:70" x14ac:dyDescent="0.2">
      <c r="A9" s="161" t="s">
        <v>6</v>
      </c>
      <c r="B9" s="12"/>
      <c r="C9" s="163">
        <f>C8/C4</f>
        <v>0.75152758641346673</v>
      </c>
      <c r="D9" s="163">
        <f>D8/D4</f>
        <v>0.76461797585825397</v>
      </c>
      <c r="E9" s="163">
        <f>E8/E4</f>
        <v>0.77124524181942167</v>
      </c>
      <c r="F9" s="163">
        <f>F8/F4</f>
        <v>0.74605550860071934</v>
      </c>
      <c r="G9" s="163">
        <f>G8/G4</f>
        <v>0.75508375054082455</v>
      </c>
      <c r="H9" s="163">
        <f>H8/H4</f>
        <v>0.74204329124041191</v>
      </c>
      <c r="I9" s="163">
        <f>I8/I4</f>
        <v>0.61716761447111779</v>
      </c>
      <c r="J9" s="163">
        <f>J8/J4</f>
        <v>0.63879244545386848</v>
      </c>
      <c r="K9" s="163">
        <f>K8/K4</f>
        <v>0.6549528795381907</v>
      </c>
      <c r="L9" s="173">
        <f>L8/L4</f>
        <v>0.20113734385482893</v>
      </c>
      <c r="M9" s="174">
        <f>M8/M4</f>
        <v>0.20516134594493601</v>
      </c>
      <c r="N9" s="163">
        <f>N8/N4</f>
        <v>0.21013755025303002</v>
      </c>
      <c r="O9" s="163">
        <f>O8/O4</f>
        <v>0.21013755025303008</v>
      </c>
      <c r="P9" s="163">
        <f>P8/P4</f>
        <v>0.21013755025303005</v>
      </c>
      <c r="Q9" s="163">
        <f>Q8/Q4</f>
        <v>0.21013755025303008</v>
      </c>
      <c r="R9" s="300"/>
      <c r="S9" s="91">
        <f>S8/S4</f>
        <v>0.78304771967943798</v>
      </c>
      <c r="T9" s="91">
        <f>T8/T4</f>
        <v>0.7827651571246631</v>
      </c>
      <c r="U9" s="91">
        <f>U8/U4</f>
        <v>0.78131757349073694</v>
      </c>
      <c r="V9" s="91">
        <f>V8/V4</f>
        <v>0.73842333773795921</v>
      </c>
      <c r="W9" s="91">
        <f>W8/W4</f>
        <v>0.7534174031046238</v>
      </c>
      <c r="X9" s="91">
        <f>X8/X4</f>
        <v>0.73494049435459263</v>
      </c>
      <c r="Y9" s="91">
        <f>Y8/Y4</f>
        <v>0.74335887441264414</v>
      </c>
      <c r="Z9" s="91">
        <f>Z8/Z4</f>
        <v>0.75289424969882213</v>
      </c>
      <c r="AA9" s="91">
        <f>AA8/AA4</f>
        <v>0.75669177643677377</v>
      </c>
      <c r="AB9" s="91">
        <f>AB8/AB4</f>
        <v>0.74949351294057664</v>
      </c>
      <c r="AC9" s="91">
        <f>AC8/AC4</f>
        <v>0.76047391872745562</v>
      </c>
      <c r="AD9" s="91">
        <f>AD8/AD4</f>
        <v>0.75372895233348791</v>
      </c>
      <c r="AE9" s="91">
        <f>AE8/AE4</f>
        <v>0.75205716904317566</v>
      </c>
      <c r="AF9" s="91">
        <f>AF8/AF4</f>
        <v>0.75459136506009139</v>
      </c>
      <c r="AG9" s="91">
        <f>AG8/AG4</f>
        <v>0.74626927227610484</v>
      </c>
      <c r="AH9" s="91">
        <f>AH8/AH4</f>
        <v>0.71612245569037558</v>
      </c>
      <c r="AI9" s="91">
        <f>AI8/AI4</f>
        <v>0.61223870093939925</v>
      </c>
      <c r="AJ9" s="91">
        <f>AJ8/AJ4</f>
        <v>0.61649318679614662</v>
      </c>
      <c r="AK9" s="91">
        <f>AK8/AK4</f>
        <v>0.62188976076188285</v>
      </c>
      <c r="AL9" s="91">
        <f>AL8/AL4</f>
        <v>0.61802892141515342</v>
      </c>
      <c r="AM9" s="91">
        <f>AM8/AM4</f>
        <v>0.63708819112694337</v>
      </c>
      <c r="AN9" s="91">
        <f>AN8/AN4</f>
        <v>0.63769158878504673</v>
      </c>
      <c r="AO9" s="91">
        <f>AO8/AO4</f>
        <v>0.64218168397268849</v>
      </c>
      <c r="AP9" s="91">
        <f>AP8/AP4</f>
        <v>0.63801830712009977</v>
      </c>
      <c r="AQ9" s="91">
        <f>AQ8/AQ4</f>
        <v>0.64513317925207436</v>
      </c>
      <c r="AR9" s="91">
        <f>AR8/AR4</f>
        <v>0.65518721875903063</v>
      </c>
      <c r="AS9" s="91">
        <f>AS8/AS4</f>
        <v>0.66172034837175819</v>
      </c>
      <c r="AT9" s="91">
        <f>AT8/AT4</f>
        <v>0.65738181788839622</v>
      </c>
      <c r="AU9" s="91">
        <f>AU8/AU4</f>
        <v>0.18814244916712461</v>
      </c>
      <c r="AV9" s="91">
        <f>AV8/AV4</f>
        <v>0.19941524409767278</v>
      </c>
      <c r="AW9" s="91">
        <f>AW8/AW4</f>
        <v>0.20445441701986206</v>
      </c>
      <c r="AX9" s="91">
        <f>AX8/AX4</f>
        <v>0.21157804890294724</v>
      </c>
      <c r="AY9" s="91">
        <f>AY8/AY4</f>
        <v>0.19905473641688548</v>
      </c>
      <c r="AZ9" s="91">
        <f>AZ8/AZ4</f>
        <v>0.20076172266510417</v>
      </c>
      <c r="BA9" s="93">
        <f>BA8/BA4</f>
        <v>0.21013755025303005</v>
      </c>
      <c r="BB9" s="248">
        <f>BA9</f>
        <v>0.21013755025303005</v>
      </c>
      <c r="BC9" s="215">
        <f>BB9</f>
        <v>0.21013755025303005</v>
      </c>
      <c r="BD9" s="215">
        <f>BC9</f>
        <v>0.21013755025303005</v>
      </c>
      <c r="BE9" s="215">
        <f>BD9</f>
        <v>0.21013755025303005</v>
      </c>
      <c r="BF9" s="215">
        <f>BE9</f>
        <v>0.21013755025303005</v>
      </c>
      <c r="BG9" s="215">
        <f>BF9</f>
        <v>0.21013755025303005</v>
      </c>
      <c r="BH9" s="215">
        <f>BG9</f>
        <v>0.21013755025303005</v>
      </c>
      <c r="BI9" s="215">
        <f>BH9</f>
        <v>0.21013755025303005</v>
      </c>
      <c r="BJ9" s="215">
        <f>BI9</f>
        <v>0.21013755025303005</v>
      </c>
      <c r="BK9" s="215">
        <f>BJ9</f>
        <v>0.21013755025303005</v>
      </c>
      <c r="BL9" s="215">
        <f>BK9</f>
        <v>0.21013755025303005</v>
      </c>
      <c r="BM9" s="215">
        <f>BL9</f>
        <v>0.21013755025303005</v>
      </c>
      <c r="BN9" s="215">
        <f>BM9</f>
        <v>0.21013755025303005</v>
      </c>
      <c r="BO9" s="215">
        <f>BN9</f>
        <v>0.21013755025303005</v>
      </c>
      <c r="BP9" s="215">
        <f>BO9</f>
        <v>0.21013755025303005</v>
      </c>
      <c r="BQ9" s="215">
        <f>BP9</f>
        <v>0.21013755025303005</v>
      </c>
      <c r="BR9" s="215">
        <f>BQ9</f>
        <v>0.21013755025303005</v>
      </c>
    </row>
    <row r="10" spans="1:70" x14ac:dyDescent="0.2">
      <c r="A10" s="267"/>
      <c r="B10" s="9"/>
      <c r="C10" s="100"/>
      <c r="D10" s="100"/>
      <c r="E10" s="100"/>
      <c r="F10" s="100"/>
      <c r="G10" s="100"/>
      <c r="H10" s="100"/>
      <c r="I10" s="100"/>
      <c r="J10" s="100"/>
      <c r="K10" s="100"/>
      <c r="L10" s="102"/>
      <c r="M10" s="176"/>
      <c r="N10" s="101"/>
      <c r="O10" s="101"/>
      <c r="P10" s="101"/>
      <c r="Q10" s="101"/>
      <c r="R10" s="46"/>
      <c r="S10" s="100"/>
      <c r="T10" s="100"/>
      <c r="U10" s="100"/>
      <c r="V10" s="100"/>
      <c r="W10" s="100"/>
      <c r="X10" s="100"/>
      <c r="Y10" s="100"/>
      <c r="Z10" s="100"/>
      <c r="AA10" s="100"/>
      <c r="AB10" s="100"/>
      <c r="AC10" s="100"/>
      <c r="AD10" s="100"/>
      <c r="AE10" s="100"/>
      <c r="AF10" s="100"/>
      <c r="AG10" s="100"/>
      <c r="AH10" s="100"/>
      <c r="AI10" s="100"/>
      <c r="AJ10" s="100"/>
      <c r="AK10" s="100"/>
      <c r="AL10" s="100"/>
      <c r="AM10" s="100"/>
      <c r="AN10" s="100"/>
      <c r="AO10" s="100"/>
      <c r="AP10" s="100"/>
      <c r="AQ10" s="100"/>
      <c r="AR10" s="100"/>
      <c r="AS10" s="100"/>
      <c r="AT10" s="100"/>
      <c r="AU10" s="100"/>
      <c r="AV10" s="100"/>
      <c r="AW10" s="100"/>
      <c r="AX10" s="100"/>
      <c r="AY10" s="100"/>
      <c r="AZ10" s="100"/>
      <c r="BA10" s="102"/>
      <c r="BB10" s="103"/>
      <c r="BC10" s="100"/>
      <c r="BD10" s="100"/>
      <c r="BE10" s="100"/>
      <c r="BF10" s="100"/>
      <c r="BG10" s="100"/>
      <c r="BH10" s="100"/>
      <c r="BI10" s="100"/>
      <c r="BJ10" s="100"/>
      <c r="BK10" s="100"/>
      <c r="BL10" s="100"/>
      <c r="BM10" s="100"/>
      <c r="BN10" s="100"/>
      <c r="BO10" s="100"/>
      <c r="BP10" s="100"/>
      <c r="BQ10" s="100"/>
      <c r="BR10" s="100"/>
    </row>
    <row r="11" spans="1:70" x14ac:dyDescent="0.2">
      <c r="A11" s="189" t="s">
        <v>243</v>
      </c>
      <c r="B11" s="205"/>
      <c r="C11" s="72">
        <f>C4-C8</f>
        <v>165.91000000000003</v>
      </c>
      <c r="D11" s="72">
        <f>D4-D8</f>
        <v>142.54500000000002</v>
      </c>
      <c r="E11" s="72">
        <f>E4-E8</f>
        <v>124.45699999999999</v>
      </c>
      <c r="F11" s="72">
        <f>F4-F8</f>
        <v>148.42699999999996</v>
      </c>
      <c r="G11" s="72">
        <f>G4-G8</f>
        <v>142.64999999999998</v>
      </c>
      <c r="H11" s="72">
        <f>H4-H8</f>
        <v>152.98199999999997</v>
      </c>
      <c r="I11" s="72">
        <f>I4-I8</f>
        <v>316.60200000000003</v>
      </c>
      <c r="J11" s="72">
        <f>J4-J8</f>
        <v>310.44200000000001</v>
      </c>
      <c r="K11" s="144">
        <f>K4-K8</f>
        <v>336.40300000000002</v>
      </c>
      <c r="L11" s="144">
        <f>L4-L8</f>
        <v>375.07799999999997</v>
      </c>
      <c r="M11" s="86">
        <f>SUM(AY11:BB11)</f>
        <v>413.35605372297255</v>
      </c>
      <c r="N11" s="72">
        <f>SUM(BC11:BF11)</f>
        <v>470.03305229246325</v>
      </c>
      <c r="O11" s="72">
        <f>SUM(BG11:BJ11)</f>
        <v>567.64811471979965</v>
      </c>
      <c r="P11" s="72">
        <f>SUM(BK11:BN11)</f>
        <v>689.52308087206916</v>
      </c>
      <c r="Q11" s="72">
        <f>SUM(BO11:BR11)</f>
        <v>851.72544893588167</v>
      </c>
      <c r="R11" s="52"/>
      <c r="S11" s="72">
        <f>S4-S8</f>
        <v>29.156000000000006</v>
      </c>
      <c r="T11" s="72">
        <f>T4-T8</f>
        <v>29.337999999999994</v>
      </c>
      <c r="U11" s="72">
        <f>U4-U8</f>
        <v>29.935000000000002</v>
      </c>
      <c r="V11" s="144">
        <f>V4-V8</f>
        <v>36.027999999999906</v>
      </c>
      <c r="W11" s="72">
        <f>W4-W8</f>
        <v>37.25</v>
      </c>
      <c r="X11" s="72">
        <f>X4-X8</f>
        <v>39.087000000000003</v>
      </c>
      <c r="Y11" s="72">
        <f>Y4-Y8</f>
        <v>38.451000000000008</v>
      </c>
      <c r="Z11" s="144">
        <f>Z4-Z8</f>
        <v>33.638999999999953</v>
      </c>
      <c r="AA11" s="72">
        <f>AA4-AA8</f>
        <v>35.722999999999999</v>
      </c>
      <c r="AB11" s="72">
        <f>AB4-AB8</f>
        <v>37.341999999999999</v>
      </c>
      <c r="AC11" s="72">
        <f>AC4-AC8</f>
        <v>34.995000000000005</v>
      </c>
      <c r="AD11" s="144">
        <f>AD4-AD8</f>
        <v>34.589999999999932</v>
      </c>
      <c r="AE11" s="72">
        <f>AE4-AE8</f>
        <v>37.332999999999998</v>
      </c>
      <c r="AF11" s="72">
        <f>AF4-AF8</f>
        <v>35.570999999999998</v>
      </c>
      <c r="AG11" s="72">
        <f>AG4-AG8</f>
        <v>36.912999999999997</v>
      </c>
      <c r="AH11" s="144">
        <f>AH4-AH8</f>
        <v>43.164999999999935</v>
      </c>
      <c r="AI11" s="72">
        <f>AI4-AI8</f>
        <v>80.450000000000017</v>
      </c>
      <c r="AJ11" s="72">
        <f>AJ4-AJ8</f>
        <v>79.14200000000001</v>
      </c>
      <c r="AK11" s="72">
        <f>AK4-AK8</f>
        <v>78.929000000000002</v>
      </c>
      <c r="AL11" s="144">
        <f>AL4-AL8</f>
        <v>78.081000000000003</v>
      </c>
      <c r="AM11" s="72">
        <f>AM4-AM8</f>
        <v>74.675999999999988</v>
      </c>
      <c r="AN11" s="72">
        <f>AN4-AN8</f>
        <v>77.533999999999992</v>
      </c>
      <c r="AO11" s="72">
        <f>AO4-AO8</f>
        <v>79.498999999999995</v>
      </c>
      <c r="AP11" s="144">
        <f>AP4-AP8</f>
        <v>78.734999999999985</v>
      </c>
      <c r="AQ11" s="72">
        <f>AQ4-AQ8</f>
        <v>84.294000000000011</v>
      </c>
      <c r="AR11" s="72">
        <f>AR4-AR8</f>
        <v>83.524000000000001</v>
      </c>
      <c r="AS11" s="72">
        <f>AS4-AS8</f>
        <v>83.664000000000016</v>
      </c>
      <c r="AT11" s="144">
        <f>AT4-AT8</f>
        <v>84.920999999999992</v>
      </c>
      <c r="AU11" s="144">
        <f>AU4-AU8</f>
        <v>90.117000000000004</v>
      </c>
      <c r="AV11" s="144">
        <f>AV4-AV8</f>
        <v>95.015000000000001</v>
      </c>
      <c r="AW11" s="144">
        <f>AW4-AW8</f>
        <v>95.727999999999994</v>
      </c>
      <c r="AX11" s="144">
        <f>AX4-AX8</f>
        <v>94.217999999999989</v>
      </c>
      <c r="AY11" s="144">
        <f>AY4-AY8</f>
        <v>99.137</v>
      </c>
      <c r="AZ11" s="144">
        <f>AZ4-AZ8</f>
        <v>103.666</v>
      </c>
      <c r="BA11" s="175">
        <f>BA4-BA8</f>
        <v>106.291</v>
      </c>
      <c r="BB11" s="86">
        <f>BB4-BB8</f>
        <v>104.26205372297255</v>
      </c>
      <c r="BC11" s="72">
        <f>BC4-BC8</f>
        <v>109.46486666185835</v>
      </c>
      <c r="BD11" s="72">
        <f>BD4-BD8</f>
        <v>115.53760965912224</v>
      </c>
      <c r="BE11" s="72">
        <f>BE4-BE8</f>
        <v>121.14189976466216</v>
      </c>
      <c r="BF11" s="72">
        <f>BF4-BF8</f>
        <v>123.88867620682049</v>
      </c>
      <c r="BG11" s="72">
        <f>BG4-BG8</f>
        <v>131.03933974305414</v>
      </c>
      <c r="BH11" s="72">
        <f>BH4-BH8</f>
        <v>140.64735754554971</v>
      </c>
      <c r="BI11" s="72">
        <f>BI4-BI8</f>
        <v>146.58021260697231</v>
      </c>
      <c r="BJ11" s="72">
        <f>BJ4-BJ8</f>
        <v>149.38120482422349</v>
      </c>
      <c r="BK11" s="72">
        <f>BK4-BK8</f>
        <v>157.41475568027761</v>
      </c>
      <c r="BL11" s="72">
        <f>BL4-BL8</f>
        <v>171.75497694068278</v>
      </c>
      <c r="BM11" s="72">
        <f>BM4-BM8</f>
        <v>178.72619524628544</v>
      </c>
      <c r="BN11" s="72">
        <f>BN4-BN8</f>
        <v>181.6271530048233</v>
      </c>
      <c r="BO11" s="72">
        <f>BO4-BO8</f>
        <v>192.67743179053039</v>
      </c>
      <c r="BP11" s="72">
        <f>BP4-BP8</f>
        <v>213.82659323687983</v>
      </c>
      <c r="BQ11" s="72">
        <f>BQ4-BQ8</f>
        <v>221.53986497157155</v>
      </c>
      <c r="BR11" s="72">
        <f>BR4-BR8</f>
        <v>223.6815589368999</v>
      </c>
    </row>
    <row r="12" spans="1:70" x14ac:dyDescent="0.2">
      <c r="A12" s="161" t="s">
        <v>6</v>
      </c>
      <c r="B12" s="12"/>
      <c r="C12" s="163">
        <f>C11/C4</f>
        <v>0.2484724135865333</v>
      </c>
      <c r="D12" s="163">
        <f>D11/D4</f>
        <v>0.23538202414174608</v>
      </c>
      <c r="E12" s="163">
        <f>E11/E4</f>
        <v>0.22875475818057833</v>
      </c>
      <c r="F12" s="163">
        <f>F11/F4</f>
        <v>0.25394449139928066</v>
      </c>
      <c r="G12" s="163">
        <f>G11/G4</f>
        <v>0.24491624945917545</v>
      </c>
      <c r="H12" s="163">
        <f>H11/H4</f>
        <v>0.25795670875958804</v>
      </c>
      <c r="I12" s="163">
        <f>I11/I4</f>
        <v>0.38283238552888216</v>
      </c>
      <c r="J12" s="163">
        <f>J11/J4</f>
        <v>0.36120755454613152</v>
      </c>
      <c r="K12" s="163">
        <f>K11/K4</f>
        <v>0.3450471204618093</v>
      </c>
      <c r="L12" s="173">
        <f>L11/L4</f>
        <v>0.79886265614517105</v>
      </c>
      <c r="M12" s="174">
        <f>M11/M4</f>
        <v>0.79483865405506393</v>
      </c>
      <c r="N12" s="163">
        <f>N11/N4</f>
        <v>0.78986244974696984</v>
      </c>
      <c r="O12" s="163">
        <f>O11/O4</f>
        <v>0.78986244974697006</v>
      </c>
      <c r="P12" s="163">
        <f>P11/P4</f>
        <v>0.78986244974697006</v>
      </c>
      <c r="Q12" s="163">
        <f>Q11/Q4</f>
        <v>0.78986244974697006</v>
      </c>
      <c r="R12" s="300"/>
      <c r="S12" s="91">
        <f>S11/S4</f>
        <v>0.21695228032056199</v>
      </c>
      <c r="T12" s="91">
        <f>T11/T4</f>
        <v>0.21723484287533687</v>
      </c>
      <c r="U12" s="91">
        <f>U11/U4</f>
        <v>0.21868242650926306</v>
      </c>
      <c r="V12" s="91">
        <f>V11/V4</f>
        <v>0.26157666226204079</v>
      </c>
      <c r="W12" s="91">
        <f>W11/W4</f>
        <v>0.24658259689537618</v>
      </c>
      <c r="X12" s="91">
        <f>X11/X4</f>
        <v>0.26505950564540742</v>
      </c>
      <c r="Y12" s="91">
        <f>Y11/Y4</f>
        <v>0.25664112558735586</v>
      </c>
      <c r="Z12" s="91">
        <f>Z11/Z4</f>
        <v>0.24710575030117793</v>
      </c>
      <c r="AA12" s="91">
        <f>AA11/AA4</f>
        <v>0.24330822356322621</v>
      </c>
      <c r="AB12" s="91">
        <f>AB11/AB4</f>
        <v>0.25050648705942336</v>
      </c>
      <c r="AC12" s="91">
        <f>AC11/AC4</f>
        <v>0.23952608127254438</v>
      </c>
      <c r="AD12" s="91">
        <f>AD11/AD4</f>
        <v>0.24627104766651206</v>
      </c>
      <c r="AE12" s="91">
        <f>AE11/AE4</f>
        <v>0.24794283095682434</v>
      </c>
      <c r="AF12" s="91">
        <f>AF11/AF4</f>
        <v>0.24540863493990864</v>
      </c>
      <c r="AG12" s="91">
        <f>AG11/AG4</f>
        <v>0.25373072772389521</v>
      </c>
      <c r="AH12" s="91">
        <f>AH11/AH4</f>
        <v>0.28387754430962442</v>
      </c>
      <c r="AI12" s="91">
        <f>AI11/AI4</f>
        <v>0.38776129906060069</v>
      </c>
      <c r="AJ12" s="91">
        <f>AJ11/AJ4</f>
        <v>0.38350681320385344</v>
      </c>
      <c r="AK12" s="91">
        <f>AK11/AK4</f>
        <v>0.37811023923811715</v>
      </c>
      <c r="AL12" s="91">
        <f>AL11/AL4</f>
        <v>0.38197107858484664</v>
      </c>
      <c r="AM12" s="91">
        <f>AM11/AM4</f>
        <v>0.36291180887305663</v>
      </c>
      <c r="AN12" s="91">
        <f>AN11/AN4</f>
        <v>0.36230841121495322</v>
      </c>
      <c r="AO12" s="91">
        <f>AO11/AO4</f>
        <v>0.35781831602731157</v>
      </c>
      <c r="AP12" s="91">
        <f>AP11/AP4</f>
        <v>0.36198169287990029</v>
      </c>
      <c r="AQ12" s="91">
        <f>AQ11/AQ4</f>
        <v>0.35486682074792564</v>
      </c>
      <c r="AR12" s="91">
        <f>AR11/AR4</f>
        <v>0.34481278124096937</v>
      </c>
      <c r="AS12" s="91">
        <f>AS11/AS4</f>
        <v>0.33827965162824181</v>
      </c>
      <c r="AT12" s="91">
        <f>AT11/AT4</f>
        <v>0.34261818211160372</v>
      </c>
      <c r="AU12" s="91">
        <f>AU11/AU4</f>
        <v>0.81185755083287536</v>
      </c>
      <c r="AV12" s="91">
        <f>AV11/AV4</f>
        <v>0.80058475590232725</v>
      </c>
      <c r="AW12" s="91">
        <f>AW11/AW4</f>
        <v>0.79554558298013789</v>
      </c>
      <c r="AX12" s="91">
        <f>AX11/AX4</f>
        <v>0.78842195109705271</v>
      </c>
      <c r="AY12" s="91">
        <f>AY11/AY4</f>
        <v>0.80094526358311446</v>
      </c>
      <c r="AZ12" s="91">
        <f>AZ11/AZ4</f>
        <v>0.79923827733489583</v>
      </c>
      <c r="BA12" s="93">
        <f>BA11/BA4</f>
        <v>0.78986244974696995</v>
      </c>
      <c r="BB12" s="92">
        <f>BB11/BB4</f>
        <v>0.78986244974696995</v>
      </c>
      <c r="BC12" s="91">
        <f>BC11/BC4</f>
        <v>0.78986244974696995</v>
      </c>
      <c r="BD12" s="91">
        <f>BD11/BD4</f>
        <v>0.78986244974696995</v>
      </c>
      <c r="BE12" s="91">
        <f>BE11/BE4</f>
        <v>0.78986244974696995</v>
      </c>
      <c r="BF12" s="91">
        <f>BF11/BF4</f>
        <v>0.78986244974696995</v>
      </c>
      <c r="BG12" s="91">
        <f>BG11/BG4</f>
        <v>0.78986244974697006</v>
      </c>
      <c r="BH12" s="91">
        <f>BH11/BH4</f>
        <v>0.78986244974696995</v>
      </c>
      <c r="BI12" s="91">
        <f>BI11/BI4</f>
        <v>0.78986244974696995</v>
      </c>
      <c r="BJ12" s="91">
        <f>BJ11/BJ4</f>
        <v>0.78986244974696995</v>
      </c>
      <c r="BK12" s="91">
        <f>BK11/BK4</f>
        <v>0.78986244974696995</v>
      </c>
      <c r="BL12" s="91">
        <f>BL11/BL4</f>
        <v>0.78986244974696995</v>
      </c>
      <c r="BM12" s="91">
        <f>BM11/BM4</f>
        <v>0.78986244974696995</v>
      </c>
      <c r="BN12" s="91">
        <f>BN11/BN4</f>
        <v>0.78986244974696995</v>
      </c>
      <c r="BO12" s="91">
        <f>BO11/BO4</f>
        <v>0.78986244974696995</v>
      </c>
      <c r="BP12" s="91">
        <f>BP11/BP4</f>
        <v>0.78986244974696995</v>
      </c>
      <c r="BQ12" s="91">
        <f>BQ11/BQ4</f>
        <v>0.78986244974696995</v>
      </c>
      <c r="BR12" s="91">
        <f>BR11/BR4</f>
        <v>0.78986244974696995</v>
      </c>
    </row>
    <row r="13" spans="1:70" x14ac:dyDescent="0.2">
      <c r="A13" s="267"/>
      <c r="B13" s="9"/>
      <c r="C13" s="100"/>
      <c r="D13" s="100"/>
      <c r="E13" s="100"/>
      <c r="F13" s="100"/>
      <c r="G13" s="100"/>
      <c r="H13" s="100"/>
      <c r="I13" s="100"/>
      <c r="J13" s="100"/>
      <c r="K13" s="100"/>
      <c r="L13" s="102"/>
      <c r="M13" s="176"/>
      <c r="N13" s="101"/>
      <c r="O13" s="101"/>
      <c r="P13" s="101"/>
      <c r="Q13" s="101"/>
      <c r="R13" s="46"/>
      <c r="S13" s="100"/>
      <c r="T13" s="100"/>
      <c r="U13" s="100"/>
      <c r="V13" s="100"/>
      <c r="W13" s="100"/>
      <c r="X13" s="100"/>
      <c r="Y13" s="100"/>
      <c r="Z13" s="100"/>
      <c r="AA13" s="100"/>
      <c r="AB13" s="100"/>
      <c r="AC13" s="100"/>
      <c r="AD13" s="100"/>
      <c r="AE13" s="100"/>
      <c r="AF13" s="100"/>
      <c r="AG13" s="100"/>
      <c r="AH13" s="100"/>
      <c r="AI13" s="100"/>
      <c r="AJ13" s="100"/>
      <c r="AK13" s="100"/>
      <c r="AL13" s="100"/>
      <c r="AM13" s="100"/>
      <c r="AN13" s="100"/>
      <c r="AO13" s="100"/>
      <c r="AP13" s="100"/>
      <c r="AQ13" s="100"/>
      <c r="AR13" s="100"/>
      <c r="AS13" s="100"/>
      <c r="AT13" s="100"/>
      <c r="AU13" s="100"/>
      <c r="AV13" s="100"/>
      <c r="AW13" s="100"/>
      <c r="AX13" s="100"/>
      <c r="AY13" s="100"/>
      <c r="AZ13" s="100"/>
      <c r="BA13" s="102"/>
      <c r="BB13" s="103"/>
      <c r="BC13" s="100"/>
      <c r="BD13" s="100"/>
      <c r="BE13" s="100"/>
      <c r="BF13" s="100"/>
      <c r="BG13" s="100"/>
      <c r="BH13" s="100"/>
      <c r="BI13" s="100"/>
      <c r="BJ13" s="100"/>
      <c r="BK13" s="100"/>
      <c r="BL13" s="100"/>
      <c r="BM13" s="100"/>
      <c r="BN13" s="100"/>
      <c r="BO13" s="100"/>
      <c r="BP13" s="100"/>
      <c r="BQ13" s="100"/>
      <c r="BR13" s="100"/>
    </row>
    <row r="14" spans="1:70" x14ac:dyDescent="0.2">
      <c r="A14" s="274" t="s">
        <v>23</v>
      </c>
      <c r="B14" s="10"/>
      <c r="C14" s="106"/>
      <c r="D14" s="106"/>
      <c r="E14" s="106"/>
      <c r="F14" s="106"/>
      <c r="G14" s="106"/>
      <c r="H14" s="106"/>
      <c r="I14" s="106"/>
      <c r="J14" s="106"/>
      <c r="K14" s="106"/>
      <c r="L14" s="107"/>
      <c r="M14" s="77"/>
      <c r="N14" s="76"/>
      <c r="O14" s="76"/>
      <c r="P14" s="76"/>
      <c r="Q14" s="76"/>
      <c r="R14" s="51"/>
      <c r="S14" s="106"/>
      <c r="T14" s="106"/>
      <c r="U14" s="106"/>
      <c r="V14" s="106"/>
      <c r="W14" s="106"/>
      <c r="X14" s="106"/>
      <c r="Y14" s="106"/>
      <c r="Z14" s="106"/>
      <c r="AA14" s="106"/>
      <c r="AB14" s="106"/>
      <c r="AC14" s="106"/>
      <c r="AD14" s="106"/>
      <c r="AE14" s="106"/>
      <c r="AF14" s="106"/>
      <c r="AG14" s="106"/>
      <c r="AH14" s="106"/>
      <c r="AI14" s="106"/>
      <c r="AJ14" s="106"/>
      <c r="AK14" s="106"/>
      <c r="AL14" s="106"/>
      <c r="AM14" s="106"/>
      <c r="AN14" s="106"/>
      <c r="AO14" s="106"/>
      <c r="AP14" s="106"/>
      <c r="AQ14" s="106"/>
      <c r="AR14" s="106"/>
      <c r="AS14" s="106"/>
      <c r="AT14" s="106"/>
      <c r="AU14" s="106"/>
      <c r="AV14" s="106"/>
      <c r="AW14" s="106"/>
      <c r="AX14" s="106"/>
      <c r="AY14" s="106"/>
      <c r="AZ14" s="106"/>
      <c r="BA14" s="107"/>
      <c r="BB14" s="108"/>
      <c r="BC14" s="106"/>
      <c r="BD14" s="106"/>
      <c r="BE14" s="106"/>
      <c r="BF14" s="106"/>
      <c r="BG14" s="106"/>
      <c r="BH14" s="106"/>
      <c r="BI14" s="106"/>
      <c r="BJ14" s="106"/>
      <c r="BK14" s="106"/>
      <c r="BL14" s="106"/>
      <c r="BM14" s="106"/>
      <c r="BN14" s="106"/>
      <c r="BO14" s="106"/>
      <c r="BP14" s="106"/>
      <c r="BQ14" s="106"/>
      <c r="BR14" s="106"/>
    </row>
    <row r="15" spans="1:70" x14ac:dyDescent="0.2">
      <c r="A15" s="168" t="s">
        <v>213</v>
      </c>
      <c r="B15" s="10"/>
      <c r="C15" s="80">
        <v>76.004999999999995</v>
      </c>
      <c r="D15" s="80">
        <v>73.72</v>
      </c>
      <c r="E15" s="80">
        <v>69.516999999999996</v>
      </c>
      <c r="F15" s="80">
        <v>75.805999999999997</v>
      </c>
      <c r="G15" s="80">
        <v>76.561999999999998</v>
      </c>
      <c r="H15" s="80">
        <v>95.451999999999998</v>
      </c>
      <c r="I15" s="80">
        <v>101.202</v>
      </c>
      <c r="J15" s="142">
        <v>118.709</v>
      </c>
      <c r="K15" s="142">
        <v>118.935</v>
      </c>
      <c r="L15" s="142">
        <v>142.298</v>
      </c>
      <c r="M15" s="77">
        <f>SUM(AY15:BB15)</f>
        <v>148.35867693077665</v>
      </c>
      <c r="N15" s="76">
        <f>SUM(BC15:BF15)</f>
        <v>166.40932713792972</v>
      </c>
      <c r="O15" s="76">
        <f>SUM(BG15:BJ15)</f>
        <v>200.96871988240568</v>
      </c>
      <c r="P15" s="76">
        <f>SUM(BK15:BN15)</f>
        <v>244.11702831186872</v>
      </c>
      <c r="Q15" s="76">
        <f>SUM(BO15:BR15)</f>
        <v>301.54274932878764</v>
      </c>
      <c r="R15" s="51"/>
      <c r="S15" s="80">
        <v>16.105</v>
      </c>
      <c r="T15" s="80">
        <v>17.289000000000001</v>
      </c>
      <c r="U15" s="80">
        <v>18.529</v>
      </c>
      <c r="V15" s="146">
        <f>E15-U15-T15-S15</f>
        <v>17.593999999999998</v>
      </c>
      <c r="W15" s="80">
        <v>17.488</v>
      </c>
      <c r="X15" s="80">
        <v>18.957999999999998</v>
      </c>
      <c r="Y15" s="80">
        <v>19.463000000000001</v>
      </c>
      <c r="Z15" s="146">
        <f>F15-Y15-X15-W15</f>
        <v>19.896999999999998</v>
      </c>
      <c r="AA15" s="80">
        <v>18.984000000000002</v>
      </c>
      <c r="AB15" s="80">
        <v>19.478999999999999</v>
      </c>
      <c r="AC15" s="80">
        <v>19.248000000000001</v>
      </c>
      <c r="AD15" s="146">
        <f>G15-AC15-AB15-AA15</f>
        <v>18.850999999999992</v>
      </c>
      <c r="AE15" s="80">
        <v>20.039000000000001</v>
      </c>
      <c r="AF15" s="80">
        <v>21.260999999999999</v>
      </c>
      <c r="AG15" s="80">
        <v>20.934000000000001</v>
      </c>
      <c r="AH15" s="146">
        <f>H15-AG15-AF15-AE15</f>
        <v>33.218000000000004</v>
      </c>
      <c r="AI15" s="80">
        <v>15.840999999999999</v>
      </c>
      <c r="AJ15" s="80">
        <v>26.847000000000001</v>
      </c>
      <c r="AK15" s="80">
        <v>26.295000000000002</v>
      </c>
      <c r="AL15" s="142">
        <v>32.220999999999997</v>
      </c>
      <c r="AM15" s="80">
        <v>30.004999999999999</v>
      </c>
      <c r="AN15" s="80">
        <v>30.733000000000001</v>
      </c>
      <c r="AO15" s="80">
        <v>26.995999999999999</v>
      </c>
      <c r="AP15" s="142">
        <v>30.975000000000001</v>
      </c>
      <c r="AQ15" s="80">
        <v>28.992999999999999</v>
      </c>
      <c r="AR15" s="80">
        <v>28.779</v>
      </c>
      <c r="AS15" s="142">
        <v>29.463000000000001</v>
      </c>
      <c r="AT15" s="142">
        <v>31.7</v>
      </c>
      <c r="AU15" s="142">
        <v>32.186999999999998</v>
      </c>
      <c r="AV15" s="142">
        <v>37.57</v>
      </c>
      <c r="AW15" s="142">
        <v>35.418999999999997</v>
      </c>
      <c r="AX15" s="142">
        <v>37.122</v>
      </c>
      <c r="AY15" s="142">
        <v>34.648000000000003</v>
      </c>
      <c r="AZ15" s="142">
        <v>39.167000000000002</v>
      </c>
      <c r="BA15" s="153">
        <v>37.631</v>
      </c>
      <c r="BB15" s="77">
        <f>BB16*BB4</f>
        <v>36.912676930776648</v>
      </c>
      <c r="BC15" s="76">
        <f>BC16*BC4</f>
        <v>38.754667820910448</v>
      </c>
      <c r="BD15" s="76">
        <f>BD16*BD4</f>
        <v>40.904646574803415</v>
      </c>
      <c r="BE15" s="76">
        <f>BE16*BE4</f>
        <v>42.888775437657017</v>
      </c>
      <c r="BF15" s="76">
        <f>BF16*BF4</f>
        <v>43.861237304558834</v>
      </c>
      <c r="BG15" s="76">
        <f>BG16*BG4</f>
        <v>46.392840352154657</v>
      </c>
      <c r="BH15" s="76">
        <f>BH16*BH4</f>
        <v>49.794438962815121</v>
      </c>
      <c r="BI15" s="76">
        <f>BI16*BI4</f>
        <v>51.894892141507519</v>
      </c>
      <c r="BJ15" s="76">
        <f>BJ16*BJ4</f>
        <v>52.886548425928396</v>
      </c>
      <c r="BK15" s="76">
        <f>BK16*BK4</f>
        <v>55.730726693741971</v>
      </c>
      <c r="BL15" s="76">
        <f>BL16*BL4</f>
        <v>60.807702790027705</v>
      </c>
      <c r="BM15" s="76">
        <f>BM16*BM4</f>
        <v>63.275775496636292</v>
      </c>
      <c r="BN15" s="76">
        <f>BN16*BN4</f>
        <v>64.302823331462747</v>
      </c>
      <c r="BO15" s="76">
        <f>BO16*BO4</f>
        <v>68.215036416154234</v>
      </c>
      <c r="BP15" s="76">
        <f>BP16*BP4</f>
        <v>75.702632679126424</v>
      </c>
      <c r="BQ15" s="76">
        <f>BQ16*BQ4</f>
        <v>78.43342012724699</v>
      </c>
      <c r="BR15" s="76">
        <f>BR16*BR4</f>
        <v>79.191660106260002</v>
      </c>
    </row>
    <row r="16" spans="1:70" x14ac:dyDescent="0.2">
      <c r="A16" s="68" t="s">
        <v>6</v>
      </c>
      <c r="B16" s="15"/>
      <c r="C16" s="91">
        <f>C15/C4</f>
        <v>0.11382765230935121</v>
      </c>
      <c r="D16" s="91">
        <f>D15/D4</f>
        <v>0.12173252530590002</v>
      </c>
      <c r="E16" s="91">
        <f>E15/E4</f>
        <v>0.12777380560707124</v>
      </c>
      <c r="F16" s="91">
        <f>F15/F4</f>
        <v>0.12969686185811122</v>
      </c>
      <c r="G16" s="91">
        <f>G15/G4</f>
        <v>0.13144954708092108</v>
      </c>
      <c r="H16" s="91">
        <f>H15/H4</f>
        <v>0.16095020175262581</v>
      </c>
      <c r="I16" s="91">
        <f>I15/I4</f>
        <v>0.12237257844326292</v>
      </c>
      <c r="J16" s="91">
        <f>J15/J4</f>
        <v>0.13812109055030158</v>
      </c>
      <c r="K16" s="91">
        <f>K15/K4</f>
        <v>0.1219911215777662</v>
      </c>
      <c r="L16" s="93">
        <f>L15/L4</f>
        <v>0.30307444916562837</v>
      </c>
      <c r="M16" s="92">
        <f>M15/M4</f>
        <v>0.28527757130195147</v>
      </c>
      <c r="N16" s="91">
        <f>N15/N4</f>
        <v>0.27964092770251697</v>
      </c>
      <c r="O16" s="91">
        <f>O15/O4</f>
        <v>0.27964092770251697</v>
      </c>
      <c r="P16" s="91">
        <f>P15/P4</f>
        <v>0.27964092770251697</v>
      </c>
      <c r="Q16" s="91">
        <f>Q15/Q4</f>
        <v>0.27964092770251703</v>
      </c>
      <c r="R16" s="47"/>
      <c r="S16" s="91">
        <f>S15/S4</f>
        <v>0.11983867727269344</v>
      </c>
      <c r="T16" s="91">
        <f>T15/T4</f>
        <v>0.12801735627758198</v>
      </c>
      <c r="U16" s="91">
        <f>U15/U4</f>
        <v>0.13535883349891881</v>
      </c>
      <c r="V16" s="91">
        <f>V15/V4</f>
        <v>0.12773897512596749</v>
      </c>
      <c r="W16" s="91">
        <f>W15/W4</f>
        <v>0.11576473703372721</v>
      </c>
      <c r="X16" s="91">
        <f>X15/X4</f>
        <v>0.12855931916047875</v>
      </c>
      <c r="Y16" s="91">
        <f>Y15/Y4</f>
        <v>0.12990575608714225</v>
      </c>
      <c r="Z16" s="91">
        <f>Z15/Z4</f>
        <v>0.14615960979049744</v>
      </c>
      <c r="AA16" s="91">
        <f>AA15/AA4</f>
        <v>0.12929942379207476</v>
      </c>
      <c r="AB16" s="91">
        <f>AB15/AB4</f>
        <v>0.13067366133122241</v>
      </c>
      <c r="AC16" s="91">
        <f>AC15/AC4</f>
        <v>0.13174447813498882</v>
      </c>
      <c r="AD16" s="91">
        <f>AD15/AD4</f>
        <v>0.13421380513331674</v>
      </c>
      <c r="AE16" s="91">
        <f>AE15/AE4</f>
        <v>0.13308671656560694</v>
      </c>
      <c r="AF16" s="91">
        <f>AF15/AF4</f>
        <v>0.14668221268610379</v>
      </c>
      <c r="AG16" s="91">
        <f>AG15/AG4</f>
        <v>0.14389507908249188</v>
      </c>
      <c r="AH16" s="91">
        <f>AH15/AH4</f>
        <v>0.21846042550392955</v>
      </c>
      <c r="AI16" s="91">
        <f>AI15/AI4</f>
        <v>7.6352103647221559E-2</v>
      </c>
      <c r="AJ16" s="91">
        <f>AJ15/AJ4</f>
        <v>0.13009536547072165</v>
      </c>
      <c r="AK16" s="91">
        <f>AK15/AK4</f>
        <v>0.12596648558535253</v>
      </c>
      <c r="AL16" s="91">
        <f>AL15/AL4</f>
        <v>0.15762464777708202</v>
      </c>
      <c r="AM16" s="91">
        <f>AM15/AM4</f>
        <v>0.14581885512394965</v>
      </c>
      <c r="AN16" s="91">
        <f>AN15/AN4</f>
        <v>0.14361214953271029</v>
      </c>
      <c r="AO16" s="91">
        <f>AO15/AO4</f>
        <v>0.12150672661886694</v>
      </c>
      <c r="AP16" s="91">
        <f>AP15/AP4</f>
        <v>0.14240659093103339</v>
      </c>
      <c r="AQ16" s="91">
        <f>AQ15/AQ4</f>
        <v>0.12205677431305438</v>
      </c>
      <c r="AR16" s="91">
        <f>AR15/AR4</f>
        <v>0.11880857036700657</v>
      </c>
      <c r="AS16" s="91">
        <f>AS15/AS4</f>
        <v>0.11912810020944356</v>
      </c>
      <c r="AT16" s="91">
        <f>AT15/AT4</f>
        <v>0.12789529530902649</v>
      </c>
      <c r="AU16" s="91">
        <f>AU15/AU4</f>
        <v>0.28997036062738168</v>
      </c>
      <c r="AV16" s="91">
        <f>AV15/AV4</f>
        <v>0.31656021974688664</v>
      </c>
      <c r="AW16" s="91">
        <f>AW15/AW4</f>
        <v>0.29434887393002573</v>
      </c>
      <c r="AX16" s="91">
        <f>AX15/AX4</f>
        <v>0.31063915248280366</v>
      </c>
      <c r="AY16" s="91">
        <f>AY15/AY4</f>
        <v>0.27992728741668349</v>
      </c>
      <c r="AZ16" s="91">
        <f>AZ15/AZ4</f>
        <v>0.30196752656006665</v>
      </c>
      <c r="BA16" s="93">
        <f>BA15/BA4</f>
        <v>0.27964092770251697</v>
      </c>
      <c r="BB16" s="248">
        <f>BA16</f>
        <v>0.27964092770251697</v>
      </c>
      <c r="BC16" s="215">
        <f>BB16</f>
        <v>0.27964092770251697</v>
      </c>
      <c r="BD16" s="215">
        <f>BC16</f>
        <v>0.27964092770251697</v>
      </c>
      <c r="BE16" s="215">
        <f>BD16</f>
        <v>0.27964092770251697</v>
      </c>
      <c r="BF16" s="215">
        <f>BE16</f>
        <v>0.27964092770251697</v>
      </c>
      <c r="BG16" s="215">
        <f>BF16</f>
        <v>0.27964092770251697</v>
      </c>
      <c r="BH16" s="215">
        <f>BG16</f>
        <v>0.27964092770251697</v>
      </c>
      <c r="BI16" s="215">
        <f>BH16</f>
        <v>0.27964092770251697</v>
      </c>
      <c r="BJ16" s="215">
        <f>BI16</f>
        <v>0.27964092770251697</v>
      </c>
      <c r="BK16" s="215">
        <f>BJ16</f>
        <v>0.27964092770251697</v>
      </c>
      <c r="BL16" s="215">
        <f>BK16</f>
        <v>0.27964092770251697</v>
      </c>
      <c r="BM16" s="215">
        <f>BL16</f>
        <v>0.27964092770251697</v>
      </c>
      <c r="BN16" s="215">
        <f>BM16</f>
        <v>0.27964092770251697</v>
      </c>
      <c r="BO16" s="215">
        <f>BN16</f>
        <v>0.27964092770251697</v>
      </c>
      <c r="BP16" s="215">
        <f>BO16</f>
        <v>0.27964092770251697</v>
      </c>
      <c r="BQ16" s="215">
        <f>BP16</f>
        <v>0.27964092770251697</v>
      </c>
      <c r="BR16" s="215">
        <f>BQ16</f>
        <v>0.27964092770251697</v>
      </c>
    </row>
    <row r="17" spans="1:70" x14ac:dyDescent="0.2">
      <c r="A17" s="168" t="s">
        <v>214</v>
      </c>
      <c r="B17" s="10"/>
      <c r="C17" s="80">
        <v>0</v>
      </c>
      <c r="D17" s="80">
        <v>0</v>
      </c>
      <c r="E17" s="80">
        <v>0</v>
      </c>
      <c r="F17" s="80">
        <v>0</v>
      </c>
      <c r="G17" s="80">
        <v>0</v>
      </c>
      <c r="H17" s="80">
        <v>0.80400000000000005</v>
      </c>
      <c r="I17" s="80">
        <v>19.097999999999999</v>
      </c>
      <c r="J17" s="142">
        <v>19.356000000000002</v>
      </c>
      <c r="K17" s="142">
        <v>18.861999999999998</v>
      </c>
      <c r="L17" s="142">
        <v>20.497</v>
      </c>
      <c r="M17" s="77">
        <f>SUM(AY17:BB17)</f>
        <v>30.438549842540603</v>
      </c>
      <c r="N17" s="76">
        <f>SUM(BC17:BF17)</f>
        <v>36.243810826777704</v>
      </c>
      <c r="O17" s="76">
        <f>SUM(BG17:BJ17)</f>
        <v>43.770817362180033</v>
      </c>
      <c r="P17" s="76">
        <f>SUM(BK17:BN17)</f>
        <v>53.168482475726819</v>
      </c>
      <c r="Q17" s="76">
        <f>SUM(BO17:BR17)</f>
        <v>65.675755985723029</v>
      </c>
      <c r="R17" s="51"/>
      <c r="S17" s="80">
        <v>0</v>
      </c>
      <c r="T17" s="80">
        <v>0</v>
      </c>
      <c r="U17" s="80">
        <v>0</v>
      </c>
      <c r="V17" s="142">
        <v>0</v>
      </c>
      <c r="W17" s="80">
        <v>0</v>
      </c>
      <c r="X17" s="80">
        <v>0</v>
      </c>
      <c r="Y17" s="80">
        <v>0</v>
      </c>
      <c r="Z17" s="142">
        <v>0</v>
      </c>
      <c r="AA17" s="80">
        <v>0</v>
      </c>
      <c r="AB17" s="80">
        <v>0</v>
      </c>
      <c r="AC17" s="80">
        <v>0</v>
      </c>
      <c r="AD17" s="142">
        <v>0</v>
      </c>
      <c r="AE17" s="80">
        <v>0</v>
      </c>
      <c r="AF17" s="80">
        <v>0</v>
      </c>
      <c r="AG17" s="80">
        <v>0</v>
      </c>
      <c r="AH17" s="146">
        <f>H17-AG17-AF17-AE17</f>
        <v>0.80400000000000005</v>
      </c>
      <c r="AI17" s="80">
        <v>5.4359999999999999</v>
      </c>
      <c r="AJ17" s="80">
        <v>4.47</v>
      </c>
      <c r="AK17" s="80">
        <v>5.4630000000000001</v>
      </c>
      <c r="AL17" s="142">
        <v>3.7290000000000001</v>
      </c>
      <c r="AM17" s="80">
        <v>5.3680000000000003</v>
      </c>
      <c r="AN17" s="80">
        <v>4.6710000000000003</v>
      </c>
      <c r="AO17" s="80">
        <v>4.46</v>
      </c>
      <c r="AP17" s="142">
        <v>4.8559999999999999</v>
      </c>
      <c r="AQ17" s="80">
        <v>4.5430000000000001</v>
      </c>
      <c r="AR17" s="80">
        <v>4.6180000000000003</v>
      </c>
      <c r="AS17" s="142">
        <v>4.5449999999999999</v>
      </c>
      <c r="AT17" s="142">
        <v>5.1559999999999997</v>
      </c>
      <c r="AU17" s="142">
        <v>4.3109999999999999</v>
      </c>
      <c r="AV17" s="142">
        <v>4.5949999999999998</v>
      </c>
      <c r="AW17" s="142">
        <v>5.407</v>
      </c>
      <c r="AX17" s="142">
        <v>6.1840000000000002</v>
      </c>
      <c r="AY17" s="142">
        <v>7.5309999999999997</v>
      </c>
      <c r="AZ17" s="142">
        <v>6.6719999999999997</v>
      </c>
      <c r="BA17" s="153">
        <v>8.1959999999999997</v>
      </c>
      <c r="BB17" s="77">
        <f>BB18*BB4</f>
        <v>8.0395498425406018</v>
      </c>
      <c r="BC17" s="76">
        <f>BC18*BC4</f>
        <v>8.4407339018410887</v>
      </c>
      <c r="BD17" s="76">
        <f>BD18*BD4</f>
        <v>8.9089974576038049</v>
      </c>
      <c r="BE17" s="76">
        <f>BE18*BE4</f>
        <v>9.3411390472492588</v>
      </c>
      <c r="BF17" s="76">
        <f>BF18*BF4</f>
        <v>9.5529404200835515</v>
      </c>
      <c r="BG17" s="76">
        <f>BG18*BG4</f>
        <v>10.104321424523917</v>
      </c>
      <c r="BH17" s="76">
        <f>BH18*BH4</f>
        <v>10.845186727411781</v>
      </c>
      <c r="BI17" s="76">
        <f>BI18*BI4</f>
        <v>11.302663654747299</v>
      </c>
      <c r="BJ17" s="76">
        <f>BJ18*BJ4</f>
        <v>11.51864555549704</v>
      </c>
      <c r="BK17" s="76">
        <f>BK18*BK4</f>
        <v>12.138105178759776</v>
      </c>
      <c r="BL17" s="76">
        <f>BL18*BL4</f>
        <v>13.243866282242486</v>
      </c>
      <c r="BM17" s="76">
        <f>BM18*BM4</f>
        <v>13.781410432102017</v>
      </c>
      <c r="BN17" s="76">
        <f>BN18*BN4</f>
        <v>14.005100582622536</v>
      </c>
      <c r="BO17" s="76">
        <f>BO18*BO4</f>
        <v>14.857177286460633</v>
      </c>
      <c r="BP17" s="76">
        <f>BP18*BP4</f>
        <v>16.487969425157985</v>
      </c>
      <c r="BQ17" s="76">
        <f>BQ18*BQ4</f>
        <v>17.082732623712268</v>
      </c>
      <c r="BR17" s="76">
        <f>BR18*BR4</f>
        <v>17.247876650392147</v>
      </c>
    </row>
    <row r="18" spans="1:70" x14ac:dyDescent="0.2">
      <c r="A18" s="68" t="s">
        <v>6</v>
      </c>
      <c r="B18" s="15"/>
      <c r="C18" s="91">
        <f>C17/C4</f>
        <v>0</v>
      </c>
      <c r="D18" s="91">
        <f>D17/D4</f>
        <v>0</v>
      </c>
      <c r="E18" s="91">
        <f>E17/E4</f>
        <v>0</v>
      </c>
      <c r="F18" s="91">
        <f>F17/F4</f>
        <v>0</v>
      </c>
      <c r="G18" s="91">
        <f>G17/G4</f>
        <v>0</v>
      </c>
      <c r="H18" s="91">
        <f>H17/H4</f>
        <v>1.3556967083886264E-3</v>
      </c>
      <c r="I18" s="91">
        <f>I17/I4</f>
        <v>2.3093135541880944E-2</v>
      </c>
      <c r="J18" s="91">
        <f>J17/J4</f>
        <v>2.2521222726934249E-2</v>
      </c>
      <c r="K18" s="91">
        <f>K17/K4</f>
        <v>1.9346672848192928E-2</v>
      </c>
      <c r="L18" s="93">
        <f>L17/L4</f>
        <v>4.3655687251738497E-2</v>
      </c>
      <c r="M18" s="92">
        <f>M17/M4</f>
        <v>5.8530014911665894E-2</v>
      </c>
      <c r="N18" s="91">
        <f>N17/N4</f>
        <v>6.0905557743611081E-2</v>
      </c>
      <c r="O18" s="91">
        <f>O17/O4</f>
        <v>6.0905557743611088E-2</v>
      </c>
      <c r="P18" s="91">
        <f>P17/P4</f>
        <v>6.0905557743611095E-2</v>
      </c>
      <c r="Q18" s="91">
        <f>Q17/Q4</f>
        <v>6.0905557743611095E-2</v>
      </c>
      <c r="R18" s="47"/>
      <c r="S18" s="91">
        <f>S17/S4</f>
        <v>0</v>
      </c>
      <c r="T18" s="91">
        <f>T17/T4</f>
        <v>0</v>
      </c>
      <c r="U18" s="91">
        <f>U17/U4</f>
        <v>0</v>
      </c>
      <c r="V18" s="91">
        <f>V17/V4</f>
        <v>0</v>
      </c>
      <c r="W18" s="91">
        <f>W17/W4</f>
        <v>0</v>
      </c>
      <c r="X18" s="91">
        <f>X17/X4</f>
        <v>0</v>
      </c>
      <c r="Y18" s="91">
        <f>Y17/Y4</f>
        <v>0</v>
      </c>
      <c r="Z18" s="91">
        <f>Z17/Z4</f>
        <v>0</v>
      </c>
      <c r="AA18" s="91">
        <f>AA17/AA4</f>
        <v>0</v>
      </c>
      <c r="AB18" s="91">
        <f>AB17/AB4</f>
        <v>0</v>
      </c>
      <c r="AC18" s="91">
        <f>AC17/AC4</f>
        <v>0</v>
      </c>
      <c r="AD18" s="91">
        <f>AD17/AD4</f>
        <v>0</v>
      </c>
      <c r="AE18" s="91">
        <f>AE17/AE4</f>
        <v>0</v>
      </c>
      <c r="AF18" s="91">
        <f>AF17/AF4</f>
        <v>0</v>
      </c>
      <c r="AG18" s="91">
        <f>AG17/AG4</f>
        <v>0</v>
      </c>
      <c r="AH18" s="91">
        <f>AH17/AH4</f>
        <v>5.2875604222156463E-3</v>
      </c>
      <c r="AI18" s="91">
        <f>AI17/AI4</f>
        <v>2.6200999648146987E-2</v>
      </c>
      <c r="AJ18" s="91">
        <f>AJ17/AJ4</f>
        <v>2.1660754782810952E-2</v>
      </c>
      <c r="AK18" s="91">
        <f>AK17/AK4</f>
        <v>2.6170561352073813E-2</v>
      </c>
      <c r="AL18" s="91">
        <f>AL17/AL4</f>
        <v>1.824221195992486E-2</v>
      </c>
      <c r="AM18" s="91">
        <f>AM17/AM4</f>
        <v>2.6087505892529974E-2</v>
      </c>
      <c r="AN18" s="91">
        <f>AN17/AN4</f>
        <v>2.182710280373832E-2</v>
      </c>
      <c r="AO18" s="91">
        <f>AO17/AO4</f>
        <v>2.0074085076313031E-2</v>
      </c>
      <c r="AP18" s="91">
        <f>AP17/AP4</f>
        <v>2.2325307685588314E-2</v>
      </c>
      <c r="AQ18" s="91">
        <f>AQ17/AQ4</f>
        <v>1.9125441510164733E-2</v>
      </c>
      <c r="AR18" s="91">
        <f>AR17/AR4</f>
        <v>1.9064525451017628E-2</v>
      </c>
      <c r="AS18" s="91">
        <f>AS17/AS4</f>
        <v>1.837685284770461E-2</v>
      </c>
      <c r="AT18" s="91">
        <f>AT17/AT4</f>
        <v>2.0802149609253646E-2</v>
      </c>
      <c r="AU18" s="91">
        <f>AU17/AU4</f>
        <v>3.8837487950559003E-2</v>
      </c>
      <c r="AV18" s="91">
        <f>AV17/AV4</f>
        <v>3.8716907365902158E-2</v>
      </c>
      <c r="AW18" s="91">
        <f>AW17/AW4</f>
        <v>4.4934762735809854E-2</v>
      </c>
      <c r="AX18" s="91">
        <f>AX17/AX4</f>
        <v>5.1748087898110494E-2</v>
      </c>
      <c r="AY18" s="91">
        <f>AY17/AY4</f>
        <v>6.0844273884063819E-2</v>
      </c>
      <c r="AZ18" s="91">
        <f>AZ17/AZ4</f>
        <v>5.1439409125252494E-2</v>
      </c>
      <c r="BA18" s="93">
        <f>BA17/BA4</f>
        <v>6.0905557743611088E-2</v>
      </c>
      <c r="BB18" s="248">
        <f>BA18</f>
        <v>6.0905557743611088E-2</v>
      </c>
      <c r="BC18" s="215">
        <f>BB18</f>
        <v>6.0905557743611088E-2</v>
      </c>
      <c r="BD18" s="215">
        <f>BC18</f>
        <v>6.0905557743611088E-2</v>
      </c>
      <c r="BE18" s="215">
        <f>BD18</f>
        <v>6.0905557743611088E-2</v>
      </c>
      <c r="BF18" s="215">
        <f>BE18</f>
        <v>6.0905557743611088E-2</v>
      </c>
      <c r="BG18" s="215">
        <f>BF18</f>
        <v>6.0905557743611088E-2</v>
      </c>
      <c r="BH18" s="215">
        <f>BG18</f>
        <v>6.0905557743611088E-2</v>
      </c>
      <c r="BI18" s="215">
        <f>BH18</f>
        <v>6.0905557743611088E-2</v>
      </c>
      <c r="BJ18" s="215">
        <f>BI18</f>
        <v>6.0905557743611088E-2</v>
      </c>
      <c r="BK18" s="215">
        <f>BJ18</f>
        <v>6.0905557743611088E-2</v>
      </c>
      <c r="BL18" s="215">
        <f>BK18</f>
        <v>6.0905557743611088E-2</v>
      </c>
      <c r="BM18" s="215">
        <f>BL18</f>
        <v>6.0905557743611088E-2</v>
      </c>
      <c r="BN18" s="215">
        <f>BM18</f>
        <v>6.0905557743611088E-2</v>
      </c>
      <c r="BO18" s="215">
        <f>BN18</f>
        <v>6.0905557743611088E-2</v>
      </c>
      <c r="BP18" s="215">
        <f>BO18</f>
        <v>6.0905557743611088E-2</v>
      </c>
      <c r="BQ18" s="215">
        <f>BP18</f>
        <v>6.0905557743611088E-2</v>
      </c>
      <c r="BR18" s="215">
        <f>BQ18</f>
        <v>6.0905557743611088E-2</v>
      </c>
    </row>
    <row r="19" spans="1:70" x14ac:dyDescent="0.2">
      <c r="A19" s="168" t="s">
        <v>215</v>
      </c>
      <c r="B19" s="10"/>
      <c r="C19" s="80">
        <v>0</v>
      </c>
      <c r="D19" s="80">
        <v>0</v>
      </c>
      <c r="E19" s="80">
        <v>0</v>
      </c>
      <c r="F19" s="80">
        <v>0</v>
      </c>
      <c r="G19" s="80">
        <v>0</v>
      </c>
      <c r="H19" s="80">
        <v>0</v>
      </c>
      <c r="I19" s="80">
        <v>75.007999999999996</v>
      </c>
      <c r="J19" s="142">
        <v>146.29900000000001</v>
      </c>
      <c r="K19" s="142">
        <v>0</v>
      </c>
      <c r="L19" s="142">
        <v>0</v>
      </c>
      <c r="M19" s="77">
        <f>SUM(AY19:BB19)</f>
        <v>0</v>
      </c>
      <c r="N19" s="76">
        <f>SUM(BC19:BF19)</f>
        <v>0</v>
      </c>
      <c r="O19" s="76">
        <f>SUM(BG19:BJ19)</f>
        <v>0</v>
      </c>
      <c r="P19" s="76">
        <f>SUM(BK19:BN19)</f>
        <v>0</v>
      </c>
      <c r="Q19" s="76">
        <f>SUM(BO19:BR19)</f>
        <v>0</v>
      </c>
      <c r="R19" s="51"/>
      <c r="S19" s="80">
        <v>0</v>
      </c>
      <c r="T19" s="80">
        <v>0</v>
      </c>
      <c r="U19" s="80">
        <v>0</v>
      </c>
      <c r="V19" s="142">
        <v>0</v>
      </c>
      <c r="W19" s="80">
        <v>0</v>
      </c>
      <c r="X19" s="80">
        <v>0</v>
      </c>
      <c r="Y19" s="80">
        <v>0</v>
      </c>
      <c r="Z19" s="142">
        <v>0</v>
      </c>
      <c r="AA19" s="80">
        <v>0</v>
      </c>
      <c r="AB19" s="80">
        <v>0</v>
      </c>
      <c r="AC19" s="80">
        <v>0</v>
      </c>
      <c r="AD19" s="142">
        <v>0</v>
      </c>
      <c r="AE19" s="80">
        <v>0</v>
      </c>
      <c r="AF19" s="80">
        <v>0</v>
      </c>
      <c r="AG19" s="80">
        <v>0</v>
      </c>
      <c r="AH19" s="142">
        <v>0</v>
      </c>
      <c r="AI19" s="80">
        <v>0</v>
      </c>
      <c r="AJ19" s="80">
        <v>0</v>
      </c>
      <c r="AK19" s="80">
        <v>0</v>
      </c>
      <c r="AL19" s="142">
        <v>75.007999999999996</v>
      </c>
      <c r="AM19" s="80">
        <v>0</v>
      </c>
      <c r="AN19" s="80">
        <v>0</v>
      </c>
      <c r="AO19" s="80">
        <v>0</v>
      </c>
      <c r="AP19" s="142">
        <v>146.29900000000001</v>
      </c>
      <c r="AQ19" s="80">
        <v>0</v>
      </c>
      <c r="AR19" s="80">
        <v>0</v>
      </c>
      <c r="AS19" s="142">
        <v>0</v>
      </c>
      <c r="AT19" s="142">
        <v>0</v>
      </c>
      <c r="AU19" s="142">
        <v>0</v>
      </c>
      <c r="AV19" s="142">
        <v>0</v>
      </c>
      <c r="AW19" s="142">
        <v>0</v>
      </c>
      <c r="AX19" s="142">
        <v>0</v>
      </c>
      <c r="AY19" s="142">
        <v>0</v>
      </c>
      <c r="AZ19" s="142">
        <v>0</v>
      </c>
      <c r="BA19" s="153">
        <v>0</v>
      </c>
      <c r="BB19" s="77">
        <f>BB20*BB4</f>
        <v>0</v>
      </c>
      <c r="BC19" s="76">
        <f>BC20*BC4</f>
        <v>0</v>
      </c>
      <c r="BD19" s="76">
        <f>BD20*BD4</f>
        <v>0</v>
      </c>
      <c r="BE19" s="76">
        <f>BE20*BE4</f>
        <v>0</v>
      </c>
      <c r="BF19" s="76">
        <f>BF20*BF4</f>
        <v>0</v>
      </c>
      <c r="BG19" s="76">
        <f>BG20*BG4</f>
        <v>0</v>
      </c>
      <c r="BH19" s="76">
        <f>BH20*BH4</f>
        <v>0</v>
      </c>
      <c r="BI19" s="76">
        <f>BI20*BI4</f>
        <v>0</v>
      </c>
      <c r="BJ19" s="76">
        <f>BJ20*BJ4</f>
        <v>0</v>
      </c>
      <c r="BK19" s="76">
        <f>BK20*BK4</f>
        <v>0</v>
      </c>
      <c r="BL19" s="76">
        <f>BL20*BL4</f>
        <v>0</v>
      </c>
      <c r="BM19" s="76">
        <f>BM20*BM4</f>
        <v>0</v>
      </c>
      <c r="BN19" s="76">
        <f>BN20*BN4</f>
        <v>0</v>
      </c>
      <c r="BO19" s="76">
        <f>BO20*BO4</f>
        <v>0</v>
      </c>
      <c r="BP19" s="76">
        <f>BP20*BP4</f>
        <v>0</v>
      </c>
      <c r="BQ19" s="76">
        <f>BQ20*BQ4</f>
        <v>0</v>
      </c>
      <c r="BR19" s="76">
        <f>BR20*BR4</f>
        <v>0</v>
      </c>
    </row>
    <row r="20" spans="1:70" x14ac:dyDescent="0.2">
      <c r="A20" s="68" t="s">
        <v>6</v>
      </c>
      <c r="B20" s="15"/>
      <c r="C20" s="91">
        <f>C19/C4</f>
        <v>0</v>
      </c>
      <c r="D20" s="91">
        <f>D19/D4</f>
        <v>0</v>
      </c>
      <c r="E20" s="91">
        <f>E19/E4</f>
        <v>0</v>
      </c>
      <c r="F20" s="91">
        <f>F19/F4</f>
        <v>0</v>
      </c>
      <c r="G20" s="91">
        <f>G19/G4</f>
        <v>0</v>
      </c>
      <c r="H20" s="91">
        <f>H19/H4</f>
        <v>0</v>
      </c>
      <c r="I20" s="91">
        <f>I19/I4</f>
        <v>9.0699021401476898E-2</v>
      </c>
      <c r="J20" s="91">
        <f>J19/J4</f>
        <v>0.17022279209174176</v>
      </c>
      <c r="K20" s="91">
        <f>K19/K4</f>
        <v>0</v>
      </c>
      <c r="L20" s="93">
        <f>L19/L4</f>
        <v>0</v>
      </c>
      <c r="M20" s="92">
        <f>M19/M4</f>
        <v>0</v>
      </c>
      <c r="N20" s="91">
        <f>N19/N4</f>
        <v>0</v>
      </c>
      <c r="O20" s="91">
        <f>O19/O4</f>
        <v>0</v>
      </c>
      <c r="P20" s="91">
        <f>P19/P4</f>
        <v>0</v>
      </c>
      <c r="Q20" s="91">
        <f>Q19/Q4</f>
        <v>0</v>
      </c>
      <c r="R20" s="47"/>
      <c r="S20" s="91">
        <f>S19/S4</f>
        <v>0</v>
      </c>
      <c r="T20" s="91">
        <f>T19/T4</f>
        <v>0</v>
      </c>
      <c r="U20" s="91">
        <f>U19/U4</f>
        <v>0</v>
      </c>
      <c r="V20" s="91">
        <f>V19/V4</f>
        <v>0</v>
      </c>
      <c r="W20" s="91">
        <f>W19/W4</f>
        <v>0</v>
      </c>
      <c r="X20" s="91">
        <f>X19/X4</f>
        <v>0</v>
      </c>
      <c r="Y20" s="91">
        <f>Y19/Y4</f>
        <v>0</v>
      </c>
      <c r="Z20" s="91">
        <f>Z19/Z4</f>
        <v>0</v>
      </c>
      <c r="AA20" s="91">
        <f>AA19/AA4</f>
        <v>0</v>
      </c>
      <c r="AB20" s="91">
        <f>AB19/AB4</f>
        <v>0</v>
      </c>
      <c r="AC20" s="91">
        <f>AC19/AC4</f>
        <v>0</v>
      </c>
      <c r="AD20" s="91">
        <f>AD19/AD4</f>
        <v>0</v>
      </c>
      <c r="AE20" s="91">
        <f>AE19/AE4</f>
        <v>0</v>
      </c>
      <c r="AF20" s="91">
        <f>AF19/AF4</f>
        <v>0</v>
      </c>
      <c r="AG20" s="91">
        <f>AG19/AG4</f>
        <v>0</v>
      </c>
      <c r="AH20" s="91">
        <f>AH19/AH4</f>
        <v>0</v>
      </c>
      <c r="AI20" s="91">
        <f>AI19/AI4</f>
        <v>0</v>
      </c>
      <c r="AJ20" s="91">
        <f>AJ19/AJ4</f>
        <v>0</v>
      </c>
      <c r="AK20" s="91">
        <f>AK19/AK4</f>
        <v>0</v>
      </c>
      <c r="AL20" s="91">
        <f>AL19/AL4</f>
        <v>0.36693800876643706</v>
      </c>
      <c r="AM20" s="91">
        <f>AM19/AM4</f>
        <v>0</v>
      </c>
      <c r="AN20" s="91">
        <f>AN19/AN4</f>
        <v>0</v>
      </c>
      <c r="AO20" s="91">
        <f>AO19/AO4</f>
        <v>0</v>
      </c>
      <c r="AP20" s="91">
        <f>AP19/AP4</f>
        <v>0.67260506365195327</v>
      </c>
      <c r="AQ20" s="91">
        <f>AQ19/AQ4</f>
        <v>0</v>
      </c>
      <c r="AR20" s="91">
        <f>AR19/AR4</f>
        <v>0</v>
      </c>
      <c r="AS20" s="91">
        <f>AS19/AS4</f>
        <v>0</v>
      </c>
      <c r="AT20" s="91">
        <f>AT19/AT4</f>
        <v>0</v>
      </c>
      <c r="AU20" s="91">
        <f>AU19/AU4</f>
        <v>0</v>
      </c>
      <c r="AV20" s="91">
        <f>AV19/AV4</f>
        <v>0</v>
      </c>
      <c r="AW20" s="91">
        <f>AW19/AW4</f>
        <v>0</v>
      </c>
      <c r="AX20" s="91">
        <f>AX19/AX4</f>
        <v>0</v>
      </c>
      <c r="AY20" s="91">
        <f>AY19/AY4</f>
        <v>0</v>
      </c>
      <c r="AZ20" s="91">
        <f>AZ19/AZ4</f>
        <v>0</v>
      </c>
      <c r="BA20" s="93">
        <f>BA19/BA4</f>
        <v>0</v>
      </c>
      <c r="BB20" s="248">
        <f>BA20</f>
        <v>0</v>
      </c>
      <c r="BC20" s="215">
        <f>BB20</f>
        <v>0</v>
      </c>
      <c r="BD20" s="215">
        <f>BC20</f>
        <v>0</v>
      </c>
      <c r="BE20" s="215">
        <f>BD20</f>
        <v>0</v>
      </c>
      <c r="BF20" s="215">
        <f>BE20</f>
        <v>0</v>
      </c>
      <c r="BG20" s="215">
        <f>BF20</f>
        <v>0</v>
      </c>
      <c r="BH20" s="215">
        <f>BG20</f>
        <v>0</v>
      </c>
      <c r="BI20" s="215">
        <f>BH20</f>
        <v>0</v>
      </c>
      <c r="BJ20" s="215">
        <f>BI20</f>
        <v>0</v>
      </c>
      <c r="BK20" s="215">
        <f>BJ20</f>
        <v>0</v>
      </c>
      <c r="BL20" s="215">
        <f>BK20</f>
        <v>0</v>
      </c>
      <c r="BM20" s="215">
        <f>BL20</f>
        <v>0</v>
      </c>
      <c r="BN20" s="215">
        <f>BM20</f>
        <v>0</v>
      </c>
      <c r="BO20" s="215">
        <f>BN20</f>
        <v>0</v>
      </c>
      <c r="BP20" s="215">
        <f>BO20</f>
        <v>0</v>
      </c>
      <c r="BQ20" s="215">
        <f>BP20</f>
        <v>0</v>
      </c>
      <c r="BR20" s="215">
        <f>BQ20</f>
        <v>0</v>
      </c>
    </row>
    <row r="21" spans="1:70" x14ac:dyDescent="0.2">
      <c r="A21" s="275" t="s">
        <v>216</v>
      </c>
      <c r="B21" s="10"/>
      <c r="C21" s="80">
        <v>9.74</v>
      </c>
      <c r="D21" s="80">
        <v>9.3230000000000004</v>
      </c>
      <c r="E21" s="80">
        <v>7.9710000000000001</v>
      </c>
      <c r="F21" s="80">
        <v>6.843</v>
      </c>
      <c r="G21" s="80">
        <v>7.35</v>
      </c>
      <c r="H21" s="80">
        <v>8.7449999999999992</v>
      </c>
      <c r="I21" s="80">
        <v>45.551000000000002</v>
      </c>
      <c r="J21" s="142">
        <v>49.994999999999997</v>
      </c>
      <c r="K21" s="142">
        <v>47.281999999999996</v>
      </c>
      <c r="L21" s="142">
        <v>61.225000000000001</v>
      </c>
      <c r="M21" s="77">
        <f>SUM(AY21:BB21)</f>
        <v>61.771296086906752</v>
      </c>
      <c r="N21" s="76">
        <f>SUM(BC21:BF21)</f>
        <v>70.82047710966873</v>
      </c>
      <c r="O21" s="76">
        <f>SUM(BG21:BJ21)</f>
        <v>85.528262573854718</v>
      </c>
      <c r="P21" s="76">
        <f>SUM(BK21:BN21)</f>
        <v>103.89131855158186</v>
      </c>
      <c r="Q21" s="76">
        <f>SUM(BO21:BR21)</f>
        <v>128.330555406461</v>
      </c>
      <c r="R21" s="51"/>
      <c r="S21" s="80">
        <v>2.121</v>
      </c>
      <c r="T21" s="80">
        <v>2.2120000000000002</v>
      </c>
      <c r="U21" s="80">
        <v>1.867</v>
      </c>
      <c r="V21" s="146">
        <f>E21-U21-T21-S21</f>
        <v>1.7709999999999999</v>
      </c>
      <c r="W21" s="80">
        <v>1.7450000000000001</v>
      </c>
      <c r="X21" s="80">
        <v>1.82</v>
      </c>
      <c r="Y21" s="80">
        <v>1.6950000000000001</v>
      </c>
      <c r="Z21" s="146">
        <f>F21-Y21-X21-W21</f>
        <v>1.5829999999999993</v>
      </c>
      <c r="AA21" s="80">
        <v>1.5680000000000001</v>
      </c>
      <c r="AB21" s="80">
        <v>1.9450000000000001</v>
      </c>
      <c r="AC21" s="80">
        <v>1.9079999999999999</v>
      </c>
      <c r="AD21" s="146">
        <f>G21-AC21-AB21-AA21</f>
        <v>1.9289999999999998</v>
      </c>
      <c r="AE21" s="80">
        <v>1.927</v>
      </c>
      <c r="AF21" s="80">
        <v>1.919</v>
      </c>
      <c r="AG21" s="80">
        <v>1.8560000000000001</v>
      </c>
      <c r="AH21" s="146">
        <f>H21-AG21-AF21-AE21</f>
        <v>3.0429999999999988</v>
      </c>
      <c r="AI21" s="80">
        <v>10.377000000000001</v>
      </c>
      <c r="AJ21" s="80">
        <v>10.717000000000001</v>
      </c>
      <c r="AK21" s="80">
        <v>10.943</v>
      </c>
      <c r="AL21" s="142">
        <v>13.513</v>
      </c>
      <c r="AM21" s="80">
        <v>12.335000000000001</v>
      </c>
      <c r="AN21" s="80">
        <v>12.47</v>
      </c>
      <c r="AO21" s="80">
        <v>12.367000000000001</v>
      </c>
      <c r="AP21" s="142">
        <v>12.824</v>
      </c>
      <c r="AQ21" s="80">
        <v>10.83</v>
      </c>
      <c r="AR21" s="80">
        <v>11.396000000000001</v>
      </c>
      <c r="AS21" s="142">
        <v>12.539</v>
      </c>
      <c r="AT21" s="142">
        <v>12.516999999999999</v>
      </c>
      <c r="AU21" s="142">
        <v>12.824999999999999</v>
      </c>
      <c r="AV21" s="142">
        <v>13.701000000000001</v>
      </c>
      <c r="AW21" s="142">
        <v>17.303999999999998</v>
      </c>
      <c r="AX21" s="142">
        <v>17.395</v>
      </c>
      <c r="AY21" s="142">
        <v>14.789</v>
      </c>
      <c r="AZ21" s="142">
        <v>15.257999999999999</v>
      </c>
      <c r="BA21" s="153">
        <v>16.015000000000001</v>
      </c>
      <c r="BB21" s="77">
        <f>BB22*BB4</f>
        <v>15.709296086906752</v>
      </c>
      <c r="BC21" s="76">
        <f>BC22*BC4</f>
        <v>16.493210521960108</v>
      </c>
      <c r="BD21" s="76">
        <f>BD22*BD4</f>
        <v>17.408198424051356</v>
      </c>
      <c r="BE21" s="76">
        <f>BE22*BE4</f>
        <v>18.2526039338332</v>
      </c>
      <c r="BF21" s="76">
        <f>BF22*BF4</f>
        <v>18.666464229824072</v>
      </c>
      <c r="BG21" s="76">
        <f>BG22*BG4</f>
        <v>19.743863788890991</v>
      </c>
      <c r="BH21" s="76">
        <f>BH22*BH4</f>
        <v>21.191516037030219</v>
      </c>
      <c r="BI21" s="76">
        <f>BI22*BI4</f>
        <v>22.085426846117372</v>
      </c>
      <c r="BJ21" s="76">
        <f>BJ22*BJ4</f>
        <v>22.50745590181614</v>
      </c>
      <c r="BK21" s="76">
        <f>BK22*BK4</f>
        <v>23.717881214963132</v>
      </c>
      <c r="BL21" s="76">
        <f>BL22*BL4</f>
        <v>25.878540569803981</v>
      </c>
      <c r="BM21" s="76">
        <f>BM22*BM4</f>
        <v>26.928902888008029</v>
      </c>
      <c r="BN21" s="76">
        <f>BN22*BN4</f>
        <v>27.365993878806723</v>
      </c>
      <c r="BO21" s="76">
        <f>BO22*BO4</f>
        <v>29.030953421506471</v>
      </c>
      <c r="BP21" s="76">
        <f>BP22*BP4</f>
        <v>32.217524444107504</v>
      </c>
      <c r="BQ21" s="76">
        <f>BQ22*BQ4</f>
        <v>33.379692895162513</v>
      </c>
      <c r="BR21" s="76">
        <f>BR22*BR4</f>
        <v>33.702384645684511</v>
      </c>
    </row>
    <row r="22" spans="1:70" x14ac:dyDescent="0.2">
      <c r="A22" s="68" t="s">
        <v>6</v>
      </c>
      <c r="B22" s="15"/>
      <c r="C22" s="91">
        <f>C21/C4</f>
        <v>1.4586952614868507E-2</v>
      </c>
      <c r="D22" s="91">
        <f>D21/D4</f>
        <v>1.5394904143067092E-2</v>
      </c>
      <c r="E22" s="91">
        <f>E21/E4</f>
        <v>1.465087682860257E-2</v>
      </c>
      <c r="F22" s="91">
        <f>F21/F4</f>
        <v>1.1707722682835859E-2</v>
      </c>
      <c r="G22" s="91">
        <f>G21/G4</f>
        <v>1.261923893112471E-2</v>
      </c>
      <c r="H22" s="91">
        <f>H21/H4</f>
        <v>1.474573098863002E-2</v>
      </c>
      <c r="I22" s="91">
        <f>I21/I4</f>
        <v>5.5079873131648284E-2</v>
      </c>
      <c r="J22" s="91">
        <f>J21/J4</f>
        <v>5.8170517164345813E-2</v>
      </c>
      <c r="K22" s="91">
        <f>K21/K4</f>
        <v>4.8496945478117802E-2</v>
      </c>
      <c r="L22" s="93">
        <f>L21/L4</f>
        <v>0.13040051968520708</v>
      </c>
      <c r="M22" s="92">
        <f>M21/M4</f>
        <v>0.11877947207677518</v>
      </c>
      <c r="N22" s="91">
        <f>N21/N4</f>
        <v>0.11900957872912779</v>
      </c>
      <c r="O22" s="91">
        <f>O21/O4</f>
        <v>0.11900957872912783</v>
      </c>
      <c r="P22" s="91">
        <f>P21/P4</f>
        <v>0.11900957872912782</v>
      </c>
      <c r="Q22" s="91">
        <f>Q21/Q4</f>
        <v>0.11900957872912785</v>
      </c>
      <c r="R22" s="47"/>
      <c r="S22" s="91">
        <f>S21/S4</f>
        <v>1.57825417258853E-2</v>
      </c>
      <c r="T22" s="91">
        <f>T21/T4</f>
        <v>1.6378876284690345E-2</v>
      </c>
      <c r="U22" s="91">
        <f>U21/U4</f>
        <v>1.3638887265501724E-2</v>
      </c>
      <c r="V22" s="91">
        <f>V21/V4</f>
        <v>1.2858117821307745E-2</v>
      </c>
      <c r="W22" s="91">
        <f>W21/W4</f>
        <v>1.1551318968655877E-2</v>
      </c>
      <c r="X22" s="91">
        <f>X21/X4</f>
        <v>1.2341911640050182E-2</v>
      </c>
      <c r="Y22" s="91">
        <f>Y21/Y4</f>
        <v>1.1313274241777018E-2</v>
      </c>
      <c r="Z22" s="91">
        <f>Z21/Z4</f>
        <v>1.1628419475215227E-2</v>
      </c>
      <c r="AA22" s="91">
        <f>AA21/AA4</f>
        <v>1.067959842530411E-2</v>
      </c>
      <c r="AB22" s="91">
        <f>AB21/AB4</f>
        <v>1.3047911663290087E-2</v>
      </c>
      <c r="AC22" s="91">
        <f>AC21/AC4</f>
        <v>1.3059458867495773E-2</v>
      </c>
      <c r="AD22" s="91">
        <f>AD21/AD4</f>
        <v>1.3733936136129015E-2</v>
      </c>
      <c r="AE22" s="91">
        <f>AE21/AE4</f>
        <v>1.2797949140272696E-2</v>
      </c>
      <c r="AF22" s="91">
        <f>AF21/AF4</f>
        <v>1.323941329874574E-2</v>
      </c>
      <c r="AG22" s="91">
        <f>AG21/AG4</f>
        <v>1.2757679697005109E-2</v>
      </c>
      <c r="AH22" s="91">
        <f>AH21/AH4</f>
        <v>2.0012495478609709E-2</v>
      </c>
      <c r="AI22" s="91">
        <f>AI21/AI4</f>
        <v>5.0016146679326946E-2</v>
      </c>
      <c r="AJ22" s="91">
        <f>AJ21/AJ4</f>
        <v>5.1932507607916109E-2</v>
      </c>
      <c r="AK22" s="91">
        <f>AK21/AK4</f>
        <v>5.2422561390397894E-2</v>
      </c>
      <c r="AL22" s="91">
        <f>AL21/AL4</f>
        <v>6.6105392924232939E-2</v>
      </c>
      <c r="AM22" s="91">
        <f>AM21/AM4</f>
        <v>5.9945861621527055E-2</v>
      </c>
      <c r="AN22" s="91">
        <f>AN21/AN4</f>
        <v>5.8271028037383182E-2</v>
      </c>
      <c r="AO22" s="91">
        <f>AO21/AO4</f>
        <v>5.5662827385372926E-2</v>
      </c>
      <c r="AP22" s="91">
        <f>AP21/AP4</f>
        <v>5.8957937759469635E-2</v>
      </c>
      <c r="AQ22" s="91">
        <f>AQ21/AQ4</f>
        <v>4.5592897106556028E-2</v>
      </c>
      <c r="AR22" s="91">
        <f>AR21/AR4</f>
        <v>4.7046195764356195E-2</v>
      </c>
      <c r="AS22" s="91">
        <f>AS21/AS4</f>
        <v>5.0699088637484735E-2</v>
      </c>
      <c r="AT22" s="91">
        <f>AT21/AT4</f>
        <v>5.0500486163504249E-2</v>
      </c>
      <c r="AU22" s="91">
        <f>AU21/AU4</f>
        <v>0.11553949964414734</v>
      </c>
      <c r="AV22" s="91">
        <f>AV21/AV4</f>
        <v>0.1154429483830741</v>
      </c>
      <c r="AW22" s="91">
        <f>AW21/AW4</f>
        <v>0.14380453752181499</v>
      </c>
      <c r="AX22" s="91">
        <f>AX21/AX4</f>
        <v>0.14556241736539974</v>
      </c>
      <c r="AY22" s="91">
        <f>AY21/AY4</f>
        <v>0.11948293274086043</v>
      </c>
      <c r="AZ22" s="91">
        <f>AZ21/AZ4</f>
        <v>0.11763526745100458</v>
      </c>
      <c r="BA22" s="93">
        <f>BA21/BA4</f>
        <v>0.11900957872912782</v>
      </c>
      <c r="BB22" s="248">
        <f>BA22</f>
        <v>0.11900957872912782</v>
      </c>
      <c r="BC22" s="215">
        <f>BB22</f>
        <v>0.11900957872912782</v>
      </c>
      <c r="BD22" s="215">
        <f>BC22</f>
        <v>0.11900957872912782</v>
      </c>
      <c r="BE22" s="215">
        <f>BD22</f>
        <v>0.11900957872912782</v>
      </c>
      <c r="BF22" s="215">
        <f>BE22</f>
        <v>0.11900957872912782</v>
      </c>
      <c r="BG22" s="215">
        <f>BF22</f>
        <v>0.11900957872912782</v>
      </c>
      <c r="BH22" s="215">
        <f>BG22</f>
        <v>0.11900957872912782</v>
      </c>
      <c r="BI22" s="215">
        <f>BH22</f>
        <v>0.11900957872912782</v>
      </c>
      <c r="BJ22" s="215">
        <f>BI22</f>
        <v>0.11900957872912782</v>
      </c>
      <c r="BK22" s="215">
        <f>BJ22</f>
        <v>0.11900957872912782</v>
      </c>
      <c r="BL22" s="215">
        <f>BK22</f>
        <v>0.11900957872912782</v>
      </c>
      <c r="BM22" s="215">
        <f>BL22</f>
        <v>0.11900957872912782</v>
      </c>
      <c r="BN22" s="215">
        <f>BM22</f>
        <v>0.11900957872912782</v>
      </c>
      <c r="BO22" s="215">
        <f>BN22</f>
        <v>0.11900957872912782</v>
      </c>
      <c r="BP22" s="215">
        <f>BO22</f>
        <v>0.11900957872912782</v>
      </c>
      <c r="BQ22" s="215">
        <f>BP22</f>
        <v>0.11900957872912782</v>
      </c>
      <c r="BR22" s="215">
        <f>BQ22</f>
        <v>0.11900957872912782</v>
      </c>
    </row>
    <row r="23" spans="1:70" x14ac:dyDescent="0.2">
      <c r="A23" s="275" t="s">
        <v>217</v>
      </c>
      <c r="B23" s="10"/>
      <c r="C23" s="80">
        <v>8.1959999999999997</v>
      </c>
      <c r="D23" s="80">
        <v>6.8719999999999999</v>
      </c>
      <c r="E23" s="80">
        <v>8.673</v>
      </c>
      <c r="F23" s="80">
        <v>9.7959999999999994</v>
      </c>
      <c r="G23" s="80">
        <v>9.5879999999999992</v>
      </c>
      <c r="H23" s="80">
        <v>14.199</v>
      </c>
      <c r="I23" s="80">
        <v>85.472999999999999</v>
      </c>
      <c r="J23" s="142">
        <v>94.638000000000005</v>
      </c>
      <c r="K23" s="142">
        <v>69.504999999999995</v>
      </c>
      <c r="L23" s="142">
        <v>65.245000000000005</v>
      </c>
      <c r="M23" s="77">
        <f>SUM(AY23:BB23)</f>
        <v>67.971515995440029</v>
      </c>
      <c r="N23" s="76">
        <f>SUM(BC23:BF23)</f>
        <v>75.866132082015397</v>
      </c>
      <c r="O23" s="76">
        <f>SUM(BG23:BJ23)</f>
        <v>91.621784122201149</v>
      </c>
      <c r="P23" s="76">
        <f>SUM(BK23:BN23)</f>
        <v>111.29312900848818</v>
      </c>
      <c r="Q23" s="76">
        <f>SUM(BO23:BR23)</f>
        <v>137.47355657528846</v>
      </c>
      <c r="R23" s="51"/>
      <c r="S23" s="80">
        <v>1.625</v>
      </c>
      <c r="T23" s="80">
        <v>2.6949999999999998</v>
      </c>
      <c r="U23" s="80">
        <v>1.929</v>
      </c>
      <c r="V23" s="146">
        <f>E23-U23-T23-S23</f>
        <v>2.4239999999999995</v>
      </c>
      <c r="W23" s="80">
        <v>2.3210000000000002</v>
      </c>
      <c r="X23" s="80">
        <v>2.3460000000000001</v>
      </c>
      <c r="Y23" s="80">
        <v>2.65</v>
      </c>
      <c r="Z23" s="146">
        <f>F23-Y23-X23-W23</f>
        <v>2.4789999999999988</v>
      </c>
      <c r="AA23" s="80">
        <v>2.27</v>
      </c>
      <c r="AB23" s="80">
        <v>2.2850000000000001</v>
      </c>
      <c r="AC23" s="80">
        <v>2.419</v>
      </c>
      <c r="AD23" s="146">
        <f>G23-AC23-AB23-AA23</f>
        <v>2.6139999999999985</v>
      </c>
      <c r="AE23" s="80">
        <v>2.3540000000000001</v>
      </c>
      <c r="AF23" s="80">
        <v>2.7690000000000001</v>
      </c>
      <c r="AG23" s="80">
        <v>3.3519999999999999</v>
      </c>
      <c r="AH23" s="146">
        <f>H23-AG23-AF23-AE23</f>
        <v>5.7239999999999993</v>
      </c>
      <c r="AI23" s="80">
        <v>20.655000000000001</v>
      </c>
      <c r="AJ23" s="80">
        <v>20.771999999999998</v>
      </c>
      <c r="AK23" s="80">
        <v>21.512</v>
      </c>
      <c r="AL23" s="142">
        <v>22.533000000000001</v>
      </c>
      <c r="AM23" s="80">
        <v>23.183</v>
      </c>
      <c r="AN23" s="80">
        <v>23.6</v>
      </c>
      <c r="AO23" s="80">
        <v>24.103999999999999</v>
      </c>
      <c r="AP23" s="142">
        <v>23.751000000000001</v>
      </c>
      <c r="AQ23" s="80">
        <v>17.324999999999999</v>
      </c>
      <c r="AR23" s="80">
        <v>17.439</v>
      </c>
      <c r="AS23" s="142">
        <v>17.321999999999999</v>
      </c>
      <c r="AT23" s="142">
        <v>17.419</v>
      </c>
      <c r="AU23" s="142">
        <v>16.303000000000001</v>
      </c>
      <c r="AV23" s="142">
        <v>16.552</v>
      </c>
      <c r="AW23" s="142">
        <v>16.088000000000001</v>
      </c>
      <c r="AX23" s="142">
        <v>16.302</v>
      </c>
      <c r="AY23" s="142">
        <v>16.297000000000001</v>
      </c>
      <c r="AZ23" s="142">
        <v>17.690000000000001</v>
      </c>
      <c r="BA23" s="153">
        <v>17.155999999999999</v>
      </c>
      <c r="BB23" s="77">
        <f>BB24*BB4</f>
        <v>16.828515995440036</v>
      </c>
      <c r="BC23" s="76">
        <f>BC24*BC4</f>
        <v>17.668280968763508</v>
      </c>
      <c r="BD23" s="76">
        <f>BD24*BD4</f>
        <v>18.648457830972529</v>
      </c>
      <c r="BE23" s="76">
        <f>BE24*BE4</f>
        <v>19.55302360841975</v>
      </c>
      <c r="BF23" s="76">
        <f>BF24*BF4</f>
        <v>19.996369673859615</v>
      </c>
      <c r="BG23" s="76">
        <f>BG24*BG4</f>
        <v>21.150529326394864</v>
      </c>
      <c r="BH23" s="76">
        <f>BH24*BH4</f>
        <v>22.701320582659402</v>
      </c>
      <c r="BI23" s="76">
        <f>BI24*BI4</f>
        <v>23.658918699468597</v>
      </c>
      <c r="BJ23" s="76">
        <f>BJ24*BJ4</f>
        <v>24.111015513678282</v>
      </c>
      <c r="BK23" s="76">
        <f>BK24*BK4</f>
        <v>25.407678434212141</v>
      </c>
      <c r="BL23" s="76">
        <f>BL24*BL4</f>
        <v>27.722275492697911</v>
      </c>
      <c r="BM23" s="76">
        <f>BM24*BM4</f>
        <v>28.847471617025644</v>
      </c>
      <c r="BN23" s="76">
        <f>BN24*BN4</f>
        <v>29.315703464552488</v>
      </c>
      <c r="BO23" s="76">
        <f>BO24*BO4</f>
        <v>31.099284227247264</v>
      </c>
      <c r="BP23" s="76">
        <f>BP24*BP4</f>
        <v>34.512884755735762</v>
      </c>
      <c r="BQ23" s="76">
        <f>BQ24*BQ4</f>
        <v>35.757852719913082</v>
      </c>
      <c r="BR23" s="76">
        <f>BR24*BR4</f>
        <v>36.103534872392345</v>
      </c>
    </row>
    <row r="24" spans="1:70" x14ac:dyDescent="0.2">
      <c r="A24" s="73" t="s">
        <v>6</v>
      </c>
      <c r="B24" s="169"/>
      <c r="C24" s="122">
        <f>C23/C4</f>
        <v>1.2274606122326722E-2</v>
      </c>
      <c r="D24" s="122">
        <f>D23/D4</f>
        <v>1.1347611420267837E-2</v>
      </c>
      <c r="E24" s="122">
        <f>E23/E4</f>
        <v>1.5941168577903661E-2</v>
      </c>
      <c r="F24" s="122">
        <f>F23/F4</f>
        <v>1.6760025047648702E-2</v>
      </c>
      <c r="G24" s="122">
        <f>G23/G4</f>
        <v>1.6461668417907988E-2</v>
      </c>
      <c r="H24" s="122">
        <f>H23/H4</f>
        <v>2.3942210898520031E-2</v>
      </c>
      <c r="I24" s="122">
        <f>I23/I4</f>
        <v>0.10335320840774898</v>
      </c>
      <c r="J24" s="122">
        <f>J23/J4</f>
        <v>0.11011383945193239</v>
      </c>
      <c r="K24" s="122">
        <f>K23/K4</f>
        <v>7.1290981672868708E-2</v>
      </c>
      <c r="L24" s="123">
        <f>L23/L4</f>
        <v>0.13896254645751469</v>
      </c>
      <c r="M24" s="177">
        <f>M23/M4</f>
        <v>0.13070181941524386</v>
      </c>
      <c r="N24" s="122">
        <f>N23/N4</f>
        <v>0.12748850032325421</v>
      </c>
      <c r="O24" s="122">
        <f>O23/O4</f>
        <v>0.12748850032325426</v>
      </c>
      <c r="P24" s="122">
        <f>P23/P4</f>
        <v>0.12748850032325423</v>
      </c>
      <c r="Q24" s="122">
        <f>Q23/Q4</f>
        <v>0.12748850032325426</v>
      </c>
      <c r="R24" s="58"/>
      <c r="S24" s="122">
        <f>S23/S4</f>
        <v>1.2091763462783411E-2</v>
      </c>
      <c r="T24" s="122">
        <f>T23/T4</f>
        <v>1.9955276486094246E-2</v>
      </c>
      <c r="U24" s="122">
        <f>U23/U4</f>
        <v>1.4091812284495353E-2</v>
      </c>
      <c r="V24" s="122">
        <f>V23/V4</f>
        <v>1.7599140372021437E-2</v>
      </c>
      <c r="W24" s="122">
        <f>W23/W4</f>
        <v>1.536424717836693E-2</v>
      </c>
      <c r="X24" s="122">
        <f>X23/X4</f>
        <v>1.5908859729427322E-2</v>
      </c>
      <c r="Y24" s="122">
        <f>Y23/Y4</f>
        <v>1.7687419906023065E-2</v>
      </c>
      <c r="Z24" s="122">
        <f>Z23/Z4</f>
        <v>1.8210266506038249E-2</v>
      </c>
      <c r="AA24" s="122">
        <f>AA23/AA4</f>
        <v>1.5460898230510414E-2</v>
      </c>
      <c r="AB24" s="122">
        <f>AB23/AB4</f>
        <v>1.5328780540163418E-2</v>
      </c>
      <c r="AC24" s="122">
        <f>AC23/AC4</f>
        <v>1.6557039308423626E-2</v>
      </c>
      <c r="AD24" s="122">
        <f>AD23/AD4</f>
        <v>1.8610943006656937E-2</v>
      </c>
      <c r="AE24" s="122">
        <f>AE23/AE4</f>
        <v>1.5633820589622174E-2</v>
      </c>
      <c r="AF24" s="122">
        <f>AF23/AF4</f>
        <v>1.9103666192927023E-2</v>
      </c>
      <c r="AG24" s="122">
        <f>AG23/AG4</f>
        <v>2.3040809452780777E-2</v>
      </c>
      <c r="AH24" s="122">
        <f>AH23/AH4</f>
        <v>3.7644273453684519E-2</v>
      </c>
      <c r="AI24" s="122">
        <f>AI23/AI4</f>
        <v>9.9555122835260496E-2</v>
      </c>
      <c r="AJ24" s="122">
        <f>AJ23/AJ4</f>
        <v>0.10065709135314298</v>
      </c>
      <c r="AK24" s="122">
        <f>AK23/AK4</f>
        <v>0.10305347168328974</v>
      </c>
      <c r="AL24" s="122">
        <f>AL23/AL4</f>
        <v>0.11023109737006889</v>
      </c>
      <c r="AM24" s="122">
        <f>AM23/AM4</f>
        <v>0.11266517308243709</v>
      </c>
      <c r="AN24" s="122">
        <f>AN23/AN4</f>
        <v>0.1102803738317757</v>
      </c>
      <c r="AO24" s="122">
        <f>AO23/AO4</f>
        <v>0.10849007773081822</v>
      </c>
      <c r="AP24" s="122">
        <f>AP23/AP4</f>
        <v>0.10919447752067712</v>
      </c>
      <c r="AQ24" s="122">
        <f>AQ23/AQ4</f>
        <v>7.2936005759102793E-2</v>
      </c>
      <c r="AR24" s="122">
        <f>AR23/AR4</f>
        <v>7.1993559839821655E-2</v>
      </c>
      <c r="AS24" s="122">
        <f>AS23/AS4</f>
        <v>7.0038249731119745E-2</v>
      </c>
      <c r="AT24" s="122">
        <f>AT23/AT4</f>
        <v>7.0277859589524691E-2</v>
      </c>
      <c r="AU24" s="122">
        <f>AU23/AU4</f>
        <v>0.14687255069774147</v>
      </c>
      <c r="AV24" s="122">
        <f>AV23/AV4</f>
        <v>0.13946512529279925</v>
      </c>
      <c r="AW24" s="122">
        <f>AW23/AW4</f>
        <v>0.13369899443197875</v>
      </c>
      <c r="AX24" s="122">
        <f>AX23/AX4</f>
        <v>0.13641612692674598</v>
      </c>
      <c r="AY24" s="122">
        <f>AY23/AY4</f>
        <v>0.1316663300343365</v>
      </c>
      <c r="AZ24" s="122">
        <f>AZ23/AZ4</f>
        <v>0.13638536382279928</v>
      </c>
      <c r="BA24" s="123">
        <f>BA23/BA4</f>
        <v>0.12748850032325423</v>
      </c>
      <c r="BB24" s="249">
        <f>BA24</f>
        <v>0.12748850032325423</v>
      </c>
      <c r="BC24" s="220">
        <f>BB24</f>
        <v>0.12748850032325423</v>
      </c>
      <c r="BD24" s="220">
        <f>BC24</f>
        <v>0.12748850032325423</v>
      </c>
      <c r="BE24" s="220">
        <f>BD24</f>
        <v>0.12748850032325423</v>
      </c>
      <c r="BF24" s="220">
        <f>BE24</f>
        <v>0.12748850032325423</v>
      </c>
      <c r="BG24" s="220">
        <f>BF24</f>
        <v>0.12748850032325423</v>
      </c>
      <c r="BH24" s="220">
        <f>BG24</f>
        <v>0.12748850032325423</v>
      </c>
      <c r="BI24" s="220">
        <f>BH24</f>
        <v>0.12748850032325423</v>
      </c>
      <c r="BJ24" s="220">
        <f>BI24</f>
        <v>0.12748850032325423</v>
      </c>
      <c r="BK24" s="220">
        <f>BJ24</f>
        <v>0.12748850032325423</v>
      </c>
      <c r="BL24" s="220">
        <f>BK24</f>
        <v>0.12748850032325423</v>
      </c>
      <c r="BM24" s="220">
        <f>BL24</f>
        <v>0.12748850032325423</v>
      </c>
      <c r="BN24" s="220">
        <f>BM24</f>
        <v>0.12748850032325423</v>
      </c>
      <c r="BO24" s="220">
        <f>BN24</f>
        <v>0.12748850032325423</v>
      </c>
      <c r="BP24" s="220">
        <f>BO24</f>
        <v>0.12748850032325423</v>
      </c>
      <c r="BQ24" s="220">
        <f>BP24</f>
        <v>0.12748850032325423</v>
      </c>
      <c r="BR24" s="220">
        <f>BQ24</f>
        <v>0.12748850032325423</v>
      </c>
    </row>
    <row r="25" spans="1:70" x14ac:dyDescent="0.2">
      <c r="A25" s="274" t="s">
        <v>24</v>
      </c>
      <c r="B25" s="10"/>
      <c r="C25" s="72">
        <f>SUM(C23,C21,C19,C17,C15)</f>
        <v>93.941000000000003</v>
      </c>
      <c r="D25" s="72">
        <f>SUM(D23,D21,D19,D17,D15)</f>
        <v>89.914999999999992</v>
      </c>
      <c r="E25" s="72">
        <f>SUM(E23,E21,E19,E17,E15)</f>
        <v>86.161000000000001</v>
      </c>
      <c r="F25" s="72">
        <f>SUM(F23,F21,F19,F17,F15)</f>
        <v>92.444999999999993</v>
      </c>
      <c r="G25" s="72">
        <f>SUM(G23,G21,G19,G17,G15)</f>
        <v>93.5</v>
      </c>
      <c r="H25" s="72">
        <f>SUM(H23,H21,H19,H17,H15)</f>
        <v>119.19999999999999</v>
      </c>
      <c r="I25" s="72">
        <f>SUM(I23,I21,I19,I17,I15)</f>
        <v>326.33199999999999</v>
      </c>
      <c r="J25" s="72">
        <f>SUM(J23,J21,J19,J17,J15)</f>
        <v>428.99700000000001</v>
      </c>
      <c r="K25" s="72">
        <f>SUM(K23,K21,K19,K17,K15)</f>
        <v>254.584</v>
      </c>
      <c r="L25" s="72">
        <f>SUM(L23,L21,L19,L17,L15)</f>
        <v>289.26499999999999</v>
      </c>
      <c r="M25" s="86">
        <f>SUM(AY25:BB25)</f>
        <v>308.54003885566408</v>
      </c>
      <c r="N25" s="72">
        <f>SUM(BC25:BF25)</f>
        <v>349.33974715639158</v>
      </c>
      <c r="O25" s="72">
        <f>SUM(BG25:BJ25)</f>
        <v>421.88958394064161</v>
      </c>
      <c r="P25" s="72">
        <f>SUM(BK25:BN25)</f>
        <v>512.46995834766562</v>
      </c>
      <c r="Q25" s="72">
        <f>SUM(BO25:BR25)</f>
        <v>633.02261729626014</v>
      </c>
      <c r="R25" s="51"/>
      <c r="S25" s="72">
        <f>SUM(S23,S21,S19,S17,S15)</f>
        <v>19.850999999999999</v>
      </c>
      <c r="T25" s="72">
        <f>SUM(T23,T21,T19,T17,T15)</f>
        <v>22.196000000000002</v>
      </c>
      <c r="U25" s="72">
        <f>SUM(U23,U21,U19,U17,U15)</f>
        <v>22.324999999999999</v>
      </c>
      <c r="V25" s="72">
        <f>SUM(V23,V21,V19,V17,V15)</f>
        <v>21.788999999999998</v>
      </c>
      <c r="W25" s="72">
        <f>SUM(W23,W21,W19,W17,W15)</f>
        <v>21.554000000000002</v>
      </c>
      <c r="X25" s="72">
        <f>SUM(X23,X21,X19,X17,X15)</f>
        <v>23.123999999999999</v>
      </c>
      <c r="Y25" s="72">
        <f>SUM(Y23,Y21,Y19,Y17,Y15)</f>
        <v>23.808</v>
      </c>
      <c r="Z25" s="72">
        <f>SUM(Z23,Z21,Z19,Z17,Z15)</f>
        <v>23.958999999999996</v>
      </c>
      <c r="AA25" s="72">
        <f>SUM(AA23,AA21,AA19,AA17,AA15)</f>
        <v>22.822000000000003</v>
      </c>
      <c r="AB25" s="72">
        <f>SUM(AB23,AB21,AB19,AB17,AB15)</f>
        <v>23.709</v>
      </c>
      <c r="AC25" s="72">
        <f>SUM(AC23,AC21,AC19,AC17,AC15)</f>
        <v>23.575000000000003</v>
      </c>
      <c r="AD25" s="72">
        <f>SUM(AD23,AD21,AD19,AD17,AD15)</f>
        <v>23.393999999999991</v>
      </c>
      <c r="AE25" s="72">
        <f>SUM(AE23,AE21,AE19,AE17,AE15)</f>
        <v>24.32</v>
      </c>
      <c r="AF25" s="72">
        <f>SUM(AF23,AF21,AF19,AF17,AF15)</f>
        <v>25.948999999999998</v>
      </c>
      <c r="AG25" s="72">
        <f>SUM(AG23,AG21,AG19,AG17,AG15)</f>
        <v>26.142000000000003</v>
      </c>
      <c r="AH25" s="72">
        <f>SUM(AH23,AH21,AH19,AH17,AH15)</f>
        <v>42.789000000000001</v>
      </c>
      <c r="AI25" s="72">
        <f>SUM(AI23,AI21,AI19,AI17,AI15)</f>
        <v>52.309000000000005</v>
      </c>
      <c r="AJ25" s="72">
        <f>SUM(AJ23,AJ21,AJ19,AJ17,AJ15)</f>
        <v>62.805999999999997</v>
      </c>
      <c r="AK25" s="72">
        <f>SUM(AK23,AK21,AK19,AK17,AK15)</f>
        <v>64.212999999999994</v>
      </c>
      <c r="AL25" s="72">
        <f>SUM(AL23,AL21,AL19,AL17,AL15)</f>
        <v>147.00399999999999</v>
      </c>
      <c r="AM25" s="72">
        <f>SUM(AM23,AM21,AM19,AM17,AM15)</f>
        <v>70.891000000000005</v>
      </c>
      <c r="AN25" s="72">
        <f>SUM(AN23,AN21,AN19,AN17,AN15)</f>
        <v>71.474000000000004</v>
      </c>
      <c r="AO25" s="72">
        <f>SUM(AO23,AO21,AO19,AO17,AO15)</f>
        <v>67.927000000000007</v>
      </c>
      <c r="AP25" s="72">
        <f>SUM(AP23,AP21,AP19,AP17,AP15)</f>
        <v>218.70500000000001</v>
      </c>
      <c r="AQ25" s="72">
        <f>SUM(AQ23,AQ21,AQ19,AQ17,AQ15)</f>
        <v>61.691000000000003</v>
      </c>
      <c r="AR25" s="72">
        <f>SUM(AR23,AR21,AR19,AR17,AR15)</f>
        <v>62.231999999999999</v>
      </c>
      <c r="AS25" s="72">
        <f>SUM(AS23,AS21,AS19,AS17,AS15)</f>
        <v>63.869</v>
      </c>
      <c r="AT25" s="72">
        <f>SUM(AT23,AT21,AT19,AT17,AT15)</f>
        <v>66.792000000000002</v>
      </c>
      <c r="AU25" s="72">
        <f>SUM(AU23,AU21,AU19,AU17,AU15)</f>
        <v>65.626000000000005</v>
      </c>
      <c r="AV25" s="72">
        <f>SUM(AV23,AV21,AV19,AV17,AV15)</f>
        <v>72.418000000000006</v>
      </c>
      <c r="AW25" s="72">
        <f>SUM(AW23,AW21,AW19,AW17,AW15)</f>
        <v>74.217999999999989</v>
      </c>
      <c r="AX25" s="72">
        <f>SUM(AX23,AX21,AX19,AX17,AX15)</f>
        <v>77.003</v>
      </c>
      <c r="AY25" s="72">
        <f>SUM(AY23,AY21,AY19,AY17,AY15)</f>
        <v>73.265000000000001</v>
      </c>
      <c r="AZ25" s="72">
        <f>SUM(AZ23,AZ21,AZ19,AZ17,AZ15)</f>
        <v>78.787000000000006</v>
      </c>
      <c r="BA25" s="98">
        <f>SUM(BA23,BA21,BA19,BA17,BA15)</f>
        <v>78.99799999999999</v>
      </c>
      <c r="BB25" s="86">
        <f>SUM(BB23,BB21,BB19,BB17,BB15)</f>
        <v>77.490038855664039</v>
      </c>
      <c r="BC25" s="72">
        <f>SUM(BC23,BC21,BC19,BC17,BC15)</f>
        <v>81.356893213475161</v>
      </c>
      <c r="BD25" s="72">
        <f>SUM(BD23,BD21,BD19,BD17,BD15)</f>
        <v>85.870300287431093</v>
      </c>
      <c r="BE25" s="72">
        <f>SUM(BE23,BE21,BE19,BE17,BE15)</f>
        <v>90.035542027159224</v>
      </c>
      <c r="BF25" s="72">
        <f>SUM(BF23,BF21,BF19,BF17,BF15)</f>
        <v>92.077011628326076</v>
      </c>
      <c r="BG25" s="72">
        <f>SUM(BG23,BG21,BG19,BG17,BG15)</f>
        <v>97.391554891964432</v>
      </c>
      <c r="BH25" s="72">
        <f>SUM(BH23,BH21,BH19,BH17,BH15)</f>
        <v>104.53246230991653</v>
      </c>
      <c r="BI25" s="72">
        <f>SUM(BI23,BI21,BI19,BI17,BI15)</f>
        <v>108.94190134184079</v>
      </c>
      <c r="BJ25" s="72">
        <f>SUM(BJ23,BJ21,BJ19,BJ17,BJ15)</f>
        <v>111.02366539691985</v>
      </c>
      <c r="BK25" s="72">
        <f>SUM(BK23,BK21,BK19,BK17,BK15)</f>
        <v>116.99439152167702</v>
      </c>
      <c r="BL25" s="72">
        <f>SUM(BL23,BL21,BL19,BL17,BL15)</f>
        <v>127.65238513477208</v>
      </c>
      <c r="BM25" s="72">
        <f>SUM(BM23,BM21,BM19,BM17,BM15)</f>
        <v>132.83356043377199</v>
      </c>
      <c r="BN25" s="72">
        <f>SUM(BN23,BN21,BN19,BN17,BN15)</f>
        <v>134.9896212574445</v>
      </c>
      <c r="BO25" s="72">
        <f>SUM(BO23,BO21,BO19,BO17,BO15)</f>
        <v>143.20245135136861</v>
      </c>
      <c r="BP25" s="72">
        <f>SUM(BP23,BP21,BP19,BP17,BP15)</f>
        <v>158.92101130412766</v>
      </c>
      <c r="BQ25" s="72">
        <f>SUM(BQ23,BQ21,BQ19,BQ17,BQ15)</f>
        <v>164.65369836603486</v>
      </c>
      <c r="BR25" s="72">
        <f>SUM(BR23,BR21,BR19,BR17,BR15)</f>
        <v>166.24545627472901</v>
      </c>
    </row>
    <row r="26" spans="1:70" x14ac:dyDescent="0.2">
      <c r="A26" s="68" t="s">
        <v>6</v>
      </c>
      <c r="B26" s="15"/>
      <c r="C26" s="91">
        <f>C25/C4</f>
        <v>0.14068921104654644</v>
      </c>
      <c r="D26" s="91">
        <f>D25/D4</f>
        <v>0.14847504086923494</v>
      </c>
      <c r="E26" s="91">
        <f>E25/E4</f>
        <v>0.15836585101357747</v>
      </c>
      <c r="F26" s="91">
        <f>F25/F4</f>
        <v>0.15816460958859579</v>
      </c>
      <c r="G26" s="91">
        <f>G25/G4</f>
        <v>0.16053045442995378</v>
      </c>
      <c r="H26" s="91">
        <f>H25/H4</f>
        <v>0.20099384034816448</v>
      </c>
      <c r="I26" s="91">
        <f>I25/I4</f>
        <v>0.39459781692601803</v>
      </c>
      <c r="J26" s="91">
        <f>J25/J4</f>
        <v>0.49914946198525578</v>
      </c>
      <c r="K26" s="91">
        <f>K25/K4</f>
        <v>0.26112572157694564</v>
      </c>
      <c r="L26" s="93">
        <f>L25/L4</f>
        <v>0.61609320256008859</v>
      </c>
      <c r="M26" s="92">
        <f>M25/M4</f>
        <v>0.59328887770563654</v>
      </c>
      <c r="N26" s="91">
        <f>N25/N4</f>
        <v>0.58704456449851006</v>
      </c>
      <c r="O26" s="91">
        <f>O25/O4</f>
        <v>0.58704456449851017</v>
      </c>
      <c r="P26" s="91">
        <f>P25/P4</f>
        <v>0.58704456449851017</v>
      </c>
      <c r="Q26" s="91">
        <f>Q25/Q4</f>
        <v>0.58704456449851017</v>
      </c>
      <c r="R26" s="47"/>
      <c r="S26" s="91">
        <f>S25/S4</f>
        <v>0.14771298246136214</v>
      </c>
      <c r="T26" s="91">
        <f>T25/T4</f>
        <v>0.16435150904836657</v>
      </c>
      <c r="U26" s="91">
        <f>U25/U4</f>
        <v>0.16308953304891588</v>
      </c>
      <c r="V26" s="91">
        <f>V25/V4</f>
        <v>0.15819623331929669</v>
      </c>
      <c r="W26" s="91">
        <f>W25/W4</f>
        <v>0.14268030318075003</v>
      </c>
      <c r="X26" s="91">
        <f>X25/X4</f>
        <v>0.15681009052995626</v>
      </c>
      <c r="Y26" s="91">
        <f>Y25/Y4</f>
        <v>0.15890645023494232</v>
      </c>
      <c r="Z26" s="91">
        <f>Z25/Z4</f>
        <v>0.17599829577175091</v>
      </c>
      <c r="AA26" s="91">
        <f>AA25/AA4</f>
        <v>0.15543992044788929</v>
      </c>
      <c r="AB26" s="91">
        <f>AB25/AB4</f>
        <v>0.15905035353467592</v>
      </c>
      <c r="AC26" s="91">
        <f>AC25/AC4</f>
        <v>0.16136097631090823</v>
      </c>
      <c r="AD26" s="91">
        <f>AD25/AD4</f>
        <v>0.16655868427610268</v>
      </c>
      <c r="AE26" s="91">
        <f>AE25/AE4</f>
        <v>0.16151848629550181</v>
      </c>
      <c r="AF26" s="91">
        <f>AF25/AF4</f>
        <v>0.17902529217777655</v>
      </c>
      <c r="AG26" s="91">
        <f>AG25/AG4</f>
        <v>0.17969356823227778</v>
      </c>
      <c r="AH26" s="91">
        <f>AH25/AH4</f>
        <v>0.28140475485843941</v>
      </c>
      <c r="AI26" s="91">
        <f>AI25/AI4</f>
        <v>0.25212437280995598</v>
      </c>
      <c r="AJ26" s="91">
        <f>AJ25/AJ4</f>
        <v>0.30434571921459169</v>
      </c>
      <c r="AK26" s="91">
        <f>AK25/AK4</f>
        <v>0.30761308001111393</v>
      </c>
      <c r="AL26" s="91">
        <f>AL25/AL4</f>
        <v>0.71914135879774577</v>
      </c>
      <c r="AM26" s="91">
        <f>AM25/AM4</f>
        <v>0.34451739572044382</v>
      </c>
      <c r="AN26" s="91">
        <f>AN25/AN4</f>
        <v>0.33399065420560747</v>
      </c>
      <c r="AO26" s="91">
        <f>AO25/AO4</f>
        <v>0.30573371681137118</v>
      </c>
      <c r="AP26" s="91">
        <f>AP25/AP4</f>
        <v>1.0054893775487217</v>
      </c>
      <c r="AQ26" s="91">
        <f>AQ25/AQ4</f>
        <v>0.25971111868887797</v>
      </c>
      <c r="AR26" s="91">
        <f>AR25/AR4</f>
        <v>0.25691285142220205</v>
      </c>
      <c r="AS26" s="91">
        <f>AS25/AS4</f>
        <v>0.25824229142575267</v>
      </c>
      <c r="AT26" s="91">
        <f>AT25/AT4</f>
        <v>0.26947579067130911</v>
      </c>
      <c r="AU26" s="91">
        <f>AU25/AU4</f>
        <v>0.59121989891982962</v>
      </c>
      <c r="AV26" s="91">
        <f>AV25/AV4</f>
        <v>0.61018520078866223</v>
      </c>
      <c r="AW26" s="91">
        <f>AW25/AW4</f>
        <v>0.61678716861962923</v>
      </c>
      <c r="AX26" s="91">
        <f>AX25/AX4</f>
        <v>0.64436578467305994</v>
      </c>
      <c r="AY26" s="91">
        <f>AY25/AY4</f>
        <v>0.59192082407594426</v>
      </c>
      <c r="AZ26" s="91">
        <f>AZ25/AZ4</f>
        <v>0.60742756695912303</v>
      </c>
      <c r="BA26" s="93">
        <f>BA25/BA4</f>
        <v>0.58704456449851006</v>
      </c>
      <c r="BB26" s="92">
        <f>BB25/BB4</f>
        <v>0.58704456449851006</v>
      </c>
      <c r="BC26" s="91">
        <f>BC25/BC4</f>
        <v>0.58704456449851017</v>
      </c>
      <c r="BD26" s="91">
        <f>BD25/BD4</f>
        <v>0.58704456449851006</v>
      </c>
      <c r="BE26" s="91">
        <f>BE25/BE4</f>
        <v>0.58704456449851006</v>
      </c>
      <c r="BF26" s="91">
        <f>BF25/BF4</f>
        <v>0.58704456449851017</v>
      </c>
      <c r="BG26" s="91">
        <f>BG25/BG4</f>
        <v>0.58704456449851017</v>
      </c>
      <c r="BH26" s="91">
        <f>BH25/BH4</f>
        <v>0.58704456449851017</v>
      </c>
      <c r="BI26" s="91">
        <f>BI25/BI4</f>
        <v>0.58704456449851006</v>
      </c>
      <c r="BJ26" s="91">
        <f>BJ25/BJ4</f>
        <v>0.58704456449851006</v>
      </c>
      <c r="BK26" s="91">
        <f>BK25/BK4</f>
        <v>0.58704456449851006</v>
      </c>
      <c r="BL26" s="91">
        <f>BL25/BL4</f>
        <v>0.58704456449851006</v>
      </c>
      <c r="BM26" s="91">
        <f>BM25/BM4</f>
        <v>0.58704456449851017</v>
      </c>
      <c r="BN26" s="91">
        <f>BN25/BN4</f>
        <v>0.58704456449851017</v>
      </c>
      <c r="BO26" s="91">
        <f>BO25/BO4</f>
        <v>0.58704456449851017</v>
      </c>
      <c r="BP26" s="91">
        <f>BP25/BP4</f>
        <v>0.58704456449851006</v>
      </c>
      <c r="BQ26" s="91">
        <f>BQ25/BQ4</f>
        <v>0.58704456449851017</v>
      </c>
      <c r="BR26" s="91">
        <f>BR25/BR4</f>
        <v>0.58704456449851017</v>
      </c>
    </row>
    <row r="27" spans="1:70" x14ac:dyDescent="0.2">
      <c r="A27" s="267"/>
      <c r="B27" s="9"/>
      <c r="C27" s="100"/>
      <c r="D27" s="100"/>
      <c r="E27" s="100"/>
      <c r="F27" s="100"/>
      <c r="G27" s="100"/>
      <c r="H27" s="100"/>
      <c r="I27" s="100"/>
      <c r="J27" s="100"/>
      <c r="K27" s="100"/>
      <c r="L27" s="102"/>
      <c r="M27" s="176"/>
      <c r="N27" s="101"/>
      <c r="O27" s="101"/>
      <c r="P27" s="101"/>
      <c r="Q27" s="101"/>
      <c r="R27" s="46"/>
      <c r="S27" s="100"/>
      <c r="T27" s="100"/>
      <c r="U27" s="100"/>
      <c r="V27" s="100"/>
      <c r="W27" s="100"/>
      <c r="X27" s="100"/>
      <c r="Y27" s="100"/>
      <c r="Z27" s="100"/>
      <c r="AA27" s="100"/>
      <c r="AB27" s="100"/>
      <c r="AC27" s="100"/>
      <c r="AD27" s="100"/>
      <c r="AE27" s="100"/>
      <c r="AF27" s="100"/>
      <c r="AG27" s="100"/>
      <c r="AH27" s="100"/>
      <c r="AI27" s="100"/>
      <c r="AJ27" s="100"/>
      <c r="AK27" s="100"/>
      <c r="AL27" s="100"/>
      <c r="AM27" s="100"/>
      <c r="AN27" s="100"/>
      <c r="AO27" s="100"/>
      <c r="AP27" s="100"/>
      <c r="AQ27" s="100"/>
      <c r="AR27" s="100"/>
      <c r="AS27" s="100"/>
      <c r="AT27" s="100"/>
      <c r="AU27" s="100"/>
      <c r="AV27" s="100"/>
      <c r="AW27" s="100"/>
      <c r="AX27" s="100"/>
      <c r="AY27" s="100"/>
      <c r="AZ27" s="100"/>
      <c r="BA27" s="102"/>
      <c r="BB27" s="103"/>
      <c r="BC27" s="100"/>
      <c r="BD27" s="100"/>
      <c r="BE27" s="100"/>
      <c r="BF27" s="100"/>
      <c r="BG27" s="100"/>
      <c r="BH27" s="100"/>
      <c r="BI27" s="100"/>
      <c r="BJ27" s="100"/>
      <c r="BK27" s="100"/>
      <c r="BL27" s="100"/>
      <c r="BM27" s="100"/>
      <c r="BN27" s="100"/>
      <c r="BO27" s="100"/>
      <c r="BP27" s="100"/>
      <c r="BQ27" s="100"/>
      <c r="BR27" s="100"/>
    </row>
    <row r="28" spans="1:70" x14ac:dyDescent="0.2">
      <c r="A28" s="274" t="s">
        <v>218</v>
      </c>
      <c r="B28" s="10"/>
      <c r="C28" s="72">
        <f>C25+C8</f>
        <v>595.75099999999998</v>
      </c>
      <c r="D28" s="97">
        <v>552.96</v>
      </c>
      <c r="E28" s="97">
        <v>505.767</v>
      </c>
      <c r="F28" s="97">
        <v>528.50400000000002</v>
      </c>
      <c r="G28" s="97">
        <v>533.29399999999998</v>
      </c>
      <c r="H28" s="97">
        <v>559.27099999999996</v>
      </c>
      <c r="I28" s="97">
        <v>836.72900000000004</v>
      </c>
      <c r="J28" s="97">
        <v>978.01099999999997</v>
      </c>
      <c r="K28" s="97">
        <v>893.12900000000002</v>
      </c>
      <c r="L28" s="97">
        <v>383.702</v>
      </c>
      <c r="M28" s="86">
        <f>SUM(AY28:BB28)</f>
        <v>415.23425145295096</v>
      </c>
      <c r="N28" s="72">
        <f>SUM(BC28:BF28)</f>
        <v>474.3888543500982</v>
      </c>
      <c r="O28" s="72">
        <f>SUM(BG28:BJ28)</f>
        <v>572.90851675759222</v>
      </c>
      <c r="P28" s="72">
        <f>SUM(BK28:BN28)</f>
        <v>695.91289971523543</v>
      </c>
      <c r="Q28" s="72">
        <f>SUM(BO28:BR28)</f>
        <v>859.61839911230152</v>
      </c>
      <c r="R28" s="51"/>
      <c r="S28" s="72">
        <f>S25+S8</f>
        <v>125.084</v>
      </c>
      <c r="T28" s="72">
        <f>T25+T8</f>
        <v>127.91</v>
      </c>
      <c r="U28" s="72">
        <f>U25+U8</f>
        <v>129.27799999999999</v>
      </c>
      <c r="V28" s="144">
        <f>V25+V8</f>
        <v>123.49500000000002</v>
      </c>
      <c r="W28" s="97">
        <v>135.369</v>
      </c>
      <c r="X28" s="97">
        <v>131.50200000000001</v>
      </c>
      <c r="Y28" s="97">
        <v>135.18100000000001</v>
      </c>
      <c r="Z28" s="144">
        <f>F28-Y28-X28-W28</f>
        <v>126.45199999999997</v>
      </c>
      <c r="AA28" s="97">
        <v>133.92099999999999</v>
      </c>
      <c r="AB28" s="97">
        <v>135.43299999999999</v>
      </c>
      <c r="AC28" s="97">
        <v>134.68100000000001</v>
      </c>
      <c r="AD28" s="144">
        <f>G28-AC28-AB28-AA28</f>
        <v>129.25899999999996</v>
      </c>
      <c r="AE28" s="97">
        <v>137.55799999999999</v>
      </c>
      <c r="AF28" s="97">
        <v>135.32400000000001</v>
      </c>
      <c r="AG28" s="97">
        <v>134.71</v>
      </c>
      <c r="AH28" s="144">
        <f>H28-AG28-AF28-AE28</f>
        <v>151.67899999999992</v>
      </c>
      <c r="AI28" s="97">
        <v>179.33199999999999</v>
      </c>
      <c r="AJ28" s="97">
        <v>190.02799999999999</v>
      </c>
      <c r="AK28" s="97">
        <v>194.03</v>
      </c>
      <c r="AL28" s="97">
        <v>273.339</v>
      </c>
      <c r="AM28" s="97">
        <v>201.98400000000001</v>
      </c>
      <c r="AN28" s="97">
        <v>207.94</v>
      </c>
      <c r="AO28" s="97">
        <v>210.60499999999999</v>
      </c>
      <c r="AP28" s="97">
        <v>357.48099999999999</v>
      </c>
      <c r="AQ28" s="97">
        <v>214.934</v>
      </c>
      <c r="AR28" s="97">
        <v>220.93799999999999</v>
      </c>
      <c r="AS28" s="97">
        <v>227.52699999999999</v>
      </c>
      <c r="AT28" s="97">
        <v>229.73</v>
      </c>
      <c r="AU28" s="97">
        <v>86.51</v>
      </c>
      <c r="AV28" s="97">
        <v>96.084999999999994</v>
      </c>
      <c r="AW28" s="97">
        <v>98.82</v>
      </c>
      <c r="AX28" s="97">
        <v>102.28700000000001</v>
      </c>
      <c r="AY28" s="97">
        <v>97.903000000000006</v>
      </c>
      <c r="AZ28" s="97">
        <v>104.827</v>
      </c>
      <c r="BA28" s="252">
        <v>107.276</v>
      </c>
      <c r="BB28" s="86">
        <f>BB25+BB8</f>
        <v>105.2282514529509</v>
      </c>
      <c r="BC28" s="72">
        <f>BC25+BC8</f>
        <v>110.47927892312161</v>
      </c>
      <c r="BD28" s="72">
        <f>BD25+BD8</f>
        <v>116.60829810418565</v>
      </c>
      <c r="BE28" s="72">
        <f>BE25+BE8</f>
        <v>122.26452323483548</v>
      </c>
      <c r="BF28" s="72">
        <f>BF25+BF8</f>
        <v>125.03675408795549</v>
      </c>
      <c r="BG28" s="72">
        <f>BG25+BG8</f>
        <v>132.25368291083794</v>
      </c>
      <c r="BH28" s="72">
        <f>BH25+BH8</f>
        <v>141.95073833209202</v>
      </c>
      <c r="BI28" s="72">
        <f>BI25+BI8</f>
        <v>147.9385732340985</v>
      </c>
      <c r="BJ28" s="72">
        <f>BJ25+BJ8</f>
        <v>150.76552228056374</v>
      </c>
      <c r="BK28" s="72">
        <f>BK25+BK8</f>
        <v>158.8735201508826</v>
      </c>
      <c r="BL28" s="72">
        <f>BL25+BL8</f>
        <v>173.34663241750184</v>
      </c>
      <c r="BM28" s="72">
        <f>BM25+BM8</f>
        <v>180.38245308860127</v>
      </c>
      <c r="BN28" s="72">
        <f>BN25+BN8</f>
        <v>183.31029405824978</v>
      </c>
      <c r="BO28" s="72">
        <f>BO25+BO8</f>
        <v>194.46297591292713</v>
      </c>
      <c r="BP28" s="72">
        <f>BP25+BP8</f>
        <v>215.80812689766321</v>
      </c>
      <c r="BQ28" s="72">
        <f>BQ25+BQ8</f>
        <v>223.59287761607578</v>
      </c>
      <c r="BR28" s="72">
        <f>BR25+BR8</f>
        <v>225.75441868563544</v>
      </c>
    </row>
    <row r="29" spans="1:70" x14ac:dyDescent="0.2">
      <c r="A29" s="68" t="s">
        <v>6</v>
      </c>
      <c r="B29" s="15"/>
      <c r="C29" s="91">
        <f>C28/C4</f>
        <v>0.89221679746001314</v>
      </c>
      <c r="D29" s="91">
        <f>D28/D4</f>
        <v>0.91309301672748888</v>
      </c>
      <c r="E29" s="91">
        <f>E28/E4</f>
        <v>0.92961109283299914</v>
      </c>
      <c r="F29" s="91">
        <f>F28/F4</f>
        <v>0.90422011818931514</v>
      </c>
      <c r="G29" s="91">
        <f>G28/G4</f>
        <v>0.91561420497077839</v>
      </c>
      <c r="H29" s="91">
        <f>H28/H4</f>
        <v>0.94303713158857638</v>
      </c>
      <c r="I29" s="91">
        <f>I28/I4</f>
        <v>1.011765431397136</v>
      </c>
      <c r="J29" s="91">
        <f>J28/J4</f>
        <v>1.1379419074391242</v>
      </c>
      <c r="K29" s="91">
        <f>K28/K4</f>
        <v>0.91607860111513639</v>
      </c>
      <c r="L29" s="93">
        <f>L28/L4</f>
        <v>0.81723054641491755</v>
      </c>
      <c r="M29" s="92">
        <f>M28/M4</f>
        <v>0.7984502236505725</v>
      </c>
      <c r="N29" s="91">
        <f>N28/N4</f>
        <v>0.79718211475153999</v>
      </c>
      <c r="O29" s="91">
        <f>O28/O4</f>
        <v>0.79718211475154033</v>
      </c>
      <c r="P29" s="91">
        <f>P28/P4</f>
        <v>0.79718211475154022</v>
      </c>
      <c r="Q29" s="91">
        <f>Q28/Q4</f>
        <v>0.79718211475154022</v>
      </c>
      <c r="R29" s="47"/>
      <c r="S29" s="91">
        <f>S28/S4</f>
        <v>0.9307607021408002</v>
      </c>
      <c r="T29" s="91">
        <f>T28/T4</f>
        <v>0.9471166661730297</v>
      </c>
      <c r="U29" s="91">
        <f>U28/U4</f>
        <v>0.94440710653965276</v>
      </c>
      <c r="V29" s="91">
        <f>V28/V4</f>
        <v>0.89661957105725587</v>
      </c>
      <c r="W29" s="91">
        <f>W28/W4</f>
        <v>0.89609770628537389</v>
      </c>
      <c r="X29" s="91">
        <f>X28/X4</f>
        <v>0.89175058488454895</v>
      </c>
      <c r="Y29" s="91">
        <f>Y28/Y4</f>
        <v>0.90226532464758646</v>
      </c>
      <c r="Z29" s="91">
        <f>Z28/Z4</f>
        <v>0.92889254547057243</v>
      </c>
      <c r="AA29" s="91">
        <f>AA28/AA4</f>
        <v>0.912131696884663</v>
      </c>
      <c r="AB29" s="91">
        <f>AB28/AB4</f>
        <v>0.90854386647525254</v>
      </c>
      <c r="AC29" s="91">
        <f>AC28/AC4</f>
        <v>0.92183489503836391</v>
      </c>
      <c r="AD29" s="91">
        <f>AD28/AD4</f>
        <v>0.92028763660959045</v>
      </c>
      <c r="AE29" s="91">
        <f>AE28/AE4</f>
        <v>0.91357565533867735</v>
      </c>
      <c r="AF29" s="91">
        <f>AF28/AF4</f>
        <v>0.93361665723786802</v>
      </c>
      <c r="AG29" s="91">
        <f>AG28/AG4</f>
        <v>0.92596284050838262</v>
      </c>
      <c r="AH29" s="91">
        <f>AH28/AH4</f>
        <v>0.99752721054881421</v>
      </c>
      <c r="AI29" s="91">
        <f>AI28/AI4</f>
        <v>0.86436307374935528</v>
      </c>
      <c r="AJ29" s="91">
        <f>AJ28/AJ4</f>
        <v>0.92083890601073826</v>
      </c>
      <c r="AK29" s="91">
        <f>AK28/AK4</f>
        <v>0.92950284077299683</v>
      </c>
      <c r="AL29" s="91">
        <f>AL28/AL4</f>
        <v>1.3371702802128993</v>
      </c>
      <c r="AM29" s="91">
        <f>AM28/AM4</f>
        <v>0.98160558684738719</v>
      </c>
      <c r="AN29" s="91">
        <f>AN28/AN4</f>
        <v>0.9716822429906542</v>
      </c>
      <c r="AO29" s="91">
        <f>AO28/AO4</f>
        <v>0.94791540078405956</v>
      </c>
      <c r="AP29" s="91">
        <f>AP28/AP4</f>
        <v>1.6435076846688212</v>
      </c>
      <c r="AQ29" s="91">
        <f>AQ28/AQ4</f>
        <v>0.90484429794095234</v>
      </c>
      <c r="AR29" s="91">
        <f>AR28/AR4</f>
        <v>0.91210007018123274</v>
      </c>
      <c r="AS29" s="91">
        <f>AS28/AS4</f>
        <v>0.91996263979751092</v>
      </c>
      <c r="AT29" s="91">
        <f>AT28/AT4</f>
        <v>0.92685760855970523</v>
      </c>
      <c r="AU29" s="91">
        <f>AU28/AU4</f>
        <v>0.77936234808695415</v>
      </c>
      <c r="AV29" s="91">
        <f>AV28/AV4</f>
        <v>0.80960044488633487</v>
      </c>
      <c r="AW29" s="91">
        <f>AW28/AW4</f>
        <v>0.82124158563949134</v>
      </c>
      <c r="AX29" s="91">
        <f>AX28/AX4</f>
        <v>0.85594383357600723</v>
      </c>
      <c r="AY29" s="91">
        <f>AY28/AY4</f>
        <v>0.79097556049282969</v>
      </c>
      <c r="AZ29" s="91">
        <f>AZ28/AZ4</f>
        <v>0.8081892896242272</v>
      </c>
      <c r="BA29" s="93">
        <f>BA28/BA4</f>
        <v>0.79718211475154011</v>
      </c>
      <c r="BB29" s="92">
        <f>BB28/BB4</f>
        <v>0.79718211475154011</v>
      </c>
      <c r="BC29" s="91">
        <f>BC28/BC4</f>
        <v>0.79718211475154022</v>
      </c>
      <c r="BD29" s="91">
        <f>BD28/BD4</f>
        <v>0.79718211475154011</v>
      </c>
      <c r="BE29" s="91">
        <f>BE28/BE4</f>
        <v>0.79718211475154022</v>
      </c>
      <c r="BF29" s="91">
        <f>BF28/BF4</f>
        <v>0.79718211475154022</v>
      </c>
      <c r="BG29" s="91">
        <f>BG28/BG4</f>
        <v>0.79718211475154011</v>
      </c>
      <c r="BH29" s="91">
        <f>BH28/BH4</f>
        <v>0.79718211475154022</v>
      </c>
      <c r="BI29" s="91">
        <f>BI28/BI4</f>
        <v>0.79718211475154022</v>
      </c>
      <c r="BJ29" s="91">
        <f>BJ28/BJ4</f>
        <v>0.79718211475154011</v>
      </c>
      <c r="BK29" s="91">
        <f>BK28/BK4</f>
        <v>0.79718211475154022</v>
      </c>
      <c r="BL29" s="91">
        <f>BL28/BL4</f>
        <v>0.79718211475154022</v>
      </c>
      <c r="BM29" s="91">
        <f>BM28/BM4</f>
        <v>0.79718211475154011</v>
      </c>
      <c r="BN29" s="91">
        <f>BN28/BN4</f>
        <v>0.79718211475154022</v>
      </c>
      <c r="BO29" s="91">
        <f>BO28/BO4</f>
        <v>0.79718211475154011</v>
      </c>
      <c r="BP29" s="91">
        <f>BP28/BP4</f>
        <v>0.79718211475154011</v>
      </c>
      <c r="BQ29" s="91">
        <f>BQ28/BQ4</f>
        <v>0.79718211475154022</v>
      </c>
      <c r="BR29" s="91">
        <f>BR28/BR4</f>
        <v>0.79718211475154022</v>
      </c>
    </row>
    <row r="30" spans="1:70" x14ac:dyDescent="0.2">
      <c r="A30" s="65" t="s">
        <v>7</v>
      </c>
      <c r="B30" s="13"/>
      <c r="C30" s="88">
        <f>C25+C8-C28</f>
        <v>0</v>
      </c>
      <c r="D30" s="88">
        <f>D25+D8-D28</f>
        <v>0</v>
      </c>
      <c r="E30" s="88">
        <f>E25+E8-E28</f>
        <v>0</v>
      </c>
      <c r="F30" s="88">
        <f>F25+F8-F28</f>
        <v>0</v>
      </c>
      <c r="G30" s="88">
        <f>G25+G8-G28</f>
        <v>0</v>
      </c>
      <c r="H30" s="88">
        <f>H25+H8-H28</f>
        <v>0</v>
      </c>
      <c r="I30" s="88">
        <f>I25+I8-I28</f>
        <v>0</v>
      </c>
      <c r="J30" s="88">
        <f>J25+J8-J28</f>
        <v>0</v>
      </c>
      <c r="K30" s="88">
        <f>K25+K8-K28</f>
        <v>0</v>
      </c>
      <c r="L30" s="90">
        <f>L25+L8-L28</f>
        <v>0</v>
      </c>
      <c r="M30" s="89">
        <f>M25+M8-M28</f>
        <v>0</v>
      </c>
      <c r="N30" s="88">
        <f>N25+N8-N28</f>
        <v>0</v>
      </c>
      <c r="O30" s="88">
        <f>O25+O8-O28</f>
        <v>0</v>
      </c>
      <c r="P30" s="88">
        <f>P25+P8-P28</f>
        <v>0</v>
      </c>
      <c r="Q30" s="88">
        <f>Q25+Q8-Q28</f>
        <v>0</v>
      </c>
      <c r="R30" s="50"/>
      <c r="S30" s="88">
        <f>S25+S8-S28</f>
        <v>0</v>
      </c>
      <c r="T30" s="88">
        <f>T25+T8-T28</f>
        <v>0</v>
      </c>
      <c r="U30" s="88">
        <f>U25+U8-U28</f>
        <v>0</v>
      </c>
      <c r="V30" s="88">
        <f>V25+V8-V28</f>
        <v>0</v>
      </c>
      <c r="W30" s="88">
        <f>W25+W8-W28</f>
        <v>0</v>
      </c>
      <c r="X30" s="88">
        <f>X25+X8-X28</f>
        <v>0</v>
      </c>
      <c r="Y30" s="88">
        <f>Y25+Y8-Y28</f>
        <v>0</v>
      </c>
      <c r="Z30" s="88">
        <f>Z25+Z8-Z28</f>
        <v>0</v>
      </c>
      <c r="AA30" s="88">
        <f>AA25+AA8-AA28</f>
        <v>0</v>
      </c>
      <c r="AB30" s="88">
        <f>AB25+AB8-AB28</f>
        <v>0</v>
      </c>
      <c r="AC30" s="88">
        <f>AC25+AC8-AC28</f>
        <v>0</v>
      </c>
      <c r="AD30" s="88">
        <f>AD25+AD8-AD28</f>
        <v>0</v>
      </c>
      <c r="AE30" s="88">
        <f>AE25+AE8-AE28</f>
        <v>0</v>
      </c>
      <c r="AF30" s="88">
        <f>AF25+AF8-AF28</f>
        <v>0</v>
      </c>
      <c r="AG30" s="88">
        <f>AG25+AG8-AG28</f>
        <v>0</v>
      </c>
      <c r="AH30" s="88">
        <f>AH25+AH8-AH28</f>
        <v>0</v>
      </c>
      <c r="AI30" s="88">
        <f>AI25+AI8-AI28</f>
        <v>0</v>
      </c>
      <c r="AJ30" s="88">
        <f>AJ25+AJ8-AJ28</f>
        <v>0</v>
      </c>
      <c r="AK30" s="88">
        <f>AK25+AK8-AK28</f>
        <v>0</v>
      </c>
      <c r="AL30" s="88">
        <f>AL25+AL8-AL28</f>
        <v>0</v>
      </c>
      <c r="AM30" s="88">
        <f>AM25+AM8-AM28</f>
        <v>0</v>
      </c>
      <c r="AN30" s="88">
        <f>AN25+AN8-AN28</f>
        <v>0</v>
      </c>
      <c r="AO30" s="88">
        <f>AO25+AO8-AO28</f>
        <v>0</v>
      </c>
      <c r="AP30" s="88">
        <f>AP25+AP8-AP28</f>
        <v>0</v>
      </c>
      <c r="AQ30" s="88">
        <f>AQ25+AQ8-AQ28</f>
        <v>0</v>
      </c>
      <c r="AR30" s="88">
        <f>AR25+AR8-AR28</f>
        <v>0</v>
      </c>
      <c r="AS30" s="88">
        <f>AS25+AS8-AS28</f>
        <v>0</v>
      </c>
      <c r="AT30" s="88">
        <f>AT25+AT8-AT28</f>
        <v>0</v>
      </c>
      <c r="AU30" s="88">
        <f>AU25+AU8-AU28</f>
        <v>0</v>
      </c>
      <c r="AV30" s="88">
        <f>AV25+AV8-AV28</f>
        <v>0</v>
      </c>
      <c r="AW30" s="88">
        <f>AW25+AW8-AW28</f>
        <v>0</v>
      </c>
      <c r="AX30" s="88">
        <f>AX25+AX8-AX28</f>
        <v>0</v>
      </c>
      <c r="AY30" s="88">
        <f>AY25+AY8-AY28</f>
        <v>0</v>
      </c>
      <c r="AZ30" s="88">
        <f>AZ25+AZ8-AZ28</f>
        <v>0</v>
      </c>
      <c r="BA30" s="90">
        <f>BA25+BA8-BA28</f>
        <v>0</v>
      </c>
      <c r="BB30" s="89">
        <f>BB25+BB8-BB28</f>
        <v>0</v>
      </c>
      <c r="BC30" s="88">
        <f>BC25+BC8-BC28</f>
        <v>0</v>
      </c>
      <c r="BD30" s="88">
        <f>BD25+BD8-BD28</f>
        <v>0</v>
      </c>
      <c r="BE30" s="88">
        <f>BE25+BE8-BE28</f>
        <v>0</v>
      </c>
      <c r="BF30" s="88">
        <f>BF25+BF8-BF28</f>
        <v>0</v>
      </c>
      <c r="BG30" s="88">
        <f>BG25+BG8-BG28</f>
        <v>0</v>
      </c>
      <c r="BH30" s="88">
        <f>BH25+BH8-BH28</f>
        <v>0</v>
      </c>
      <c r="BI30" s="88">
        <f>BI25+BI8-BI28</f>
        <v>0</v>
      </c>
      <c r="BJ30" s="88">
        <f>BJ25+BJ8-BJ28</f>
        <v>0</v>
      </c>
      <c r="BK30" s="88">
        <f>BK25+BK8-BK28</f>
        <v>0</v>
      </c>
      <c r="BL30" s="88">
        <f>BL25+BL8-BL28</f>
        <v>0</v>
      </c>
      <c r="BM30" s="88">
        <f>BM25+BM8-BM28</f>
        <v>0</v>
      </c>
      <c r="BN30" s="88">
        <f>BN25+BN8-BN28</f>
        <v>0</v>
      </c>
      <c r="BO30" s="88">
        <f>BO25+BO8-BO28</f>
        <v>0</v>
      </c>
      <c r="BP30" s="88">
        <f>BP25+BP8-BP28</f>
        <v>0</v>
      </c>
      <c r="BQ30" s="88">
        <f>BQ25+BQ8-BQ28</f>
        <v>0</v>
      </c>
      <c r="BR30" s="88">
        <f>BR25+BR8-BR28</f>
        <v>0</v>
      </c>
    </row>
    <row r="31" spans="1:70" x14ac:dyDescent="0.2">
      <c r="A31" s="267"/>
      <c r="B31" s="9"/>
      <c r="C31" s="100"/>
      <c r="D31" s="100"/>
      <c r="E31" s="100"/>
      <c r="F31" s="100"/>
      <c r="G31" s="100"/>
      <c r="H31" s="100"/>
      <c r="I31" s="100"/>
      <c r="J31" s="100"/>
      <c r="K31" s="100"/>
      <c r="L31" s="102"/>
      <c r="M31" s="176"/>
      <c r="N31" s="101"/>
      <c r="O31" s="101"/>
      <c r="P31" s="101"/>
      <c r="Q31" s="101"/>
      <c r="R31" s="46"/>
      <c r="S31" s="100"/>
      <c r="T31" s="100"/>
      <c r="U31" s="100"/>
      <c r="V31" s="100"/>
      <c r="W31" s="100"/>
      <c r="X31" s="100"/>
      <c r="Y31" s="100"/>
      <c r="Z31" s="100"/>
      <c r="AA31" s="100"/>
      <c r="AB31" s="100"/>
      <c r="AC31" s="100"/>
      <c r="AD31" s="100"/>
      <c r="AE31" s="100"/>
      <c r="AF31" s="100"/>
      <c r="AG31" s="100"/>
      <c r="AH31" s="100"/>
      <c r="AI31" s="100"/>
      <c r="AJ31" s="100"/>
      <c r="AK31" s="100"/>
      <c r="AL31" s="100"/>
      <c r="AM31" s="100"/>
      <c r="AN31" s="100"/>
      <c r="AO31" s="100"/>
      <c r="AP31" s="100"/>
      <c r="AQ31" s="100"/>
      <c r="AR31" s="100"/>
      <c r="AS31" s="100"/>
      <c r="AT31" s="100"/>
      <c r="AU31" s="100"/>
      <c r="AV31" s="100"/>
      <c r="AW31" s="100"/>
      <c r="AX31" s="100"/>
      <c r="AY31" s="100"/>
      <c r="AZ31" s="100"/>
      <c r="BA31" s="102"/>
      <c r="BB31" s="103"/>
      <c r="BC31" s="100"/>
      <c r="BD31" s="100"/>
      <c r="BE31" s="100"/>
      <c r="BF31" s="100"/>
      <c r="BG31" s="100"/>
      <c r="BH31" s="100"/>
      <c r="BI31" s="100"/>
      <c r="BJ31" s="100"/>
      <c r="BK31" s="100"/>
      <c r="BL31" s="100"/>
      <c r="BM31" s="100"/>
      <c r="BN31" s="100"/>
      <c r="BO31" s="100"/>
      <c r="BP31" s="100"/>
      <c r="BQ31" s="100"/>
      <c r="BR31" s="100"/>
    </row>
    <row r="32" spans="1:70" x14ac:dyDescent="0.2">
      <c r="A32" s="276" t="s">
        <v>117</v>
      </c>
      <c r="B32" s="11" t="s">
        <v>146</v>
      </c>
      <c r="C32" s="97">
        <v>72.054000000000002</v>
      </c>
      <c r="D32" s="97">
        <v>52.63</v>
      </c>
      <c r="E32" s="97">
        <v>38.295999999999999</v>
      </c>
      <c r="F32" s="97">
        <v>55.981999999999999</v>
      </c>
      <c r="G32" s="97">
        <v>49.15</v>
      </c>
      <c r="H32" s="97">
        <v>33.781999999999996</v>
      </c>
      <c r="I32" s="97">
        <v>-9.73</v>
      </c>
      <c r="J32" s="97">
        <v>-118.55500000000001</v>
      </c>
      <c r="K32" s="97">
        <v>81.819000000000003</v>
      </c>
      <c r="L32" s="97">
        <v>85.813000000000002</v>
      </c>
      <c r="M32" s="86">
        <f>SUM(AY32:BB32)</f>
        <v>104.81601486730852</v>
      </c>
      <c r="N32" s="72">
        <f>SUM(BC32:BF32)</f>
        <v>120.69330513607167</v>
      </c>
      <c r="O32" s="72">
        <f>SUM(BG32:BJ32)</f>
        <v>145.75853077915804</v>
      </c>
      <c r="P32" s="72">
        <f>SUM(BK32:BN32)</f>
        <v>177.05312252440353</v>
      </c>
      <c r="Q32" s="72">
        <f>SUM(BO32:BR32)</f>
        <v>218.70283163962154</v>
      </c>
      <c r="R32" s="52"/>
      <c r="S32" s="97">
        <v>9.3049999999999997</v>
      </c>
      <c r="T32" s="97">
        <v>7.1420000000000003</v>
      </c>
      <c r="U32" s="97">
        <v>7.61</v>
      </c>
      <c r="V32" s="144">
        <f>E32-U32-T32-S32</f>
        <v>14.239000000000001</v>
      </c>
      <c r="W32" s="97">
        <v>15.696</v>
      </c>
      <c r="X32" s="97">
        <v>15.962999999999999</v>
      </c>
      <c r="Y32" s="97">
        <v>14.643000000000001</v>
      </c>
      <c r="Z32" s="144">
        <f>F32-Y32-X32-W32</f>
        <v>9.6799999999999979</v>
      </c>
      <c r="AA32" s="97">
        <v>12.901</v>
      </c>
      <c r="AB32" s="97">
        <v>13.632999999999999</v>
      </c>
      <c r="AC32" s="97">
        <v>11.42</v>
      </c>
      <c r="AD32" s="144">
        <f>G32-AC32-AB32-AA32</f>
        <v>11.195999999999998</v>
      </c>
      <c r="AE32" s="97">
        <v>13.013</v>
      </c>
      <c r="AF32" s="97">
        <v>9.6219999999999999</v>
      </c>
      <c r="AG32" s="97">
        <v>10.771000000000001</v>
      </c>
      <c r="AH32" s="144">
        <f>H32-AG32-AF32-AE32</f>
        <v>0.37599999999999589</v>
      </c>
      <c r="AI32" s="97">
        <v>28.140999999999998</v>
      </c>
      <c r="AJ32" s="97">
        <v>16.335999999999999</v>
      </c>
      <c r="AK32" s="97">
        <v>14.715999999999999</v>
      </c>
      <c r="AL32" s="97">
        <v>-68.923000000000002</v>
      </c>
      <c r="AM32" s="97">
        <v>3.7850000000000001</v>
      </c>
      <c r="AN32" s="97">
        <v>6.06</v>
      </c>
      <c r="AO32" s="97">
        <v>11.571999999999999</v>
      </c>
      <c r="AP32" s="97">
        <v>-139.97</v>
      </c>
      <c r="AQ32" s="97">
        <v>22.603000000000002</v>
      </c>
      <c r="AR32" s="97">
        <v>21.292000000000002</v>
      </c>
      <c r="AS32" s="97">
        <v>19.795000000000002</v>
      </c>
      <c r="AT32" s="97">
        <v>18.129000000000001</v>
      </c>
      <c r="AU32" s="97">
        <v>24.491</v>
      </c>
      <c r="AV32" s="97">
        <v>22.597000000000001</v>
      </c>
      <c r="AW32" s="97">
        <v>21.51</v>
      </c>
      <c r="AX32" s="97">
        <v>17.215</v>
      </c>
      <c r="AY32" s="97">
        <v>25.872</v>
      </c>
      <c r="AZ32" s="97">
        <v>24.879000000000001</v>
      </c>
      <c r="BA32" s="252">
        <v>27.292999999999999</v>
      </c>
      <c r="BB32" s="86">
        <f>BB4-BB28</f>
        <v>26.772014867308513</v>
      </c>
      <c r="BC32" s="72">
        <f>BC4-BC28</f>
        <v>28.107973448383191</v>
      </c>
      <c r="BD32" s="72">
        <f>BD4-BD28</f>
        <v>29.667309371691147</v>
      </c>
      <c r="BE32" s="72">
        <f>BE4-BE28</f>
        <v>31.106357737502918</v>
      </c>
      <c r="BF32" s="72">
        <f>BF4-BF28</f>
        <v>31.811664578494415</v>
      </c>
      <c r="BG32" s="72">
        <f>BG4-BG28</f>
        <v>33.64778485108971</v>
      </c>
      <c r="BH32" s="72">
        <f>BH4-BH28</f>
        <v>36.114895235633185</v>
      </c>
      <c r="BI32" s="72">
        <f>BI4-BI28</f>
        <v>37.638311265131506</v>
      </c>
      <c r="BJ32" s="72">
        <f>BJ4-BJ28</f>
        <v>38.357539427303635</v>
      </c>
      <c r="BK32" s="72">
        <f>BK4-BK28</f>
        <v>40.420364158600592</v>
      </c>
      <c r="BL32" s="72">
        <f>BL4-BL28</f>
        <v>44.102591805910691</v>
      </c>
      <c r="BM32" s="72">
        <f>BM4-BM28</f>
        <v>45.89263481251345</v>
      </c>
      <c r="BN32" s="72">
        <f>BN4-BN28</f>
        <v>46.637531747378802</v>
      </c>
      <c r="BO32" s="72">
        <f>BO4-BO28</f>
        <v>49.474980439161783</v>
      </c>
      <c r="BP32" s="72">
        <f>BP4-BP28</f>
        <v>54.90558193275217</v>
      </c>
      <c r="BQ32" s="72">
        <f>BQ4-BQ28</f>
        <v>56.886166605536687</v>
      </c>
      <c r="BR32" s="72">
        <f>BR4-BR28</f>
        <v>57.436102662170896</v>
      </c>
    </row>
    <row r="33" spans="1:70" x14ac:dyDescent="0.2">
      <c r="A33" s="291" t="s">
        <v>6</v>
      </c>
      <c r="B33" s="27"/>
      <c r="C33" s="105">
        <f>C32/C4</f>
        <v>0.10791050140777571</v>
      </c>
      <c r="D33" s="105">
        <f>D32/D4</f>
        <v>8.6906983272511104E-2</v>
      </c>
      <c r="E33" s="105">
        <f>E32/E4</f>
        <v>7.0388907167000886E-2</v>
      </c>
      <c r="F33" s="105">
        <f>F32/F4</f>
        <v>9.5779881810684947E-2</v>
      </c>
      <c r="G33" s="105">
        <f>G32/G4</f>
        <v>8.4385795029221694E-2</v>
      </c>
      <c r="H33" s="105">
        <f>H32/H4</f>
        <v>5.6962868411423596E-2</v>
      </c>
      <c r="I33" s="105">
        <f>I32/I4</f>
        <v>-1.1765431397135909E-2</v>
      </c>
      <c r="J33" s="105">
        <f>J32/J4</f>
        <v>-0.13794190743912429</v>
      </c>
      <c r="K33" s="105">
        <f>K32/K4</f>
        <v>8.3921398884863607E-2</v>
      </c>
      <c r="L33" s="109">
        <f>L32/L4</f>
        <v>0.18276945358508248</v>
      </c>
      <c r="M33" s="104">
        <f>M32/M4</f>
        <v>0.20154977634942756</v>
      </c>
      <c r="N33" s="105">
        <f>N32/N4</f>
        <v>0.20281788524845978</v>
      </c>
      <c r="O33" s="105">
        <f>O32/O4</f>
        <v>0.20281788524845987</v>
      </c>
      <c r="P33" s="105">
        <f>P32/P4</f>
        <v>0.20281788524845984</v>
      </c>
      <c r="Q33" s="105">
        <f>Q32/Q4</f>
        <v>0.20281788524845989</v>
      </c>
      <c r="R33" s="53"/>
      <c r="S33" s="105">
        <f>S32/S4</f>
        <v>6.9239297859199772E-2</v>
      </c>
      <c r="T33" s="105">
        <f>T32/T4</f>
        <v>5.2883333826970358E-2</v>
      </c>
      <c r="U33" s="105">
        <f>U32/U4</f>
        <v>5.5592893460347147E-2</v>
      </c>
      <c r="V33" s="105">
        <f>V32/V4</f>
        <v>0.10338042894274477</v>
      </c>
      <c r="W33" s="105">
        <f>W32/W4</f>
        <v>0.10390229371462616</v>
      </c>
      <c r="X33" s="105">
        <f>X32/X4</f>
        <v>0.10824941511545112</v>
      </c>
      <c r="Y33" s="105">
        <f>Y32/Y4</f>
        <v>9.7734675352413494E-2</v>
      </c>
      <c r="Z33" s="105">
        <f>Z32/Z4</f>
        <v>7.1107454529427308E-2</v>
      </c>
      <c r="AA33" s="105">
        <f>AA32/AA4</f>
        <v>8.7868303115336929E-2</v>
      </c>
      <c r="AB33" s="105">
        <f>AB32/AB4</f>
        <v>9.1456133524747421E-2</v>
      </c>
      <c r="AC33" s="105">
        <f>AC32/AC4</f>
        <v>7.8165104961636131E-2</v>
      </c>
      <c r="AD33" s="105">
        <f>AD32/AD4</f>
        <v>7.9712363390409768E-2</v>
      </c>
      <c r="AE33" s="105">
        <f>AE32/AE4</f>
        <v>8.6424344661322566E-2</v>
      </c>
      <c r="AF33" s="105">
        <f>AF32/AF4</f>
        <v>6.6383342762132105E-2</v>
      </c>
      <c r="AG33" s="105">
        <f>AG32/AG4</f>
        <v>7.4037159491617474E-2</v>
      </c>
      <c r="AH33" s="105">
        <f>AH32/AH4</f>
        <v>2.4727894511853998E-3</v>
      </c>
      <c r="AI33" s="105">
        <f>AI32/AI4</f>
        <v>0.13563692625064463</v>
      </c>
      <c r="AJ33" s="105">
        <f>AJ32/AJ4</f>
        <v>7.9161093989261688E-2</v>
      </c>
      <c r="AK33" s="105">
        <f>AK32/AK4</f>
        <v>7.0497159227003142E-2</v>
      </c>
      <c r="AL33" s="105">
        <f>AL32/AL4</f>
        <v>-0.33717028021289919</v>
      </c>
      <c r="AM33" s="105">
        <f>AM32/AM4</f>
        <v>1.8394413152612882E-2</v>
      </c>
      <c r="AN33" s="105">
        <f>AN32/AN4</f>
        <v>2.8317757009345794E-2</v>
      </c>
      <c r="AO33" s="105">
        <f>AO32/AO4</f>
        <v>5.2084599215940441E-2</v>
      </c>
      <c r="AP33" s="105">
        <f>AP32/AP4</f>
        <v>-0.64350768466882136</v>
      </c>
      <c r="AQ33" s="105">
        <f>AQ32/AQ4</f>
        <v>9.515570205904765E-2</v>
      </c>
      <c r="AR33" s="105">
        <f>AR32/AR4</f>
        <v>8.7899929818767292E-2</v>
      </c>
      <c r="AS33" s="105">
        <f>AS32/AS4</f>
        <v>8.0037360202489069E-2</v>
      </c>
      <c r="AT33" s="105">
        <f>AT32/AT4</f>
        <v>7.3142391440294691E-2</v>
      </c>
      <c r="AU33" s="105">
        <f>AU32/AU4</f>
        <v>0.22063765191304582</v>
      </c>
      <c r="AV33" s="105">
        <f>AV32/AV4</f>
        <v>0.1903995551136651</v>
      </c>
      <c r="AW33" s="105">
        <f>AW32/AW4</f>
        <v>0.17875841436050863</v>
      </c>
      <c r="AX33" s="105">
        <f>AX32/AX4</f>
        <v>0.14405616642399291</v>
      </c>
      <c r="AY33" s="105">
        <f>AY32/AY4</f>
        <v>0.20902443950717026</v>
      </c>
      <c r="AZ33" s="105">
        <f>AZ32/AZ4</f>
        <v>0.19181071037577294</v>
      </c>
      <c r="BA33" s="109">
        <f>BA32/BA4</f>
        <v>0.20281788524845992</v>
      </c>
      <c r="BB33" s="104">
        <f>BB32/BB4</f>
        <v>0.20281788524845984</v>
      </c>
      <c r="BC33" s="105">
        <f>BC32/BC4</f>
        <v>0.20281788524845973</v>
      </c>
      <c r="BD33" s="105">
        <f>BD32/BD4</f>
        <v>0.20281788524845992</v>
      </c>
      <c r="BE33" s="105">
        <f>BE32/BE4</f>
        <v>0.20281788524845981</v>
      </c>
      <c r="BF33" s="105">
        <f>BF32/BF4</f>
        <v>0.20281788524845978</v>
      </c>
      <c r="BG33" s="105">
        <f>BG32/BG4</f>
        <v>0.20281788524845989</v>
      </c>
      <c r="BH33" s="105">
        <f>BH32/BH4</f>
        <v>0.20281788524845981</v>
      </c>
      <c r="BI33" s="105">
        <f>BI32/BI4</f>
        <v>0.20281788524845978</v>
      </c>
      <c r="BJ33" s="105">
        <f>BJ32/BJ4</f>
        <v>0.20281788524845984</v>
      </c>
      <c r="BK33" s="105">
        <f>BK32/BK4</f>
        <v>0.20281788524845984</v>
      </c>
      <c r="BL33" s="105">
        <f>BL32/BL4</f>
        <v>0.20281788524845981</v>
      </c>
      <c r="BM33" s="105">
        <f>BM32/BM4</f>
        <v>0.20281788524845984</v>
      </c>
      <c r="BN33" s="105">
        <f>BN32/BN4</f>
        <v>0.20281788524845981</v>
      </c>
      <c r="BO33" s="105">
        <f>BO32/BO4</f>
        <v>0.20281788524845987</v>
      </c>
      <c r="BP33" s="105">
        <f>BP32/BP4</f>
        <v>0.20281788524845989</v>
      </c>
      <c r="BQ33" s="105">
        <f>BQ32/BQ4</f>
        <v>0.20281788524845984</v>
      </c>
      <c r="BR33" s="105">
        <f>BR32/BR4</f>
        <v>0.20281788524845981</v>
      </c>
    </row>
    <row r="34" spans="1:70" x14ac:dyDescent="0.2">
      <c r="A34" s="65" t="s">
        <v>7</v>
      </c>
      <c r="B34" s="13"/>
      <c r="C34" s="88">
        <f>C4-C28-C32</f>
        <v>-8.4999999999951115E-2</v>
      </c>
      <c r="D34" s="88">
        <f>D4-D28-D32</f>
        <v>0</v>
      </c>
      <c r="E34" s="88">
        <f>E4-E28-E32</f>
        <v>0</v>
      </c>
      <c r="F34" s="88">
        <f>F4-F28-F32</f>
        <v>0</v>
      </c>
      <c r="G34" s="88">
        <f>G4-G28-G32</f>
        <v>0</v>
      </c>
      <c r="H34" s="88">
        <f>H4-H28-H32</f>
        <v>0</v>
      </c>
      <c r="I34" s="88">
        <f>I4-I28-I32</f>
        <v>-1.7763568394002505E-14</v>
      </c>
      <c r="J34" s="88">
        <f>J4-J28-J32</f>
        <v>0</v>
      </c>
      <c r="K34" s="88">
        <f>K4-K28-K32</f>
        <v>0</v>
      </c>
      <c r="L34" s="90">
        <f>L4-L28-L32</f>
        <v>0</v>
      </c>
      <c r="M34" s="89">
        <f>M4-M28-M32</f>
        <v>0</v>
      </c>
      <c r="N34" s="88">
        <f>N4-N28-N32</f>
        <v>1.1368683772161603E-13</v>
      </c>
      <c r="O34" s="88">
        <f>O4-O28-O32</f>
        <v>0</v>
      </c>
      <c r="P34" s="88">
        <f>P4-P28-P32</f>
        <v>0</v>
      </c>
      <c r="Q34" s="88">
        <f>Q4-Q28-Q32</f>
        <v>0</v>
      </c>
      <c r="R34" s="50"/>
      <c r="S34" s="88">
        <f>S4-S28-S32</f>
        <v>0</v>
      </c>
      <c r="T34" s="88">
        <f>T4-T28-T32</f>
        <v>0</v>
      </c>
      <c r="U34" s="88">
        <f>U4-U28-U32</f>
        <v>1.3322676295501878E-14</v>
      </c>
      <c r="V34" s="88">
        <f>V4-V28-V32</f>
        <v>-9.5923269327613525E-14</v>
      </c>
      <c r="W34" s="88">
        <f>W4-W28-W32</f>
        <v>0</v>
      </c>
      <c r="X34" s="88">
        <f>X4-X28-X32</f>
        <v>0</v>
      </c>
      <c r="Y34" s="88">
        <f>Y4-Y28-Y32</f>
        <v>0</v>
      </c>
      <c r="Z34" s="88">
        <f>Z4-Z28-Z32</f>
        <v>3.730349362740526E-14</v>
      </c>
      <c r="AA34" s="88">
        <f>AA4-AA28-AA32</f>
        <v>0</v>
      </c>
      <c r="AB34" s="88">
        <f>AB4-AB28-AB32</f>
        <v>0</v>
      </c>
      <c r="AC34" s="88">
        <f>AC4-AC28-AC32</f>
        <v>0</v>
      </c>
      <c r="AD34" s="88">
        <f>AD4-AD28-AD32</f>
        <v>-2.8421709430404007E-14</v>
      </c>
      <c r="AE34" s="88">
        <f>AE4-AE28-AE32</f>
        <v>0</v>
      </c>
      <c r="AF34" s="88">
        <f>AF4-AF28-AF32</f>
        <v>-1.4210854715202004E-14</v>
      </c>
      <c r="AG34" s="88">
        <f>AG4-AG28-AG32</f>
        <v>-1.4210854715202004E-14</v>
      </c>
      <c r="AH34" s="88">
        <f>AH4-AH28-AH32</f>
        <v>6.5725203057809267E-14</v>
      </c>
      <c r="AI34" s="88">
        <f>AI4-AI28-AI32</f>
        <v>0</v>
      </c>
      <c r="AJ34" s="88">
        <f>AJ4-AJ28-AJ32</f>
        <v>0</v>
      </c>
      <c r="AK34" s="88">
        <f>AK4-AK28-AK32</f>
        <v>0</v>
      </c>
      <c r="AL34" s="88">
        <f>AL4-AL28-AL32</f>
        <v>0</v>
      </c>
      <c r="AM34" s="88">
        <f>AM4-AM28-AM32</f>
        <v>-3.5527136788005009E-15</v>
      </c>
      <c r="AN34" s="88">
        <f>AN4-AN28-AN32</f>
        <v>0</v>
      </c>
      <c r="AO34" s="88">
        <f>AO4-AO28-AO32</f>
        <v>0</v>
      </c>
      <c r="AP34" s="88">
        <f>AP4-AP28-AP32</f>
        <v>0</v>
      </c>
      <c r="AQ34" s="88">
        <f>AQ4-AQ28-AQ32</f>
        <v>0</v>
      </c>
      <c r="AR34" s="88">
        <f>AR4-AR28-AR32</f>
        <v>0</v>
      </c>
      <c r="AS34" s="88">
        <f>AS4-AS28-AS32</f>
        <v>0</v>
      </c>
      <c r="AT34" s="88">
        <f>AT4-AT28-AT32</f>
        <v>0</v>
      </c>
      <c r="AU34" s="88">
        <f>AU4-AU28-AU32</f>
        <v>0</v>
      </c>
      <c r="AV34" s="88">
        <f>AV4-AV28-AV32</f>
        <v>0</v>
      </c>
      <c r="AW34" s="88">
        <f>AW4-AW28-AW32</f>
        <v>0</v>
      </c>
      <c r="AX34" s="88">
        <f>AX4-AX28-AX32</f>
        <v>0</v>
      </c>
      <c r="AY34" s="88">
        <f>AY4-AY28-AY32</f>
        <v>0</v>
      </c>
      <c r="AZ34" s="88">
        <f>AZ4-AZ28-AZ32</f>
        <v>0</v>
      </c>
      <c r="BA34" s="90">
        <f>BA4-BA28-BA32</f>
        <v>0</v>
      </c>
      <c r="BB34" s="89">
        <f>BB4-BB28-BB32</f>
        <v>0</v>
      </c>
      <c r="BC34" s="88">
        <f>BC4-BC28-BC32</f>
        <v>0</v>
      </c>
      <c r="BD34" s="88">
        <f>BD4-BD28-BD32</f>
        <v>0</v>
      </c>
      <c r="BE34" s="88">
        <f>BE4-BE28-BE32</f>
        <v>0</v>
      </c>
      <c r="BF34" s="88">
        <f>BF4-BF28-BF32</f>
        <v>0</v>
      </c>
      <c r="BG34" s="88">
        <f>BG4-BG28-BG32</f>
        <v>0</v>
      </c>
      <c r="BH34" s="88">
        <f>BH4-BH28-BH32</f>
        <v>0</v>
      </c>
      <c r="BI34" s="88">
        <f>BI4-BI28-BI32</f>
        <v>0</v>
      </c>
      <c r="BJ34" s="88">
        <f>BJ4-BJ28-BJ32</f>
        <v>0</v>
      </c>
      <c r="BK34" s="88">
        <f>BK4-BK28-BK32</f>
        <v>0</v>
      </c>
      <c r="BL34" s="88">
        <f>BL4-BL28-BL32</f>
        <v>0</v>
      </c>
      <c r="BM34" s="88">
        <f>BM4-BM28-BM32</f>
        <v>0</v>
      </c>
      <c r="BN34" s="88">
        <f>BN4-BN28-BN32</f>
        <v>0</v>
      </c>
      <c r="BO34" s="88">
        <f>BO4-BO28-BO32</f>
        <v>0</v>
      </c>
      <c r="BP34" s="88">
        <f>BP4-BP28-BP32</f>
        <v>0</v>
      </c>
      <c r="BQ34" s="88">
        <f>BQ4-BQ28-BQ32</f>
        <v>0</v>
      </c>
      <c r="BR34" s="88">
        <f>BR4-BR28-BR32</f>
        <v>0</v>
      </c>
    </row>
    <row r="35" spans="1:70" x14ac:dyDescent="0.2">
      <c r="A35" s="267"/>
      <c r="B35" s="9"/>
      <c r="C35" s="100"/>
      <c r="D35" s="100"/>
      <c r="E35" s="100"/>
      <c r="F35" s="100"/>
      <c r="G35" s="100"/>
      <c r="H35" s="100"/>
      <c r="I35" s="100"/>
      <c r="J35" s="100"/>
      <c r="K35" s="100"/>
      <c r="L35" s="102"/>
      <c r="M35" s="176"/>
      <c r="N35" s="101"/>
      <c r="O35" s="101"/>
      <c r="P35" s="101"/>
      <c r="Q35" s="101"/>
      <c r="R35" s="46"/>
      <c r="S35" s="100"/>
      <c r="T35" s="100"/>
      <c r="U35" s="100"/>
      <c r="V35" s="100"/>
      <c r="W35" s="100"/>
      <c r="X35" s="100"/>
      <c r="Y35" s="100"/>
      <c r="Z35" s="100"/>
      <c r="AA35" s="100"/>
      <c r="AB35" s="100"/>
      <c r="AC35" s="100"/>
      <c r="AD35" s="100"/>
      <c r="AE35" s="100"/>
      <c r="AF35" s="100"/>
      <c r="AG35" s="100"/>
      <c r="AH35" s="100"/>
      <c r="AI35" s="100"/>
      <c r="AJ35" s="100"/>
      <c r="AK35" s="100"/>
      <c r="AL35" s="100"/>
      <c r="AM35" s="100"/>
      <c r="AN35" s="100"/>
      <c r="AO35" s="100"/>
      <c r="AP35" s="100"/>
      <c r="AQ35" s="100"/>
      <c r="AR35" s="100"/>
      <c r="AS35" s="100"/>
      <c r="AT35" s="100"/>
      <c r="AU35" s="100"/>
      <c r="AV35" s="100"/>
      <c r="AW35" s="100"/>
      <c r="AX35" s="100"/>
      <c r="AY35" s="100"/>
      <c r="AZ35" s="100"/>
      <c r="BA35" s="102"/>
      <c r="BB35" s="103"/>
      <c r="BC35" s="100"/>
      <c r="BD35" s="100"/>
      <c r="BE35" s="100"/>
      <c r="BF35" s="100"/>
      <c r="BG35" s="100"/>
      <c r="BH35" s="100"/>
      <c r="BI35" s="100"/>
      <c r="BJ35" s="100"/>
      <c r="BK35" s="100"/>
      <c r="BL35" s="100"/>
      <c r="BM35" s="100"/>
      <c r="BN35" s="100"/>
      <c r="BO35" s="100"/>
      <c r="BP35" s="100"/>
      <c r="BQ35" s="100"/>
      <c r="BR35" s="100"/>
    </row>
    <row r="36" spans="1:70" x14ac:dyDescent="0.2">
      <c r="A36" s="276" t="s">
        <v>118</v>
      </c>
      <c r="B36" s="11"/>
      <c r="C36" s="97"/>
      <c r="D36" s="97"/>
      <c r="E36" s="97"/>
      <c r="F36" s="97"/>
      <c r="G36" s="97"/>
      <c r="H36" s="97"/>
      <c r="I36" s="97"/>
      <c r="J36" s="97"/>
      <c r="K36" s="72"/>
      <c r="L36" s="98"/>
      <c r="M36" s="86"/>
      <c r="N36" s="72"/>
      <c r="O36" s="72"/>
      <c r="P36" s="72"/>
      <c r="Q36" s="72"/>
      <c r="R36" s="52"/>
      <c r="S36" s="72"/>
      <c r="T36" s="72"/>
      <c r="U36" s="72"/>
      <c r="V36" s="72"/>
      <c r="W36" s="72"/>
      <c r="X36" s="72"/>
      <c r="Y36" s="72"/>
      <c r="Z36" s="72"/>
      <c r="AA36" s="72"/>
      <c r="AB36" s="72"/>
      <c r="AC36" s="72"/>
      <c r="AD36" s="72"/>
      <c r="AE36" s="72"/>
      <c r="AF36" s="72"/>
      <c r="AG36" s="72"/>
      <c r="AH36" s="72"/>
      <c r="AI36" s="72"/>
      <c r="AJ36" s="72"/>
      <c r="AK36" s="72"/>
      <c r="AL36" s="72"/>
      <c r="AM36" s="72"/>
      <c r="AN36" s="72"/>
      <c r="AO36" s="72"/>
      <c r="AP36" s="72"/>
      <c r="AQ36" s="72"/>
      <c r="AR36" s="72"/>
      <c r="AS36" s="72"/>
      <c r="AT36" s="72"/>
      <c r="AU36" s="72"/>
      <c r="AV36" s="72"/>
      <c r="AW36" s="72"/>
      <c r="AX36" s="72"/>
      <c r="AY36" s="72"/>
      <c r="AZ36" s="72"/>
      <c r="BA36" s="98"/>
      <c r="BB36" s="86"/>
      <c r="BC36" s="72"/>
      <c r="BD36" s="72"/>
      <c r="BE36" s="72"/>
      <c r="BF36" s="72"/>
      <c r="BG36" s="72"/>
      <c r="BH36" s="72"/>
      <c r="BI36" s="72"/>
      <c r="BJ36" s="72"/>
      <c r="BK36" s="72"/>
      <c r="BL36" s="72"/>
      <c r="BM36" s="72"/>
      <c r="BN36" s="72"/>
      <c r="BO36" s="72"/>
      <c r="BP36" s="72"/>
      <c r="BQ36" s="72"/>
      <c r="BR36" s="72"/>
    </row>
    <row r="37" spans="1:70" x14ac:dyDescent="0.2">
      <c r="A37" s="275" t="s">
        <v>244</v>
      </c>
      <c r="B37" s="10" t="s">
        <v>147</v>
      </c>
      <c r="C37" s="80">
        <v>-17.96</v>
      </c>
      <c r="D37" s="80">
        <v>-16.329000000000001</v>
      </c>
      <c r="E37" s="80">
        <v>-18.638000000000002</v>
      </c>
      <c r="F37" s="80">
        <v>-15.519</v>
      </c>
      <c r="G37" s="80">
        <v>-10.265000000000001</v>
      </c>
      <c r="H37" s="80">
        <v>-10.756</v>
      </c>
      <c r="I37" s="80">
        <v>-100.29</v>
      </c>
      <c r="J37" s="80">
        <v>-99.227999999999994</v>
      </c>
      <c r="K37" s="142">
        <v>-102.136</v>
      </c>
      <c r="L37" s="142">
        <v>-83.001000000000005</v>
      </c>
      <c r="M37" s="77">
        <f>SUM(AY37:BB37)</f>
        <v>-79.426999999999992</v>
      </c>
      <c r="N37" s="76">
        <f>SUM(BC37:BF37)</f>
        <v>-77.188000000000002</v>
      </c>
      <c r="O37" s="76">
        <f>SUM(BG37:BJ37)</f>
        <v>-77.188000000000002</v>
      </c>
      <c r="P37" s="76">
        <f>SUM(BK37:BN37)</f>
        <v>-77.188000000000002</v>
      </c>
      <c r="Q37" s="76">
        <f>SUM(BO37:BR37)</f>
        <v>-77.188000000000002</v>
      </c>
      <c r="R37" s="51"/>
      <c r="S37" s="80">
        <v>-5.1470000000000002</v>
      </c>
      <c r="T37" s="80">
        <v>-4.6070000000000002</v>
      </c>
      <c r="U37" s="80">
        <v>-4.4139999999999997</v>
      </c>
      <c r="V37" s="146">
        <f>E37-U37-T37-S37</f>
        <v>-4.4700000000000006</v>
      </c>
      <c r="W37" s="80">
        <v>-4.4829999999999997</v>
      </c>
      <c r="X37" s="80">
        <v>-4.0629999999999997</v>
      </c>
      <c r="Y37" s="80">
        <v>-3.5859999999999999</v>
      </c>
      <c r="Z37" s="146">
        <f>F37-Y37-X37-W37</f>
        <v>-3.3870000000000005</v>
      </c>
      <c r="AA37" s="80">
        <v>-3.1629999999999998</v>
      </c>
      <c r="AB37" s="80">
        <v>-2.7330000000000001</v>
      </c>
      <c r="AC37" s="80">
        <v>-2.2549999999999999</v>
      </c>
      <c r="AD37" s="146">
        <f>G37-AC37-AB37-AA37</f>
        <v>-2.1140000000000012</v>
      </c>
      <c r="AE37" s="80">
        <v>-1.546</v>
      </c>
      <c r="AF37" s="80">
        <v>-2.0830000000000002</v>
      </c>
      <c r="AG37" s="80">
        <v>-1.996</v>
      </c>
      <c r="AH37" s="146">
        <f>H37-AG37-AF37-AE37</f>
        <v>-5.1309999999999993</v>
      </c>
      <c r="AI37" s="80">
        <v>-25.655000000000001</v>
      </c>
      <c r="AJ37" s="80">
        <v>-24.957999999999998</v>
      </c>
      <c r="AK37" s="80">
        <v>-24.696000000000002</v>
      </c>
      <c r="AL37" s="142">
        <v>-24.981000000000002</v>
      </c>
      <c r="AM37" s="80">
        <v>-24.992000000000001</v>
      </c>
      <c r="AN37" s="80">
        <v>-24.742000000000001</v>
      </c>
      <c r="AO37" s="80">
        <v>-24.815000000000001</v>
      </c>
      <c r="AP37" s="142">
        <v>-24.68</v>
      </c>
      <c r="AQ37" s="80">
        <v>-25.056999999999999</v>
      </c>
      <c r="AR37" s="80">
        <v>-23.881</v>
      </c>
      <c r="AS37" s="80">
        <v>-23.367999999999999</v>
      </c>
      <c r="AT37" s="142">
        <v>-29.83</v>
      </c>
      <c r="AU37" s="142">
        <v>-20.306999999999999</v>
      </c>
      <c r="AV37" s="142">
        <v>-22.122</v>
      </c>
      <c r="AW37" s="142">
        <v>-20.16</v>
      </c>
      <c r="AX37" s="142">
        <v>-20.411999999999999</v>
      </c>
      <c r="AY37" s="142">
        <v>-20.399999999999999</v>
      </c>
      <c r="AZ37" s="142">
        <v>-20.433</v>
      </c>
      <c r="BA37" s="153">
        <v>-19.297000000000001</v>
      </c>
      <c r="BB37" s="172">
        <f>BA37</f>
        <v>-19.297000000000001</v>
      </c>
      <c r="BC37" s="157">
        <f>BB37</f>
        <v>-19.297000000000001</v>
      </c>
      <c r="BD37" s="157">
        <f>BC37</f>
        <v>-19.297000000000001</v>
      </c>
      <c r="BE37" s="157">
        <f>BD37</f>
        <v>-19.297000000000001</v>
      </c>
      <c r="BF37" s="157">
        <f>BE37</f>
        <v>-19.297000000000001</v>
      </c>
      <c r="BG37" s="157">
        <f>BF37</f>
        <v>-19.297000000000001</v>
      </c>
      <c r="BH37" s="157">
        <f>BG37</f>
        <v>-19.297000000000001</v>
      </c>
      <c r="BI37" s="157">
        <f>BH37</f>
        <v>-19.297000000000001</v>
      </c>
      <c r="BJ37" s="157">
        <f>BI37</f>
        <v>-19.297000000000001</v>
      </c>
      <c r="BK37" s="157">
        <f>BJ37</f>
        <v>-19.297000000000001</v>
      </c>
      <c r="BL37" s="157">
        <f>BK37</f>
        <v>-19.297000000000001</v>
      </c>
      <c r="BM37" s="157">
        <f>BL37</f>
        <v>-19.297000000000001</v>
      </c>
      <c r="BN37" s="157">
        <f>BM37</f>
        <v>-19.297000000000001</v>
      </c>
      <c r="BO37" s="157">
        <f>BN37</f>
        <v>-19.297000000000001</v>
      </c>
      <c r="BP37" s="157">
        <f>BO37</f>
        <v>-19.297000000000001</v>
      </c>
      <c r="BQ37" s="157">
        <f>BP37</f>
        <v>-19.297000000000001</v>
      </c>
      <c r="BR37" s="157">
        <f>BQ37</f>
        <v>-19.297000000000001</v>
      </c>
    </row>
    <row r="38" spans="1:70" x14ac:dyDescent="0.2">
      <c r="A38" s="273" t="s">
        <v>245</v>
      </c>
      <c r="B38" s="14"/>
      <c r="C38" s="87">
        <v>0</v>
      </c>
      <c r="D38" s="87">
        <v>0</v>
      </c>
      <c r="E38" s="87">
        <v>-0.94299999999999995</v>
      </c>
      <c r="F38" s="87">
        <v>0</v>
      </c>
      <c r="G38" s="87">
        <v>0</v>
      </c>
      <c r="H38" s="87">
        <v>-2.7250000000000001</v>
      </c>
      <c r="I38" s="87">
        <v>-13.063000000000001</v>
      </c>
      <c r="J38" s="87">
        <v>0</v>
      </c>
      <c r="K38" s="143">
        <v>-51.75</v>
      </c>
      <c r="L38" s="143">
        <v>-0.16600000000000001</v>
      </c>
      <c r="M38" s="83">
        <f>SUM(AY38:BB38)</f>
        <v>0</v>
      </c>
      <c r="N38" s="84">
        <f>SUM(BC38:BF38)</f>
        <v>0</v>
      </c>
      <c r="O38" s="84">
        <f>SUM(BG38:BJ38)</f>
        <v>0</v>
      </c>
      <c r="P38" s="84">
        <f>SUM(BK38:BN38)</f>
        <v>0</v>
      </c>
      <c r="Q38" s="84">
        <f>SUM(BO38:BR38)</f>
        <v>0</v>
      </c>
      <c r="R38" s="54"/>
      <c r="S38" s="87">
        <v>-0.94299999999999995</v>
      </c>
      <c r="T38" s="87">
        <v>0</v>
      </c>
      <c r="U38" s="87">
        <v>0</v>
      </c>
      <c r="V38" s="148">
        <f>E38-U38-T38-S38</f>
        <v>0</v>
      </c>
      <c r="W38" s="87">
        <v>0</v>
      </c>
      <c r="X38" s="87">
        <v>0</v>
      </c>
      <c r="Y38" s="87">
        <v>0</v>
      </c>
      <c r="Z38" s="148">
        <f>F38-Y38-X38-W38</f>
        <v>0</v>
      </c>
      <c r="AA38" s="87">
        <v>0</v>
      </c>
      <c r="AB38" s="87">
        <v>0</v>
      </c>
      <c r="AC38" s="87">
        <v>0</v>
      </c>
      <c r="AD38" s="148">
        <f>G38-AC38-AB38-AA38</f>
        <v>0</v>
      </c>
      <c r="AE38" s="87">
        <v>0</v>
      </c>
      <c r="AF38" s="87">
        <v>0</v>
      </c>
      <c r="AG38" s="87">
        <v>0</v>
      </c>
      <c r="AH38" s="148">
        <f>H38-AG38-AF38-AE38</f>
        <v>-2.7250000000000001</v>
      </c>
      <c r="AI38" s="87">
        <v>0</v>
      </c>
      <c r="AJ38" s="87">
        <v>-12.977</v>
      </c>
      <c r="AK38" s="87">
        <v>-8.6999999999999994E-2</v>
      </c>
      <c r="AL38" s="143">
        <v>0</v>
      </c>
      <c r="AM38" s="87">
        <v>0</v>
      </c>
      <c r="AN38" s="87">
        <v>0</v>
      </c>
      <c r="AO38" s="87">
        <v>0</v>
      </c>
      <c r="AP38" s="143">
        <v>0</v>
      </c>
      <c r="AQ38" s="87">
        <v>0</v>
      </c>
      <c r="AR38" s="87">
        <v>-14.615</v>
      </c>
      <c r="AS38" s="87">
        <v>0</v>
      </c>
      <c r="AT38" s="143">
        <v>-37.134999999999998</v>
      </c>
      <c r="AU38" s="143">
        <v>0</v>
      </c>
      <c r="AV38" s="143">
        <v>-0.16600000000000001</v>
      </c>
      <c r="AW38" s="143">
        <v>0</v>
      </c>
      <c r="AX38" s="143">
        <v>0</v>
      </c>
      <c r="AY38" s="143">
        <v>0</v>
      </c>
      <c r="AZ38" s="143">
        <v>0</v>
      </c>
      <c r="BA38" s="213">
        <v>0</v>
      </c>
      <c r="BB38" s="253">
        <f>BA38</f>
        <v>0</v>
      </c>
      <c r="BC38" s="158">
        <f>BB38</f>
        <v>0</v>
      </c>
      <c r="BD38" s="158">
        <f>BC38</f>
        <v>0</v>
      </c>
      <c r="BE38" s="158">
        <f>BD38</f>
        <v>0</v>
      </c>
      <c r="BF38" s="158">
        <f>BE38</f>
        <v>0</v>
      </c>
      <c r="BG38" s="158">
        <f>BF38</f>
        <v>0</v>
      </c>
      <c r="BH38" s="158">
        <f>BG38</f>
        <v>0</v>
      </c>
      <c r="BI38" s="158">
        <f>BH38</f>
        <v>0</v>
      </c>
      <c r="BJ38" s="158">
        <f>BI38</f>
        <v>0</v>
      </c>
      <c r="BK38" s="158">
        <f>BJ38</f>
        <v>0</v>
      </c>
      <c r="BL38" s="158">
        <f>BK38</f>
        <v>0</v>
      </c>
      <c r="BM38" s="158">
        <f>BL38</f>
        <v>0</v>
      </c>
      <c r="BN38" s="158">
        <f>BM38</f>
        <v>0</v>
      </c>
      <c r="BO38" s="158">
        <f>BN38</f>
        <v>0</v>
      </c>
      <c r="BP38" s="158">
        <f>BO38</f>
        <v>0</v>
      </c>
      <c r="BQ38" s="158">
        <f>BP38</f>
        <v>0</v>
      </c>
      <c r="BR38" s="158">
        <f>BQ38</f>
        <v>0</v>
      </c>
    </row>
    <row r="39" spans="1:70" x14ac:dyDescent="0.2">
      <c r="A39" s="275" t="s">
        <v>119</v>
      </c>
      <c r="B39" s="10"/>
      <c r="C39" s="80">
        <v>-17.96</v>
      </c>
      <c r="D39" s="80">
        <v>-16.329000000000001</v>
      </c>
      <c r="E39" s="80">
        <v>-19.581</v>
      </c>
      <c r="F39" s="80">
        <v>-15.519</v>
      </c>
      <c r="G39" s="80">
        <v>-10.265000000000001</v>
      </c>
      <c r="H39" s="80">
        <v>-13.481</v>
      </c>
      <c r="I39" s="80">
        <v>-113.35299999999999</v>
      </c>
      <c r="J39" s="80">
        <v>-99.227999999999994</v>
      </c>
      <c r="K39" s="142">
        <v>-153.886</v>
      </c>
      <c r="L39" s="142">
        <v>-83.167000000000002</v>
      </c>
      <c r="M39" s="166">
        <f>SUM(AY39:BB39)</f>
        <v>-79.426999999999992</v>
      </c>
      <c r="N39" s="146">
        <f>SUM(BC39:BF39)</f>
        <v>-77.188000000000002</v>
      </c>
      <c r="O39" s="146">
        <f>SUM(BG39:BJ39)</f>
        <v>-77.188000000000002</v>
      </c>
      <c r="P39" s="146">
        <f>SUM(BK39:BN39)</f>
        <v>-77.188000000000002</v>
      </c>
      <c r="Q39" s="146">
        <f>SUM(BO39:BR39)</f>
        <v>-77.188000000000002</v>
      </c>
      <c r="R39" s="306"/>
      <c r="S39" s="80">
        <v>-6.09</v>
      </c>
      <c r="T39" s="80">
        <v>-4.6070000000000002</v>
      </c>
      <c r="U39" s="80">
        <v>-4.4139999999999997</v>
      </c>
      <c r="V39" s="146">
        <f>E39-U39-T39-S39</f>
        <v>-4.4699999999999989</v>
      </c>
      <c r="W39" s="80">
        <v>-4.4829999999999997</v>
      </c>
      <c r="X39" s="80">
        <v>-4.0629999999999997</v>
      </c>
      <c r="Y39" s="80">
        <v>-3.5859999999999999</v>
      </c>
      <c r="Z39" s="146">
        <f>F39-Y39-X39-W39</f>
        <v>-3.3870000000000005</v>
      </c>
      <c r="AA39" s="80">
        <v>-3.1629999999999998</v>
      </c>
      <c r="AB39" s="80">
        <v>-2.7330000000000001</v>
      </c>
      <c r="AC39" s="80">
        <v>-2.2549999999999999</v>
      </c>
      <c r="AD39" s="146">
        <f>G39-AC39-AB39-AA39</f>
        <v>-2.1140000000000012</v>
      </c>
      <c r="AE39" s="80">
        <v>-1.546</v>
      </c>
      <c r="AF39" s="80">
        <v>-2.0830000000000002</v>
      </c>
      <c r="AG39" s="80">
        <v>-1.996</v>
      </c>
      <c r="AH39" s="146">
        <f>H39-AG39-AF39-AE39</f>
        <v>-7.855999999999999</v>
      </c>
      <c r="AI39" s="80">
        <v>-25.655000000000001</v>
      </c>
      <c r="AJ39" s="80">
        <v>-37.935000000000002</v>
      </c>
      <c r="AK39" s="80">
        <v>-24.783000000000001</v>
      </c>
      <c r="AL39" s="142">
        <v>-24.981000000000002</v>
      </c>
      <c r="AM39" s="80">
        <v>-24.992000000000001</v>
      </c>
      <c r="AN39" s="80">
        <v>-24.742000000000001</v>
      </c>
      <c r="AO39" s="80">
        <v>-24.815000000000001</v>
      </c>
      <c r="AP39" s="142">
        <v>-24.68</v>
      </c>
      <c r="AQ39" s="80">
        <v>-25.056999999999999</v>
      </c>
      <c r="AR39" s="80">
        <v>-38.496000000000002</v>
      </c>
      <c r="AS39" s="80">
        <v>-23.367999999999999</v>
      </c>
      <c r="AT39" s="142">
        <v>-66.965000000000003</v>
      </c>
      <c r="AU39" s="142">
        <v>-20.306999999999999</v>
      </c>
      <c r="AV39" s="142">
        <v>-22.288</v>
      </c>
      <c r="AW39" s="142">
        <v>-20.16</v>
      </c>
      <c r="AX39" s="142">
        <v>-20.411999999999999</v>
      </c>
      <c r="AY39" s="142">
        <v>-20.399999999999999</v>
      </c>
      <c r="AZ39" s="142">
        <v>-20.433</v>
      </c>
      <c r="BA39" s="153">
        <v>-19.297000000000001</v>
      </c>
      <c r="BB39" s="77">
        <f>SUM(BB38,BB37)</f>
        <v>-19.297000000000001</v>
      </c>
      <c r="BC39" s="76">
        <f>SUM(BC38,BC37)</f>
        <v>-19.297000000000001</v>
      </c>
      <c r="BD39" s="76">
        <f>SUM(BD38,BD37)</f>
        <v>-19.297000000000001</v>
      </c>
      <c r="BE39" s="76">
        <f>SUM(BE38,BE37)</f>
        <v>-19.297000000000001</v>
      </c>
      <c r="BF39" s="76">
        <f>SUM(BF38,BF37)</f>
        <v>-19.297000000000001</v>
      </c>
      <c r="BG39" s="76">
        <f>SUM(BG38,BG37)</f>
        <v>-19.297000000000001</v>
      </c>
      <c r="BH39" s="76">
        <f>SUM(BH38,BH37)</f>
        <v>-19.297000000000001</v>
      </c>
      <c r="BI39" s="76">
        <f>SUM(BI38,BI37)</f>
        <v>-19.297000000000001</v>
      </c>
      <c r="BJ39" s="76">
        <f>SUM(BJ38,BJ37)</f>
        <v>-19.297000000000001</v>
      </c>
      <c r="BK39" s="76">
        <f>SUM(BK38,BK37)</f>
        <v>-19.297000000000001</v>
      </c>
      <c r="BL39" s="76">
        <f>SUM(BL38,BL37)</f>
        <v>-19.297000000000001</v>
      </c>
      <c r="BM39" s="76">
        <f>SUM(BM38,BM37)</f>
        <v>-19.297000000000001</v>
      </c>
      <c r="BN39" s="76">
        <f>SUM(BN38,BN37)</f>
        <v>-19.297000000000001</v>
      </c>
      <c r="BO39" s="76">
        <f>SUM(BO38,BO37)</f>
        <v>-19.297000000000001</v>
      </c>
      <c r="BP39" s="76">
        <f>SUM(BP38,BP37)</f>
        <v>-19.297000000000001</v>
      </c>
      <c r="BQ39" s="76">
        <f>SUM(BQ38,BQ37)</f>
        <v>-19.297000000000001</v>
      </c>
      <c r="BR39" s="76">
        <f>SUM(BR38,BR37)</f>
        <v>-19.297000000000001</v>
      </c>
    </row>
    <row r="40" spans="1:70" x14ac:dyDescent="0.2">
      <c r="A40" s="65" t="s">
        <v>7</v>
      </c>
      <c r="B40" s="13"/>
      <c r="C40" s="88">
        <f>SUM(C38,C37)-C39</f>
        <v>0</v>
      </c>
      <c r="D40" s="88">
        <f>SUM(D38,D37)-D39</f>
        <v>0</v>
      </c>
      <c r="E40" s="88">
        <f>SUM(E38,E37)-E39</f>
        <v>0</v>
      </c>
      <c r="F40" s="88">
        <f>SUM(F38,F37)-F39</f>
        <v>0</v>
      </c>
      <c r="G40" s="88">
        <f>SUM(G38,G37)-G39</f>
        <v>0</v>
      </c>
      <c r="H40" s="88">
        <f>SUM(H38,H37)-H39</f>
        <v>0</v>
      </c>
      <c r="I40" s="88">
        <f>SUM(I38,I37)-I39</f>
        <v>0</v>
      </c>
      <c r="J40" s="88">
        <f>SUM(J38,J37)-J39</f>
        <v>0</v>
      </c>
      <c r="K40" s="88">
        <f>SUM(K38,K37)-K39</f>
        <v>0</v>
      </c>
      <c r="L40" s="90">
        <f>SUM(L38,L37)-L39</f>
        <v>0</v>
      </c>
      <c r="M40" s="89">
        <f>SUM(M38,M37)-M39</f>
        <v>0</v>
      </c>
      <c r="N40" s="88">
        <f>SUM(N38,N37)-N39</f>
        <v>0</v>
      </c>
      <c r="O40" s="88">
        <f>SUM(O38,O37)-O39</f>
        <v>0</v>
      </c>
      <c r="P40" s="88">
        <f>SUM(P38,P37)-P39</f>
        <v>0</v>
      </c>
      <c r="Q40" s="88">
        <f>SUM(Q38,Q37)-Q39</f>
        <v>0</v>
      </c>
      <c r="R40" s="50"/>
      <c r="S40" s="88">
        <f>SUM(S38,S37)-S39</f>
        <v>0</v>
      </c>
      <c r="T40" s="88">
        <f>SUM(T38,T37)-T39</f>
        <v>0</v>
      </c>
      <c r="U40" s="88">
        <f>SUM(U38,U37)-U39</f>
        <v>0</v>
      </c>
      <c r="V40" s="88">
        <f>SUM(V38,V37)-V39</f>
        <v>0</v>
      </c>
      <c r="W40" s="88">
        <f>SUM(W38,W37)-W39</f>
        <v>0</v>
      </c>
      <c r="X40" s="88">
        <f>SUM(X38,X37)-X39</f>
        <v>0</v>
      </c>
      <c r="Y40" s="88">
        <f>SUM(Y38,Y37)-Y39</f>
        <v>0</v>
      </c>
      <c r="Z40" s="88">
        <f>SUM(Z38,Z37)-Z39</f>
        <v>0</v>
      </c>
      <c r="AA40" s="88">
        <f>SUM(AA38,AA37)-AA39</f>
        <v>0</v>
      </c>
      <c r="AB40" s="88">
        <f>SUM(AB38,AB37)-AB39</f>
        <v>0</v>
      </c>
      <c r="AC40" s="88">
        <f>SUM(AC38,AC37)-AC39</f>
        <v>0</v>
      </c>
      <c r="AD40" s="88">
        <f>SUM(AD38,AD37)-AD39</f>
        <v>0</v>
      </c>
      <c r="AE40" s="88">
        <f>SUM(AE38,AE37)-AE39</f>
        <v>0</v>
      </c>
      <c r="AF40" s="88">
        <f>SUM(AF38,AF37)-AF39</f>
        <v>0</v>
      </c>
      <c r="AG40" s="88">
        <f>SUM(AG38,AG37)-AG39</f>
        <v>0</v>
      </c>
      <c r="AH40" s="88">
        <f>SUM(AH38,AH37)-AH39</f>
        <v>0</v>
      </c>
      <c r="AI40" s="88">
        <f>SUM(AI38,AI37)-AI39</f>
        <v>0</v>
      </c>
      <c r="AJ40" s="88">
        <f>SUM(AJ38,AJ37)-AJ39</f>
        <v>0</v>
      </c>
      <c r="AK40" s="88">
        <f>SUM(AK38,AK37)-AK39</f>
        <v>0</v>
      </c>
      <c r="AL40" s="88">
        <f>SUM(AL38,AL37)-AL39</f>
        <v>0</v>
      </c>
      <c r="AM40" s="88">
        <f>SUM(AM38,AM37)-AM39</f>
        <v>0</v>
      </c>
      <c r="AN40" s="88">
        <f>SUM(AN38,AN37)-AN39</f>
        <v>0</v>
      </c>
      <c r="AO40" s="88">
        <f>SUM(AO38,AO37)-AO39</f>
        <v>0</v>
      </c>
      <c r="AP40" s="88">
        <f>SUM(AP38,AP37)-AP39</f>
        <v>0</v>
      </c>
      <c r="AQ40" s="88">
        <f>SUM(AQ38,AQ37)-AQ39</f>
        <v>0</v>
      </c>
      <c r="AR40" s="88">
        <f>SUM(AR38,AR37)-AR39</f>
        <v>0</v>
      </c>
      <c r="AS40" s="88">
        <f>SUM(AS38,AS37)-AS39</f>
        <v>0</v>
      </c>
      <c r="AT40" s="88">
        <f>SUM(AT38,AT37)-AT39</f>
        <v>0</v>
      </c>
      <c r="AU40" s="88">
        <f>SUM(AU38,AU37)-AU39</f>
        <v>0</v>
      </c>
      <c r="AV40" s="88">
        <f>SUM(AV38,AV37)-AV39</f>
        <v>0</v>
      </c>
      <c r="AW40" s="88">
        <f>SUM(AW38,AW37)-AW39</f>
        <v>0</v>
      </c>
      <c r="AX40" s="88">
        <f>SUM(AX38,AX37)-AX39</f>
        <v>0</v>
      </c>
      <c r="AY40" s="88">
        <f>SUM(AY38,AY37)-AY39</f>
        <v>0</v>
      </c>
      <c r="AZ40" s="88">
        <f>SUM(AZ38,AZ37)-AZ39</f>
        <v>0</v>
      </c>
      <c r="BA40" s="90">
        <f>SUM(BA38,BA37)-BA39</f>
        <v>0</v>
      </c>
      <c r="BB40" s="89">
        <f>SUM(BB38,BB37)-BB39</f>
        <v>0</v>
      </c>
      <c r="BC40" s="88">
        <f>SUM(BC38,BC37)-BC39</f>
        <v>0</v>
      </c>
      <c r="BD40" s="88">
        <f>SUM(BD38,BD37)-BD39</f>
        <v>0</v>
      </c>
      <c r="BE40" s="88">
        <f>SUM(BE38,BE37)-BE39</f>
        <v>0</v>
      </c>
      <c r="BF40" s="88">
        <f>SUM(BF38,BF37)-BF39</f>
        <v>0</v>
      </c>
      <c r="BG40" s="88">
        <f>SUM(BG38,BG37)-BG39</f>
        <v>0</v>
      </c>
      <c r="BH40" s="88">
        <f>SUM(BH38,BH37)-BH39</f>
        <v>0</v>
      </c>
      <c r="BI40" s="88">
        <f>SUM(BI38,BI37)-BI39</f>
        <v>0</v>
      </c>
      <c r="BJ40" s="88">
        <f>SUM(BJ38,BJ37)-BJ39</f>
        <v>0</v>
      </c>
      <c r="BK40" s="88">
        <f>SUM(BK38,BK37)-BK39</f>
        <v>0</v>
      </c>
      <c r="BL40" s="88">
        <f>SUM(BL38,BL37)-BL39</f>
        <v>0</v>
      </c>
      <c r="BM40" s="88">
        <f>SUM(BM38,BM37)-BM39</f>
        <v>0</v>
      </c>
      <c r="BN40" s="88">
        <f>SUM(BN38,BN37)-BN39</f>
        <v>0</v>
      </c>
      <c r="BO40" s="88">
        <f>SUM(BO38,BO37)-BO39</f>
        <v>0</v>
      </c>
      <c r="BP40" s="88">
        <f>SUM(BP38,BP37)-BP39</f>
        <v>0</v>
      </c>
      <c r="BQ40" s="88">
        <f>SUM(BQ38,BQ37)-BQ39</f>
        <v>0</v>
      </c>
      <c r="BR40" s="88">
        <f>SUM(BR38,BR37)-BR39</f>
        <v>0</v>
      </c>
    </row>
    <row r="41" spans="1:70" x14ac:dyDescent="0.2">
      <c r="A41" s="267"/>
      <c r="B41" s="9"/>
      <c r="C41" s="100"/>
      <c r="D41" s="100"/>
      <c r="E41" s="100"/>
      <c r="F41" s="100"/>
      <c r="G41" s="100"/>
      <c r="H41" s="100"/>
      <c r="I41" s="100"/>
      <c r="J41" s="100"/>
      <c r="K41" s="100"/>
      <c r="L41" s="102"/>
      <c r="M41" s="176"/>
      <c r="N41" s="101"/>
      <c r="O41" s="101"/>
      <c r="P41" s="101"/>
      <c r="Q41" s="101"/>
      <c r="R41" s="46"/>
      <c r="S41" s="100"/>
      <c r="T41" s="100"/>
      <c r="U41" s="100"/>
      <c r="V41" s="100"/>
      <c r="W41" s="100"/>
      <c r="X41" s="100"/>
      <c r="Y41" s="100"/>
      <c r="Z41" s="100"/>
      <c r="AA41" s="100"/>
      <c r="AB41" s="100"/>
      <c r="AC41" s="100"/>
      <c r="AD41" s="100"/>
      <c r="AE41" s="100"/>
      <c r="AF41" s="100"/>
      <c r="AG41" s="100"/>
      <c r="AH41" s="100"/>
      <c r="AI41" s="100"/>
      <c r="AJ41" s="100"/>
      <c r="AK41" s="100"/>
      <c r="AL41" s="100"/>
      <c r="AM41" s="100"/>
      <c r="AN41" s="100"/>
      <c r="AO41" s="100"/>
      <c r="AP41" s="100"/>
      <c r="AQ41" s="100"/>
      <c r="AR41" s="100"/>
      <c r="AS41" s="100"/>
      <c r="AT41" s="100"/>
      <c r="AU41" s="100"/>
      <c r="AV41" s="100"/>
      <c r="AW41" s="100"/>
      <c r="AX41" s="100"/>
      <c r="AY41" s="100"/>
      <c r="AZ41" s="100"/>
      <c r="BA41" s="102"/>
      <c r="BB41" s="103"/>
      <c r="BC41" s="100"/>
      <c r="BD41" s="100"/>
      <c r="BE41" s="100"/>
      <c r="BF41" s="100"/>
      <c r="BG41" s="100"/>
      <c r="BH41" s="100"/>
      <c r="BI41" s="100"/>
      <c r="BJ41" s="100"/>
      <c r="BK41" s="100"/>
      <c r="BL41" s="100"/>
      <c r="BM41" s="100"/>
      <c r="BN41" s="100"/>
      <c r="BO41" s="100"/>
      <c r="BP41" s="100"/>
      <c r="BQ41" s="100"/>
      <c r="BR41" s="100"/>
    </row>
    <row r="42" spans="1:70" x14ac:dyDescent="0.2">
      <c r="A42" s="277" t="s">
        <v>120</v>
      </c>
      <c r="B42" s="16"/>
      <c r="C42" s="97">
        <v>54.094000000000001</v>
      </c>
      <c r="D42" s="97">
        <v>36.301000000000002</v>
      </c>
      <c r="E42" s="97">
        <v>18.715</v>
      </c>
      <c r="F42" s="97">
        <v>40.463000000000001</v>
      </c>
      <c r="G42" s="97">
        <v>38.884999999999998</v>
      </c>
      <c r="H42" s="97">
        <v>20.300999999999998</v>
      </c>
      <c r="I42" s="97">
        <v>-123.083</v>
      </c>
      <c r="J42" s="97">
        <v>-217.78299999999999</v>
      </c>
      <c r="K42" s="145">
        <v>-72.066999999999993</v>
      </c>
      <c r="L42" s="145">
        <v>2.6459999999999999</v>
      </c>
      <c r="M42" s="110">
        <f>SUM(AY42:BB42)</f>
        <v>25.389014867308514</v>
      </c>
      <c r="N42" s="111">
        <f>SUM(BC42:BF42)</f>
        <v>43.505305136071669</v>
      </c>
      <c r="O42" s="111">
        <f>SUM(BG42:BJ42)</f>
        <v>68.570530779158034</v>
      </c>
      <c r="P42" s="111">
        <f>SUM(BK42:BN42)</f>
        <v>99.865122524403532</v>
      </c>
      <c r="Q42" s="111">
        <f>SUM(BO42:BR42)</f>
        <v>141.51483163962155</v>
      </c>
      <c r="R42" s="55"/>
      <c r="S42" s="97">
        <v>3.2149999999999999</v>
      </c>
      <c r="T42" s="97">
        <v>2.5350000000000001</v>
      </c>
      <c r="U42" s="97">
        <v>3.1960000000000002</v>
      </c>
      <c r="V42" s="144">
        <f>E42-U42-T42-S42</f>
        <v>9.7690000000000001</v>
      </c>
      <c r="W42" s="97">
        <v>11.212999999999999</v>
      </c>
      <c r="X42" s="97">
        <v>11.9</v>
      </c>
      <c r="Y42" s="97">
        <v>11.057</v>
      </c>
      <c r="Z42" s="144">
        <f>F42-Y42-X42-W42</f>
        <v>6.293000000000001</v>
      </c>
      <c r="AA42" s="97">
        <v>9.7379999999999995</v>
      </c>
      <c r="AB42" s="97">
        <v>10.9</v>
      </c>
      <c r="AC42" s="97">
        <v>9.1649999999999991</v>
      </c>
      <c r="AD42" s="144">
        <f>G42-AC42-AB42-AA42</f>
        <v>9.0820000000000007</v>
      </c>
      <c r="AE42" s="97">
        <v>11.467000000000001</v>
      </c>
      <c r="AF42" s="97">
        <v>7.5389999999999997</v>
      </c>
      <c r="AG42" s="97">
        <v>8.7750000000000004</v>
      </c>
      <c r="AH42" s="144">
        <f>H42-AG42-AF42-AE42</f>
        <v>-7.4800000000000022</v>
      </c>
      <c r="AI42" s="97">
        <v>2.4860000000000002</v>
      </c>
      <c r="AJ42" s="97">
        <v>-21.599</v>
      </c>
      <c r="AK42" s="97">
        <v>-10.067</v>
      </c>
      <c r="AL42" s="145">
        <v>-93.903999999999996</v>
      </c>
      <c r="AM42" s="97">
        <v>-21.207000000000001</v>
      </c>
      <c r="AN42" s="97">
        <v>-18.681999999999999</v>
      </c>
      <c r="AO42" s="97">
        <v>-13.243</v>
      </c>
      <c r="AP42" s="145">
        <v>-164.65</v>
      </c>
      <c r="AQ42" s="97">
        <v>-2.4540000000000002</v>
      </c>
      <c r="AR42" s="97">
        <v>-17.204000000000001</v>
      </c>
      <c r="AS42" s="97">
        <v>-3.573</v>
      </c>
      <c r="AT42" s="145">
        <v>-48.835999999999999</v>
      </c>
      <c r="AU42" s="145">
        <v>4.1840000000000002</v>
      </c>
      <c r="AV42" s="145">
        <v>0.309</v>
      </c>
      <c r="AW42" s="145">
        <v>1.35</v>
      </c>
      <c r="AX42" s="145">
        <v>-3.1970000000000001</v>
      </c>
      <c r="AY42" s="145">
        <v>5.4720000000000004</v>
      </c>
      <c r="AZ42" s="145">
        <v>4.4459999999999997</v>
      </c>
      <c r="BA42" s="155">
        <v>7.9960000000000004</v>
      </c>
      <c r="BB42" s="110">
        <f>BB32+BB39</f>
        <v>7.4750148673085128</v>
      </c>
      <c r="BC42" s="111">
        <f>BC32+BC39</f>
        <v>8.8109734483831907</v>
      </c>
      <c r="BD42" s="111">
        <f>BD32+BD39</f>
        <v>10.370309371691146</v>
      </c>
      <c r="BE42" s="111">
        <f>BE32+BE39</f>
        <v>11.809357737502918</v>
      </c>
      <c r="BF42" s="111">
        <f>BF32+BF39</f>
        <v>12.514664578494415</v>
      </c>
      <c r="BG42" s="111">
        <f>BG32+BG39</f>
        <v>14.35078485108971</v>
      </c>
      <c r="BH42" s="111">
        <f>BH32+BH39</f>
        <v>16.817895235633184</v>
      </c>
      <c r="BI42" s="111">
        <f>BI32+BI39</f>
        <v>18.341311265131505</v>
      </c>
      <c r="BJ42" s="111">
        <f>BJ32+BJ39</f>
        <v>19.060539427303635</v>
      </c>
      <c r="BK42" s="111">
        <f>BK32+BK39</f>
        <v>21.123364158600591</v>
      </c>
      <c r="BL42" s="111">
        <f>BL32+BL39</f>
        <v>24.805591805910691</v>
      </c>
      <c r="BM42" s="111">
        <f>BM32+BM39</f>
        <v>26.595634812513449</v>
      </c>
      <c r="BN42" s="111">
        <f>BN32+BN39</f>
        <v>27.340531747378801</v>
      </c>
      <c r="BO42" s="111">
        <f>BO32+BO39</f>
        <v>30.177980439161782</v>
      </c>
      <c r="BP42" s="111">
        <f>BP32+BP39</f>
        <v>35.608581932752173</v>
      </c>
      <c r="BQ42" s="111">
        <f>BQ32+BQ39</f>
        <v>37.58916660553669</v>
      </c>
      <c r="BR42" s="111">
        <f>BR32+BR39</f>
        <v>38.139102662170899</v>
      </c>
    </row>
    <row r="43" spans="1:70" x14ac:dyDescent="0.2">
      <c r="A43" s="65" t="s">
        <v>7</v>
      </c>
      <c r="B43" s="13"/>
      <c r="C43" s="88">
        <f>C32+C39-C42</f>
        <v>0</v>
      </c>
      <c r="D43" s="88">
        <f>D32+D39-D42</f>
        <v>0</v>
      </c>
      <c r="E43" s="88">
        <f>E32+E39-E42</f>
        <v>0</v>
      </c>
      <c r="F43" s="88">
        <f>F32+F39-F42</f>
        <v>0</v>
      </c>
      <c r="G43" s="88">
        <f>G32+G39-G42</f>
        <v>0</v>
      </c>
      <c r="H43" s="88">
        <f>H32+H39-H42</f>
        <v>0</v>
      </c>
      <c r="I43" s="88">
        <f>I32+I39-I42</f>
        <v>0</v>
      </c>
      <c r="J43" s="88">
        <f>J32+J39-J42</f>
        <v>0</v>
      </c>
      <c r="K43" s="88">
        <f>K32+K39-K42</f>
        <v>0</v>
      </c>
      <c r="L43" s="90">
        <f>L32+L39-L42</f>
        <v>0</v>
      </c>
      <c r="M43" s="89">
        <f>M32+M39-M42</f>
        <v>0</v>
      </c>
      <c r="N43" s="88">
        <f>N32+N39-N42</f>
        <v>0</v>
      </c>
      <c r="O43" s="88">
        <f>O32+O39-O42</f>
        <v>0</v>
      </c>
      <c r="P43" s="88">
        <f>P32+P39-P42</f>
        <v>0</v>
      </c>
      <c r="Q43" s="88">
        <f>Q32+Q39-Q42</f>
        <v>0</v>
      </c>
      <c r="R43" s="50"/>
      <c r="S43" s="88">
        <f>S32+S39-S42</f>
        <v>0</v>
      </c>
      <c r="T43" s="88">
        <f>T32+T39-T42</f>
        <v>0</v>
      </c>
      <c r="U43" s="88">
        <f>U32+U39-U42</f>
        <v>0</v>
      </c>
      <c r="V43" s="88">
        <f>V32+V39-V42</f>
        <v>0</v>
      </c>
      <c r="W43" s="88">
        <f>W32+W39-W42</f>
        <v>0</v>
      </c>
      <c r="X43" s="88">
        <f>X32+X39-X42</f>
        <v>0</v>
      </c>
      <c r="Y43" s="88">
        <f>Y32+Y39-Y42</f>
        <v>0</v>
      </c>
      <c r="Z43" s="88">
        <f>Z32+Z39-Z42</f>
        <v>0</v>
      </c>
      <c r="AA43" s="88">
        <f>AA32+AA39-AA42</f>
        <v>0</v>
      </c>
      <c r="AB43" s="88">
        <f>AB32+AB39-AB42</f>
        <v>0</v>
      </c>
      <c r="AC43" s="88">
        <f>AC32+AC39-AC42</f>
        <v>0</v>
      </c>
      <c r="AD43" s="88">
        <f>AD32+AD39-AD42</f>
        <v>0</v>
      </c>
      <c r="AE43" s="88">
        <f>AE32+AE39-AE42</f>
        <v>0</v>
      </c>
      <c r="AF43" s="88">
        <f>AF32+AF39-AF42</f>
        <v>0</v>
      </c>
      <c r="AG43" s="88">
        <f>AG32+AG39-AG42</f>
        <v>0</v>
      </c>
      <c r="AH43" s="88">
        <f>AH32+AH39-AH42</f>
        <v>0</v>
      </c>
      <c r="AI43" s="88">
        <f>AI32+AI39-AI42</f>
        <v>0</v>
      </c>
      <c r="AJ43" s="88">
        <f>AJ32+AJ39-AJ42</f>
        <v>0</v>
      </c>
      <c r="AK43" s="88">
        <f>AK32+AK39-AK42</f>
        <v>0</v>
      </c>
      <c r="AL43" s="88">
        <f>AL32+AL39-AL42</f>
        <v>0</v>
      </c>
      <c r="AM43" s="88">
        <f>AM32+AM39-AM42</f>
        <v>0</v>
      </c>
      <c r="AN43" s="88">
        <f>AN32+AN39-AN42</f>
        <v>0</v>
      </c>
      <c r="AO43" s="88">
        <f>AO32+AO39-AO42</f>
        <v>0</v>
      </c>
      <c r="AP43" s="88">
        <f>AP32+AP39-AP42</f>
        <v>0</v>
      </c>
      <c r="AQ43" s="88">
        <f>AQ32+AQ39-AQ42</f>
        <v>0</v>
      </c>
      <c r="AR43" s="88">
        <f>AR32+AR39-AR42</f>
        <v>0</v>
      </c>
      <c r="AS43" s="88">
        <f>AS32+AS39-AS42</f>
        <v>0</v>
      </c>
      <c r="AT43" s="88">
        <f>AT32+AT39-AT42</f>
        <v>0</v>
      </c>
      <c r="AU43" s="88">
        <f>AU32+AU39-AU42</f>
        <v>0</v>
      </c>
      <c r="AV43" s="88">
        <f>AV32+AV39-AV42</f>
        <v>1.0547118733938987E-15</v>
      </c>
      <c r="AW43" s="88">
        <f>AW32+AW39-AW42</f>
        <v>0</v>
      </c>
      <c r="AX43" s="88">
        <f>AX32+AX39-AX42</f>
        <v>0</v>
      </c>
      <c r="AY43" s="88">
        <f>AY32+AY39-AY42</f>
        <v>0</v>
      </c>
      <c r="AZ43" s="88">
        <f>AZ32+AZ39-AZ42</f>
        <v>0</v>
      </c>
      <c r="BA43" s="90">
        <f>BA32+BA39-BA42</f>
        <v>0</v>
      </c>
      <c r="BB43" s="89">
        <f>BB32+BB39-BB42</f>
        <v>0</v>
      </c>
      <c r="BC43" s="88">
        <f>BC32+BC39-BC42</f>
        <v>0</v>
      </c>
      <c r="BD43" s="88">
        <f>BD32+BD39-BD42</f>
        <v>0</v>
      </c>
      <c r="BE43" s="88">
        <f>BE32+BE39-BE42</f>
        <v>0</v>
      </c>
      <c r="BF43" s="88">
        <f>BF32+BF39-BF42</f>
        <v>0</v>
      </c>
      <c r="BG43" s="88">
        <f>BG32+BG39-BG42</f>
        <v>0</v>
      </c>
      <c r="BH43" s="88">
        <f>BH32+BH39-BH42</f>
        <v>0</v>
      </c>
      <c r="BI43" s="88">
        <f>BI32+BI39-BI42</f>
        <v>0</v>
      </c>
      <c r="BJ43" s="88">
        <f>BJ32+BJ39-BJ42</f>
        <v>0</v>
      </c>
      <c r="BK43" s="88">
        <f>BK32+BK39-BK42</f>
        <v>0</v>
      </c>
      <c r="BL43" s="88">
        <f>BL32+BL39-BL42</f>
        <v>0</v>
      </c>
      <c r="BM43" s="88">
        <f>BM32+BM39-BM42</f>
        <v>0</v>
      </c>
      <c r="BN43" s="88">
        <f>BN32+BN39-BN42</f>
        <v>0</v>
      </c>
      <c r="BO43" s="88">
        <f>BO32+BO39-BO42</f>
        <v>0</v>
      </c>
      <c r="BP43" s="88">
        <f>BP32+BP39-BP42</f>
        <v>0</v>
      </c>
      <c r="BQ43" s="88">
        <f>BQ32+BQ39-BQ42</f>
        <v>0</v>
      </c>
      <c r="BR43" s="88">
        <f>BR32+BR39-BR42</f>
        <v>0</v>
      </c>
    </row>
    <row r="44" spans="1:70" x14ac:dyDescent="0.2">
      <c r="A44" s="267" t="s">
        <v>121</v>
      </c>
      <c r="B44" s="9"/>
      <c r="C44" s="80">
        <v>20.556000000000001</v>
      </c>
      <c r="D44" s="80">
        <v>18.751000000000001</v>
      </c>
      <c r="E44" s="80">
        <v>9.5860000000000003</v>
      </c>
      <c r="F44" s="80">
        <v>14.773999999999999</v>
      </c>
      <c r="G44" s="80">
        <v>14.487</v>
      </c>
      <c r="H44" s="80">
        <v>8.1609999999999996</v>
      </c>
      <c r="I44" s="80">
        <v>-18.111000000000001</v>
      </c>
      <c r="J44" s="80">
        <v>31.696000000000002</v>
      </c>
      <c r="K44" s="142">
        <v>-20.164000000000001</v>
      </c>
      <c r="L44" s="142">
        <v>-9.7100000000000009</v>
      </c>
      <c r="M44" s="77">
        <f>SUM(AY44:BB44)</f>
        <v>-3.9800596060505162</v>
      </c>
      <c r="N44" s="76">
        <f>SUM(BC44:BF44)</f>
        <v>-7.1765254470333328</v>
      </c>
      <c r="O44" s="76">
        <f>SUM(BG44:BJ44)</f>
        <v>-11.311221873150254</v>
      </c>
      <c r="P44" s="76">
        <f>SUM(BK44:BN44)</f>
        <v>-16.473498825623842</v>
      </c>
      <c r="Q44" s="76">
        <f>SUM(BO44:BR44)</f>
        <v>-23.34392983149835</v>
      </c>
      <c r="R44" s="46"/>
      <c r="S44" s="80">
        <v>1.4730000000000001</v>
      </c>
      <c r="T44" s="80">
        <v>1.526</v>
      </c>
      <c r="U44" s="80">
        <v>1.3560000000000001</v>
      </c>
      <c r="V44" s="146">
        <f>E44-U44-T44-S44</f>
        <v>5.2310000000000008</v>
      </c>
      <c r="W44" s="80">
        <v>4.085</v>
      </c>
      <c r="X44" s="80">
        <v>4.8159999999999998</v>
      </c>
      <c r="Y44" s="80">
        <v>3.9769999999999999</v>
      </c>
      <c r="Z44" s="146">
        <f>F44-Y44-X44-W44</f>
        <v>1.895999999999999</v>
      </c>
      <c r="AA44" s="80">
        <v>3.6019999999999999</v>
      </c>
      <c r="AB44" s="80">
        <v>4.1239999999999997</v>
      </c>
      <c r="AC44" s="80">
        <v>3.383</v>
      </c>
      <c r="AD44" s="146">
        <f>G44-AC44-AB44-AA44</f>
        <v>3.3779999999999997</v>
      </c>
      <c r="AE44" s="80">
        <v>3.9780000000000002</v>
      </c>
      <c r="AF44" s="80">
        <v>2.8149999999999999</v>
      </c>
      <c r="AG44" s="80">
        <v>3.0990000000000002</v>
      </c>
      <c r="AH44" s="146">
        <f>H44-AG44-AF44-AE44</f>
        <v>-1.7310000000000008</v>
      </c>
      <c r="AI44" s="80">
        <v>2.0169999999999999</v>
      </c>
      <c r="AJ44" s="80">
        <v>-8.8580000000000005</v>
      </c>
      <c r="AK44" s="80">
        <v>-3.9569999999999999</v>
      </c>
      <c r="AL44" s="142">
        <v>-7.3129999999999997</v>
      </c>
      <c r="AM44" s="80">
        <v>-8.0559999999999992</v>
      </c>
      <c r="AN44" s="80">
        <v>-7.8860000000000001</v>
      </c>
      <c r="AO44" s="80">
        <v>-4.9889999999999999</v>
      </c>
      <c r="AP44" s="142">
        <v>52.625999999999998</v>
      </c>
      <c r="AQ44" s="80">
        <v>1.054</v>
      </c>
      <c r="AR44" s="80">
        <v>1.853</v>
      </c>
      <c r="AS44" s="80">
        <v>0.71599999999999997</v>
      </c>
      <c r="AT44" s="142">
        <v>-23.786999999999999</v>
      </c>
      <c r="AU44" s="142">
        <v>-0.42499999999999999</v>
      </c>
      <c r="AV44" s="142">
        <v>-1.1659999999999999</v>
      </c>
      <c r="AW44" s="142">
        <v>-0.71899999999999997</v>
      </c>
      <c r="AX44" s="142">
        <v>-7.4</v>
      </c>
      <c r="AY44" s="142">
        <v>-0.38800000000000001</v>
      </c>
      <c r="AZ44" s="142">
        <v>-1.04</v>
      </c>
      <c r="BA44" s="153">
        <v>-1.319</v>
      </c>
      <c r="BB44" s="77">
        <f>BB45*BB42</f>
        <v>-1.2330596060505161</v>
      </c>
      <c r="BC44" s="76">
        <f>BC45*BC42</f>
        <v>-1.4534359652848208</v>
      </c>
      <c r="BD44" s="76">
        <f>BD45*BD42</f>
        <v>-1.7106600877014282</v>
      </c>
      <c r="BE44" s="76">
        <f>BE45*BE42</f>
        <v>-1.9480418779097481</v>
      </c>
      <c r="BF44" s="76">
        <f>BF45*BF42</f>
        <v>-2.0643875161373351</v>
      </c>
      <c r="BG44" s="76">
        <f>BG45*BG42</f>
        <v>-2.367269286966899</v>
      </c>
      <c r="BH44" s="76">
        <f>BH45*BH42</f>
        <v>-2.7742375957729073</v>
      </c>
      <c r="BI44" s="76">
        <f>BI45*BI42</f>
        <v>-3.0255364630700918</v>
      </c>
      <c r="BJ44" s="76">
        <f>BJ45*BJ42</f>
        <v>-3.1441785273403564</v>
      </c>
      <c r="BK44" s="76">
        <f>BK45*BK42</f>
        <v>-3.4844568940963203</v>
      </c>
      <c r="BL44" s="76">
        <f>BL45*BL42</f>
        <v>-4.0918678829409956</v>
      </c>
      <c r="BM44" s="76">
        <f>BM45*BM42</f>
        <v>-4.3871488641452272</v>
      </c>
      <c r="BN44" s="76">
        <f>BN45*BN42</f>
        <v>-4.5100251844413002</v>
      </c>
      <c r="BO44" s="76">
        <f>BO45*BO42</f>
        <v>-4.9780835666901435</v>
      </c>
      <c r="BP44" s="76">
        <f>BP45*BP42</f>
        <v>-5.8739018971110699</v>
      </c>
      <c r="BQ44" s="76">
        <f>BQ45*BQ42</f>
        <v>-6.2006141511634425</v>
      </c>
      <c r="BR44" s="76">
        <f>BR45*BR42</f>
        <v>-6.2913302165336935</v>
      </c>
    </row>
    <row r="45" spans="1:70" x14ac:dyDescent="0.2">
      <c r="A45" s="161" t="s">
        <v>0</v>
      </c>
      <c r="B45" s="12"/>
      <c r="C45" s="91">
        <f>C44/C42</f>
        <v>0.38000517617480684</v>
      </c>
      <c r="D45" s="91">
        <f>D44/D42</f>
        <v>0.51654224401531634</v>
      </c>
      <c r="E45" s="91">
        <f>E44/E42</f>
        <v>0.51220945765428805</v>
      </c>
      <c r="F45" s="91">
        <f>F44/F42</f>
        <v>0.36512369325062399</v>
      </c>
      <c r="G45" s="91">
        <f>G44/G42</f>
        <v>0.37256011315417259</v>
      </c>
      <c r="H45" s="91">
        <f>H44/H42</f>
        <v>0.40199990148268561</v>
      </c>
      <c r="I45" s="91">
        <f>I44/I42</f>
        <v>0.14714460973489435</v>
      </c>
      <c r="J45" s="91">
        <f>J44/J42</f>
        <v>-0.14553936716823629</v>
      </c>
      <c r="K45" s="112">
        <f>K44/K42</f>
        <v>0.27979519058653757</v>
      </c>
      <c r="L45" s="93">
        <f>L44/L42</f>
        <v>-3.6696900982615275</v>
      </c>
      <c r="M45" s="92">
        <f>M44/M42</f>
        <v>-0.15676305783629807</v>
      </c>
      <c r="N45" s="91">
        <f>N44/N42</f>
        <v>-0.16495747873936967</v>
      </c>
      <c r="O45" s="91">
        <f>O44/O42</f>
        <v>-0.16495747873936967</v>
      </c>
      <c r="P45" s="91">
        <f>P44/P42</f>
        <v>-0.16495747873936967</v>
      </c>
      <c r="Q45" s="91">
        <f>Q44/Q42</f>
        <v>-0.16495747873936967</v>
      </c>
      <c r="R45" s="47"/>
      <c r="S45" s="91">
        <f>S44/S42</f>
        <v>0.45816485225505449</v>
      </c>
      <c r="T45" s="91">
        <f>T44/T42</f>
        <v>0.60197238658777119</v>
      </c>
      <c r="U45" s="91">
        <f>U44/U42</f>
        <v>0.42428035043804757</v>
      </c>
      <c r="V45" s="112">
        <f>V44/V42</f>
        <v>0.53546934179547556</v>
      </c>
      <c r="W45" s="91">
        <f>W44/W42</f>
        <v>0.36430928386694017</v>
      </c>
      <c r="X45" s="91">
        <f>X44/X42</f>
        <v>0.40470588235294114</v>
      </c>
      <c r="Y45" s="91">
        <f>Y44/Y42</f>
        <v>0.35968164963371618</v>
      </c>
      <c r="Z45" s="112">
        <f>Z44/Z42</f>
        <v>0.30128714444620985</v>
      </c>
      <c r="AA45" s="91">
        <f>AA44/AA42</f>
        <v>0.36989114807968781</v>
      </c>
      <c r="AB45" s="91">
        <f>AB44/AB42</f>
        <v>0.37834862385321094</v>
      </c>
      <c r="AC45" s="91">
        <f>AC44/AC42</f>
        <v>0.36912165848336065</v>
      </c>
      <c r="AD45" s="112">
        <f>AD44/AD42</f>
        <v>0.37194450561550313</v>
      </c>
      <c r="AE45" s="91">
        <f>AE44/AE42</f>
        <v>0.34690852010115986</v>
      </c>
      <c r="AF45" s="91">
        <f>AF44/AF42</f>
        <v>0.37339169651147369</v>
      </c>
      <c r="AG45" s="91">
        <f>AG44/AG42</f>
        <v>0.35316239316239317</v>
      </c>
      <c r="AH45" s="112">
        <f>AH44/AH42</f>
        <v>0.23141711229946527</v>
      </c>
      <c r="AI45" s="91">
        <f>AI44/AI42</f>
        <v>0.81134352373290419</v>
      </c>
      <c r="AJ45" s="91">
        <f>AJ44/AJ42</f>
        <v>0.41011157923977964</v>
      </c>
      <c r="AK45" s="91">
        <f>AK44/AK42</f>
        <v>0.39306645475315383</v>
      </c>
      <c r="AL45" s="112">
        <f>AL44/AL42</f>
        <v>7.7877406713239047E-2</v>
      </c>
      <c r="AM45" s="91">
        <f>AM44/AM42</f>
        <v>0.37987456971754602</v>
      </c>
      <c r="AN45" s="91">
        <f>AN44/AN42</f>
        <v>0.42211754630125259</v>
      </c>
      <c r="AO45" s="91">
        <f>AO44/AO42</f>
        <v>0.37672732764479344</v>
      </c>
      <c r="AP45" s="112">
        <f>AP44/AP42</f>
        <v>-0.31962344366838746</v>
      </c>
      <c r="AQ45" s="91">
        <f>AQ44/AQ42</f>
        <v>-0.42950285248573755</v>
      </c>
      <c r="AR45" s="91">
        <f>AR44/AR42</f>
        <v>-0.10770750988142291</v>
      </c>
      <c r="AS45" s="91">
        <f>AS44/AS42</f>
        <v>-0.20039182759585783</v>
      </c>
      <c r="AT45" s="112">
        <f>AT44/AT42</f>
        <v>0.48707920386600051</v>
      </c>
      <c r="AU45" s="91">
        <f>AU44/AU42</f>
        <v>-0.1015774378585086</v>
      </c>
      <c r="AV45" s="91">
        <f>AV44/AV42</f>
        <v>-3.7734627831715208</v>
      </c>
      <c r="AW45" s="112">
        <f>AW44/AW42</f>
        <v>-0.53259259259259251</v>
      </c>
      <c r="AX45" s="91">
        <f>AX44/AX42</f>
        <v>2.3146700031279326</v>
      </c>
      <c r="AY45" s="91">
        <f>AY44/AY42</f>
        <v>-7.0906432748538015E-2</v>
      </c>
      <c r="AZ45" s="91">
        <f>AZ44/AZ42</f>
        <v>-0.23391812865497078</v>
      </c>
      <c r="BA45" s="93">
        <f>BA44/BA42</f>
        <v>-0.16495747873936967</v>
      </c>
      <c r="BB45" s="254">
        <f>BA45</f>
        <v>-0.16495747873936967</v>
      </c>
      <c r="BC45" s="191">
        <f>BB45</f>
        <v>-0.16495747873936967</v>
      </c>
      <c r="BD45" s="191">
        <f>BC45</f>
        <v>-0.16495747873936967</v>
      </c>
      <c r="BE45" s="191">
        <f>BD45</f>
        <v>-0.16495747873936967</v>
      </c>
      <c r="BF45" s="191">
        <f>BE45</f>
        <v>-0.16495747873936967</v>
      </c>
      <c r="BG45" s="191">
        <f>BF45</f>
        <v>-0.16495747873936967</v>
      </c>
      <c r="BH45" s="191">
        <f>BG45</f>
        <v>-0.16495747873936967</v>
      </c>
      <c r="BI45" s="191">
        <f>BH45</f>
        <v>-0.16495747873936967</v>
      </c>
      <c r="BJ45" s="191">
        <f>BI45</f>
        <v>-0.16495747873936967</v>
      </c>
      <c r="BK45" s="191">
        <f>BJ45</f>
        <v>-0.16495747873936967</v>
      </c>
      <c r="BL45" s="191">
        <f>BK45</f>
        <v>-0.16495747873936967</v>
      </c>
      <c r="BM45" s="191">
        <f>BL45</f>
        <v>-0.16495747873936967</v>
      </c>
      <c r="BN45" s="191">
        <f>BM45</f>
        <v>-0.16495747873936967</v>
      </c>
      <c r="BO45" s="191">
        <f>BN45</f>
        <v>-0.16495747873936967</v>
      </c>
      <c r="BP45" s="191">
        <f>BO45</f>
        <v>-0.16495747873936967</v>
      </c>
      <c r="BQ45" s="191">
        <f>BP45</f>
        <v>-0.16495747873936967</v>
      </c>
      <c r="BR45" s="191">
        <f>BQ45</f>
        <v>-0.16495747873936967</v>
      </c>
    </row>
    <row r="46" spans="1:70" x14ac:dyDescent="0.2">
      <c r="A46" s="267"/>
      <c r="B46" s="9"/>
      <c r="C46" s="100"/>
      <c r="D46" s="100"/>
      <c r="E46" s="100"/>
      <c r="F46" s="100"/>
      <c r="G46" s="100"/>
      <c r="H46" s="100"/>
      <c r="I46" s="100"/>
      <c r="J46" s="100"/>
      <c r="K46" s="100"/>
      <c r="L46" s="102"/>
      <c r="M46" s="176"/>
      <c r="N46" s="101"/>
      <c r="O46" s="101"/>
      <c r="P46" s="101"/>
      <c r="Q46" s="101"/>
      <c r="R46" s="46"/>
      <c r="S46" s="100"/>
      <c r="T46" s="100"/>
      <c r="U46" s="100"/>
      <c r="V46" s="100"/>
      <c r="W46" s="100"/>
      <c r="X46" s="100"/>
      <c r="Y46" s="100"/>
      <c r="Z46" s="100"/>
      <c r="AA46" s="100"/>
      <c r="AB46" s="100"/>
      <c r="AC46" s="100"/>
      <c r="AD46" s="100"/>
      <c r="AE46" s="100"/>
      <c r="AF46" s="100"/>
      <c r="AG46" s="100"/>
      <c r="AH46" s="100"/>
      <c r="AI46" s="100"/>
      <c r="AJ46" s="100"/>
      <c r="AK46" s="100"/>
      <c r="AL46" s="100"/>
      <c r="AM46" s="100"/>
      <c r="AN46" s="100"/>
      <c r="AO46" s="100"/>
      <c r="AP46" s="100"/>
      <c r="AQ46" s="100"/>
      <c r="AR46" s="100"/>
      <c r="AS46" s="100"/>
      <c r="AT46" s="100"/>
      <c r="AU46" s="100"/>
      <c r="AV46" s="100"/>
      <c r="AW46" s="100"/>
      <c r="AX46" s="100"/>
      <c r="AY46" s="100"/>
      <c r="AZ46" s="100"/>
      <c r="BA46" s="102"/>
      <c r="BB46" s="103"/>
      <c r="BC46" s="100"/>
      <c r="BD46" s="100"/>
      <c r="BE46" s="100"/>
      <c r="BF46" s="100"/>
      <c r="BG46" s="100"/>
      <c r="BH46" s="100"/>
      <c r="BI46" s="100"/>
      <c r="BJ46" s="100"/>
      <c r="BK46" s="100"/>
      <c r="BL46" s="100"/>
      <c r="BM46" s="100"/>
      <c r="BN46" s="100"/>
      <c r="BO46" s="100"/>
      <c r="BP46" s="100"/>
      <c r="BQ46" s="100"/>
      <c r="BR46" s="100"/>
    </row>
    <row r="47" spans="1:70" x14ac:dyDescent="0.2">
      <c r="A47" s="278" t="s">
        <v>246</v>
      </c>
      <c r="B47" s="17"/>
      <c r="C47" s="97">
        <v>33.537999999999997</v>
      </c>
      <c r="D47" s="97">
        <v>17.55</v>
      </c>
      <c r="E47" s="97">
        <v>9.1289999999999996</v>
      </c>
      <c r="F47" s="97">
        <v>25.689</v>
      </c>
      <c r="G47" s="97">
        <v>24.398</v>
      </c>
      <c r="H47" s="97">
        <v>12.14</v>
      </c>
      <c r="I47" s="97">
        <v>-104.97199999999999</v>
      </c>
      <c r="J47" s="97">
        <v>-249.47900000000001</v>
      </c>
      <c r="K47" s="145">
        <v>-51.902999999999999</v>
      </c>
      <c r="L47" s="145">
        <v>12.356</v>
      </c>
      <c r="M47" s="86">
        <f>SUM(AY47:BB47)</f>
        <v>29.369074473359028</v>
      </c>
      <c r="N47" s="72">
        <f>SUM(BC47:BF47)</f>
        <v>50.681830583104997</v>
      </c>
      <c r="O47" s="72">
        <f>SUM(BG47:BJ47)</f>
        <v>79.881752652308279</v>
      </c>
      <c r="P47" s="72">
        <f>SUM(BK47:BN47)</f>
        <v>116.33862135002738</v>
      </c>
      <c r="Q47" s="72">
        <f>SUM(BO47:BR47)</f>
        <v>164.85876147111992</v>
      </c>
      <c r="R47" s="56"/>
      <c r="S47" s="97">
        <v>1.742</v>
      </c>
      <c r="T47" s="97">
        <v>1.0089999999999999</v>
      </c>
      <c r="U47" s="97">
        <v>1.84</v>
      </c>
      <c r="V47" s="144">
        <f>E47-U47-T47-S47</f>
        <v>4.5379999999999994</v>
      </c>
      <c r="W47" s="97">
        <v>7.1280000000000001</v>
      </c>
      <c r="X47" s="97">
        <v>7.0839999999999996</v>
      </c>
      <c r="Y47" s="97">
        <v>7.08</v>
      </c>
      <c r="Z47" s="144">
        <f>F47-Y47-X47-W47</f>
        <v>4.397000000000002</v>
      </c>
      <c r="AA47" s="97">
        <v>6.1360000000000001</v>
      </c>
      <c r="AB47" s="97">
        <v>6.7759999999999998</v>
      </c>
      <c r="AC47" s="97">
        <v>5.782</v>
      </c>
      <c r="AD47" s="144">
        <f>G47-AC47-AB47-AA47</f>
        <v>5.7039999999999997</v>
      </c>
      <c r="AE47" s="97">
        <v>7.4889999999999999</v>
      </c>
      <c r="AF47" s="97">
        <v>4.7240000000000002</v>
      </c>
      <c r="AG47" s="97">
        <v>5.6760000000000002</v>
      </c>
      <c r="AH47" s="144">
        <f>H47-AG47-AF47-AE47</f>
        <v>-5.7489999999999997</v>
      </c>
      <c r="AI47" s="97">
        <v>0.46899999999999997</v>
      </c>
      <c r="AJ47" s="97">
        <v>-12.741</v>
      </c>
      <c r="AK47" s="97">
        <v>-6.11</v>
      </c>
      <c r="AL47" s="145">
        <v>-86.590999999999994</v>
      </c>
      <c r="AM47" s="97">
        <v>-13.151</v>
      </c>
      <c r="AN47" s="97">
        <v>-10.795999999999999</v>
      </c>
      <c r="AO47" s="97">
        <v>-8.2539999999999996</v>
      </c>
      <c r="AP47" s="145">
        <v>-217.27600000000001</v>
      </c>
      <c r="AQ47" s="97">
        <v>-3.508</v>
      </c>
      <c r="AR47" s="97">
        <v>-19.056999999999999</v>
      </c>
      <c r="AS47" s="97">
        <v>-4.2889999999999997</v>
      </c>
      <c r="AT47" s="145">
        <v>-25.048999999999999</v>
      </c>
      <c r="AU47" s="145">
        <v>4.609</v>
      </c>
      <c r="AV47" s="145">
        <v>1.4750000000000001</v>
      </c>
      <c r="AW47" s="145">
        <v>2.069</v>
      </c>
      <c r="AX47" s="145">
        <v>4.2030000000000003</v>
      </c>
      <c r="AY47" s="145">
        <v>5.86</v>
      </c>
      <c r="AZ47" s="145">
        <v>5.4859999999999998</v>
      </c>
      <c r="BA47" s="155">
        <v>9.3149999999999995</v>
      </c>
      <c r="BB47" s="86">
        <f>BB42-BB44</f>
        <v>8.7080744733590283</v>
      </c>
      <c r="BC47" s="72">
        <f>BC42-BC44</f>
        <v>10.264409413668012</v>
      </c>
      <c r="BD47" s="72">
        <f>BD42-BD44</f>
        <v>12.080969459392573</v>
      </c>
      <c r="BE47" s="72">
        <f>BE42-BE44</f>
        <v>13.757399615412666</v>
      </c>
      <c r="BF47" s="72">
        <f>BF42-BF44</f>
        <v>14.57905209463175</v>
      </c>
      <c r="BG47" s="72">
        <f>BG42-BG44</f>
        <v>16.718054138056608</v>
      </c>
      <c r="BH47" s="72">
        <f>BH42-BH44</f>
        <v>19.59213283140609</v>
      </c>
      <c r="BI47" s="72">
        <f>BI42-BI44</f>
        <v>21.366847728201598</v>
      </c>
      <c r="BJ47" s="72">
        <f>BJ42-BJ44</f>
        <v>22.204717954643989</v>
      </c>
      <c r="BK47" s="72">
        <f>BK42-BK44</f>
        <v>24.607821052696913</v>
      </c>
      <c r="BL47" s="72">
        <f>BL42-BL44</f>
        <v>28.897459688851686</v>
      </c>
      <c r="BM47" s="72">
        <f>BM42-BM44</f>
        <v>30.982783676658677</v>
      </c>
      <c r="BN47" s="72">
        <f>BN42-BN44</f>
        <v>31.850556931820101</v>
      </c>
      <c r="BO47" s="72">
        <f>BO42-BO44</f>
        <v>35.156064005851924</v>
      </c>
      <c r="BP47" s="72">
        <f>BP42-BP44</f>
        <v>41.482483829863241</v>
      </c>
      <c r="BQ47" s="72">
        <f>BQ42-BQ44</f>
        <v>43.789780756700132</v>
      </c>
      <c r="BR47" s="72">
        <f>BR42-BR44</f>
        <v>44.430432878704593</v>
      </c>
    </row>
    <row r="48" spans="1:70" x14ac:dyDescent="0.2">
      <c r="A48" s="291" t="s">
        <v>6</v>
      </c>
      <c r="B48" s="26"/>
      <c r="C48" s="105">
        <f>C47/C4</f>
        <v>5.0227640328281309E-2</v>
      </c>
      <c r="D48" s="105">
        <f>D47/D4</f>
        <v>2.8980002972307996E-2</v>
      </c>
      <c r="E48" s="105">
        <f>E47/E4</f>
        <v>1.6779306808218902E-2</v>
      </c>
      <c r="F48" s="105">
        <f>F47/F4</f>
        <v>4.3951437673442992E-2</v>
      </c>
      <c r="G48" s="105">
        <f>G47/G4</f>
        <v>4.1889005638310294E-2</v>
      </c>
      <c r="H48" s="105">
        <f>H47/H4</f>
        <v>2.0470345820693937E-2</v>
      </c>
      <c r="I48" s="105">
        <f>I47/I4</f>
        <v>-0.12693122966291373</v>
      </c>
      <c r="J48" s="105">
        <f>J47/J4</f>
        <v>-0.29027547658053465</v>
      </c>
      <c r="K48" s="105">
        <f>K47/K4</f>
        <v>-5.3236685443736484E-2</v>
      </c>
      <c r="L48" s="109">
        <f>L47/L4</f>
        <v>2.6316518109112595E-2</v>
      </c>
      <c r="M48" s="104">
        <f>M47/M4</f>
        <v>5.6473530301535985E-2</v>
      </c>
      <c r="N48" s="105">
        <f>N47/N4</f>
        <v>8.5167786960487546E-2</v>
      </c>
      <c r="O48" s="105">
        <f>O47/O4</f>
        <v>0.11115265814135357</v>
      </c>
      <c r="P48" s="105">
        <f>P47/P4</f>
        <v>0.1332682124918845</v>
      </c>
      <c r="Q48" s="105">
        <f>Q47/Q4</f>
        <v>0.15288464770016857</v>
      </c>
      <c r="R48" s="53"/>
      <c r="S48" s="105">
        <f>S47/S4</f>
        <v>1.2962370432103817E-2</v>
      </c>
      <c r="T48" s="105">
        <f>T47/T4</f>
        <v>7.471196279951426E-3</v>
      </c>
      <c r="U48" s="105">
        <f>U47/U4</f>
        <v>1.3441645724972241E-2</v>
      </c>
      <c r="V48" s="105">
        <f>V47/V4</f>
        <v>3.2947565597455979E-2</v>
      </c>
      <c r="W48" s="105">
        <f>W47/W4</f>
        <v>4.7184986595174262E-2</v>
      </c>
      <c r="X48" s="105">
        <f>X47/X4</f>
        <v>4.8038517614349165E-2</v>
      </c>
      <c r="Y48" s="105">
        <f>Y47/Y4</f>
        <v>4.7255446390431437E-2</v>
      </c>
      <c r="Z48" s="105">
        <f>Z47/Z4</f>
        <v>3.2299532806393805E-2</v>
      </c>
      <c r="AA48" s="105">
        <f>AA47/AA4</f>
        <v>4.1792102001062509E-2</v>
      </c>
      <c r="AB48" s="105">
        <f>AB47/AB4</f>
        <v>4.5456375028510861E-2</v>
      </c>
      <c r="AC48" s="105">
        <f>AC47/AC4</f>
        <v>3.9575362249402814E-2</v>
      </c>
      <c r="AD48" s="105">
        <f>AD47/AD4</f>
        <v>4.0610871809476361E-2</v>
      </c>
      <c r="AE48" s="105">
        <f>AE47/AE4</f>
        <v>4.9737333218215989E-2</v>
      </c>
      <c r="AF48" s="105">
        <f>AF47/AF4</f>
        <v>3.2591447849543972E-2</v>
      </c>
      <c r="AG48" s="105">
        <f>AG47/AG4</f>
        <v>3.9015404073384156E-2</v>
      </c>
      <c r="AH48" s="105">
        <f>AH47/AH4</f>
        <v>-3.7808687645917598E-2</v>
      </c>
      <c r="AI48" s="105">
        <f>AI47/AI4</f>
        <v>2.2605351057727991E-3</v>
      </c>
      <c r="AJ48" s="105">
        <f>AJ47/AJ4</f>
        <v>-6.1740419840669879E-2</v>
      </c>
      <c r="AK48" s="105">
        <f>AK47/AK4</f>
        <v>-2.9270021940540177E-2</v>
      </c>
      <c r="AL48" s="105">
        <f>AL47/AL4</f>
        <v>-0.42360187069505323</v>
      </c>
      <c r="AM48" s="105">
        <f>AM47/AM4</f>
        <v>-6.3911473545577802E-2</v>
      </c>
      <c r="AN48" s="105">
        <f>AN47/AN4</f>
        <v>-5.044859813084112E-2</v>
      </c>
      <c r="AO48" s="105">
        <f>AO47/AO4</f>
        <v>-3.7150560138988285E-2</v>
      </c>
      <c r="AP48" s="105">
        <f>AP47/AP4</f>
        <v>-0.99891959487106408</v>
      </c>
      <c r="AQ48" s="105">
        <f>AQ47/AQ4</f>
        <v>-1.476822558169885E-2</v>
      </c>
      <c r="AR48" s="105">
        <f>AR47/AR4</f>
        <v>-7.8673161870949096E-2</v>
      </c>
      <c r="AS48" s="105">
        <f>AS47/AS4</f>
        <v>-1.7341764986535769E-2</v>
      </c>
      <c r="AT48" s="105">
        <f>AT47/AT4</f>
        <v>-0.1010614906055459</v>
      </c>
      <c r="AU48" s="105">
        <f>AU47/AU4</f>
        <v>4.1522148449113068E-2</v>
      </c>
      <c r="AV48" s="105">
        <f>AV47/AV4</f>
        <v>1.242816939384237E-2</v>
      </c>
      <c r="AW48" s="105">
        <f>AW47/AW4</f>
        <v>1.7194382115848086E-2</v>
      </c>
      <c r="AX48" s="105">
        <f>AX47/AX4</f>
        <v>3.517095948184968E-2</v>
      </c>
      <c r="AY48" s="105">
        <f>AY47/AY4</f>
        <v>4.7343970914966671E-2</v>
      </c>
      <c r="AZ48" s="105">
        <f>AZ47/AZ4</f>
        <v>4.2295653246573021E-2</v>
      </c>
      <c r="BA48" s="109">
        <f>BA47/BA4</f>
        <v>6.9220994434082139E-2</v>
      </c>
      <c r="BB48" s="104">
        <f>BB47/BB4</f>
        <v>6.5970128061950073E-2</v>
      </c>
      <c r="BC48" s="105">
        <f>BC47/BC4</f>
        <v>7.4064600012075127E-2</v>
      </c>
      <c r="BD48" s="105">
        <f>BD47/BD4</f>
        <v>8.2590458298967717E-2</v>
      </c>
      <c r="BE48" s="105">
        <f>BE47/BE4</f>
        <v>8.9700205985606338E-2</v>
      </c>
      <c r="BF48" s="105">
        <f>BF47/BF4</f>
        <v>9.294994631495275E-2</v>
      </c>
      <c r="BG48" s="105">
        <f>BG47/BG4</f>
        <v>0.10077098390743229</v>
      </c>
      <c r="BH48" s="105">
        <f>BH47/BH4</f>
        <v>0.11002759173040794</v>
      </c>
      <c r="BI48" s="105">
        <f>BI47/BI4</f>
        <v>0.11513744174474626</v>
      </c>
      <c r="BJ48" s="105">
        <f>BJ47/BJ4</f>
        <v>0.11740883292669478</v>
      </c>
      <c r="BK48" s="105">
        <f>BK47/BK4</f>
        <v>0.12347504359182172</v>
      </c>
      <c r="BL48" s="105">
        <f>BL47/BL4</f>
        <v>0.1328929077215826</v>
      </c>
      <c r="BM48" s="105">
        <f>BM47/BM4</f>
        <v>0.13692529727443339</v>
      </c>
      <c r="BN48" s="105">
        <f>BN47/BN4</f>
        <v>0.1385121029965419</v>
      </c>
      <c r="BO48" s="105">
        <f>BO47/BO4</f>
        <v>0.14411887568291859</v>
      </c>
      <c r="BP48" s="105">
        <f>BP47/BP4</f>
        <v>0.15323377603994681</v>
      </c>
      <c r="BQ48" s="105">
        <f>BQ47/BQ4</f>
        <v>0.1561249642668523</v>
      </c>
      <c r="BR48" s="105">
        <f>BR47/BR4</f>
        <v>0.15689237290585878</v>
      </c>
    </row>
    <row r="49" spans="1:70" x14ac:dyDescent="0.2">
      <c r="A49" s="65" t="s">
        <v>7</v>
      </c>
      <c r="B49" s="13"/>
      <c r="C49" s="88">
        <f>C42-C44-C47</f>
        <v>0</v>
      </c>
      <c r="D49" s="88">
        <f>D42-D44-D47</f>
        <v>0</v>
      </c>
      <c r="E49" s="88">
        <f>E42-E44-E47</f>
        <v>0</v>
      </c>
      <c r="F49" s="88">
        <f>F42-F44-F47</f>
        <v>0</v>
      </c>
      <c r="G49" s="88">
        <f>G42-G44-G47</f>
        <v>0</v>
      </c>
      <c r="H49" s="88">
        <f>H42-H44-H47</f>
        <v>0</v>
      </c>
      <c r="I49" s="88">
        <f>I42-I44-I47</f>
        <v>0</v>
      </c>
      <c r="J49" s="88">
        <f>J42-J44-J47</f>
        <v>0</v>
      </c>
      <c r="K49" s="88">
        <f>K42-K44-K47</f>
        <v>0</v>
      </c>
      <c r="L49" s="90">
        <f>L42-L44-L47</f>
        <v>0</v>
      </c>
      <c r="M49" s="89">
        <f>M42-M44-M47</f>
        <v>0</v>
      </c>
      <c r="N49" s="88">
        <f>N42-N44-N47</f>
        <v>0</v>
      </c>
      <c r="O49" s="88">
        <f>O42-O44-O47</f>
        <v>0</v>
      </c>
      <c r="P49" s="88">
        <f>P42-P44-P47</f>
        <v>0</v>
      </c>
      <c r="Q49" s="88">
        <f>Q42-Q44-Q47</f>
        <v>0</v>
      </c>
      <c r="R49" s="50"/>
      <c r="S49" s="88">
        <f>S42-S44-S47</f>
        <v>0</v>
      </c>
      <c r="T49" s="88">
        <f>T42-T44-T47</f>
        <v>0</v>
      </c>
      <c r="U49" s="88">
        <f>U42-U44-U47</f>
        <v>0</v>
      </c>
      <c r="V49" s="88">
        <f>V42-V44-V47</f>
        <v>0</v>
      </c>
      <c r="W49" s="88">
        <f>W42-W44-W47</f>
        <v>0</v>
      </c>
      <c r="X49" s="88">
        <f>X42-X44-X47</f>
        <v>0</v>
      </c>
      <c r="Y49" s="88">
        <f>Y42-Y44-Y47</f>
        <v>0</v>
      </c>
      <c r="Z49" s="88">
        <f>Z42-Z44-Z47</f>
        <v>0</v>
      </c>
      <c r="AA49" s="88">
        <f>AA42-AA44-AA47</f>
        <v>0</v>
      </c>
      <c r="AB49" s="88">
        <f>AB42-AB44-AB47</f>
        <v>0</v>
      </c>
      <c r="AC49" s="88">
        <f>AC42-AC44-AC47</f>
        <v>0</v>
      </c>
      <c r="AD49" s="88">
        <f>AD42-AD44-AD47</f>
        <v>0</v>
      </c>
      <c r="AE49" s="88">
        <f>AE42-AE44-AE47</f>
        <v>0</v>
      </c>
      <c r="AF49" s="88">
        <f>AF42-AF44-AF47</f>
        <v>0</v>
      </c>
      <c r="AG49" s="88">
        <f>AG42-AG44-AG47</f>
        <v>0</v>
      </c>
      <c r="AH49" s="88">
        <f>AH42-AH44-AH47</f>
        <v>0</v>
      </c>
      <c r="AI49" s="88">
        <f>AI42-AI44-AI47</f>
        <v>0</v>
      </c>
      <c r="AJ49" s="88">
        <f>AJ42-AJ44-AJ47</f>
        <v>0</v>
      </c>
      <c r="AK49" s="88">
        <f>AK42-AK44-AK47</f>
        <v>0</v>
      </c>
      <c r="AL49" s="88">
        <f>AL42-AL44-AL47</f>
        <v>0</v>
      </c>
      <c r="AM49" s="88">
        <f>AM42-AM44-AM47</f>
        <v>0</v>
      </c>
      <c r="AN49" s="88">
        <f>AN42-AN44-AN47</f>
        <v>0</v>
      </c>
      <c r="AO49" s="88">
        <f>AO42-AO44-AO47</f>
        <v>0</v>
      </c>
      <c r="AP49" s="88">
        <f>AP42-AP44-AP47</f>
        <v>0</v>
      </c>
      <c r="AQ49" s="88">
        <f>AQ42-AQ44-AQ47</f>
        <v>0</v>
      </c>
      <c r="AR49" s="88">
        <f>AR42-AR44-AR47</f>
        <v>0</v>
      </c>
      <c r="AS49" s="88">
        <f>AS42-AS44-AS47</f>
        <v>0</v>
      </c>
      <c r="AT49" s="88">
        <f>AT42-AT44-AT47</f>
        <v>0</v>
      </c>
      <c r="AU49" s="88">
        <f>AU42-AU44-AU47</f>
        <v>0</v>
      </c>
      <c r="AV49" s="88">
        <f>AV42-AV44-AV47</f>
        <v>0</v>
      </c>
      <c r="AW49" s="88">
        <f>AW42-AW44-AW47</f>
        <v>0</v>
      </c>
      <c r="AX49" s="88">
        <f>AX42-AX44-AX47</f>
        <v>0</v>
      </c>
      <c r="AY49" s="88">
        <f>AY42-AY44-AY47</f>
        <v>0</v>
      </c>
      <c r="AZ49" s="88">
        <f>AZ42-AZ44-AZ47</f>
        <v>0</v>
      </c>
      <c r="BA49" s="90">
        <f>BA42-BA44-BA47</f>
        <v>0</v>
      </c>
      <c r="BB49" s="89">
        <f>BB42-BB44-BB47</f>
        <v>0</v>
      </c>
      <c r="BC49" s="88">
        <f>BC42-BC44-BC47</f>
        <v>0</v>
      </c>
      <c r="BD49" s="88">
        <f>BD42-BD44-BD47</f>
        <v>0</v>
      </c>
      <c r="BE49" s="88">
        <f>BE42-BE44-BE47</f>
        <v>0</v>
      </c>
      <c r="BF49" s="88">
        <f>BF42-BF44-BF47</f>
        <v>0</v>
      </c>
      <c r="BG49" s="88">
        <f>BG42-BG44-BG47</f>
        <v>0</v>
      </c>
      <c r="BH49" s="88">
        <f>BH42-BH44-BH47</f>
        <v>0</v>
      </c>
      <c r="BI49" s="88">
        <f>BI42-BI44-BI47</f>
        <v>0</v>
      </c>
      <c r="BJ49" s="88">
        <f>BJ42-BJ44-BJ47</f>
        <v>0</v>
      </c>
      <c r="BK49" s="88">
        <f>BK42-BK44-BK47</f>
        <v>0</v>
      </c>
      <c r="BL49" s="88">
        <f>BL42-BL44-BL47</f>
        <v>0</v>
      </c>
      <c r="BM49" s="88">
        <f>BM42-BM44-BM47</f>
        <v>0</v>
      </c>
      <c r="BN49" s="88">
        <f>BN42-BN44-BN47</f>
        <v>0</v>
      </c>
      <c r="BO49" s="88">
        <f>BO42-BO44-BO47</f>
        <v>0</v>
      </c>
      <c r="BP49" s="88">
        <f>BP42-BP44-BP47</f>
        <v>0</v>
      </c>
      <c r="BQ49" s="88">
        <f>BQ42-BQ44-BQ47</f>
        <v>0</v>
      </c>
      <c r="BR49" s="88">
        <f>BR42-BR44-BR47</f>
        <v>0</v>
      </c>
    </row>
    <row r="50" spans="1:70" x14ac:dyDescent="0.2">
      <c r="A50" s="267"/>
      <c r="B50" s="9"/>
      <c r="C50" s="100"/>
      <c r="D50" s="100"/>
      <c r="E50" s="100"/>
      <c r="F50" s="100"/>
      <c r="G50" s="100"/>
      <c r="H50" s="100"/>
      <c r="I50" s="100"/>
      <c r="J50" s="100"/>
      <c r="K50" s="100"/>
      <c r="L50" s="102"/>
      <c r="M50" s="176"/>
      <c r="N50" s="101"/>
      <c r="O50" s="101"/>
      <c r="P50" s="101"/>
      <c r="Q50" s="101"/>
      <c r="R50" s="46"/>
      <c r="S50" s="100"/>
      <c r="T50" s="100"/>
      <c r="U50" s="100"/>
      <c r="V50" s="100"/>
      <c r="W50" s="100"/>
      <c r="X50" s="100"/>
      <c r="Y50" s="100"/>
      <c r="Z50" s="100"/>
      <c r="AA50" s="100"/>
      <c r="AB50" s="100"/>
      <c r="AC50" s="100"/>
      <c r="AD50" s="100"/>
      <c r="AE50" s="100"/>
      <c r="AF50" s="100"/>
      <c r="AG50" s="100"/>
      <c r="AH50" s="100"/>
      <c r="AI50" s="100"/>
      <c r="AJ50" s="100"/>
      <c r="AK50" s="100"/>
      <c r="AL50" s="100"/>
      <c r="AM50" s="100"/>
      <c r="AN50" s="100"/>
      <c r="AO50" s="100"/>
      <c r="AP50" s="100"/>
      <c r="AQ50" s="100"/>
      <c r="AR50" s="100"/>
      <c r="AS50" s="100"/>
      <c r="AT50" s="100"/>
      <c r="AU50" s="100"/>
      <c r="AV50" s="100"/>
      <c r="AW50" s="100"/>
      <c r="AX50" s="100"/>
      <c r="AY50" s="100"/>
      <c r="AZ50" s="100"/>
      <c r="BA50" s="102"/>
      <c r="BB50" s="103"/>
      <c r="BC50" s="100"/>
      <c r="BD50" s="100"/>
      <c r="BE50" s="100"/>
      <c r="BF50" s="100"/>
      <c r="BG50" s="100"/>
      <c r="BH50" s="100"/>
      <c r="BI50" s="100"/>
      <c r="BJ50" s="100"/>
      <c r="BK50" s="100"/>
      <c r="BL50" s="100"/>
      <c r="BM50" s="100"/>
      <c r="BN50" s="100"/>
      <c r="BO50" s="100"/>
      <c r="BP50" s="100"/>
      <c r="BQ50" s="100"/>
      <c r="BR50" s="100"/>
    </row>
    <row r="51" spans="1:70" x14ac:dyDescent="0.2">
      <c r="A51" s="267" t="s">
        <v>247</v>
      </c>
      <c r="B51" s="9"/>
      <c r="C51" s="80">
        <v>0</v>
      </c>
      <c r="D51" s="80">
        <v>-5.6000000000000001E-2</v>
      </c>
      <c r="E51" s="80">
        <v>0</v>
      </c>
      <c r="F51" s="80">
        <v>0</v>
      </c>
      <c r="G51" s="80">
        <v>0</v>
      </c>
      <c r="H51" s="80">
        <v>0</v>
      </c>
      <c r="I51" s="80">
        <v>0</v>
      </c>
      <c r="J51" s="80">
        <v>0</v>
      </c>
      <c r="K51" s="80">
        <v>0</v>
      </c>
      <c r="L51" s="142">
        <v>0</v>
      </c>
      <c r="M51" s="77">
        <f>SUM(AY51:BB51)</f>
        <v>0</v>
      </c>
      <c r="N51" s="76">
        <f>SUM(BC51:BF51)</f>
        <v>0</v>
      </c>
      <c r="O51" s="76">
        <f>SUM(BG51:BJ51)</f>
        <v>0</v>
      </c>
      <c r="P51" s="76">
        <f>SUM(BK51:BN51)</f>
        <v>0</v>
      </c>
      <c r="Q51" s="76">
        <f>SUM(BO51:BR51)</f>
        <v>0</v>
      </c>
      <c r="R51" s="46"/>
      <c r="S51" s="80">
        <v>0</v>
      </c>
      <c r="T51" s="80">
        <v>0</v>
      </c>
      <c r="U51" s="80">
        <v>0</v>
      </c>
      <c r="V51" s="80">
        <v>0</v>
      </c>
      <c r="W51" s="80">
        <v>0</v>
      </c>
      <c r="X51" s="80">
        <v>0</v>
      </c>
      <c r="Y51" s="80">
        <v>0</v>
      </c>
      <c r="Z51" s="80">
        <v>0</v>
      </c>
      <c r="AA51" s="80">
        <v>0</v>
      </c>
      <c r="AB51" s="80">
        <v>0</v>
      </c>
      <c r="AC51" s="80">
        <v>0</v>
      </c>
      <c r="AD51" s="80">
        <v>0</v>
      </c>
      <c r="AE51" s="80">
        <v>0</v>
      </c>
      <c r="AF51" s="80">
        <v>0</v>
      </c>
      <c r="AG51" s="80">
        <v>0</v>
      </c>
      <c r="AH51" s="80">
        <v>0</v>
      </c>
      <c r="AI51" s="80">
        <v>0</v>
      </c>
      <c r="AJ51" s="80">
        <v>0</v>
      </c>
      <c r="AK51" s="80">
        <v>0</v>
      </c>
      <c r="AL51" s="80">
        <v>0</v>
      </c>
      <c r="AM51" s="80">
        <v>0</v>
      </c>
      <c r="AN51" s="80">
        <v>0</v>
      </c>
      <c r="AO51" s="80">
        <v>0</v>
      </c>
      <c r="AP51" s="80">
        <v>0</v>
      </c>
      <c r="AQ51" s="80">
        <v>0</v>
      </c>
      <c r="AR51" s="80">
        <v>0</v>
      </c>
      <c r="AS51" s="80">
        <v>0</v>
      </c>
      <c r="AT51" s="80">
        <v>0</v>
      </c>
      <c r="AU51" s="80">
        <v>0</v>
      </c>
      <c r="AV51" s="80">
        <v>0</v>
      </c>
      <c r="AW51" s="142">
        <v>0</v>
      </c>
      <c r="AX51" s="142">
        <v>0</v>
      </c>
      <c r="AY51" s="142">
        <v>0</v>
      </c>
      <c r="AZ51" s="142">
        <v>0</v>
      </c>
      <c r="BA51" s="153">
        <v>0</v>
      </c>
      <c r="BB51" s="172">
        <f>BA51</f>
        <v>0</v>
      </c>
      <c r="BC51" s="157">
        <f>BB51</f>
        <v>0</v>
      </c>
      <c r="BD51" s="157">
        <f>BC51</f>
        <v>0</v>
      </c>
      <c r="BE51" s="157">
        <f>BD51</f>
        <v>0</v>
      </c>
      <c r="BF51" s="157">
        <f>BE51</f>
        <v>0</v>
      </c>
      <c r="BG51" s="157">
        <f>BF51</f>
        <v>0</v>
      </c>
      <c r="BH51" s="157">
        <f>BG51</f>
        <v>0</v>
      </c>
      <c r="BI51" s="157">
        <f>BH51</f>
        <v>0</v>
      </c>
      <c r="BJ51" s="157">
        <f>BI51</f>
        <v>0</v>
      </c>
      <c r="BK51" s="157">
        <f>BJ51</f>
        <v>0</v>
      </c>
      <c r="BL51" s="157">
        <f>BK51</f>
        <v>0</v>
      </c>
      <c r="BM51" s="157">
        <f>BL51</f>
        <v>0</v>
      </c>
      <c r="BN51" s="157">
        <f>BM51</f>
        <v>0</v>
      </c>
      <c r="BO51" s="157">
        <f>BN51</f>
        <v>0</v>
      </c>
      <c r="BP51" s="157">
        <f>BO51</f>
        <v>0</v>
      </c>
      <c r="BQ51" s="157">
        <f>BP51</f>
        <v>0</v>
      </c>
      <c r="BR51" s="157">
        <f>BQ51</f>
        <v>0</v>
      </c>
    </row>
    <row r="52" spans="1:70" x14ac:dyDescent="0.2">
      <c r="A52" s="267" t="s">
        <v>248</v>
      </c>
      <c r="B52" s="9"/>
      <c r="C52" s="80">
        <v>4.3999999999999997E-2</v>
      </c>
      <c r="D52" s="80">
        <v>0</v>
      </c>
      <c r="E52" s="80">
        <v>0</v>
      </c>
      <c r="F52" s="80">
        <v>0</v>
      </c>
      <c r="G52" s="80">
        <v>0</v>
      </c>
      <c r="H52" s="80">
        <v>0</v>
      </c>
      <c r="I52" s="80">
        <v>0</v>
      </c>
      <c r="J52" s="80">
        <v>0</v>
      </c>
      <c r="K52" s="80">
        <v>0</v>
      </c>
      <c r="L52" s="142">
        <v>0</v>
      </c>
      <c r="M52" s="77">
        <f>SUM(AY52:BB52)</f>
        <v>0</v>
      </c>
      <c r="N52" s="76">
        <f>SUM(BC52:BF52)</f>
        <v>0</v>
      </c>
      <c r="O52" s="76">
        <f>SUM(BG52:BJ52)</f>
        <v>0</v>
      </c>
      <c r="P52" s="76">
        <f>SUM(BK52:BN52)</f>
        <v>0</v>
      </c>
      <c r="Q52" s="76">
        <f>SUM(BO52:BR52)</f>
        <v>0</v>
      </c>
      <c r="R52" s="46"/>
      <c r="S52" s="80">
        <v>0</v>
      </c>
      <c r="T52" s="80">
        <v>0</v>
      </c>
      <c r="U52" s="80">
        <v>0</v>
      </c>
      <c r="V52" s="80">
        <v>0</v>
      </c>
      <c r="W52" s="80">
        <v>0</v>
      </c>
      <c r="X52" s="80">
        <v>0</v>
      </c>
      <c r="Y52" s="80">
        <v>0</v>
      </c>
      <c r="Z52" s="80">
        <v>0</v>
      </c>
      <c r="AA52" s="80">
        <v>0</v>
      </c>
      <c r="AB52" s="80">
        <v>0</v>
      </c>
      <c r="AC52" s="80">
        <v>0</v>
      </c>
      <c r="AD52" s="80">
        <v>0</v>
      </c>
      <c r="AE52" s="80">
        <v>0</v>
      </c>
      <c r="AF52" s="80">
        <v>0</v>
      </c>
      <c r="AG52" s="80">
        <v>0</v>
      </c>
      <c r="AH52" s="80">
        <v>0</v>
      </c>
      <c r="AI52" s="80">
        <v>0</v>
      </c>
      <c r="AJ52" s="80">
        <v>0</v>
      </c>
      <c r="AK52" s="80">
        <v>0</v>
      </c>
      <c r="AL52" s="80">
        <v>0</v>
      </c>
      <c r="AM52" s="80">
        <v>0</v>
      </c>
      <c r="AN52" s="80">
        <v>0</v>
      </c>
      <c r="AO52" s="80">
        <v>0</v>
      </c>
      <c r="AP52" s="80">
        <v>0</v>
      </c>
      <c r="AQ52" s="80">
        <v>0</v>
      </c>
      <c r="AR52" s="80">
        <v>0</v>
      </c>
      <c r="AS52" s="80">
        <v>0</v>
      </c>
      <c r="AT52" s="80">
        <v>0</v>
      </c>
      <c r="AU52" s="80">
        <v>0</v>
      </c>
      <c r="AV52" s="80">
        <v>0</v>
      </c>
      <c r="AW52" s="142">
        <v>0</v>
      </c>
      <c r="AX52" s="142">
        <v>0</v>
      </c>
      <c r="AY52" s="142">
        <v>0</v>
      </c>
      <c r="AZ52" s="142">
        <v>0</v>
      </c>
      <c r="BA52" s="153">
        <v>0</v>
      </c>
      <c r="BB52" s="172">
        <f>BA52</f>
        <v>0</v>
      </c>
      <c r="BC52" s="157">
        <f>BB52</f>
        <v>0</v>
      </c>
      <c r="BD52" s="157">
        <f>BC52</f>
        <v>0</v>
      </c>
      <c r="BE52" s="157">
        <f>BD52</f>
        <v>0</v>
      </c>
      <c r="BF52" s="157">
        <f>BE52</f>
        <v>0</v>
      </c>
      <c r="BG52" s="157">
        <f>BF52</f>
        <v>0</v>
      </c>
      <c r="BH52" s="157">
        <f>BG52</f>
        <v>0</v>
      </c>
      <c r="BI52" s="157">
        <f>BH52</f>
        <v>0</v>
      </c>
      <c r="BJ52" s="157">
        <f>BI52</f>
        <v>0</v>
      </c>
      <c r="BK52" s="157">
        <f>BJ52</f>
        <v>0</v>
      </c>
      <c r="BL52" s="157">
        <f>BK52</f>
        <v>0</v>
      </c>
      <c r="BM52" s="157">
        <f>BL52</f>
        <v>0</v>
      </c>
      <c r="BN52" s="157">
        <f>BM52</f>
        <v>0</v>
      </c>
      <c r="BO52" s="157">
        <f>BN52</f>
        <v>0</v>
      </c>
      <c r="BP52" s="157">
        <f>BO52</f>
        <v>0</v>
      </c>
      <c r="BQ52" s="157">
        <f>BP52</f>
        <v>0</v>
      </c>
      <c r="BR52" s="157">
        <f>BQ52</f>
        <v>0</v>
      </c>
    </row>
    <row r="53" spans="1:70" x14ac:dyDescent="0.2">
      <c r="A53" s="267"/>
      <c r="B53" s="9"/>
      <c r="C53" s="100"/>
      <c r="D53" s="100"/>
      <c r="E53" s="100"/>
      <c r="F53" s="100"/>
      <c r="G53" s="100"/>
      <c r="H53" s="100"/>
      <c r="I53" s="100"/>
      <c r="J53" s="100"/>
      <c r="K53" s="100"/>
      <c r="L53" s="102"/>
      <c r="M53" s="176"/>
      <c r="N53" s="101"/>
      <c r="O53" s="101"/>
      <c r="P53" s="101"/>
      <c r="Q53" s="101"/>
      <c r="R53" s="46"/>
      <c r="S53" s="100"/>
      <c r="T53" s="100"/>
      <c r="U53" s="100"/>
      <c r="V53" s="100"/>
      <c r="W53" s="100"/>
      <c r="X53" s="100"/>
      <c r="Y53" s="100"/>
      <c r="Z53" s="100"/>
      <c r="AA53" s="100"/>
      <c r="AB53" s="100"/>
      <c r="AC53" s="100"/>
      <c r="AD53" s="100"/>
      <c r="AE53" s="100"/>
      <c r="AF53" s="100"/>
      <c r="AG53" s="100"/>
      <c r="AH53" s="100"/>
      <c r="AI53" s="100"/>
      <c r="AJ53" s="100"/>
      <c r="AK53" s="100"/>
      <c r="AL53" s="100"/>
      <c r="AM53" s="100"/>
      <c r="AN53" s="100"/>
      <c r="AO53" s="100"/>
      <c r="AP53" s="100"/>
      <c r="AQ53" s="100"/>
      <c r="AR53" s="100"/>
      <c r="AS53" s="100"/>
      <c r="AT53" s="100"/>
      <c r="AU53" s="100"/>
      <c r="AV53" s="100"/>
      <c r="AW53" s="100"/>
      <c r="AX53" s="100"/>
      <c r="AY53" s="100"/>
      <c r="AZ53" s="100"/>
      <c r="BA53" s="102"/>
      <c r="BB53" s="103"/>
      <c r="BC53" s="100"/>
      <c r="BD53" s="100"/>
      <c r="BE53" s="100"/>
      <c r="BF53" s="100"/>
      <c r="BG53" s="100"/>
      <c r="BH53" s="100"/>
      <c r="BI53" s="100"/>
      <c r="BJ53" s="100"/>
      <c r="BK53" s="100"/>
      <c r="BL53" s="100"/>
      <c r="BM53" s="100"/>
      <c r="BN53" s="100"/>
      <c r="BO53" s="100"/>
      <c r="BP53" s="100"/>
      <c r="BQ53" s="100"/>
      <c r="BR53" s="100"/>
    </row>
    <row r="54" spans="1:70" x14ac:dyDescent="0.2">
      <c r="A54" s="278" t="s">
        <v>122</v>
      </c>
      <c r="B54" s="17"/>
      <c r="C54" s="97">
        <v>33.582000000000001</v>
      </c>
      <c r="D54" s="97">
        <v>17.494</v>
      </c>
      <c r="E54" s="144">
        <f>E47+E51+E52</f>
        <v>9.1289999999999996</v>
      </c>
      <c r="F54" s="144">
        <f>F47+F51+F52</f>
        <v>25.689</v>
      </c>
      <c r="G54" s="144">
        <f>G47+G51+G52</f>
        <v>24.398</v>
      </c>
      <c r="H54" s="144">
        <f>H47+H51+H52</f>
        <v>12.14</v>
      </c>
      <c r="I54" s="144">
        <f>I47+I51+I52</f>
        <v>-104.97199999999999</v>
      </c>
      <c r="J54" s="144">
        <f>J47+J51+J52</f>
        <v>-249.47900000000001</v>
      </c>
      <c r="K54" s="144">
        <f>K47+K51+K52</f>
        <v>-51.902999999999999</v>
      </c>
      <c r="L54" s="144">
        <f>L47+L51+L52</f>
        <v>12.356</v>
      </c>
      <c r="M54" s="86">
        <f>SUM(AY54:BB54)</f>
        <v>29.369074473359028</v>
      </c>
      <c r="N54" s="72">
        <f>SUM(BC54:BF54)</f>
        <v>50.681830583104997</v>
      </c>
      <c r="O54" s="72">
        <f>SUM(BG54:BJ54)</f>
        <v>79.881752652308279</v>
      </c>
      <c r="P54" s="72">
        <f>SUM(BK54:BN54)</f>
        <v>116.33862135002738</v>
      </c>
      <c r="Q54" s="72">
        <f>SUM(BO54:BR54)</f>
        <v>164.85876147111992</v>
      </c>
      <c r="R54" s="56"/>
      <c r="S54" s="144">
        <f>S47+S51+S52</f>
        <v>1.742</v>
      </c>
      <c r="T54" s="144">
        <f>T47+T51+T52</f>
        <v>1.0089999999999999</v>
      </c>
      <c r="U54" s="144">
        <f>U47+U51+U52</f>
        <v>1.84</v>
      </c>
      <c r="V54" s="144">
        <f>V47+V51+V52</f>
        <v>4.5379999999999994</v>
      </c>
      <c r="W54" s="144">
        <f>W47+W51+W52</f>
        <v>7.1280000000000001</v>
      </c>
      <c r="X54" s="144">
        <f>X47+X51+X52</f>
        <v>7.0839999999999996</v>
      </c>
      <c r="Y54" s="144">
        <f>Y47+Y51+Y52</f>
        <v>7.08</v>
      </c>
      <c r="Z54" s="144">
        <f>Z47+Z51+Z52</f>
        <v>4.397000000000002</v>
      </c>
      <c r="AA54" s="144">
        <f>AA47+AA51+AA52</f>
        <v>6.1360000000000001</v>
      </c>
      <c r="AB54" s="144">
        <f>AB47+AB51+AB52</f>
        <v>6.7759999999999998</v>
      </c>
      <c r="AC54" s="144">
        <f>AC47+AC51+AC52</f>
        <v>5.782</v>
      </c>
      <c r="AD54" s="144">
        <f>AD47+AD51+AD52</f>
        <v>5.7039999999999997</v>
      </c>
      <c r="AE54" s="144">
        <f>AE47+AE51+AE52</f>
        <v>7.4889999999999999</v>
      </c>
      <c r="AF54" s="144">
        <f>AF47+AF51+AF52</f>
        <v>4.7240000000000002</v>
      </c>
      <c r="AG54" s="144">
        <f>AG47+AG51+AG52</f>
        <v>5.6760000000000002</v>
      </c>
      <c r="AH54" s="144">
        <f>AH47+AH51+AH52</f>
        <v>-5.7489999999999997</v>
      </c>
      <c r="AI54" s="144">
        <f>AI47+AI51+AI52</f>
        <v>0.46899999999999997</v>
      </c>
      <c r="AJ54" s="144">
        <f>AJ47+AJ51+AJ52</f>
        <v>-12.741</v>
      </c>
      <c r="AK54" s="144">
        <f>AK47+AK51+AK52</f>
        <v>-6.11</v>
      </c>
      <c r="AL54" s="144">
        <f>AL47+AL51+AL52</f>
        <v>-86.590999999999994</v>
      </c>
      <c r="AM54" s="144">
        <f>AM47+AM51+AM52</f>
        <v>-13.151</v>
      </c>
      <c r="AN54" s="144">
        <f>AN47+AN51+AN52</f>
        <v>-10.795999999999999</v>
      </c>
      <c r="AO54" s="144">
        <f>AO47+AO51+AO52</f>
        <v>-8.2539999999999996</v>
      </c>
      <c r="AP54" s="144">
        <f>AP47+AP51+AP52</f>
        <v>-217.27600000000001</v>
      </c>
      <c r="AQ54" s="144">
        <f>AQ47+AQ51+AQ52</f>
        <v>-3.508</v>
      </c>
      <c r="AR54" s="144">
        <f>AR47+AR51+AR52</f>
        <v>-19.056999999999999</v>
      </c>
      <c r="AS54" s="144">
        <f>AS47+AS51+AS52</f>
        <v>-4.2889999999999997</v>
      </c>
      <c r="AT54" s="144">
        <f>AT47+AT51+AT52</f>
        <v>-25.048999999999999</v>
      </c>
      <c r="AU54" s="144">
        <f>AU47+AU51+AU52</f>
        <v>4.609</v>
      </c>
      <c r="AV54" s="144">
        <f>AV47+AV51+AV52</f>
        <v>1.4750000000000001</v>
      </c>
      <c r="AW54" s="144">
        <f>AW47+AW51+AW52</f>
        <v>2.069</v>
      </c>
      <c r="AX54" s="144">
        <f>AX47+AX51+AX52</f>
        <v>4.2030000000000003</v>
      </c>
      <c r="AY54" s="144">
        <f>AY47+AY51+AY52</f>
        <v>5.86</v>
      </c>
      <c r="AZ54" s="144">
        <f>AZ47+AZ51+AZ52</f>
        <v>5.4859999999999998</v>
      </c>
      <c r="BA54" s="175">
        <f>BA47+BA51+BA52</f>
        <v>9.3149999999999995</v>
      </c>
      <c r="BB54" s="86">
        <f>BB47+BB51+BB52</f>
        <v>8.7080744733590283</v>
      </c>
      <c r="BC54" s="72">
        <f>BC47+BC51+BC52</f>
        <v>10.264409413668012</v>
      </c>
      <c r="BD54" s="72">
        <f>BD47+BD51+BD52</f>
        <v>12.080969459392573</v>
      </c>
      <c r="BE54" s="72">
        <f>BE47+BE51+BE52</f>
        <v>13.757399615412666</v>
      </c>
      <c r="BF54" s="72">
        <f>BF47+BF51+BF52</f>
        <v>14.57905209463175</v>
      </c>
      <c r="BG54" s="72">
        <f>BG47+BG51+BG52</f>
        <v>16.718054138056608</v>
      </c>
      <c r="BH54" s="72">
        <f>BH47+BH51+BH52</f>
        <v>19.59213283140609</v>
      </c>
      <c r="BI54" s="72">
        <f>BI47+BI51+BI52</f>
        <v>21.366847728201598</v>
      </c>
      <c r="BJ54" s="72">
        <f>BJ47+BJ51+BJ52</f>
        <v>22.204717954643989</v>
      </c>
      <c r="BK54" s="72">
        <f>BK47+BK51+BK52</f>
        <v>24.607821052696913</v>
      </c>
      <c r="BL54" s="72">
        <f>BL47+BL51+BL52</f>
        <v>28.897459688851686</v>
      </c>
      <c r="BM54" s="72">
        <f>BM47+BM51+BM52</f>
        <v>30.982783676658677</v>
      </c>
      <c r="BN54" s="72">
        <f>BN47+BN51+BN52</f>
        <v>31.850556931820101</v>
      </c>
      <c r="BO54" s="72">
        <f>BO47+BO51+BO52</f>
        <v>35.156064005851924</v>
      </c>
      <c r="BP54" s="72">
        <f>BP47+BP51+BP52</f>
        <v>41.482483829863241</v>
      </c>
      <c r="BQ54" s="72">
        <f>BQ47+BQ51+BQ52</f>
        <v>43.789780756700132</v>
      </c>
      <c r="BR54" s="72">
        <f>BR47+BR51+BR52</f>
        <v>44.430432878704593</v>
      </c>
    </row>
    <row r="55" spans="1:70" x14ac:dyDescent="0.2">
      <c r="A55" s="291" t="s">
        <v>6</v>
      </c>
      <c r="B55" s="26"/>
      <c r="C55" s="105">
        <f>C54/C4</f>
        <v>5.0293536212783797E-2</v>
      </c>
      <c r="D55" s="105">
        <f>D54/D4</f>
        <v>2.8887531167951914E-2</v>
      </c>
      <c r="E55" s="105">
        <f>E54/E4</f>
        <v>1.6779306808218902E-2</v>
      </c>
      <c r="F55" s="105">
        <f>F54/F4</f>
        <v>4.3951437673442992E-2</v>
      </c>
      <c r="G55" s="105">
        <f>G54/G4</f>
        <v>4.1889005638310294E-2</v>
      </c>
      <c r="H55" s="105">
        <f>H54/H4</f>
        <v>2.0470345820693937E-2</v>
      </c>
      <c r="I55" s="105">
        <f>I54/I4</f>
        <v>-0.12693122966291373</v>
      </c>
      <c r="J55" s="105">
        <f>J54/J4</f>
        <v>-0.29027547658053465</v>
      </c>
      <c r="K55" s="105">
        <f>K54/K4</f>
        <v>-5.3236685443736484E-2</v>
      </c>
      <c r="L55" s="109">
        <f>L54/L4</f>
        <v>2.6316518109112595E-2</v>
      </c>
      <c r="M55" s="104">
        <f>M54/M4</f>
        <v>5.6473530301535985E-2</v>
      </c>
      <c r="N55" s="105">
        <f>N54/N4</f>
        <v>8.5167786960487546E-2</v>
      </c>
      <c r="O55" s="105">
        <f>O54/O4</f>
        <v>0.11115265814135357</v>
      </c>
      <c r="P55" s="105">
        <f>P54/P4</f>
        <v>0.1332682124918845</v>
      </c>
      <c r="Q55" s="105">
        <f>Q54/Q4</f>
        <v>0.15288464770016857</v>
      </c>
      <c r="R55" s="53"/>
      <c r="S55" s="105">
        <f>S54/S4</f>
        <v>1.2962370432103817E-2</v>
      </c>
      <c r="T55" s="105">
        <f>T54/T4</f>
        <v>7.471196279951426E-3</v>
      </c>
      <c r="U55" s="105">
        <f>U54/U4</f>
        <v>1.3441645724972241E-2</v>
      </c>
      <c r="V55" s="105">
        <f>V54/V4</f>
        <v>3.2947565597455979E-2</v>
      </c>
      <c r="W55" s="105">
        <f>W54/W4</f>
        <v>4.7184986595174262E-2</v>
      </c>
      <c r="X55" s="105">
        <f>X54/X4</f>
        <v>4.8038517614349165E-2</v>
      </c>
      <c r="Y55" s="105">
        <f>Y54/Y4</f>
        <v>4.7255446390431437E-2</v>
      </c>
      <c r="Z55" s="105">
        <f>Z54/Z4</f>
        <v>3.2299532806393805E-2</v>
      </c>
      <c r="AA55" s="105">
        <f>AA54/AA4</f>
        <v>4.1792102001062509E-2</v>
      </c>
      <c r="AB55" s="105">
        <f>AB54/AB4</f>
        <v>4.5456375028510861E-2</v>
      </c>
      <c r="AC55" s="105">
        <f>AC54/AC4</f>
        <v>3.9575362249402814E-2</v>
      </c>
      <c r="AD55" s="105">
        <f>AD54/AD4</f>
        <v>4.0610871809476361E-2</v>
      </c>
      <c r="AE55" s="105">
        <f>AE54/AE4</f>
        <v>4.9737333218215989E-2</v>
      </c>
      <c r="AF55" s="105">
        <f>AF54/AF4</f>
        <v>3.2591447849543972E-2</v>
      </c>
      <c r="AG55" s="105">
        <f>AG54/AG4</f>
        <v>3.9015404073384156E-2</v>
      </c>
      <c r="AH55" s="105">
        <f>AH54/AH4</f>
        <v>-3.7808687645917598E-2</v>
      </c>
      <c r="AI55" s="105">
        <f>AI54/AI4</f>
        <v>2.2605351057727991E-3</v>
      </c>
      <c r="AJ55" s="105">
        <f>AJ54/AJ4</f>
        <v>-6.1740419840669879E-2</v>
      </c>
      <c r="AK55" s="105">
        <f>AK54/AK4</f>
        <v>-2.9270021940540177E-2</v>
      </c>
      <c r="AL55" s="105">
        <f>AL54/AL4</f>
        <v>-0.42360187069505323</v>
      </c>
      <c r="AM55" s="105">
        <f>AM54/AM4</f>
        <v>-6.3911473545577802E-2</v>
      </c>
      <c r="AN55" s="105">
        <f>AN54/AN4</f>
        <v>-5.044859813084112E-2</v>
      </c>
      <c r="AO55" s="105">
        <f>AO54/AO4</f>
        <v>-3.7150560138988285E-2</v>
      </c>
      <c r="AP55" s="105">
        <f>AP54/AP4</f>
        <v>-0.99891959487106408</v>
      </c>
      <c r="AQ55" s="105">
        <f>AQ54/AQ4</f>
        <v>-1.476822558169885E-2</v>
      </c>
      <c r="AR55" s="105">
        <f>AR54/AR4</f>
        <v>-7.8673161870949096E-2</v>
      </c>
      <c r="AS55" s="105">
        <f>AS54/AS4</f>
        <v>-1.7341764986535769E-2</v>
      </c>
      <c r="AT55" s="105">
        <f>AT54/AT4</f>
        <v>-0.1010614906055459</v>
      </c>
      <c r="AU55" s="105">
        <f>AU54/AU4</f>
        <v>4.1522148449113068E-2</v>
      </c>
      <c r="AV55" s="105">
        <f>AV54/AV4</f>
        <v>1.242816939384237E-2</v>
      </c>
      <c r="AW55" s="105">
        <f>AW54/AW4</f>
        <v>1.7194382115848086E-2</v>
      </c>
      <c r="AX55" s="105">
        <f>AX54/AX4</f>
        <v>3.517095948184968E-2</v>
      </c>
      <c r="AY55" s="105">
        <f>AY54/AY4</f>
        <v>4.7343970914966671E-2</v>
      </c>
      <c r="AZ55" s="105">
        <f>AZ54/AZ4</f>
        <v>4.2295653246573021E-2</v>
      </c>
      <c r="BA55" s="109">
        <f>BA54/BA4</f>
        <v>6.9220994434082139E-2</v>
      </c>
      <c r="BB55" s="104">
        <f>BB54/BB4</f>
        <v>6.5970128061950073E-2</v>
      </c>
      <c r="BC55" s="105">
        <f>BC54/BC4</f>
        <v>7.4064600012075127E-2</v>
      </c>
      <c r="BD55" s="105">
        <f>BD54/BD4</f>
        <v>8.2590458298967717E-2</v>
      </c>
      <c r="BE55" s="105">
        <f>BE54/BE4</f>
        <v>8.9700205985606338E-2</v>
      </c>
      <c r="BF55" s="105">
        <f>BF54/BF4</f>
        <v>9.294994631495275E-2</v>
      </c>
      <c r="BG55" s="105">
        <f>BG54/BG4</f>
        <v>0.10077098390743229</v>
      </c>
      <c r="BH55" s="105">
        <f>BH54/BH4</f>
        <v>0.11002759173040794</v>
      </c>
      <c r="BI55" s="105">
        <f>BI54/BI4</f>
        <v>0.11513744174474626</v>
      </c>
      <c r="BJ55" s="105">
        <f>BJ54/BJ4</f>
        <v>0.11740883292669478</v>
      </c>
      <c r="BK55" s="105">
        <f>BK54/BK4</f>
        <v>0.12347504359182172</v>
      </c>
      <c r="BL55" s="105">
        <f>BL54/BL4</f>
        <v>0.1328929077215826</v>
      </c>
      <c r="BM55" s="105">
        <f>BM54/BM4</f>
        <v>0.13692529727443339</v>
      </c>
      <c r="BN55" s="105">
        <f>BN54/BN4</f>
        <v>0.1385121029965419</v>
      </c>
      <c r="BO55" s="105">
        <f>BO54/BO4</f>
        <v>0.14411887568291859</v>
      </c>
      <c r="BP55" s="105">
        <f>BP54/BP4</f>
        <v>0.15323377603994681</v>
      </c>
      <c r="BQ55" s="105">
        <f>BQ54/BQ4</f>
        <v>0.1561249642668523</v>
      </c>
      <c r="BR55" s="105">
        <f>BR54/BR4</f>
        <v>0.15689237290585878</v>
      </c>
    </row>
    <row r="56" spans="1:70" x14ac:dyDescent="0.2">
      <c r="A56" s="65" t="s">
        <v>7</v>
      </c>
      <c r="B56" s="13"/>
      <c r="C56" s="88">
        <f>C47+C51+C52-C54</f>
        <v>0</v>
      </c>
      <c r="D56" s="88">
        <f>D47+D51+D52-D54</f>
        <v>0</v>
      </c>
      <c r="E56" s="88">
        <f>E47+E51+E52-E54</f>
        <v>0</v>
      </c>
      <c r="F56" s="88">
        <f>F47+F51+F52-F54</f>
        <v>0</v>
      </c>
      <c r="G56" s="88">
        <f>G47+G51+G52-G54</f>
        <v>0</v>
      </c>
      <c r="H56" s="88">
        <f>H47+H51+H52-H54</f>
        <v>0</v>
      </c>
      <c r="I56" s="88">
        <f>I47+I51+I52-I54</f>
        <v>0</v>
      </c>
      <c r="J56" s="88">
        <f>J47+J51+J52-J54</f>
        <v>0</v>
      </c>
      <c r="K56" s="88">
        <f>K47+K51+K52-K54</f>
        <v>0</v>
      </c>
      <c r="L56" s="90">
        <f>L47+L51+L52-L54</f>
        <v>0</v>
      </c>
      <c r="M56" s="89">
        <f>M47+M51+M52-M54</f>
        <v>0</v>
      </c>
      <c r="N56" s="88">
        <f>N47+N51+N52-N54</f>
        <v>0</v>
      </c>
      <c r="O56" s="88">
        <f>O47+O51+O52-O54</f>
        <v>0</v>
      </c>
      <c r="P56" s="88">
        <f>P47+P51+P52-P54</f>
        <v>0</v>
      </c>
      <c r="Q56" s="88">
        <f>Q47+Q51+Q52-Q54</f>
        <v>0</v>
      </c>
      <c r="R56" s="50"/>
      <c r="S56" s="88">
        <f>S47+S51+S52-S54</f>
        <v>0</v>
      </c>
      <c r="T56" s="88">
        <f>T47+T51+T52-T54</f>
        <v>0</v>
      </c>
      <c r="U56" s="88">
        <f>U47+U51+U52-U54</f>
        <v>0</v>
      </c>
      <c r="V56" s="88">
        <f>V47+V51+V52-V54</f>
        <v>0</v>
      </c>
      <c r="W56" s="88">
        <f>W47+W51+W52-W54</f>
        <v>0</v>
      </c>
      <c r="X56" s="88">
        <f>X47+X51+X52-X54</f>
        <v>0</v>
      </c>
      <c r="Y56" s="88">
        <f>Y47+Y51+Y52-Y54</f>
        <v>0</v>
      </c>
      <c r="Z56" s="88">
        <f>Z47+Z51+Z52-Z54</f>
        <v>0</v>
      </c>
      <c r="AA56" s="88">
        <f>AA47+AA51+AA52-AA54</f>
        <v>0</v>
      </c>
      <c r="AB56" s="88">
        <f>AB47+AB51+AB52-AB54</f>
        <v>0</v>
      </c>
      <c r="AC56" s="88">
        <f>AC47+AC51+AC52-AC54</f>
        <v>0</v>
      </c>
      <c r="AD56" s="88">
        <f>AD47+AD51+AD52-AD54</f>
        <v>0</v>
      </c>
      <c r="AE56" s="88">
        <f>AE47+AE51+AE52-AE54</f>
        <v>0</v>
      </c>
      <c r="AF56" s="88">
        <f>AF47+AF51+AF52-AF54</f>
        <v>0</v>
      </c>
      <c r="AG56" s="88">
        <f>AG47+AG51+AG52-AG54</f>
        <v>0</v>
      </c>
      <c r="AH56" s="88">
        <f>AH47+AH51+AH52-AH54</f>
        <v>0</v>
      </c>
      <c r="AI56" s="88">
        <f>AI47+AI51+AI52-AI54</f>
        <v>0</v>
      </c>
      <c r="AJ56" s="88">
        <f>AJ47+AJ51+AJ52-AJ54</f>
        <v>0</v>
      </c>
      <c r="AK56" s="88">
        <f>AK47+AK51+AK52-AK54</f>
        <v>0</v>
      </c>
      <c r="AL56" s="88">
        <f>AL47+AL51+AL52-AL54</f>
        <v>0</v>
      </c>
      <c r="AM56" s="88">
        <f>AM47+AM51+AM52-AM54</f>
        <v>0</v>
      </c>
      <c r="AN56" s="88">
        <f>AN47+AN51+AN52-AN54</f>
        <v>0</v>
      </c>
      <c r="AO56" s="88">
        <f>AO47+AO51+AO52-AO54</f>
        <v>0</v>
      </c>
      <c r="AP56" s="88">
        <f>AP47+AP51+AP52-AP54</f>
        <v>0</v>
      </c>
      <c r="AQ56" s="88">
        <f>AQ47+AQ51+AQ52-AQ54</f>
        <v>0</v>
      </c>
      <c r="AR56" s="88">
        <f>AR47+AR51+AR52-AR54</f>
        <v>0</v>
      </c>
      <c r="AS56" s="88">
        <f>AS47+AS51+AS52-AS54</f>
        <v>0</v>
      </c>
      <c r="AT56" s="88">
        <f>AT47+AT51+AT52-AT54</f>
        <v>0</v>
      </c>
      <c r="AU56" s="88">
        <f>AU47+AU51+AU52-AU54</f>
        <v>0</v>
      </c>
      <c r="AV56" s="88">
        <f>AV47+AV51+AV52-AV54</f>
        <v>0</v>
      </c>
      <c r="AW56" s="88">
        <f>AW47+AW51+AW52-AW54</f>
        <v>0</v>
      </c>
      <c r="AX56" s="88">
        <f>AX47+AX51+AX52-AX54</f>
        <v>0</v>
      </c>
      <c r="AY56" s="88">
        <f>AY47+AY51+AY52-AY54</f>
        <v>0</v>
      </c>
      <c r="AZ56" s="88">
        <f>AZ47+AZ51+AZ52-AZ54</f>
        <v>0</v>
      </c>
      <c r="BA56" s="90">
        <f>BA47+BA51+BA52-BA54</f>
        <v>0</v>
      </c>
      <c r="BB56" s="89">
        <f>BB47+BB51+BB52-BB54</f>
        <v>0</v>
      </c>
      <c r="BC56" s="88">
        <f>BC47+BC51+BC52-BC54</f>
        <v>0</v>
      </c>
      <c r="BD56" s="88">
        <f>BD47+BD51+BD52-BD54</f>
        <v>0</v>
      </c>
      <c r="BE56" s="88">
        <f>BE47+BE51+BE52-BE54</f>
        <v>0</v>
      </c>
      <c r="BF56" s="88">
        <f>BF47+BF51+BF52-BF54</f>
        <v>0</v>
      </c>
      <c r="BG56" s="88">
        <f>BG47+BG51+BG52-BG54</f>
        <v>0</v>
      </c>
      <c r="BH56" s="88">
        <f>BH47+BH51+BH52-BH54</f>
        <v>0</v>
      </c>
      <c r="BI56" s="88">
        <f>BI47+BI51+BI52-BI54</f>
        <v>0</v>
      </c>
      <c r="BJ56" s="88">
        <f>BJ47+BJ51+BJ52-BJ54</f>
        <v>0</v>
      </c>
      <c r="BK56" s="88">
        <f>BK47+BK51+BK52-BK54</f>
        <v>0</v>
      </c>
      <c r="BL56" s="88">
        <f>BL47+BL51+BL52-BL54</f>
        <v>0</v>
      </c>
      <c r="BM56" s="88">
        <f>BM47+BM51+BM52-BM54</f>
        <v>0</v>
      </c>
      <c r="BN56" s="88">
        <f>BN47+BN51+BN52-BN54</f>
        <v>0</v>
      </c>
      <c r="BO56" s="88">
        <f>BO47+BO51+BO52-BO54</f>
        <v>0</v>
      </c>
      <c r="BP56" s="88">
        <f>BP47+BP51+BP52-BP54</f>
        <v>0</v>
      </c>
      <c r="BQ56" s="88">
        <f>BQ47+BQ51+BQ52-BQ54</f>
        <v>0</v>
      </c>
      <c r="BR56" s="88">
        <f>BR47+BR51+BR52-BR54</f>
        <v>0</v>
      </c>
    </row>
    <row r="57" spans="1:70" x14ac:dyDescent="0.2">
      <c r="A57" s="267"/>
      <c r="B57" s="9"/>
      <c r="C57" s="100"/>
      <c r="D57" s="100"/>
      <c r="E57" s="100"/>
      <c r="F57" s="100"/>
      <c r="G57" s="100"/>
      <c r="H57" s="100"/>
      <c r="I57" s="100"/>
      <c r="J57" s="100"/>
      <c r="K57" s="100"/>
      <c r="L57" s="102"/>
      <c r="M57" s="176"/>
      <c r="N57" s="101"/>
      <c r="O57" s="101"/>
      <c r="P57" s="101"/>
      <c r="Q57" s="101"/>
      <c r="R57" s="46"/>
      <c r="S57" s="100"/>
      <c r="T57" s="100"/>
      <c r="U57" s="100"/>
      <c r="V57" s="100"/>
      <c r="W57" s="100"/>
      <c r="X57" s="100"/>
      <c r="Y57" s="100"/>
      <c r="Z57" s="100"/>
      <c r="AA57" s="100"/>
      <c r="AB57" s="100"/>
      <c r="AC57" s="100"/>
      <c r="AD57" s="100"/>
      <c r="AE57" s="100"/>
      <c r="AF57" s="100"/>
      <c r="AG57" s="100"/>
      <c r="AH57" s="100"/>
      <c r="AI57" s="100"/>
      <c r="AJ57" s="100"/>
      <c r="AK57" s="100"/>
      <c r="AL57" s="100"/>
      <c r="AM57" s="100"/>
      <c r="AN57" s="100"/>
      <c r="AO57" s="100"/>
      <c r="AP57" s="100"/>
      <c r="AQ57" s="100"/>
      <c r="AR57" s="100"/>
      <c r="AS57" s="100"/>
      <c r="AT57" s="100"/>
      <c r="AU57" s="100"/>
      <c r="AV57" s="100"/>
      <c r="AW57" s="100"/>
      <c r="AX57" s="100"/>
      <c r="AY57" s="100"/>
      <c r="AZ57" s="100"/>
      <c r="BA57" s="102"/>
      <c r="BB57" s="103"/>
      <c r="BC57" s="100"/>
      <c r="BD57" s="100"/>
      <c r="BE57" s="100"/>
      <c r="BF57" s="100"/>
      <c r="BG57" s="100"/>
      <c r="BH57" s="100"/>
      <c r="BI57" s="100"/>
      <c r="BJ57" s="100"/>
      <c r="BK57" s="100"/>
      <c r="BL57" s="100"/>
      <c r="BM57" s="100"/>
      <c r="BN57" s="100"/>
      <c r="BO57" s="100"/>
      <c r="BP57" s="100"/>
      <c r="BQ57" s="100"/>
      <c r="BR57" s="100"/>
    </row>
    <row r="58" spans="1:70" x14ac:dyDescent="0.2">
      <c r="A58" s="279" t="s">
        <v>35</v>
      </c>
      <c r="B58" s="18"/>
      <c r="C58" s="113"/>
      <c r="D58" s="113"/>
      <c r="E58" s="113"/>
      <c r="F58" s="113"/>
      <c r="G58" s="113"/>
      <c r="H58" s="113"/>
      <c r="I58" s="113"/>
      <c r="J58" s="113"/>
      <c r="K58" s="113"/>
      <c r="L58" s="115"/>
      <c r="M58" s="178"/>
      <c r="N58" s="114"/>
      <c r="O58" s="114"/>
      <c r="P58" s="114"/>
      <c r="Q58" s="114"/>
      <c r="R58" s="57"/>
      <c r="S58" s="113"/>
      <c r="T58" s="113"/>
      <c r="U58" s="113"/>
      <c r="V58" s="113"/>
      <c r="W58" s="113"/>
      <c r="X58" s="113"/>
      <c r="Y58" s="113"/>
      <c r="Z58" s="113"/>
      <c r="AA58" s="113"/>
      <c r="AB58" s="113"/>
      <c r="AC58" s="113"/>
      <c r="AD58" s="113"/>
      <c r="AE58" s="113"/>
      <c r="AF58" s="113"/>
      <c r="AG58" s="113"/>
      <c r="AH58" s="113"/>
      <c r="AI58" s="113"/>
      <c r="AJ58" s="113"/>
      <c r="AK58" s="113"/>
      <c r="AL58" s="113"/>
      <c r="AM58" s="113"/>
      <c r="AN58" s="113"/>
      <c r="AO58" s="113"/>
      <c r="AP58" s="113"/>
      <c r="AQ58" s="113"/>
      <c r="AR58" s="113"/>
      <c r="AS58" s="113"/>
      <c r="AT58" s="113"/>
      <c r="AU58" s="113"/>
      <c r="AV58" s="113"/>
      <c r="AW58" s="113"/>
      <c r="AX58" s="113"/>
      <c r="AY58" s="113"/>
      <c r="AZ58" s="113"/>
      <c r="BA58" s="115"/>
      <c r="BB58" s="116"/>
      <c r="BC58" s="113"/>
      <c r="BD58" s="113"/>
      <c r="BE58" s="113"/>
      <c r="BF58" s="113"/>
      <c r="BG58" s="113"/>
      <c r="BH58" s="113"/>
      <c r="BI58" s="113"/>
      <c r="BJ58" s="113"/>
      <c r="BK58" s="113"/>
      <c r="BL58" s="113"/>
      <c r="BM58" s="113"/>
      <c r="BN58" s="113"/>
      <c r="BO58" s="113"/>
      <c r="BP58" s="113"/>
      <c r="BQ58" s="113"/>
      <c r="BR58" s="113"/>
    </row>
    <row r="59" spans="1:70" x14ac:dyDescent="0.2">
      <c r="A59" s="280" t="s">
        <v>27</v>
      </c>
      <c r="B59" s="18" t="s">
        <v>148</v>
      </c>
      <c r="C59" s="182">
        <v>0.45</v>
      </c>
      <c r="D59" s="182">
        <v>0.27</v>
      </c>
      <c r="E59" s="182">
        <v>0.14000000000000001</v>
      </c>
      <c r="F59" s="182">
        <v>0.39</v>
      </c>
      <c r="G59" s="182">
        <v>0.37</v>
      </c>
      <c r="H59" s="182">
        <v>0.18</v>
      </c>
      <c r="I59" s="182">
        <v>-1.59</v>
      </c>
      <c r="J59" s="182">
        <v>-3.78</v>
      </c>
      <c r="K59" s="147">
        <v>-0.78</v>
      </c>
      <c r="L59" s="147">
        <v>0.18</v>
      </c>
      <c r="M59" s="117">
        <f>SUM(AY59:BB59)</f>
        <v>0.4105253141597906</v>
      </c>
      <c r="N59" s="118">
        <f>SUM(BC59:BF59)</f>
        <v>0.70146891507529308</v>
      </c>
      <c r="O59" s="118">
        <f>SUM(BG59:BJ59)</f>
        <v>1.1056144918728914</v>
      </c>
      <c r="P59" s="118">
        <f>SUM(BK59:BN59)</f>
        <v>1.6102008463554467</v>
      </c>
      <c r="Q59" s="118">
        <f>SUM(BO59:BR59)</f>
        <v>2.2817505843672734</v>
      </c>
      <c r="R59" s="57"/>
      <c r="S59" s="182">
        <v>0.03</v>
      </c>
      <c r="T59" s="182">
        <v>0.02</v>
      </c>
      <c r="U59" s="182">
        <v>0.03</v>
      </c>
      <c r="V59" s="209">
        <f>E59-U59-T59-S59</f>
        <v>6.0000000000000012E-2</v>
      </c>
      <c r="W59" s="182">
        <v>0.11</v>
      </c>
      <c r="X59" s="182">
        <v>0.11</v>
      </c>
      <c r="Y59" s="182">
        <v>0.11</v>
      </c>
      <c r="Z59" s="209">
        <f>F59-Y59-X59-W59</f>
        <v>6.0000000000000039E-2</v>
      </c>
      <c r="AA59" s="182">
        <v>0.09</v>
      </c>
      <c r="AB59" s="182">
        <v>0.1</v>
      </c>
      <c r="AC59" s="182">
        <v>0.09</v>
      </c>
      <c r="AD59" s="209">
        <f>G59-AC59-AB59-AA59</f>
        <v>9.0000000000000024E-2</v>
      </c>
      <c r="AE59" s="182">
        <v>0.11</v>
      </c>
      <c r="AF59" s="182">
        <v>7.0000000000000007E-2</v>
      </c>
      <c r="AG59" s="182">
        <v>0.09</v>
      </c>
      <c r="AH59" s="209">
        <f>H59-AG59-AF59-AE59</f>
        <v>-9.0000000000000011E-2</v>
      </c>
      <c r="AI59" s="182">
        <v>0.01</v>
      </c>
      <c r="AJ59" s="182">
        <v>-0.19</v>
      </c>
      <c r="AK59" s="182">
        <v>-0.09</v>
      </c>
      <c r="AL59" s="147">
        <v>-1.31</v>
      </c>
      <c r="AM59" s="182">
        <v>-0.2</v>
      </c>
      <c r="AN59" s="182">
        <v>-0.16</v>
      </c>
      <c r="AO59" s="182">
        <v>-0.12</v>
      </c>
      <c r="AP59" s="147">
        <v>-3.29</v>
      </c>
      <c r="AQ59" s="182">
        <v>-0.05</v>
      </c>
      <c r="AR59" s="147">
        <v>-0.28999999999999998</v>
      </c>
      <c r="AS59" s="147">
        <v>-0.06</v>
      </c>
      <c r="AT59" s="147">
        <v>-0.37</v>
      </c>
      <c r="AU59" s="147">
        <v>7.0000000000000007E-2</v>
      </c>
      <c r="AV59" s="147">
        <v>0.02</v>
      </c>
      <c r="AW59" s="147">
        <v>0.03</v>
      </c>
      <c r="AX59" s="147">
        <v>0.06</v>
      </c>
      <c r="AY59" s="147">
        <v>0.08</v>
      </c>
      <c r="AZ59" s="147">
        <v>0.08</v>
      </c>
      <c r="BA59" s="251">
        <v>0.13</v>
      </c>
      <c r="BB59" s="117">
        <f>BB54/BB65</f>
        <v>0.12052531415979056</v>
      </c>
      <c r="BC59" s="118">
        <f>BC54/BC65</f>
        <v>0.14206598405098908</v>
      </c>
      <c r="BD59" s="118">
        <f>BD54/BD65</f>
        <v>0.16720833565476703</v>
      </c>
      <c r="BE59" s="118">
        <f>BE54/BE65</f>
        <v>0.19041120005830597</v>
      </c>
      <c r="BF59" s="118">
        <f>BF54/BF65</f>
        <v>0.20178339531123099</v>
      </c>
      <c r="BG59" s="118">
        <f>BG54/BG65</f>
        <v>0.23138855016617912</v>
      </c>
      <c r="BH59" s="118">
        <f>BH54/BH65</f>
        <v>0.27116763548471423</v>
      </c>
      <c r="BI59" s="118">
        <f>BI54/BI65</f>
        <v>0.29573082349312252</v>
      </c>
      <c r="BJ59" s="118">
        <f>BJ54/BJ65</f>
        <v>0.30732748272887556</v>
      </c>
      <c r="BK59" s="118">
        <f>BK54/BK65</f>
        <v>0.34058796490978549</v>
      </c>
      <c r="BL59" s="118">
        <f>BL54/BL65</f>
        <v>0.39995930421518988</v>
      </c>
      <c r="BM59" s="118">
        <f>BM54/BM65</f>
        <v>0.4288215204863417</v>
      </c>
      <c r="BN59" s="118">
        <f>BN54/BN65</f>
        <v>0.44083205674412945</v>
      </c>
      <c r="BO59" s="118">
        <f>BO54/BO65</f>
        <v>0.48658238648395069</v>
      </c>
      <c r="BP59" s="118">
        <f>BP54/BP65</f>
        <v>0.57414407869597983</v>
      </c>
      <c r="BQ59" s="118">
        <f>BQ54/BQ65</f>
        <v>0.60607854225824043</v>
      </c>
      <c r="BR59" s="118">
        <f>BR54/BR65</f>
        <v>0.61494557692910257</v>
      </c>
    </row>
    <row r="60" spans="1:70" x14ac:dyDescent="0.2">
      <c r="A60" s="280" t="s">
        <v>28</v>
      </c>
      <c r="B60" s="18" t="s">
        <v>149</v>
      </c>
      <c r="C60" s="182">
        <v>0.45</v>
      </c>
      <c r="D60" s="182">
        <v>0.26</v>
      </c>
      <c r="E60" s="182">
        <v>0.14000000000000001</v>
      </c>
      <c r="F60" s="182">
        <v>0.38</v>
      </c>
      <c r="G60" s="182">
        <v>0.36</v>
      </c>
      <c r="H60" s="182">
        <v>0.18</v>
      </c>
      <c r="I60" s="182">
        <v>-1.59</v>
      </c>
      <c r="J60" s="182">
        <v>-3.78</v>
      </c>
      <c r="K60" s="147">
        <v>-0.78</v>
      </c>
      <c r="L60" s="147">
        <v>0.17</v>
      </c>
      <c r="M60" s="117">
        <f>SUM(AY60:BB60)</f>
        <v>0.3800546536917413</v>
      </c>
      <c r="N60" s="118">
        <f>SUM(BC60:BF60)</f>
        <v>0.64052866455740931</v>
      </c>
      <c r="O60" s="118">
        <f>SUM(BG60:BJ60)</f>
        <v>1.0095640145631379</v>
      </c>
      <c r="P60" s="118">
        <f>SUM(BK60:BN60)</f>
        <v>1.4703143298581658</v>
      </c>
      <c r="Q60" s="118">
        <f>SUM(BO60:BR60)</f>
        <v>2.0835230517677079</v>
      </c>
      <c r="R60" s="57"/>
      <c r="S60" s="182">
        <v>0.03</v>
      </c>
      <c r="T60" s="182">
        <v>0.02</v>
      </c>
      <c r="U60" s="182">
        <v>0.03</v>
      </c>
      <c r="V60" s="209">
        <f>E60-U60-T60-S60</f>
        <v>6.0000000000000012E-2</v>
      </c>
      <c r="W60" s="182">
        <v>0.11</v>
      </c>
      <c r="X60" s="182">
        <v>0.11</v>
      </c>
      <c r="Y60" s="182">
        <v>0.1</v>
      </c>
      <c r="Z60" s="209">
        <f>F60-Y60-X60-W60</f>
        <v>6.0000000000000039E-2</v>
      </c>
      <c r="AA60" s="182">
        <v>0.09</v>
      </c>
      <c r="AB60" s="182">
        <v>0.1</v>
      </c>
      <c r="AC60" s="182">
        <v>0.09</v>
      </c>
      <c r="AD60" s="209">
        <f>G60-AC60-AB60-AA60</f>
        <v>8.0000000000000016E-2</v>
      </c>
      <c r="AE60" s="182">
        <v>0.11</v>
      </c>
      <c r="AF60" s="182">
        <v>7.0000000000000007E-2</v>
      </c>
      <c r="AG60" s="182">
        <v>0.09</v>
      </c>
      <c r="AH60" s="209">
        <f>H60-AG60-AF60-AE60</f>
        <v>-9.0000000000000011E-2</v>
      </c>
      <c r="AI60" s="182">
        <v>0.01</v>
      </c>
      <c r="AJ60" s="182">
        <v>-0.19</v>
      </c>
      <c r="AK60" s="182">
        <v>-0.09</v>
      </c>
      <c r="AL60" s="147">
        <v>-1.31</v>
      </c>
      <c r="AM60" s="182">
        <v>-0.2</v>
      </c>
      <c r="AN60" s="182">
        <v>-0.16</v>
      </c>
      <c r="AO60" s="182">
        <v>-0.12</v>
      </c>
      <c r="AP60" s="147">
        <v>-3.29</v>
      </c>
      <c r="AQ60" s="182">
        <v>-0.05</v>
      </c>
      <c r="AR60" s="147">
        <v>-0.28999999999999998</v>
      </c>
      <c r="AS60" s="147">
        <v>-0.06</v>
      </c>
      <c r="AT60" s="147">
        <v>-0.37</v>
      </c>
      <c r="AU60" s="147">
        <v>0.06</v>
      </c>
      <c r="AV60" s="147">
        <v>0.02</v>
      </c>
      <c r="AW60" s="147">
        <v>0.03</v>
      </c>
      <c r="AX60" s="147">
        <v>0.06</v>
      </c>
      <c r="AY60" s="147">
        <v>0.08</v>
      </c>
      <c r="AZ60" s="147">
        <v>7.0000000000000007E-2</v>
      </c>
      <c r="BA60" s="251">
        <v>0.12</v>
      </c>
      <c r="BB60" s="117">
        <f>BB54/BB66</f>
        <v>0.11005465369174128</v>
      </c>
      <c r="BC60" s="118">
        <f>BC54/BC66</f>
        <v>0.12972397363245514</v>
      </c>
      <c r="BD60" s="118">
        <f>BD54/BD66</f>
        <v>0.15268207847573553</v>
      </c>
      <c r="BE60" s="118">
        <f>BE54/BE66</f>
        <v>0.17386918945229277</v>
      </c>
      <c r="BF60" s="118">
        <f>BF54/BF66</f>
        <v>0.18425342299692576</v>
      </c>
      <c r="BG60" s="118">
        <f>BG54/BG66</f>
        <v>0.21128662417765065</v>
      </c>
      <c r="BH60" s="118">
        <f>BH54/BH66</f>
        <v>0.24760989360386843</v>
      </c>
      <c r="BI60" s="118">
        <f>BI54/BI66</f>
        <v>0.27003914980349569</v>
      </c>
      <c r="BJ60" s="118">
        <f>BJ54/BJ66</f>
        <v>0.28062834697812311</v>
      </c>
      <c r="BK60" s="118">
        <f>BK54/BK66</f>
        <v>0.31099931820154075</v>
      </c>
      <c r="BL60" s="118">
        <f>BL54/BL66</f>
        <v>0.36521276068059005</v>
      </c>
      <c r="BM60" s="118">
        <f>BM54/BM66</f>
        <v>0.39156756621369576</v>
      </c>
      <c r="BN60" s="118">
        <f>BN54/BN66</f>
        <v>0.40253468476233933</v>
      </c>
      <c r="BO60" s="118">
        <f>BO54/BO66</f>
        <v>0.44431044557158828</v>
      </c>
      <c r="BP60" s="118">
        <f>BP54/BP66</f>
        <v>0.52426519848168396</v>
      </c>
      <c r="BQ60" s="118">
        <f>BQ54/BQ66</f>
        <v>0.55342534921579944</v>
      </c>
      <c r="BR60" s="118">
        <f>BR54/BR66</f>
        <v>0.56152205849863623</v>
      </c>
    </row>
    <row r="61" spans="1:70" x14ac:dyDescent="0.2">
      <c r="A61" s="161" t="s">
        <v>4</v>
      </c>
      <c r="B61" s="12"/>
      <c r="C61" s="163"/>
      <c r="D61" s="163">
        <f>D60/C60-1</f>
        <v>-0.42222222222222217</v>
      </c>
      <c r="E61" s="163">
        <f>E60/D60-1</f>
        <v>-0.46153846153846145</v>
      </c>
      <c r="F61" s="163">
        <f>F60/E60-1</f>
        <v>1.714285714285714</v>
      </c>
      <c r="G61" s="163">
        <f>G60/F60-1</f>
        <v>-5.2631578947368474E-2</v>
      </c>
      <c r="H61" s="163">
        <f>H60/G60-1</f>
        <v>-0.5</v>
      </c>
      <c r="I61" s="163">
        <f>I60/H60-1</f>
        <v>-9.8333333333333339</v>
      </c>
      <c r="J61" s="163">
        <f>J60/I60-1</f>
        <v>1.3773584905660377</v>
      </c>
      <c r="K61" s="163">
        <f>K60/J60-1</f>
        <v>-0.79365079365079361</v>
      </c>
      <c r="L61" s="173">
        <f>L60/K60-1</f>
        <v>-1.2179487179487181</v>
      </c>
      <c r="M61" s="174">
        <f>M60/L60-1</f>
        <v>1.2356156099514193</v>
      </c>
      <c r="N61" s="163">
        <f>N60/M60-1</f>
        <v>0.68535935117620217</v>
      </c>
      <c r="O61" s="163">
        <f>O60/N60-1</f>
        <v>0.57614181913423601</v>
      </c>
      <c r="P61" s="163">
        <f>P60/O60-1</f>
        <v>0.4563854383165642</v>
      </c>
      <c r="Q61" s="163">
        <f>Q60/P60-1</f>
        <v>0.41705961062672592</v>
      </c>
      <c r="R61" s="300"/>
      <c r="S61" s="91"/>
      <c r="T61" s="91"/>
      <c r="U61" s="91"/>
      <c r="V61" s="91"/>
      <c r="W61" s="91">
        <f>W60/S60-1</f>
        <v>2.666666666666667</v>
      </c>
      <c r="X61" s="91">
        <f>X60/T60-1</f>
        <v>4.5</v>
      </c>
      <c r="Y61" s="91">
        <f>Y60/U60-1</f>
        <v>2.3333333333333335</v>
      </c>
      <c r="Z61" s="91">
        <f>Z60/V60-1</f>
        <v>0</v>
      </c>
      <c r="AA61" s="91">
        <f>AA60/W60-1</f>
        <v>-0.18181818181818188</v>
      </c>
      <c r="AB61" s="91">
        <f>AB60/X60-1</f>
        <v>-9.0909090909090828E-2</v>
      </c>
      <c r="AC61" s="91">
        <f>AC60/Y60-1</f>
        <v>-0.10000000000000009</v>
      </c>
      <c r="AD61" s="91">
        <f>AD60/Z60-1</f>
        <v>0.33333333333333282</v>
      </c>
      <c r="AE61" s="91">
        <f>AE60/AA60-1</f>
        <v>0.22222222222222232</v>
      </c>
      <c r="AF61" s="91">
        <f>AF60/AB60-1</f>
        <v>-0.29999999999999993</v>
      </c>
      <c r="AG61" s="91">
        <f>AG60/AC60-1</f>
        <v>0</v>
      </c>
      <c r="AH61" s="112" t="s">
        <v>99</v>
      </c>
      <c r="AI61" s="91">
        <f>AI60/AE60-1</f>
        <v>-0.90909090909090906</v>
      </c>
      <c r="AJ61" s="112" t="s">
        <v>99</v>
      </c>
      <c r="AK61" s="112" t="s">
        <v>99</v>
      </c>
      <c r="AL61" s="112" t="s">
        <v>99</v>
      </c>
      <c r="AM61" s="112" t="s">
        <v>99</v>
      </c>
      <c r="AN61" s="112" t="s">
        <v>99</v>
      </c>
      <c r="AO61" s="112" t="s">
        <v>99</v>
      </c>
      <c r="AP61" s="112" t="s">
        <v>99</v>
      </c>
      <c r="AQ61" s="112" t="s">
        <v>99</v>
      </c>
      <c r="AR61" s="112" t="s">
        <v>99</v>
      </c>
      <c r="AS61" s="112" t="s">
        <v>99</v>
      </c>
      <c r="AT61" s="112" t="s">
        <v>99</v>
      </c>
      <c r="AU61" s="112" t="s">
        <v>99</v>
      </c>
      <c r="AV61" s="112" t="s">
        <v>99</v>
      </c>
      <c r="AW61" s="112" t="s">
        <v>99</v>
      </c>
      <c r="AX61" s="112" t="s">
        <v>99</v>
      </c>
      <c r="AY61" s="91">
        <f>AY60/AU60-1</f>
        <v>0.33333333333333348</v>
      </c>
      <c r="AZ61" s="91">
        <f>AZ60/AV60-1</f>
        <v>2.5000000000000004</v>
      </c>
      <c r="BA61" s="93">
        <f>BA60/AW60-1</f>
        <v>3</v>
      </c>
      <c r="BB61" s="92">
        <f>BB60/AX60-1</f>
        <v>0.83424422819568811</v>
      </c>
      <c r="BC61" s="91">
        <f>BC60/AY60-1</f>
        <v>0.62154967040568909</v>
      </c>
      <c r="BD61" s="91">
        <f>BD60/AZ60-1</f>
        <v>1.1811725496533647</v>
      </c>
      <c r="BE61" s="91">
        <f>BE60/BA60-1</f>
        <v>0.4489099121024398</v>
      </c>
      <c r="BF61" s="91">
        <f>BF60/BB60-1</f>
        <v>0.67419928931867168</v>
      </c>
      <c r="BG61" s="91">
        <f>BG60/BC60-1</f>
        <v>0.6287399950936261</v>
      </c>
      <c r="BH61" s="91">
        <f>BH60/BD60-1</f>
        <v>0.62173515107877542</v>
      </c>
      <c r="BI61" s="91">
        <f>BI60/BE60-1</f>
        <v>0.553116746297311</v>
      </c>
      <c r="BJ61" s="91">
        <f>BJ60/BF60-1</f>
        <v>0.52305635582577659</v>
      </c>
      <c r="BK61" s="91">
        <f>BK60/BG60-1</f>
        <v>0.47193093463432523</v>
      </c>
      <c r="BL61" s="91">
        <f>BL60/BH60-1</f>
        <v>0.47495221360122719</v>
      </c>
      <c r="BM61" s="91">
        <f>BM60/BI60-1</f>
        <v>0.45003999049261889</v>
      </c>
      <c r="BN61" s="91">
        <f>BN60/BJ60-1</f>
        <v>0.43440493127987412</v>
      </c>
      <c r="BO61" s="91">
        <f>BO60/BK60-1</f>
        <v>0.42865408239787928</v>
      </c>
      <c r="BP61" s="91">
        <f>BP60/BL60-1</f>
        <v>0.43550624437298602</v>
      </c>
      <c r="BQ61" s="91">
        <f>BQ60/BM60-1</f>
        <v>0.41335850302210875</v>
      </c>
      <c r="BR61" s="91">
        <f>BR60/BN60-1</f>
        <v>0.39496565079892365</v>
      </c>
    </row>
    <row r="62" spans="1:70" x14ac:dyDescent="0.2">
      <c r="A62" s="161" t="s">
        <v>5</v>
      </c>
      <c r="B62" s="12"/>
      <c r="C62" s="163"/>
      <c r="D62" s="163"/>
      <c r="E62" s="163"/>
      <c r="F62" s="163"/>
      <c r="G62" s="163"/>
      <c r="H62" s="163"/>
      <c r="I62" s="163"/>
      <c r="J62" s="163"/>
      <c r="K62" s="163"/>
      <c r="L62" s="173"/>
      <c r="M62" s="92"/>
      <c r="N62" s="91"/>
      <c r="O62" s="91"/>
      <c r="P62" s="91"/>
      <c r="Q62" s="91"/>
      <c r="R62" s="300"/>
      <c r="S62" s="91"/>
      <c r="T62" s="91">
        <f>T60/S60-1</f>
        <v>-0.33333333333333326</v>
      </c>
      <c r="U62" s="91">
        <f>U60/T60-1</f>
        <v>0.5</v>
      </c>
      <c r="V62" s="91">
        <f>V60/U60-1</f>
        <v>1.0000000000000004</v>
      </c>
      <c r="W62" s="91">
        <f>W60/V60-1</f>
        <v>0.83333333333333304</v>
      </c>
      <c r="X62" s="91">
        <f>X60/W60-1</f>
        <v>0</v>
      </c>
      <c r="Y62" s="91">
        <f>Y60/X60-1</f>
        <v>-9.0909090909090828E-2</v>
      </c>
      <c r="Z62" s="91">
        <f>Z60/Y60-1</f>
        <v>-0.39999999999999969</v>
      </c>
      <c r="AA62" s="91">
        <f>AA60/Z60-1</f>
        <v>0.49999999999999889</v>
      </c>
      <c r="AB62" s="91">
        <f>AB60/AA60-1</f>
        <v>0.11111111111111116</v>
      </c>
      <c r="AC62" s="91">
        <f>AC60/AB60-1</f>
        <v>-0.10000000000000009</v>
      </c>
      <c r="AD62" s="91">
        <f>AD60/AC60-1</f>
        <v>-0.11111111111111094</v>
      </c>
      <c r="AE62" s="91">
        <f>AE60/AD60-1</f>
        <v>0.37499999999999978</v>
      </c>
      <c r="AF62" s="91">
        <f>AF60/AE60-1</f>
        <v>-0.36363636363636354</v>
      </c>
      <c r="AG62" s="91">
        <f>AG60/AF60-1</f>
        <v>0.28571428571428559</v>
      </c>
      <c r="AH62" s="112" t="s">
        <v>99</v>
      </c>
      <c r="AI62" s="112" t="s">
        <v>99</v>
      </c>
      <c r="AJ62" s="112" t="s">
        <v>99</v>
      </c>
      <c r="AK62" s="112" t="s">
        <v>99</v>
      </c>
      <c r="AL62" s="112" t="s">
        <v>99</v>
      </c>
      <c r="AM62" s="112" t="s">
        <v>99</v>
      </c>
      <c r="AN62" s="112" t="s">
        <v>99</v>
      </c>
      <c r="AO62" s="112" t="s">
        <v>99</v>
      </c>
      <c r="AP62" s="112" t="s">
        <v>99</v>
      </c>
      <c r="AQ62" s="112" t="s">
        <v>99</v>
      </c>
      <c r="AR62" s="112" t="s">
        <v>99</v>
      </c>
      <c r="AS62" s="112" t="s">
        <v>99</v>
      </c>
      <c r="AT62" s="112" t="s">
        <v>99</v>
      </c>
      <c r="AU62" s="112" t="s">
        <v>99</v>
      </c>
      <c r="AV62" s="91">
        <f>AV60/AU60-1</f>
        <v>-0.66666666666666663</v>
      </c>
      <c r="AW62" s="91">
        <f>AW60/AV60-1</f>
        <v>0.5</v>
      </c>
      <c r="AX62" s="91">
        <f>AX60/AW60-1</f>
        <v>1</v>
      </c>
      <c r="AY62" s="91">
        <f>AY60/AX60-1</f>
        <v>0.33333333333333348</v>
      </c>
      <c r="AZ62" s="91">
        <f>AZ60/AY60-1</f>
        <v>-0.12499999999999989</v>
      </c>
      <c r="BA62" s="93">
        <f>BA60/AZ60-1</f>
        <v>0.71428571428571397</v>
      </c>
      <c r="BB62" s="92">
        <f>BB60/BA60-1</f>
        <v>-8.2877885902155946E-2</v>
      </c>
      <c r="BC62" s="91">
        <f>BC60/BB60-1</f>
        <v>0.17872320052732027</v>
      </c>
      <c r="BD62" s="91">
        <f>BD60/BC60-1</f>
        <v>0.17697657726957416</v>
      </c>
      <c r="BE62" s="91">
        <f>BE60/BD60-1</f>
        <v>0.13876619435675508</v>
      </c>
      <c r="BF62" s="91">
        <f>BF60/BE60-1</f>
        <v>5.9724403025886774E-2</v>
      </c>
      <c r="BG62" s="91">
        <f>BG60/BF60-1</f>
        <v>0.1467174977865997</v>
      </c>
      <c r="BH62" s="91">
        <f>BH60/BG60-1</f>
        <v>0.17191466600212713</v>
      </c>
      <c r="BI62" s="91">
        <f>BI60/BH60-1</f>
        <v>9.0583037184734039E-2</v>
      </c>
      <c r="BJ62" s="91">
        <f>BJ60/BI60-1</f>
        <v>3.9213562856841522E-2</v>
      </c>
      <c r="BK62" s="91">
        <f>BK60/BJ60-1</f>
        <v>0.10822488729474378</v>
      </c>
      <c r="BL62" s="91">
        <f>BL60/BK60-1</f>
        <v>0.17432013289468595</v>
      </c>
      <c r="BM62" s="91">
        <f>BM60/BL60-1</f>
        <v>7.2162882490722335E-2</v>
      </c>
      <c r="BN62" s="91">
        <f>BN60/BM60-1</f>
        <v>2.8008240454364675E-2</v>
      </c>
      <c r="BO62" s="91">
        <f>BO60/BN60-1</f>
        <v>0.1037817668654164</v>
      </c>
      <c r="BP62" s="91">
        <f>BP60/BO60-1</f>
        <v>0.17995244925479303</v>
      </c>
      <c r="BQ62" s="91">
        <f>BQ60/BP60-1</f>
        <v>5.5620992617029907E-2</v>
      </c>
      <c r="BR62" s="91">
        <f>BR60/BQ60-1</f>
        <v>1.4630174230923387E-2</v>
      </c>
    </row>
    <row r="63" spans="1:70" x14ac:dyDescent="0.2">
      <c r="A63" s="267"/>
      <c r="B63" s="9"/>
      <c r="C63" s="100"/>
      <c r="D63" s="100"/>
      <c r="E63" s="100"/>
      <c r="F63" s="100"/>
      <c r="G63" s="100"/>
      <c r="H63" s="100"/>
      <c r="I63" s="100"/>
      <c r="J63" s="100"/>
      <c r="K63" s="100"/>
      <c r="L63" s="102"/>
      <c r="M63" s="176"/>
      <c r="N63" s="101"/>
      <c r="O63" s="101"/>
      <c r="P63" s="101"/>
      <c r="Q63" s="101"/>
      <c r="R63" s="46"/>
      <c r="S63" s="100"/>
      <c r="T63" s="100"/>
      <c r="U63" s="100"/>
      <c r="V63" s="100"/>
      <c r="W63" s="100"/>
      <c r="X63" s="100"/>
      <c r="Y63" s="100"/>
      <c r="Z63" s="100"/>
      <c r="AA63" s="100"/>
      <c r="AB63" s="100"/>
      <c r="AC63" s="100"/>
      <c r="AD63" s="100"/>
      <c r="AE63" s="100"/>
      <c r="AF63" s="100"/>
      <c r="AG63" s="100"/>
      <c r="AH63" s="100"/>
      <c r="AI63" s="100"/>
      <c r="AJ63" s="100"/>
      <c r="AK63" s="100"/>
      <c r="AL63" s="100"/>
      <c r="AM63" s="100"/>
      <c r="AN63" s="100"/>
      <c r="AO63" s="100"/>
      <c r="AP63" s="100"/>
      <c r="AQ63" s="100"/>
      <c r="AR63" s="100"/>
      <c r="AS63" s="100"/>
      <c r="AT63" s="100"/>
      <c r="AU63" s="100"/>
      <c r="AV63" s="100"/>
      <c r="AW63" s="100"/>
      <c r="AX63" s="100"/>
      <c r="AY63" s="100"/>
      <c r="AZ63" s="100"/>
      <c r="BA63" s="102"/>
      <c r="BB63" s="103"/>
      <c r="BC63" s="100"/>
      <c r="BD63" s="100"/>
      <c r="BE63" s="100"/>
      <c r="BF63" s="100"/>
      <c r="BG63" s="100"/>
      <c r="BH63" s="100"/>
      <c r="BI63" s="100"/>
      <c r="BJ63" s="100"/>
      <c r="BK63" s="100"/>
      <c r="BL63" s="100"/>
      <c r="BM63" s="100"/>
      <c r="BN63" s="100"/>
      <c r="BO63" s="119"/>
      <c r="BP63" s="119"/>
      <c r="BQ63" s="119"/>
      <c r="BR63" s="119"/>
    </row>
    <row r="64" spans="1:70" x14ac:dyDescent="0.2">
      <c r="A64" s="266" t="s">
        <v>36</v>
      </c>
      <c r="B64" s="9"/>
      <c r="C64" s="106"/>
      <c r="D64" s="106"/>
      <c r="E64" s="106"/>
      <c r="F64" s="106"/>
      <c r="G64" s="106"/>
      <c r="H64" s="106"/>
      <c r="I64" s="106"/>
      <c r="J64" s="106"/>
      <c r="K64" s="106"/>
      <c r="L64" s="107"/>
      <c r="M64" s="77"/>
      <c r="N64" s="76"/>
      <c r="O64" s="76"/>
      <c r="P64" s="76"/>
      <c r="Q64" s="76"/>
      <c r="R64" s="46"/>
      <c r="S64" s="106"/>
      <c r="T64" s="106"/>
      <c r="U64" s="106"/>
      <c r="V64" s="106"/>
      <c r="W64" s="106"/>
      <c r="X64" s="106"/>
      <c r="Y64" s="106"/>
      <c r="Z64" s="106"/>
      <c r="AA64" s="106"/>
      <c r="AB64" s="106"/>
      <c r="AC64" s="106"/>
      <c r="AD64" s="106"/>
      <c r="AE64" s="106"/>
      <c r="AF64" s="106"/>
      <c r="AG64" s="106"/>
      <c r="AH64" s="106"/>
      <c r="AI64" s="106"/>
      <c r="AJ64" s="106"/>
      <c r="AK64" s="106"/>
      <c r="AL64" s="106"/>
      <c r="AM64" s="106"/>
      <c r="AN64" s="106"/>
      <c r="AO64" s="106"/>
      <c r="AP64" s="106"/>
      <c r="AQ64" s="106"/>
      <c r="AR64" s="106"/>
      <c r="AS64" s="106"/>
      <c r="AT64" s="106"/>
      <c r="AU64" s="106"/>
      <c r="AV64" s="106"/>
      <c r="AW64" s="106"/>
      <c r="AX64" s="106"/>
      <c r="AY64" s="106"/>
      <c r="AZ64" s="106"/>
      <c r="BA64" s="107"/>
      <c r="BB64" s="108"/>
      <c r="BC64" s="106"/>
      <c r="BD64" s="106"/>
      <c r="BE64" s="106"/>
      <c r="BF64" s="106"/>
      <c r="BG64" s="106"/>
      <c r="BH64" s="106"/>
      <c r="BI64" s="106"/>
      <c r="BJ64" s="106"/>
      <c r="BK64" s="106"/>
      <c r="BL64" s="106"/>
      <c r="BM64" s="106"/>
      <c r="BN64" s="106"/>
      <c r="BO64" s="75"/>
      <c r="BP64" s="75"/>
      <c r="BQ64" s="75"/>
      <c r="BR64" s="75"/>
    </row>
    <row r="65" spans="1:70" x14ac:dyDescent="0.2">
      <c r="A65" s="280" t="s">
        <v>27</v>
      </c>
      <c r="B65" s="9"/>
      <c r="C65" s="142">
        <v>74.231999999999999</v>
      </c>
      <c r="D65" s="142">
        <v>65.903000000000006</v>
      </c>
      <c r="E65" s="142">
        <v>64.673000000000002</v>
      </c>
      <c r="F65" s="142">
        <v>65.933000000000007</v>
      </c>
      <c r="G65" s="142">
        <v>66.013999999999996</v>
      </c>
      <c r="H65" s="142">
        <v>65.78</v>
      </c>
      <c r="I65" s="142">
        <v>65.853999999999999</v>
      </c>
      <c r="J65" s="142">
        <v>66.05</v>
      </c>
      <c r="K65" s="142">
        <v>66.816000000000003</v>
      </c>
      <c r="L65" s="142">
        <v>69.463999999999999</v>
      </c>
      <c r="M65" s="77">
        <f>AVERAGE(AY65:BB65)</f>
        <v>71.578249999999997</v>
      </c>
      <c r="N65" s="76">
        <f>AVERAGE(BC65:BF65)</f>
        <v>72.251000000000005</v>
      </c>
      <c r="O65" s="76">
        <f>AVERAGE(BG65:BJ65)</f>
        <v>72.251000000000005</v>
      </c>
      <c r="P65" s="76">
        <f>AVERAGE(BK65:BN65)</f>
        <v>72.251000000000005</v>
      </c>
      <c r="Q65" s="76">
        <f>AVERAGE(BO65:BR65)</f>
        <v>72.251000000000005</v>
      </c>
      <c r="R65" s="46"/>
      <c r="S65" s="142">
        <v>63.951999999999998</v>
      </c>
      <c r="T65" s="142">
        <v>63.969000000000001</v>
      </c>
      <c r="U65" s="142">
        <v>64.712000000000003</v>
      </c>
      <c r="V65" s="146">
        <f>E65*4-U65-T65-S65</f>
        <v>66.059000000000026</v>
      </c>
      <c r="W65" s="142">
        <v>65.134</v>
      </c>
      <c r="X65" s="142">
        <v>65.774000000000001</v>
      </c>
      <c r="Y65" s="142">
        <v>66.108000000000004</v>
      </c>
      <c r="Z65" s="146">
        <f>F65*4-Y65-X65-W65</f>
        <v>66.716000000000022</v>
      </c>
      <c r="AA65" s="142">
        <v>66.697000000000003</v>
      </c>
      <c r="AB65" s="142">
        <v>66.116</v>
      </c>
      <c r="AC65" s="142">
        <v>65.525000000000006</v>
      </c>
      <c r="AD65" s="146">
        <f>G65*4-AC65-AB65-AA65</f>
        <v>65.717999999999961</v>
      </c>
      <c r="AE65" s="142">
        <v>65.91</v>
      </c>
      <c r="AF65" s="142">
        <v>65.97</v>
      </c>
      <c r="AG65" s="142">
        <v>65.588999999999999</v>
      </c>
      <c r="AH65" s="146">
        <f>H65*4-AG65-AF65-AE65</f>
        <v>65.65100000000001</v>
      </c>
      <c r="AI65" s="142">
        <v>65.623000000000005</v>
      </c>
      <c r="AJ65" s="142">
        <v>65.843999999999994</v>
      </c>
      <c r="AK65" s="142">
        <v>65.941000000000003</v>
      </c>
      <c r="AL65" s="142">
        <v>66.004000000000005</v>
      </c>
      <c r="AM65" s="142">
        <v>66.034000000000006</v>
      </c>
      <c r="AN65" s="142">
        <v>66.040999999999997</v>
      </c>
      <c r="AO65" s="142">
        <v>66.049000000000007</v>
      </c>
      <c r="AP65" s="142">
        <v>66.073999999999998</v>
      </c>
      <c r="AQ65" s="142">
        <v>66.09</v>
      </c>
      <c r="AR65" s="142">
        <v>66.349999999999994</v>
      </c>
      <c r="AS65" s="142">
        <v>66.897000000000006</v>
      </c>
      <c r="AT65" s="142">
        <v>67.754999999999995</v>
      </c>
      <c r="AU65" s="142">
        <v>68.686000000000007</v>
      </c>
      <c r="AV65" s="142">
        <v>69.203000000000003</v>
      </c>
      <c r="AW65" s="142">
        <v>69.75</v>
      </c>
      <c r="AX65" s="142">
        <v>70.195999999999998</v>
      </c>
      <c r="AY65" s="142">
        <v>70.334000000000003</v>
      </c>
      <c r="AZ65" s="142">
        <v>71.477000000000004</v>
      </c>
      <c r="BA65" s="153">
        <v>72.251000000000005</v>
      </c>
      <c r="BB65" s="77">
        <f>BA65</f>
        <v>72.251000000000005</v>
      </c>
      <c r="BC65" s="76">
        <f>BB65</f>
        <v>72.251000000000005</v>
      </c>
      <c r="BD65" s="76">
        <f>BC65</f>
        <v>72.251000000000005</v>
      </c>
      <c r="BE65" s="76">
        <f>BD65</f>
        <v>72.251000000000005</v>
      </c>
      <c r="BF65" s="76">
        <f>BE65</f>
        <v>72.251000000000005</v>
      </c>
      <c r="BG65" s="76">
        <f>BF65</f>
        <v>72.251000000000005</v>
      </c>
      <c r="BH65" s="76">
        <f>BG65</f>
        <v>72.251000000000005</v>
      </c>
      <c r="BI65" s="76">
        <f>BH65</f>
        <v>72.251000000000005</v>
      </c>
      <c r="BJ65" s="76">
        <f>BI65</f>
        <v>72.251000000000005</v>
      </c>
      <c r="BK65" s="76">
        <f>BJ65</f>
        <v>72.251000000000005</v>
      </c>
      <c r="BL65" s="76">
        <f>BK65</f>
        <v>72.251000000000005</v>
      </c>
      <c r="BM65" s="76">
        <f>BL65</f>
        <v>72.251000000000005</v>
      </c>
      <c r="BN65" s="76">
        <f>BM65</f>
        <v>72.251000000000005</v>
      </c>
      <c r="BO65" s="76">
        <f>BN65</f>
        <v>72.251000000000005</v>
      </c>
      <c r="BP65" s="76">
        <f>BO65</f>
        <v>72.251000000000005</v>
      </c>
      <c r="BQ65" s="76">
        <f>BP65</f>
        <v>72.251000000000005</v>
      </c>
      <c r="BR65" s="76">
        <f>BQ65</f>
        <v>72.251000000000005</v>
      </c>
    </row>
    <row r="66" spans="1:70" x14ac:dyDescent="0.2">
      <c r="A66" s="280" t="s">
        <v>28</v>
      </c>
      <c r="B66" s="17"/>
      <c r="C66" s="142">
        <v>75.355999999999995</v>
      </c>
      <c r="D66" s="142">
        <v>67.272000000000006</v>
      </c>
      <c r="E66" s="142">
        <v>64.858999999999995</v>
      </c>
      <c r="F66" s="142">
        <v>67.337000000000003</v>
      </c>
      <c r="G66" s="142">
        <v>67.204999999999998</v>
      </c>
      <c r="H66" s="142">
        <v>66.863</v>
      </c>
      <c r="I66" s="142">
        <v>65.853999999999999</v>
      </c>
      <c r="J66" s="142">
        <v>66.05</v>
      </c>
      <c r="K66" s="142">
        <v>66.816000000000003</v>
      </c>
      <c r="L66" s="142">
        <v>73.796000000000006</v>
      </c>
      <c r="M66" s="77">
        <f>AVERAGE(AY66:BB66)</f>
        <v>78.165999999999997</v>
      </c>
      <c r="N66" s="76">
        <f>AVERAGE(BC66:BF66)</f>
        <v>79.125</v>
      </c>
      <c r="O66" s="76">
        <f>AVERAGE(BG66:BJ66)</f>
        <v>79.125</v>
      </c>
      <c r="P66" s="76">
        <f>AVERAGE(BK66:BN66)</f>
        <v>79.125</v>
      </c>
      <c r="Q66" s="76">
        <f>AVERAGE(BO66:BR66)</f>
        <v>79.125</v>
      </c>
      <c r="R66" s="56"/>
      <c r="S66" s="142">
        <v>64.182000000000002</v>
      </c>
      <c r="T66" s="142">
        <v>64.093999999999994</v>
      </c>
      <c r="U66" s="142">
        <v>64.751000000000005</v>
      </c>
      <c r="V66" s="146">
        <f>E66*4-U66-T66-S66</f>
        <v>66.408999999999978</v>
      </c>
      <c r="W66" s="142">
        <v>66.19</v>
      </c>
      <c r="X66" s="142">
        <v>67.382999999999996</v>
      </c>
      <c r="Y66" s="142">
        <v>67.600999999999999</v>
      </c>
      <c r="Z66" s="146">
        <f>F66*4-Y66-X66-W66</f>
        <v>68.174000000000035</v>
      </c>
      <c r="AA66" s="142">
        <v>67.882000000000005</v>
      </c>
      <c r="AB66" s="142">
        <v>66.992999999999995</v>
      </c>
      <c r="AC66" s="142">
        <v>66.63</v>
      </c>
      <c r="AD66" s="146">
        <f>G66*4-AC66-AB66-AA66</f>
        <v>67.314999999999998</v>
      </c>
      <c r="AE66" s="142">
        <v>67.37</v>
      </c>
      <c r="AF66" s="142">
        <v>67.087000000000003</v>
      </c>
      <c r="AG66" s="142">
        <v>66.747</v>
      </c>
      <c r="AH66" s="146">
        <f>H66*4-AG66-AF66-AE66</f>
        <v>66.24799999999999</v>
      </c>
      <c r="AI66" s="142">
        <v>66.492000000000004</v>
      </c>
      <c r="AJ66" s="142">
        <v>65.843999999999994</v>
      </c>
      <c r="AK66" s="142">
        <v>65.941000000000003</v>
      </c>
      <c r="AL66" s="142">
        <v>66.004000000000005</v>
      </c>
      <c r="AM66" s="142">
        <v>66.034000000000006</v>
      </c>
      <c r="AN66" s="142">
        <v>66.040999999999997</v>
      </c>
      <c r="AO66" s="142">
        <v>66.049000000000007</v>
      </c>
      <c r="AP66" s="142">
        <v>66.073999999999998</v>
      </c>
      <c r="AQ66" s="142">
        <v>66.09</v>
      </c>
      <c r="AR66" s="142">
        <v>66.349999999999994</v>
      </c>
      <c r="AS66" s="142">
        <v>66.897000000000006</v>
      </c>
      <c r="AT66" s="142">
        <v>67.754999999999995</v>
      </c>
      <c r="AU66" s="142">
        <v>73.284999999999997</v>
      </c>
      <c r="AV66" s="142">
        <v>73.44</v>
      </c>
      <c r="AW66" s="142">
        <v>74.593999999999994</v>
      </c>
      <c r="AX66" s="142">
        <v>74.024000000000001</v>
      </c>
      <c r="AY66" s="142">
        <v>75.256</v>
      </c>
      <c r="AZ66" s="142">
        <v>79.158000000000001</v>
      </c>
      <c r="BA66" s="153">
        <v>79.125</v>
      </c>
      <c r="BB66" s="223">
        <f>BB65+BB67</f>
        <v>79.125</v>
      </c>
      <c r="BC66" s="224">
        <f>BC65+BC67</f>
        <v>79.125</v>
      </c>
      <c r="BD66" s="224">
        <f>BD65+BD67</f>
        <v>79.125</v>
      </c>
      <c r="BE66" s="224">
        <f>BE65+BE67</f>
        <v>79.125</v>
      </c>
      <c r="BF66" s="224">
        <f>BF65+BF67</f>
        <v>79.125</v>
      </c>
      <c r="BG66" s="224">
        <f>BG65+BG67</f>
        <v>79.125</v>
      </c>
      <c r="BH66" s="224">
        <f>BH65+BH67</f>
        <v>79.125</v>
      </c>
      <c r="BI66" s="224">
        <f>BI65+BI67</f>
        <v>79.125</v>
      </c>
      <c r="BJ66" s="224">
        <f>BJ65+BJ67</f>
        <v>79.125</v>
      </c>
      <c r="BK66" s="224">
        <f>BK65+BK67</f>
        <v>79.125</v>
      </c>
      <c r="BL66" s="224">
        <f>BL65+BL67</f>
        <v>79.125</v>
      </c>
      <c r="BM66" s="224">
        <f>BM65+BM67</f>
        <v>79.125</v>
      </c>
      <c r="BN66" s="224">
        <f>BN65+BN67</f>
        <v>79.125</v>
      </c>
      <c r="BO66" s="224">
        <f>BO65+BO67</f>
        <v>79.125</v>
      </c>
      <c r="BP66" s="224">
        <f>BP65+BP67</f>
        <v>79.125</v>
      </c>
      <c r="BQ66" s="224">
        <f>BQ65+BQ67</f>
        <v>79.125</v>
      </c>
      <c r="BR66" s="224">
        <f>BR65+BR67</f>
        <v>79.125</v>
      </c>
    </row>
    <row r="67" spans="1:70" x14ac:dyDescent="0.2">
      <c r="A67" s="280" t="s">
        <v>314</v>
      </c>
      <c r="B67" s="17"/>
      <c r="C67" s="146">
        <f>C66-C65</f>
        <v>1.1239999999999952</v>
      </c>
      <c r="D67" s="146">
        <f>D66-D65</f>
        <v>1.3689999999999998</v>
      </c>
      <c r="E67" s="146">
        <f>E66-E65</f>
        <v>0.18599999999999284</v>
      </c>
      <c r="F67" s="146">
        <f>F66-F65</f>
        <v>1.4039999999999964</v>
      </c>
      <c r="G67" s="146">
        <f>G66-G65</f>
        <v>1.1910000000000025</v>
      </c>
      <c r="H67" s="146">
        <f>H66-H65</f>
        <v>1.0829999999999984</v>
      </c>
      <c r="I67" s="146">
        <f>I66-I65</f>
        <v>0</v>
      </c>
      <c r="J67" s="146">
        <f>J66-J65</f>
        <v>0</v>
      </c>
      <c r="K67" s="146">
        <f>K66-K65</f>
        <v>0</v>
      </c>
      <c r="L67" s="146">
        <f>L66-L65</f>
        <v>4.3320000000000078</v>
      </c>
      <c r="M67" s="77">
        <f>M66-M65</f>
        <v>6.5877499999999998</v>
      </c>
      <c r="N67" s="76">
        <f>N66-N65</f>
        <v>6.8739999999999952</v>
      </c>
      <c r="O67" s="76">
        <f>O66-O65</f>
        <v>6.8739999999999952</v>
      </c>
      <c r="P67" s="76">
        <f>P66-P65</f>
        <v>6.8739999999999952</v>
      </c>
      <c r="Q67" s="76">
        <f>Q66-Q65</f>
        <v>6.8739999999999952</v>
      </c>
      <c r="R67" s="56"/>
      <c r="S67" s="146">
        <f>S66-S65</f>
        <v>0.23000000000000398</v>
      </c>
      <c r="T67" s="146">
        <f>T66-T65</f>
        <v>0.12499999999999289</v>
      </c>
      <c r="U67" s="146">
        <f>U66-U65</f>
        <v>3.9000000000001478E-2</v>
      </c>
      <c r="V67" s="146">
        <f>V66-V65</f>
        <v>0.34999999999995168</v>
      </c>
      <c r="W67" s="146">
        <f>W66-W65</f>
        <v>1.0559999999999974</v>
      </c>
      <c r="X67" s="146">
        <f>X66-X65</f>
        <v>1.6089999999999947</v>
      </c>
      <c r="Y67" s="146">
        <f>Y66-Y65</f>
        <v>1.492999999999995</v>
      </c>
      <c r="Z67" s="146">
        <f>Z66-Z65</f>
        <v>1.4580000000000126</v>
      </c>
      <c r="AA67" s="146">
        <f>AA66-AA65</f>
        <v>1.1850000000000023</v>
      </c>
      <c r="AB67" s="146">
        <f>AB66-AB65</f>
        <v>0.87699999999999534</v>
      </c>
      <c r="AC67" s="146">
        <f>AC66-AC65</f>
        <v>1.1049999999999898</v>
      </c>
      <c r="AD67" s="146">
        <f>AD66-AD65</f>
        <v>1.5970000000000368</v>
      </c>
      <c r="AE67" s="146">
        <f>AE66-AE65</f>
        <v>1.460000000000008</v>
      </c>
      <c r="AF67" s="146">
        <f>AF66-AF65</f>
        <v>1.1170000000000044</v>
      </c>
      <c r="AG67" s="146">
        <f>AG66-AG65</f>
        <v>1.1580000000000013</v>
      </c>
      <c r="AH67" s="146">
        <f>AH66-AH65</f>
        <v>0.59699999999997999</v>
      </c>
      <c r="AI67" s="146">
        <f>AI66-AI65</f>
        <v>0.86899999999999977</v>
      </c>
      <c r="AJ67" s="146">
        <f>AJ66-AJ65</f>
        <v>0</v>
      </c>
      <c r="AK67" s="146">
        <f>AK66-AK65</f>
        <v>0</v>
      </c>
      <c r="AL67" s="146">
        <f>AL66-AL65</f>
        <v>0</v>
      </c>
      <c r="AM67" s="146">
        <f>AM66-AM65</f>
        <v>0</v>
      </c>
      <c r="AN67" s="146">
        <f>AN66-AN65</f>
        <v>0</v>
      </c>
      <c r="AO67" s="146">
        <f>AO66-AO65</f>
        <v>0</v>
      </c>
      <c r="AP67" s="146">
        <f>AP66-AP65</f>
        <v>0</v>
      </c>
      <c r="AQ67" s="146">
        <f>AQ66-AQ65</f>
        <v>0</v>
      </c>
      <c r="AR67" s="146">
        <f>AR66-AR65</f>
        <v>0</v>
      </c>
      <c r="AS67" s="146">
        <f>AS66-AS65</f>
        <v>0</v>
      </c>
      <c r="AT67" s="146">
        <f>AT66-AT65</f>
        <v>0</v>
      </c>
      <c r="AU67" s="146">
        <f>AU66-AU65</f>
        <v>4.5989999999999895</v>
      </c>
      <c r="AV67" s="146">
        <f>AV66-AV65</f>
        <v>4.2369999999999948</v>
      </c>
      <c r="AW67" s="146">
        <f>AW66-AW65</f>
        <v>4.8439999999999941</v>
      </c>
      <c r="AX67" s="146">
        <f>AX66-AX65</f>
        <v>3.828000000000003</v>
      </c>
      <c r="AY67" s="146">
        <f>AY66-AY65</f>
        <v>4.921999999999997</v>
      </c>
      <c r="AZ67" s="146">
        <f>AZ66-AZ65</f>
        <v>7.6809999999999974</v>
      </c>
      <c r="BA67" s="154">
        <f>BA66-BA65</f>
        <v>6.8739999999999952</v>
      </c>
      <c r="BB67" s="172">
        <f>BA67</f>
        <v>6.8739999999999952</v>
      </c>
      <c r="BC67" s="157">
        <f>BB67</f>
        <v>6.8739999999999952</v>
      </c>
      <c r="BD67" s="157">
        <f>BC67</f>
        <v>6.8739999999999952</v>
      </c>
      <c r="BE67" s="157">
        <f>BD67</f>
        <v>6.8739999999999952</v>
      </c>
      <c r="BF67" s="157">
        <f>BE67</f>
        <v>6.8739999999999952</v>
      </c>
      <c r="BG67" s="157">
        <f>BF67</f>
        <v>6.8739999999999952</v>
      </c>
      <c r="BH67" s="157">
        <f>BG67</f>
        <v>6.8739999999999952</v>
      </c>
      <c r="BI67" s="157">
        <f>BH67</f>
        <v>6.8739999999999952</v>
      </c>
      <c r="BJ67" s="157">
        <f>BI67</f>
        <v>6.8739999999999952</v>
      </c>
      <c r="BK67" s="157">
        <f>BJ67</f>
        <v>6.8739999999999952</v>
      </c>
      <c r="BL67" s="157">
        <f>BK67</f>
        <v>6.8739999999999952</v>
      </c>
      <c r="BM67" s="157">
        <f>BL67</f>
        <v>6.8739999999999952</v>
      </c>
      <c r="BN67" s="157">
        <f>BM67</f>
        <v>6.8739999999999952</v>
      </c>
      <c r="BO67" s="157">
        <f>BN67</f>
        <v>6.8739999999999952</v>
      </c>
      <c r="BP67" s="157">
        <f>BO67</f>
        <v>6.8739999999999952</v>
      </c>
      <c r="BQ67" s="157">
        <f>BP67</f>
        <v>6.8739999999999952</v>
      </c>
      <c r="BR67" s="157">
        <f>BQ67</f>
        <v>6.8739999999999952</v>
      </c>
    </row>
    <row r="68" spans="1:70" x14ac:dyDescent="0.2">
      <c r="A68" s="267"/>
      <c r="B68" s="9"/>
      <c r="C68" s="100"/>
      <c r="D68" s="100"/>
      <c r="E68" s="100"/>
      <c r="F68" s="100"/>
      <c r="G68" s="100"/>
      <c r="H68" s="100"/>
      <c r="I68" s="100"/>
      <c r="J68" s="100"/>
      <c r="K68" s="100"/>
      <c r="L68" s="102"/>
      <c r="M68" s="176"/>
      <c r="N68" s="101"/>
      <c r="O68" s="101"/>
      <c r="P68" s="101"/>
      <c r="Q68" s="101"/>
      <c r="R68" s="46"/>
      <c r="S68" s="100"/>
      <c r="T68" s="100"/>
      <c r="U68" s="100"/>
      <c r="V68" s="100"/>
      <c r="W68" s="100"/>
      <c r="X68" s="100"/>
      <c r="Y68" s="100"/>
      <c r="Z68" s="100"/>
      <c r="AA68" s="100"/>
      <c r="AB68" s="100"/>
      <c r="AC68" s="100"/>
      <c r="AD68" s="100"/>
      <c r="AE68" s="100"/>
      <c r="AF68" s="100"/>
      <c r="AG68" s="100"/>
      <c r="AH68" s="100"/>
      <c r="AI68" s="100"/>
      <c r="AJ68" s="100"/>
      <c r="AK68" s="100"/>
      <c r="AL68" s="100"/>
      <c r="AM68" s="100"/>
      <c r="AN68" s="100"/>
      <c r="AO68" s="100"/>
      <c r="AP68" s="100"/>
      <c r="AQ68" s="100"/>
      <c r="AR68" s="100"/>
      <c r="AS68" s="100"/>
      <c r="AT68" s="100"/>
      <c r="AU68" s="100"/>
      <c r="AV68" s="100"/>
      <c r="AW68" s="100"/>
      <c r="AX68" s="100"/>
      <c r="AY68" s="100"/>
      <c r="AZ68" s="100"/>
      <c r="BA68" s="102"/>
      <c r="BB68" s="103"/>
      <c r="BC68" s="100"/>
      <c r="BD68" s="100"/>
      <c r="BE68" s="100"/>
      <c r="BF68" s="100"/>
      <c r="BG68" s="100"/>
      <c r="BH68" s="100"/>
      <c r="BI68" s="100"/>
      <c r="BJ68" s="100"/>
      <c r="BK68" s="100"/>
      <c r="BL68" s="100"/>
      <c r="BM68" s="100"/>
      <c r="BN68" s="100"/>
      <c r="BO68" s="119"/>
      <c r="BP68" s="119"/>
      <c r="BQ68" s="119"/>
      <c r="BR68" s="119"/>
    </row>
    <row r="69" spans="1:70" x14ac:dyDescent="0.2">
      <c r="A69" s="278" t="s">
        <v>310</v>
      </c>
      <c r="B69" s="17"/>
      <c r="C69" s="142"/>
      <c r="D69" s="142"/>
      <c r="E69" s="142"/>
      <c r="F69" s="142"/>
      <c r="G69" s="142"/>
      <c r="H69" s="142"/>
      <c r="I69" s="142"/>
      <c r="J69" s="142"/>
      <c r="K69" s="142"/>
      <c r="L69" s="142"/>
      <c r="M69" s="77"/>
      <c r="N69" s="76"/>
      <c r="O69" s="76"/>
      <c r="P69" s="76"/>
      <c r="Q69" s="76"/>
      <c r="R69" s="56"/>
      <c r="S69" s="142"/>
      <c r="T69" s="142"/>
      <c r="U69" s="142"/>
      <c r="V69" s="142"/>
      <c r="W69" s="142"/>
      <c r="X69" s="142"/>
      <c r="Y69" s="142"/>
      <c r="Z69" s="142"/>
      <c r="AA69" s="142"/>
      <c r="AB69" s="142"/>
      <c r="AC69" s="142"/>
      <c r="AD69" s="142"/>
      <c r="AE69" s="142"/>
      <c r="AF69" s="142"/>
      <c r="AG69" s="142"/>
      <c r="AH69" s="142"/>
      <c r="AI69" s="142"/>
      <c r="AJ69" s="142"/>
      <c r="AK69" s="142"/>
      <c r="AL69" s="142"/>
      <c r="AM69" s="142"/>
      <c r="AN69" s="142"/>
      <c r="AO69" s="142"/>
      <c r="AP69" s="142"/>
      <c r="AQ69" s="142"/>
      <c r="AR69" s="142"/>
      <c r="AS69" s="142"/>
      <c r="AT69" s="142"/>
      <c r="AU69" s="142"/>
      <c r="AV69" s="142"/>
      <c r="AW69" s="142"/>
      <c r="AX69" s="142"/>
      <c r="AY69" s="142"/>
      <c r="AZ69" s="142"/>
      <c r="BA69" s="102"/>
      <c r="BB69" s="103"/>
      <c r="BC69" s="80"/>
      <c r="BD69" s="80"/>
      <c r="BE69" s="80"/>
      <c r="BF69" s="80"/>
      <c r="BG69" s="80"/>
      <c r="BH69" s="80"/>
      <c r="BI69" s="80"/>
      <c r="BJ69" s="80"/>
      <c r="BK69" s="80"/>
      <c r="BL69" s="80"/>
      <c r="BM69" s="80"/>
      <c r="BN69" s="80"/>
      <c r="BO69" s="80"/>
      <c r="BP69" s="80"/>
      <c r="BQ69" s="80"/>
      <c r="BR69" s="80"/>
    </row>
    <row r="70" spans="1:70" x14ac:dyDescent="0.2">
      <c r="A70" s="281" t="s">
        <v>313</v>
      </c>
      <c r="B70" s="11"/>
      <c r="C70" s="142"/>
      <c r="D70" s="142"/>
      <c r="E70" s="146">
        <f>SUM(S70:V70)</f>
        <v>59.167000000000002</v>
      </c>
      <c r="F70" s="146">
        <f>SUM(W70:Z70)</f>
        <v>38.330999999999996</v>
      </c>
      <c r="G70" s="146">
        <f>SUM(AA70:AD70)</f>
        <v>2578</v>
      </c>
      <c r="H70" s="146">
        <f>SUM(AE70:AH70)</f>
        <v>1512</v>
      </c>
      <c r="I70" s="146">
        <f>SUM(AI70:AL70)</f>
        <v>32.6</v>
      </c>
      <c r="J70" s="146">
        <f>SUM(AM70:AP70)</f>
        <v>18.7</v>
      </c>
      <c r="K70" s="146">
        <f>SUM(AQ70:AT70)</f>
        <v>15.6</v>
      </c>
      <c r="L70" s="146">
        <f>SUM(AU70:AX70)</f>
        <v>17.5</v>
      </c>
      <c r="M70" s="77">
        <f>SUM(AY70:BB70)</f>
        <v>95.660714285714278</v>
      </c>
      <c r="N70" s="76">
        <f>SUM(BC70:BF70)</f>
        <v>14.642857142857123</v>
      </c>
      <c r="O70" s="76">
        <f>SUM(BG70:BJ70)</f>
        <v>14.642857142857123</v>
      </c>
      <c r="P70" s="76">
        <f>SUM(BK70:BN70)</f>
        <v>14.642857142857123</v>
      </c>
      <c r="Q70" s="76">
        <f>SUM(BO70:BR70)</f>
        <v>14.642857142857123</v>
      </c>
      <c r="R70" s="307"/>
      <c r="S70" s="142">
        <v>15.319000000000001</v>
      </c>
      <c r="T70" s="142">
        <v>17.969000000000001</v>
      </c>
      <c r="U70" s="142">
        <v>16.158999999999999</v>
      </c>
      <c r="V70" s="142">
        <v>9.7200000000000006</v>
      </c>
      <c r="W70" s="142">
        <v>10.252000000000001</v>
      </c>
      <c r="X70" s="142">
        <v>8.92</v>
      </c>
      <c r="Y70" s="142">
        <v>9.3469999999999995</v>
      </c>
      <c r="Z70" s="142">
        <v>9.8119999999999994</v>
      </c>
      <c r="AA70" s="142">
        <v>656</v>
      </c>
      <c r="AB70" s="142">
        <v>1044</v>
      </c>
      <c r="AC70" s="142">
        <v>432</v>
      </c>
      <c r="AD70" s="142">
        <v>446</v>
      </c>
      <c r="AE70" s="142">
        <v>333</v>
      </c>
      <c r="AF70" s="142">
        <v>513</v>
      </c>
      <c r="AG70" s="142">
        <v>657</v>
      </c>
      <c r="AH70" s="142">
        <v>9</v>
      </c>
      <c r="AI70" s="142">
        <v>2.9</v>
      </c>
      <c r="AJ70" s="142">
        <v>2.6</v>
      </c>
      <c r="AK70" s="142">
        <v>2.4</v>
      </c>
      <c r="AL70" s="142">
        <v>24.7</v>
      </c>
      <c r="AM70" s="142">
        <v>2.6</v>
      </c>
      <c r="AN70" s="142">
        <v>2.2999999999999998</v>
      </c>
      <c r="AO70" s="142">
        <v>2.2000000000000002</v>
      </c>
      <c r="AP70" s="142">
        <v>11.6</v>
      </c>
      <c r="AQ70" s="142">
        <v>2.6</v>
      </c>
      <c r="AR70" s="142">
        <v>0.5</v>
      </c>
      <c r="AS70" s="142">
        <v>1.4</v>
      </c>
      <c r="AT70" s="142">
        <v>11.1</v>
      </c>
      <c r="AU70" s="142">
        <v>5</v>
      </c>
      <c r="AV70" s="142">
        <v>1.2</v>
      </c>
      <c r="AW70" s="142">
        <v>1.2</v>
      </c>
      <c r="AX70" s="142">
        <v>10.1</v>
      </c>
      <c r="AY70" s="142">
        <v>2.1</v>
      </c>
      <c r="AZ70" s="142">
        <v>86.2</v>
      </c>
      <c r="BA70" s="107">
        <v>3.7</v>
      </c>
      <c r="BB70" s="77">
        <f>BB72/BB71*1000</f>
        <v>3.6607142857142807</v>
      </c>
      <c r="BC70" s="76">
        <f>BC72/BC71*1000</f>
        <v>3.6607142857142807</v>
      </c>
      <c r="BD70" s="76">
        <f>BD72/BD71*1000</f>
        <v>3.6607142857142807</v>
      </c>
      <c r="BE70" s="76">
        <f>BE72/BE71*1000</f>
        <v>3.6607142857142807</v>
      </c>
      <c r="BF70" s="76">
        <f>BF72/BF71*1000</f>
        <v>3.6607142857142807</v>
      </c>
      <c r="BG70" s="76">
        <f>BG72/BG71*1000</f>
        <v>3.6607142857142807</v>
      </c>
      <c r="BH70" s="76">
        <f>BH72/BH71*1000</f>
        <v>3.6607142857142807</v>
      </c>
      <c r="BI70" s="76">
        <f>BI72/BI71*1000</f>
        <v>3.6607142857142807</v>
      </c>
      <c r="BJ70" s="76">
        <f>BJ72/BJ71*1000</f>
        <v>3.6607142857142807</v>
      </c>
      <c r="BK70" s="76">
        <f>BK72/BK71*1000</f>
        <v>3.6607142857142807</v>
      </c>
      <c r="BL70" s="76">
        <f>BL72/BL71*1000</f>
        <v>3.6607142857142807</v>
      </c>
      <c r="BM70" s="76">
        <f>BM72/BM71*1000</f>
        <v>3.6607142857142807</v>
      </c>
      <c r="BN70" s="76">
        <f>BN72/BN71*1000</f>
        <v>3.6607142857142807</v>
      </c>
      <c r="BO70" s="76">
        <f>BO72/BO71*1000</f>
        <v>3.6607142857142807</v>
      </c>
      <c r="BP70" s="76">
        <f>BP72/BP71*1000</f>
        <v>3.6607142857142807</v>
      </c>
      <c r="BQ70" s="76">
        <f>BQ72/BQ71*1000</f>
        <v>3.6607142857142807</v>
      </c>
      <c r="BR70" s="76">
        <f>BR72/BR71*1000</f>
        <v>3.6607142857142807</v>
      </c>
    </row>
    <row r="71" spans="1:70" x14ac:dyDescent="0.2">
      <c r="A71" s="280" t="s">
        <v>311</v>
      </c>
      <c r="B71" s="18"/>
      <c r="C71" s="147"/>
      <c r="D71" s="147"/>
      <c r="E71" s="209">
        <f>E72*1000/E70</f>
        <v>3.2112495140872443</v>
      </c>
      <c r="F71" s="209">
        <f>F72*1000/F70</f>
        <v>6.835198664266521</v>
      </c>
      <c r="G71" s="209">
        <f>G72*1000/G70</f>
        <v>7.1179208688906126</v>
      </c>
      <c r="H71" s="209">
        <f>H72*1000/H70</f>
        <v>8.0555555555555554</v>
      </c>
      <c r="I71" s="209">
        <f>I72*1000/I70</f>
        <v>5.1840490797546011</v>
      </c>
      <c r="J71" s="209">
        <f>J72*1000/J70</f>
        <v>2.2459893048128343</v>
      </c>
      <c r="K71" s="209">
        <f>K72*1000/K70</f>
        <v>7.0512820512820511</v>
      </c>
      <c r="L71" s="209">
        <f>L72*1000/L70</f>
        <v>7.0285714285714267</v>
      </c>
      <c r="M71" s="216">
        <f>M72*1000/M70</f>
        <v>11.101736046294567</v>
      </c>
      <c r="N71" s="64">
        <f>N72*1000/N70</f>
        <v>11.199999999999998</v>
      </c>
      <c r="O71" s="64">
        <f>O72*1000/O70</f>
        <v>11.199999999999998</v>
      </c>
      <c r="P71" s="64">
        <f>P72*1000/P70</f>
        <v>11.199999999999998</v>
      </c>
      <c r="Q71" s="64">
        <f>Q72*1000/Q70</f>
        <v>11.199999999999998</v>
      </c>
      <c r="R71" s="308"/>
      <c r="S71" s="147">
        <v>3.38</v>
      </c>
      <c r="T71" s="147">
        <v>3.19</v>
      </c>
      <c r="U71" s="147">
        <v>2.92</v>
      </c>
      <c r="V71" s="147">
        <v>3.46</v>
      </c>
      <c r="W71" s="147">
        <v>5.35</v>
      </c>
      <c r="X71" s="147">
        <v>7.59</v>
      </c>
      <c r="Y71" s="147">
        <v>7.29</v>
      </c>
      <c r="Z71" s="147">
        <v>7.27</v>
      </c>
      <c r="AA71" s="147">
        <v>7.2</v>
      </c>
      <c r="AB71" s="147">
        <v>6.75</v>
      </c>
      <c r="AC71" s="147">
        <v>6.6</v>
      </c>
      <c r="AD71" s="147">
        <v>8.34</v>
      </c>
      <c r="AE71" s="147">
        <v>8.2899999999999991</v>
      </c>
      <c r="AF71" s="147">
        <v>7.48</v>
      </c>
      <c r="AG71" s="147">
        <v>8.3800000000000008</v>
      </c>
      <c r="AH71" s="147">
        <v>6.99</v>
      </c>
      <c r="AI71" s="147">
        <v>6.94</v>
      </c>
      <c r="AJ71" s="147">
        <v>7.76</v>
      </c>
      <c r="AK71" s="147">
        <v>5.79</v>
      </c>
      <c r="AL71" s="147">
        <v>4.6500000000000004</v>
      </c>
      <c r="AM71" s="147">
        <v>3.45</v>
      </c>
      <c r="AN71" s="147">
        <v>1.75</v>
      </c>
      <c r="AO71" s="147">
        <v>1.75</v>
      </c>
      <c r="AP71" s="147">
        <v>2.13</v>
      </c>
      <c r="AQ71" s="147">
        <v>2.9</v>
      </c>
      <c r="AR71" s="147">
        <v>6.85</v>
      </c>
      <c r="AS71" s="147">
        <v>7.41</v>
      </c>
      <c r="AT71" s="147">
        <v>8.1300000000000008</v>
      </c>
      <c r="AU71" s="147">
        <v>7.68</v>
      </c>
      <c r="AV71" s="147">
        <v>7.31</v>
      </c>
      <c r="AW71" s="147">
        <v>7.76</v>
      </c>
      <c r="AX71" s="147">
        <v>6.52</v>
      </c>
      <c r="AY71" s="147">
        <v>7.02</v>
      </c>
      <c r="AZ71" s="147">
        <v>11.18</v>
      </c>
      <c r="BA71" s="221">
        <v>11.2</v>
      </c>
      <c r="BB71" s="255">
        <f>BA71</f>
        <v>11.2</v>
      </c>
      <c r="BC71" s="222">
        <f>BB71</f>
        <v>11.2</v>
      </c>
      <c r="BD71" s="222">
        <f>BC71</f>
        <v>11.2</v>
      </c>
      <c r="BE71" s="222">
        <f>BD71</f>
        <v>11.2</v>
      </c>
      <c r="BF71" s="222">
        <f>BE71</f>
        <v>11.2</v>
      </c>
      <c r="BG71" s="222">
        <f>BF71</f>
        <v>11.2</v>
      </c>
      <c r="BH71" s="222">
        <f>BG71</f>
        <v>11.2</v>
      </c>
      <c r="BI71" s="222">
        <f>BH71</f>
        <v>11.2</v>
      </c>
      <c r="BJ71" s="222">
        <f>BI71</f>
        <v>11.2</v>
      </c>
      <c r="BK71" s="222">
        <f>BJ71</f>
        <v>11.2</v>
      </c>
      <c r="BL71" s="222">
        <f>BK71</f>
        <v>11.2</v>
      </c>
      <c r="BM71" s="222">
        <f>BL71</f>
        <v>11.2</v>
      </c>
      <c r="BN71" s="222">
        <f>BM71</f>
        <v>11.2</v>
      </c>
      <c r="BO71" s="222">
        <f>BN71</f>
        <v>11.2</v>
      </c>
      <c r="BP71" s="222">
        <f>BO71</f>
        <v>11.2</v>
      </c>
      <c r="BQ71" s="222">
        <f>BP71</f>
        <v>11.2</v>
      </c>
      <c r="BR71" s="222">
        <f>BQ71</f>
        <v>11.2</v>
      </c>
    </row>
    <row r="72" spans="1:70" x14ac:dyDescent="0.2">
      <c r="A72" s="267" t="s">
        <v>312</v>
      </c>
      <c r="B72" s="9"/>
      <c r="C72" s="80"/>
      <c r="D72" s="80"/>
      <c r="E72" s="146">
        <f>SUM(S72:V72)</f>
        <v>0.19</v>
      </c>
      <c r="F72" s="146">
        <f>SUM(W72:Z72)</f>
        <v>0.26200000000000001</v>
      </c>
      <c r="G72" s="146">
        <f>SUM(AA72:AD72)</f>
        <v>18.350000000000001</v>
      </c>
      <c r="H72" s="146">
        <f>SUM(AE72:AH72)</f>
        <v>12.18</v>
      </c>
      <c r="I72" s="146">
        <f>SUM(AI72:AL72)</f>
        <v>0.16900000000000001</v>
      </c>
      <c r="J72" s="146">
        <f>SUM(AM72:AP72)</f>
        <v>4.2000000000000003E-2</v>
      </c>
      <c r="K72" s="146">
        <f>SUM(AQ72:AT72)</f>
        <v>0.11</v>
      </c>
      <c r="L72" s="146">
        <f>SUM(AU72:AX72)</f>
        <v>0.12299999999999997</v>
      </c>
      <c r="M72" s="77">
        <f>SUM(AY72:BB72)</f>
        <v>1.0619999999999998</v>
      </c>
      <c r="N72" s="76">
        <f>SUM(BC72:BF72)</f>
        <v>0.16399999999999976</v>
      </c>
      <c r="O72" s="76">
        <f>SUM(BG72:BJ72)</f>
        <v>0.16399999999999976</v>
      </c>
      <c r="P72" s="76">
        <f>SUM(BK72:BN72)</f>
        <v>0.16399999999999976</v>
      </c>
      <c r="Q72" s="76">
        <f>SUM(BO72:BR72)</f>
        <v>0.16399999999999976</v>
      </c>
      <c r="R72" s="309"/>
      <c r="S72" s="146">
        <f>CF!S53*-1</f>
        <v>5.1999999999999998E-2</v>
      </c>
      <c r="T72" s="146">
        <f>CF!T53*-1</f>
        <v>5.7000000000000002E-2</v>
      </c>
      <c r="U72" s="146">
        <f>CF!U53*-1</f>
        <v>4.7000000000000007E-2</v>
      </c>
      <c r="V72" s="146">
        <f>CF!V53*-1</f>
        <v>3.3999999999999996E-2</v>
      </c>
      <c r="W72" s="146">
        <f>CF!W53*-1</f>
        <v>5.5E-2</v>
      </c>
      <c r="X72" s="146">
        <f>CF!X53*-1</f>
        <v>6.8000000000000005E-2</v>
      </c>
      <c r="Y72" s="146">
        <f>CF!Y53*-1</f>
        <v>6.8000000000000005E-2</v>
      </c>
      <c r="Z72" s="146">
        <f>CF!Z53*-1</f>
        <v>7.1000000000000008E-2</v>
      </c>
      <c r="AA72" s="146">
        <f>CF!AA53*-1</f>
        <v>4.5869999999999997</v>
      </c>
      <c r="AB72" s="146">
        <f>CF!AB53*-1</f>
        <v>7.0670000000000002</v>
      </c>
      <c r="AC72" s="146">
        <f>CF!AC53*-1</f>
        <v>2.9770000000000003</v>
      </c>
      <c r="AD72" s="146">
        <f>CF!AD53*-1</f>
        <v>3.7190000000000012</v>
      </c>
      <c r="AE72" s="146">
        <f>CF!AE53*-1</f>
        <v>2.7669999999999999</v>
      </c>
      <c r="AF72" s="146">
        <f>CF!AF53*-1</f>
        <v>3.8370000000000002</v>
      </c>
      <c r="AG72" s="146">
        <f>CF!AG53*-1</f>
        <v>5.5130000000000017</v>
      </c>
      <c r="AH72" s="146">
        <f>CF!AH53*-1</f>
        <v>6.2999999999997947E-2</v>
      </c>
      <c r="AI72" s="146">
        <f>CF!AI53*-1</f>
        <v>0.02</v>
      </c>
      <c r="AJ72" s="146">
        <f>CF!AJ53*-1</f>
        <v>0.02</v>
      </c>
      <c r="AK72" s="146">
        <f>CF!AK53*-1</f>
        <v>1.4000000000000002E-2</v>
      </c>
      <c r="AL72" s="146">
        <f>CF!AL53*-1</f>
        <v>0.115</v>
      </c>
      <c r="AM72" s="146">
        <f>CF!AM53*-1</f>
        <v>8.9999999999999993E-3</v>
      </c>
      <c r="AN72" s="146">
        <f>CF!AN53*-1</f>
        <v>4.0000000000000001E-3</v>
      </c>
      <c r="AO72" s="146">
        <f>CF!AO53*-1</f>
        <v>4.0000000000000018E-3</v>
      </c>
      <c r="AP72" s="146">
        <f>CF!AP53*-1</f>
        <v>2.5000000000000001E-2</v>
      </c>
      <c r="AQ72" s="146">
        <f>CF!AQ53*-1</f>
        <v>7.0000000000000001E-3</v>
      </c>
      <c r="AR72" s="146">
        <f>CF!AR53*-1</f>
        <v>3.9999999999999992E-3</v>
      </c>
      <c r="AS72" s="146">
        <f>CF!AS53*-1</f>
        <v>1.0000000000000002E-2</v>
      </c>
      <c r="AT72" s="146">
        <f>CF!AT53*-1</f>
        <v>8.8999999999999996E-2</v>
      </c>
      <c r="AU72" s="146">
        <f>CF!AU53*-1</f>
        <v>3.7999999999999999E-2</v>
      </c>
      <c r="AV72" s="146">
        <f>CF!AV53*-1</f>
        <v>9.0000000000000011E-3</v>
      </c>
      <c r="AW72" s="146">
        <f>CF!AW53*-1</f>
        <v>1.0000000000000002E-2</v>
      </c>
      <c r="AX72" s="146">
        <f>CF!AX53*-1</f>
        <v>6.5999999999999975E-2</v>
      </c>
      <c r="AY72" s="146">
        <f>CF!AY53*-1</f>
        <v>1.4999999999999999E-2</v>
      </c>
      <c r="AZ72" s="146">
        <f>CF!AZ53*-1</f>
        <v>0.96499999999999997</v>
      </c>
      <c r="BA72" s="78">
        <f>CF!BA53*-1</f>
        <v>4.0999999999999939E-2</v>
      </c>
      <c r="BB72" s="166">
        <f>CF!BB53*-1</f>
        <v>4.0999999999999939E-2</v>
      </c>
      <c r="BC72" s="146">
        <f>CF!BC53*-1</f>
        <v>4.0999999999999939E-2</v>
      </c>
      <c r="BD72" s="146">
        <f>CF!BD53*-1</f>
        <v>4.0999999999999939E-2</v>
      </c>
      <c r="BE72" s="146">
        <f>CF!BE53*-1</f>
        <v>4.0999999999999939E-2</v>
      </c>
      <c r="BF72" s="146">
        <f>CF!BF53*-1</f>
        <v>4.0999999999999939E-2</v>
      </c>
      <c r="BG72" s="146">
        <f>CF!BG53*-1</f>
        <v>4.0999999999999939E-2</v>
      </c>
      <c r="BH72" s="146">
        <f>CF!BH53*-1</f>
        <v>4.0999999999999939E-2</v>
      </c>
      <c r="BI72" s="146">
        <f>CF!BI53*-1</f>
        <v>4.0999999999999939E-2</v>
      </c>
      <c r="BJ72" s="146">
        <f>CF!BJ53*-1</f>
        <v>4.0999999999999939E-2</v>
      </c>
      <c r="BK72" s="146">
        <f>CF!BK53*-1</f>
        <v>4.0999999999999939E-2</v>
      </c>
      <c r="BL72" s="146">
        <f>CF!BL53*-1</f>
        <v>4.0999999999999939E-2</v>
      </c>
      <c r="BM72" s="146">
        <f>CF!BM53*-1</f>
        <v>4.0999999999999939E-2</v>
      </c>
      <c r="BN72" s="146">
        <f>CF!BN53*-1</f>
        <v>4.0999999999999939E-2</v>
      </c>
      <c r="BO72" s="146">
        <f>CF!BO53*-1</f>
        <v>4.0999999999999939E-2</v>
      </c>
      <c r="BP72" s="146">
        <f>CF!BP53*-1</f>
        <v>4.0999999999999939E-2</v>
      </c>
      <c r="BQ72" s="146">
        <f>CF!BQ53*-1</f>
        <v>4.0999999999999939E-2</v>
      </c>
      <c r="BR72" s="146">
        <f>CF!BR53*-1</f>
        <v>4.0999999999999939E-2</v>
      </c>
    </row>
  </sheetData>
  <mergeCells count="1">
    <mergeCell ref="B1:B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R68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/>
    </sheetView>
  </sheetViews>
  <sheetFormatPr defaultRowHeight="12.75" x14ac:dyDescent="0.2"/>
  <cols>
    <col min="1" max="1" width="35.7109375" bestFit="1" customWidth="1"/>
    <col min="2" max="2" width="2.42578125" customWidth="1"/>
    <col min="3" max="7" width="7.28515625" bestFit="1" customWidth="1"/>
    <col min="8" max="8" width="8" bestFit="1" customWidth="1"/>
    <col min="9" max="17" width="7.28515625" bestFit="1" customWidth="1"/>
    <col min="18" max="18" width="9.140625" style="304" customWidth="1"/>
    <col min="19" max="19" width="6.7109375" bestFit="1" customWidth="1"/>
    <col min="20" max="22" width="7.28515625" bestFit="1" customWidth="1"/>
    <col min="23" max="23" width="6.7109375" bestFit="1" customWidth="1"/>
    <col min="24" max="25" width="6.42578125" bestFit="1" customWidth="1"/>
    <col min="26" max="33" width="7.28515625" bestFit="1" customWidth="1"/>
    <col min="34" max="34" width="8" bestFit="1" customWidth="1"/>
    <col min="35" max="35" width="7.28515625" bestFit="1" customWidth="1"/>
    <col min="36" max="36" width="6.5703125" bestFit="1" customWidth="1"/>
    <col min="37" max="37" width="6.42578125" bestFit="1" customWidth="1"/>
    <col min="38" max="40" width="7.28515625" bestFit="1" customWidth="1"/>
    <col min="41" max="41" width="6.42578125" bestFit="1" customWidth="1"/>
    <col min="42" max="42" width="6.5703125" bestFit="1" customWidth="1"/>
    <col min="43" max="43" width="6.7109375" bestFit="1" customWidth="1"/>
    <col min="44" max="70" width="7.28515625" bestFit="1" customWidth="1"/>
  </cols>
  <sheetData>
    <row r="1" spans="1:70" x14ac:dyDescent="0.2">
      <c r="A1" s="267"/>
      <c r="B1" s="1"/>
      <c r="C1" s="242" t="s">
        <v>177</v>
      </c>
      <c r="D1" s="242" t="s">
        <v>178</v>
      </c>
      <c r="E1" s="242" t="s">
        <v>179</v>
      </c>
      <c r="F1" s="242" t="s">
        <v>180</v>
      </c>
      <c r="G1" s="242" t="s">
        <v>15</v>
      </c>
      <c r="H1" s="242" t="s">
        <v>16</v>
      </c>
      <c r="I1" s="242" t="s">
        <v>17</v>
      </c>
      <c r="J1" s="242" t="s">
        <v>18</v>
      </c>
      <c r="K1" s="242" t="s">
        <v>25</v>
      </c>
      <c r="L1" s="242" t="s">
        <v>37</v>
      </c>
      <c r="M1" s="246" t="s">
        <v>134</v>
      </c>
      <c r="N1" s="246" t="s">
        <v>61</v>
      </c>
      <c r="O1" s="246" t="s">
        <v>62</v>
      </c>
      <c r="P1" s="246" t="s">
        <v>63</v>
      </c>
      <c r="Q1" s="246" t="s">
        <v>64</v>
      </c>
      <c r="R1" s="297"/>
      <c r="S1" s="242" t="s">
        <v>181</v>
      </c>
      <c r="T1" s="242" t="s">
        <v>182</v>
      </c>
      <c r="U1" s="242" t="s">
        <v>183</v>
      </c>
      <c r="V1" s="242" t="s">
        <v>184</v>
      </c>
      <c r="W1" s="242" t="s">
        <v>185</v>
      </c>
      <c r="X1" s="242" t="s">
        <v>186</v>
      </c>
      <c r="Y1" s="242" t="s">
        <v>187</v>
      </c>
      <c r="Z1" s="242" t="s">
        <v>188</v>
      </c>
      <c r="AA1" s="242" t="s">
        <v>189</v>
      </c>
      <c r="AB1" s="242" t="s">
        <v>190</v>
      </c>
      <c r="AC1" s="242" t="s">
        <v>191</v>
      </c>
      <c r="AD1" s="242" t="s">
        <v>192</v>
      </c>
      <c r="AE1" s="242" t="s">
        <v>193</v>
      </c>
      <c r="AF1" s="242" t="s">
        <v>194</v>
      </c>
      <c r="AG1" s="242" t="s">
        <v>195</v>
      </c>
      <c r="AH1" s="242" t="s">
        <v>196</v>
      </c>
      <c r="AI1" s="242" t="s">
        <v>197</v>
      </c>
      <c r="AJ1" s="242" t="s">
        <v>198</v>
      </c>
      <c r="AK1" s="242" t="s">
        <v>199</v>
      </c>
      <c r="AL1" s="242" t="s">
        <v>200</v>
      </c>
      <c r="AM1" s="242" t="s">
        <v>201</v>
      </c>
      <c r="AN1" s="242" t="s">
        <v>202</v>
      </c>
      <c r="AO1" s="242" t="s">
        <v>203</v>
      </c>
      <c r="AP1" s="242" t="s">
        <v>204</v>
      </c>
      <c r="AQ1" s="242" t="s">
        <v>19</v>
      </c>
      <c r="AR1" s="242" t="s">
        <v>20</v>
      </c>
      <c r="AS1" s="242" t="s">
        <v>21</v>
      </c>
      <c r="AT1" s="242" t="s">
        <v>26</v>
      </c>
      <c r="AU1" s="242" t="s">
        <v>38</v>
      </c>
      <c r="AV1" s="242" t="s">
        <v>39</v>
      </c>
      <c r="AW1" s="242" t="s">
        <v>40</v>
      </c>
      <c r="AX1" s="242" t="s">
        <v>41</v>
      </c>
      <c r="AY1" s="242" t="s">
        <v>102</v>
      </c>
      <c r="AZ1" s="242" t="s">
        <v>116</v>
      </c>
      <c r="BA1" s="242" t="s">
        <v>205</v>
      </c>
      <c r="BB1" s="246" t="s">
        <v>133</v>
      </c>
      <c r="BC1" s="246" t="s">
        <v>132</v>
      </c>
      <c r="BD1" s="246" t="s">
        <v>46</v>
      </c>
      <c r="BE1" s="246" t="s">
        <v>47</v>
      </c>
      <c r="BF1" s="246" t="s">
        <v>48</v>
      </c>
      <c r="BG1" s="246" t="s">
        <v>49</v>
      </c>
      <c r="BH1" s="246" t="s">
        <v>50</v>
      </c>
      <c r="BI1" s="246" t="s">
        <v>51</v>
      </c>
      <c r="BJ1" s="246" t="s">
        <v>52</v>
      </c>
      <c r="BK1" s="246" t="s">
        <v>53</v>
      </c>
      <c r="BL1" s="246" t="s">
        <v>54</v>
      </c>
      <c r="BM1" s="246" t="s">
        <v>55</v>
      </c>
      <c r="BN1" s="246" t="s">
        <v>56</v>
      </c>
      <c r="BO1" s="246" t="s">
        <v>57</v>
      </c>
      <c r="BP1" s="246" t="s">
        <v>58</v>
      </c>
      <c r="BQ1" s="246" t="s">
        <v>59</v>
      </c>
      <c r="BR1" s="246" t="s">
        <v>60</v>
      </c>
    </row>
    <row r="2" spans="1:70" x14ac:dyDescent="0.2">
      <c r="A2" s="268"/>
      <c r="B2" s="1"/>
      <c r="C2" s="199">
        <v>40178</v>
      </c>
      <c r="D2" s="199">
        <v>40543</v>
      </c>
      <c r="E2" s="199">
        <v>40908</v>
      </c>
      <c r="F2" s="199">
        <v>41274</v>
      </c>
      <c r="G2" s="199">
        <v>41639</v>
      </c>
      <c r="H2" s="199">
        <v>42004</v>
      </c>
      <c r="I2" s="199">
        <v>42369</v>
      </c>
      <c r="J2" s="199">
        <v>42735</v>
      </c>
      <c r="K2" s="199">
        <v>43100</v>
      </c>
      <c r="L2" s="199">
        <v>43465</v>
      </c>
      <c r="M2" s="200">
        <v>43830</v>
      </c>
      <c r="N2" s="200">
        <v>44196</v>
      </c>
      <c r="O2" s="200">
        <v>44561</v>
      </c>
      <c r="P2" s="200">
        <v>44926</v>
      </c>
      <c r="Q2" s="200">
        <v>45291</v>
      </c>
      <c r="R2" s="298"/>
      <c r="S2" s="199">
        <v>40633</v>
      </c>
      <c r="T2" s="199">
        <v>40724</v>
      </c>
      <c r="U2" s="199">
        <v>40816</v>
      </c>
      <c r="V2" s="199">
        <v>40908</v>
      </c>
      <c r="W2" s="199">
        <v>40999</v>
      </c>
      <c r="X2" s="199">
        <v>41090</v>
      </c>
      <c r="Y2" s="199">
        <v>41182</v>
      </c>
      <c r="Z2" s="199">
        <v>41274</v>
      </c>
      <c r="AA2" s="199">
        <v>41364</v>
      </c>
      <c r="AB2" s="199">
        <v>41455</v>
      </c>
      <c r="AC2" s="199">
        <v>41547</v>
      </c>
      <c r="AD2" s="199">
        <v>41639</v>
      </c>
      <c r="AE2" s="199">
        <v>41729</v>
      </c>
      <c r="AF2" s="199">
        <v>41820</v>
      </c>
      <c r="AG2" s="199">
        <v>41912</v>
      </c>
      <c r="AH2" s="199">
        <v>42004</v>
      </c>
      <c r="AI2" s="199">
        <v>42094</v>
      </c>
      <c r="AJ2" s="199">
        <v>42185</v>
      </c>
      <c r="AK2" s="199">
        <v>42277</v>
      </c>
      <c r="AL2" s="199">
        <v>42369</v>
      </c>
      <c r="AM2" s="199">
        <v>42460</v>
      </c>
      <c r="AN2" s="199">
        <v>42551</v>
      </c>
      <c r="AO2" s="199">
        <v>42643</v>
      </c>
      <c r="AP2" s="199">
        <v>42735</v>
      </c>
      <c r="AQ2" s="199">
        <v>42825</v>
      </c>
      <c r="AR2" s="199">
        <v>42916</v>
      </c>
      <c r="AS2" s="199">
        <v>43008</v>
      </c>
      <c r="AT2" s="199">
        <v>43100</v>
      </c>
      <c r="AU2" s="199">
        <v>43190</v>
      </c>
      <c r="AV2" s="199">
        <v>43281</v>
      </c>
      <c r="AW2" s="199">
        <v>43373</v>
      </c>
      <c r="AX2" s="199">
        <v>43465</v>
      </c>
      <c r="AY2" s="199">
        <v>43555</v>
      </c>
      <c r="AZ2" s="199">
        <v>43646</v>
      </c>
      <c r="BA2" s="199">
        <v>43738</v>
      </c>
      <c r="BB2" s="200">
        <v>43830</v>
      </c>
      <c r="BC2" s="200">
        <v>43921</v>
      </c>
      <c r="BD2" s="200">
        <v>44012</v>
      </c>
      <c r="BE2" s="200">
        <v>44104</v>
      </c>
      <c r="BF2" s="200">
        <v>44196</v>
      </c>
      <c r="BG2" s="200">
        <v>44286</v>
      </c>
      <c r="BH2" s="200">
        <v>44377</v>
      </c>
      <c r="BI2" s="200">
        <v>44469</v>
      </c>
      <c r="BJ2" s="200">
        <v>44561</v>
      </c>
      <c r="BK2" s="200">
        <v>44651</v>
      </c>
      <c r="BL2" s="200">
        <v>44742</v>
      </c>
      <c r="BM2" s="200">
        <v>44834</v>
      </c>
      <c r="BN2" s="200">
        <v>44926</v>
      </c>
      <c r="BO2" s="200">
        <v>45016</v>
      </c>
      <c r="BP2" s="200">
        <v>45107</v>
      </c>
      <c r="BQ2" s="200">
        <v>45199</v>
      </c>
      <c r="BR2" s="200">
        <v>45291</v>
      </c>
    </row>
    <row r="3" spans="1:70" x14ac:dyDescent="0.2">
      <c r="A3" s="292"/>
      <c r="B3" s="9"/>
      <c r="C3" s="293"/>
      <c r="D3" s="293"/>
      <c r="E3" s="293"/>
      <c r="F3" s="293"/>
      <c r="G3" s="293"/>
      <c r="H3" s="293"/>
      <c r="I3" s="293"/>
      <c r="J3" s="293"/>
      <c r="K3" s="293"/>
      <c r="L3" s="294"/>
      <c r="M3" s="295"/>
      <c r="N3" s="293"/>
      <c r="O3" s="293"/>
      <c r="P3" s="293"/>
      <c r="Q3" s="293"/>
      <c r="R3" s="46"/>
      <c r="S3" s="293"/>
      <c r="T3" s="293"/>
      <c r="U3" s="293"/>
      <c r="V3" s="293"/>
      <c r="W3" s="293"/>
      <c r="X3" s="293"/>
      <c r="Y3" s="293"/>
      <c r="Z3" s="293"/>
      <c r="AA3" s="293"/>
      <c r="AB3" s="293"/>
      <c r="AC3" s="293"/>
      <c r="AD3" s="293"/>
      <c r="AE3" s="293"/>
      <c r="AF3" s="293"/>
      <c r="AG3" s="293"/>
      <c r="AH3" s="293"/>
      <c r="AI3" s="293"/>
      <c r="AJ3" s="293"/>
      <c r="AK3" s="293"/>
      <c r="AL3" s="293"/>
      <c r="AM3" s="293"/>
      <c r="AN3" s="293"/>
      <c r="AO3" s="293"/>
      <c r="AP3" s="293"/>
      <c r="AQ3" s="293"/>
      <c r="AR3" s="293"/>
      <c r="AS3" s="293"/>
      <c r="AT3" s="293"/>
      <c r="AU3" s="293"/>
      <c r="AV3" s="293"/>
      <c r="AW3" s="293"/>
      <c r="AX3" s="293"/>
      <c r="AY3" s="293"/>
      <c r="AZ3" s="293"/>
      <c r="BA3" s="294"/>
      <c r="BB3" s="295"/>
      <c r="BC3" s="293"/>
      <c r="BD3" s="293"/>
      <c r="BE3" s="293"/>
      <c r="BF3" s="293"/>
      <c r="BG3" s="293"/>
      <c r="BH3" s="293"/>
      <c r="BI3" s="293"/>
      <c r="BJ3" s="293"/>
      <c r="BK3" s="293"/>
      <c r="BL3" s="293"/>
      <c r="BM3" s="293"/>
      <c r="BN3" s="293"/>
      <c r="BO3" s="296"/>
      <c r="BP3" s="296"/>
      <c r="BQ3" s="296"/>
      <c r="BR3" s="296"/>
    </row>
    <row r="4" spans="1:70" x14ac:dyDescent="0.2">
      <c r="A4" s="274" t="s">
        <v>12</v>
      </c>
      <c r="B4" s="10"/>
      <c r="C4" s="67"/>
      <c r="D4" s="67"/>
      <c r="E4" s="67"/>
      <c r="F4" s="67"/>
      <c r="G4" s="67"/>
      <c r="H4" s="67"/>
      <c r="I4" s="67"/>
      <c r="J4" s="67"/>
      <c r="K4" s="67"/>
      <c r="L4" s="124"/>
      <c r="M4" s="77"/>
      <c r="N4" s="74"/>
      <c r="O4" s="74"/>
      <c r="P4" s="74"/>
      <c r="Q4" s="74"/>
      <c r="R4" s="51"/>
      <c r="S4" s="67"/>
      <c r="T4" s="67"/>
      <c r="U4" s="67"/>
      <c r="V4" s="67"/>
      <c r="W4" s="67"/>
      <c r="X4" s="67"/>
      <c r="Y4" s="67"/>
      <c r="Z4" s="67"/>
      <c r="AA4" s="67"/>
      <c r="AB4" s="67"/>
      <c r="AC4" s="67"/>
      <c r="AD4" s="67"/>
      <c r="AE4" s="67"/>
      <c r="AF4" s="67"/>
      <c r="AG4" s="67"/>
      <c r="AH4" s="67"/>
      <c r="AI4" s="67"/>
      <c r="AJ4" s="67"/>
      <c r="AK4" s="67"/>
      <c r="AL4" s="67"/>
      <c r="AM4" s="67"/>
      <c r="AN4" s="67"/>
      <c r="AO4" s="67"/>
      <c r="AP4" s="67"/>
      <c r="AQ4" s="67"/>
      <c r="AR4" s="67"/>
      <c r="AS4" s="67"/>
      <c r="AT4" s="67"/>
      <c r="AU4" s="67"/>
      <c r="AV4" s="67"/>
      <c r="AW4" s="67"/>
      <c r="AX4" s="67"/>
      <c r="AY4" s="67"/>
      <c r="AZ4" s="67"/>
      <c r="BA4" s="124"/>
      <c r="BB4" s="125"/>
      <c r="BC4" s="67"/>
      <c r="BD4" s="67"/>
      <c r="BE4" s="67"/>
      <c r="BF4" s="67"/>
      <c r="BG4" s="67"/>
      <c r="BH4" s="67"/>
      <c r="BI4" s="67"/>
      <c r="BJ4" s="67"/>
      <c r="BK4" s="67"/>
      <c r="BL4" s="67"/>
      <c r="BM4" s="67"/>
      <c r="BN4" s="67"/>
      <c r="BO4" s="45"/>
      <c r="BP4" s="45"/>
      <c r="BQ4" s="45"/>
      <c r="BR4" s="45"/>
    </row>
    <row r="5" spans="1:70" x14ac:dyDescent="0.2">
      <c r="A5" s="275" t="s">
        <v>122</v>
      </c>
      <c r="B5" s="10"/>
      <c r="C5" s="81">
        <v>33.582000000000001</v>
      </c>
      <c r="D5" s="81">
        <v>17.55</v>
      </c>
      <c r="E5" s="81">
        <v>9.1289999999999996</v>
      </c>
      <c r="F5" s="81">
        <v>25.689</v>
      </c>
      <c r="G5" s="81">
        <v>24.398</v>
      </c>
      <c r="H5" s="81">
        <v>12.14</v>
      </c>
      <c r="I5" s="81">
        <v>-104.97199999999999</v>
      </c>
      <c r="J5" s="142">
        <v>-249.47900000000001</v>
      </c>
      <c r="K5" s="142">
        <v>-51.902999999999999</v>
      </c>
      <c r="L5" s="142">
        <v>12.356</v>
      </c>
      <c r="M5" s="126">
        <f>SUM(AY5:BB5)</f>
        <v>29.369074473359028</v>
      </c>
      <c r="N5" s="127">
        <f>SUM(BC5:BF5)</f>
        <v>50.681830583104997</v>
      </c>
      <c r="O5" s="127">
        <f>SUM(BG5:BJ5)</f>
        <v>79.881752652308279</v>
      </c>
      <c r="P5" s="127">
        <f>SUM(BK5:BN5)</f>
        <v>116.33862135002738</v>
      </c>
      <c r="Q5" s="127">
        <f>SUM(BO5:BR5)</f>
        <v>164.85876147111992</v>
      </c>
      <c r="R5" s="51"/>
      <c r="S5" s="142">
        <v>1.742</v>
      </c>
      <c r="T5" s="142">
        <v>1.0089999999999999</v>
      </c>
      <c r="U5" s="142">
        <v>1.8400000000000003</v>
      </c>
      <c r="V5" s="146">
        <f>E5-U5-T5-S5</f>
        <v>4.5379999999999994</v>
      </c>
      <c r="W5" s="142">
        <v>7.1280000000000001</v>
      </c>
      <c r="X5" s="142">
        <v>7.0839999999999996</v>
      </c>
      <c r="Y5" s="142">
        <v>7.0779999999999994</v>
      </c>
      <c r="Z5" s="146">
        <f>F5-Y5-X5-W5</f>
        <v>4.3990000000000009</v>
      </c>
      <c r="AA5" s="142">
        <v>6.1360000000000001</v>
      </c>
      <c r="AB5" s="142">
        <v>6.7760000000000007</v>
      </c>
      <c r="AC5" s="142">
        <v>5.7819999999999991</v>
      </c>
      <c r="AD5" s="146">
        <f>G5-AC5-AB5-AA5</f>
        <v>5.7039999999999997</v>
      </c>
      <c r="AE5" s="142">
        <v>7.4889999999999999</v>
      </c>
      <c r="AF5" s="142">
        <v>4.7239999999999993</v>
      </c>
      <c r="AG5" s="142">
        <v>5.6759999999999993</v>
      </c>
      <c r="AH5" s="146">
        <f>H5-AG5-AF5-AE5</f>
        <v>-5.7489999999999979</v>
      </c>
      <c r="AI5" s="142">
        <v>0.46899999999999997</v>
      </c>
      <c r="AJ5" s="142">
        <v>-12.741</v>
      </c>
      <c r="AK5" s="142">
        <v>-6.1100000000000021</v>
      </c>
      <c r="AL5" s="146">
        <f>I5-AK5-AJ5-AI5</f>
        <v>-86.589999999999989</v>
      </c>
      <c r="AM5" s="142">
        <v>-13.151</v>
      </c>
      <c r="AN5" s="142">
        <v>-10.797000000000001</v>
      </c>
      <c r="AO5" s="142">
        <v>-8.2539999999999978</v>
      </c>
      <c r="AP5" s="146">
        <f>J5-AO5-AN5-AM5</f>
        <v>-217.27700000000002</v>
      </c>
      <c r="AQ5" s="142">
        <v>-3.508</v>
      </c>
      <c r="AR5" s="142">
        <v>-19.057000000000002</v>
      </c>
      <c r="AS5" s="142">
        <v>-4.288999999999997</v>
      </c>
      <c r="AT5" s="146">
        <f>K5-AS5-AR5-AQ5</f>
        <v>-25.049000000000003</v>
      </c>
      <c r="AU5" s="142">
        <v>4.609</v>
      </c>
      <c r="AV5" s="142">
        <v>1.4749999999999996</v>
      </c>
      <c r="AW5" s="142">
        <v>2.0690000000000008</v>
      </c>
      <c r="AX5" s="146">
        <f>L5-AW5-AV5-AU5</f>
        <v>4.2029999999999994</v>
      </c>
      <c r="AY5" s="142">
        <v>5.86</v>
      </c>
      <c r="AZ5" s="142">
        <v>5.4859999999999998</v>
      </c>
      <c r="BA5" s="153">
        <v>9.3150000000000013</v>
      </c>
      <c r="BB5" s="126">
        <f>IS!BB54</f>
        <v>8.7080744733590283</v>
      </c>
      <c r="BC5" s="127">
        <f>IS!BC54</f>
        <v>10.264409413668012</v>
      </c>
      <c r="BD5" s="127">
        <f>IS!BD54</f>
        <v>12.080969459392573</v>
      </c>
      <c r="BE5" s="127">
        <f>IS!BE54</f>
        <v>13.757399615412666</v>
      </c>
      <c r="BF5" s="127">
        <f>IS!BF54</f>
        <v>14.57905209463175</v>
      </c>
      <c r="BG5" s="127">
        <f>IS!BG54</f>
        <v>16.718054138056608</v>
      </c>
      <c r="BH5" s="127">
        <f>IS!BH54</f>
        <v>19.59213283140609</v>
      </c>
      <c r="BI5" s="127">
        <f>IS!BI54</f>
        <v>21.366847728201598</v>
      </c>
      <c r="BJ5" s="127">
        <f>IS!BJ54</f>
        <v>22.204717954643989</v>
      </c>
      <c r="BK5" s="127">
        <f>IS!BK54</f>
        <v>24.607821052696913</v>
      </c>
      <c r="BL5" s="127">
        <f>IS!BL54</f>
        <v>28.897459688851686</v>
      </c>
      <c r="BM5" s="127">
        <f>IS!BM54</f>
        <v>30.982783676658677</v>
      </c>
      <c r="BN5" s="127">
        <f>IS!BN54</f>
        <v>31.850556931820101</v>
      </c>
      <c r="BO5" s="127">
        <f>IS!BO54</f>
        <v>35.156064005851924</v>
      </c>
      <c r="BP5" s="127">
        <f>IS!BP54</f>
        <v>41.482483829863241</v>
      </c>
      <c r="BQ5" s="127">
        <f>IS!BQ54</f>
        <v>43.789780756700132</v>
      </c>
      <c r="BR5" s="127">
        <f>IS!BR54</f>
        <v>44.430432878704593</v>
      </c>
    </row>
    <row r="6" spans="1:70" x14ac:dyDescent="0.2">
      <c r="A6" s="274" t="s">
        <v>43</v>
      </c>
      <c r="B6" s="10"/>
      <c r="C6" s="81"/>
      <c r="D6" s="81"/>
      <c r="E6" s="81"/>
      <c r="F6" s="81"/>
      <c r="G6" s="81"/>
      <c r="H6" s="81"/>
      <c r="I6" s="81"/>
      <c r="J6" s="142"/>
      <c r="K6" s="142"/>
      <c r="L6" s="153"/>
      <c r="M6" s="126"/>
      <c r="N6" s="127"/>
      <c r="O6" s="127"/>
      <c r="P6" s="127"/>
      <c r="Q6" s="127"/>
      <c r="R6" s="51"/>
      <c r="S6" s="142"/>
      <c r="T6" s="142"/>
      <c r="U6" s="142"/>
      <c r="V6" s="142"/>
      <c r="W6" s="142"/>
      <c r="X6" s="142"/>
      <c r="Y6" s="142"/>
      <c r="Z6" s="142"/>
      <c r="AA6" s="142"/>
      <c r="AB6" s="142"/>
      <c r="AC6" s="142"/>
      <c r="AD6" s="142"/>
      <c r="AE6" s="142"/>
      <c r="AF6" s="142"/>
      <c r="AG6" s="142"/>
      <c r="AH6" s="142"/>
      <c r="AI6" s="142"/>
      <c r="AJ6" s="142"/>
      <c r="AK6" s="142"/>
      <c r="AL6" s="142"/>
      <c r="AM6" s="142"/>
      <c r="AN6" s="142"/>
      <c r="AO6" s="142"/>
      <c r="AP6" s="142"/>
      <c r="AQ6" s="142"/>
      <c r="AR6" s="142"/>
      <c r="AS6" s="142"/>
      <c r="AT6" s="142"/>
      <c r="AU6" s="142"/>
      <c r="AV6" s="142"/>
      <c r="AW6" s="142"/>
      <c r="AX6" s="142"/>
      <c r="AY6" s="142"/>
      <c r="AZ6" s="142"/>
      <c r="BA6" s="153"/>
      <c r="BB6" s="126"/>
      <c r="BC6" s="127"/>
      <c r="BD6" s="127"/>
      <c r="BE6" s="127"/>
      <c r="BF6" s="127"/>
      <c r="BG6" s="127"/>
      <c r="BH6" s="127"/>
      <c r="BI6" s="127"/>
      <c r="BJ6" s="127"/>
      <c r="BK6" s="127"/>
      <c r="BL6" s="127"/>
      <c r="BM6" s="127"/>
      <c r="BN6" s="127"/>
      <c r="BO6" s="127"/>
      <c r="BP6" s="127"/>
      <c r="BQ6" s="127"/>
      <c r="BR6" s="127"/>
    </row>
    <row r="7" spans="1:70" x14ac:dyDescent="0.2">
      <c r="A7" s="283" t="s">
        <v>216</v>
      </c>
      <c r="B7" s="10"/>
      <c r="C7" s="187" t="s">
        <v>100</v>
      </c>
      <c r="D7" s="187" t="s">
        <v>100</v>
      </c>
      <c r="E7" s="187" t="s">
        <v>100</v>
      </c>
      <c r="F7" s="187" t="s">
        <v>100</v>
      </c>
      <c r="G7" s="187" t="s">
        <v>100</v>
      </c>
      <c r="H7" s="187" t="s">
        <v>100</v>
      </c>
      <c r="I7" s="187" t="s">
        <v>100</v>
      </c>
      <c r="J7" s="142">
        <v>49.994999999999997</v>
      </c>
      <c r="K7" s="142">
        <v>47.281999999999996</v>
      </c>
      <c r="L7" s="142">
        <v>61.225000000000001</v>
      </c>
      <c r="M7" s="126">
        <f>SUM(AY7:BB7)</f>
        <v>61.771296086906752</v>
      </c>
      <c r="N7" s="127">
        <f>SUM(BC7:BF7)</f>
        <v>70.82047710966873</v>
      </c>
      <c r="O7" s="127">
        <f>SUM(BG7:BJ7)</f>
        <v>85.528262573854718</v>
      </c>
      <c r="P7" s="127">
        <f>SUM(BK7:BN7)</f>
        <v>103.89131855158186</v>
      </c>
      <c r="Q7" s="127">
        <f>SUM(BO7:BR7)</f>
        <v>128.330555406461</v>
      </c>
      <c r="R7" s="51"/>
      <c r="S7" s="187" t="s">
        <v>100</v>
      </c>
      <c r="T7" s="187" t="s">
        <v>100</v>
      </c>
      <c r="U7" s="187" t="s">
        <v>100</v>
      </c>
      <c r="V7" s="187" t="s">
        <v>100</v>
      </c>
      <c r="W7" s="187" t="s">
        <v>100</v>
      </c>
      <c r="X7" s="187" t="s">
        <v>100</v>
      </c>
      <c r="Y7" s="187" t="s">
        <v>100</v>
      </c>
      <c r="Z7" s="187" t="s">
        <v>100</v>
      </c>
      <c r="AA7" s="187" t="s">
        <v>100</v>
      </c>
      <c r="AB7" s="187" t="s">
        <v>100</v>
      </c>
      <c r="AC7" s="187" t="s">
        <v>100</v>
      </c>
      <c r="AD7" s="187" t="s">
        <v>100</v>
      </c>
      <c r="AE7" s="187" t="s">
        <v>100</v>
      </c>
      <c r="AF7" s="187" t="s">
        <v>100</v>
      </c>
      <c r="AG7" s="187" t="s">
        <v>100</v>
      </c>
      <c r="AH7" s="187" t="s">
        <v>100</v>
      </c>
      <c r="AI7" s="187" t="s">
        <v>100</v>
      </c>
      <c r="AJ7" s="187" t="s">
        <v>100</v>
      </c>
      <c r="AK7" s="187" t="s">
        <v>100</v>
      </c>
      <c r="AL7" s="187" t="s">
        <v>100</v>
      </c>
      <c r="AM7" s="187" t="s">
        <v>100</v>
      </c>
      <c r="AN7" s="187" t="s">
        <v>100</v>
      </c>
      <c r="AO7" s="187" t="s">
        <v>100</v>
      </c>
      <c r="AP7" s="187" t="s">
        <v>100</v>
      </c>
      <c r="AQ7" s="187" t="s">
        <v>100</v>
      </c>
      <c r="AR7" s="187" t="s">
        <v>100</v>
      </c>
      <c r="AS7" s="187" t="s">
        <v>100</v>
      </c>
      <c r="AT7" s="187" t="s">
        <v>100</v>
      </c>
      <c r="AU7" s="142">
        <v>12.824999999999999</v>
      </c>
      <c r="AV7" s="142">
        <v>13.701000000000001</v>
      </c>
      <c r="AW7" s="142">
        <v>17.303999999999998</v>
      </c>
      <c r="AX7" s="146">
        <f>L7-AW7-AV7-AU7</f>
        <v>17.395000000000007</v>
      </c>
      <c r="AY7" s="142">
        <v>14.789</v>
      </c>
      <c r="AZ7" s="142">
        <v>15.258000000000001</v>
      </c>
      <c r="BA7" s="153">
        <v>16.014999999999993</v>
      </c>
      <c r="BB7" s="77">
        <f>IS!BB21</f>
        <v>15.709296086906752</v>
      </c>
      <c r="BC7" s="76">
        <f>IS!BC21</f>
        <v>16.493210521960108</v>
      </c>
      <c r="BD7" s="76">
        <f>IS!BD21</f>
        <v>17.408198424051356</v>
      </c>
      <c r="BE7" s="76">
        <f>IS!BE21</f>
        <v>18.2526039338332</v>
      </c>
      <c r="BF7" s="76">
        <f>IS!BF21</f>
        <v>18.666464229824072</v>
      </c>
      <c r="BG7" s="76">
        <f>IS!BG21</f>
        <v>19.743863788890991</v>
      </c>
      <c r="BH7" s="76">
        <f>IS!BH21</f>
        <v>21.191516037030219</v>
      </c>
      <c r="BI7" s="76">
        <f>IS!BI21</f>
        <v>22.085426846117372</v>
      </c>
      <c r="BJ7" s="76">
        <f>IS!BJ21</f>
        <v>22.50745590181614</v>
      </c>
      <c r="BK7" s="76">
        <f>IS!BK21</f>
        <v>23.717881214963132</v>
      </c>
      <c r="BL7" s="76">
        <f>IS!BL21</f>
        <v>25.878540569803981</v>
      </c>
      <c r="BM7" s="76">
        <f>IS!BM21</f>
        <v>26.928902888008029</v>
      </c>
      <c r="BN7" s="76">
        <f>IS!BN21</f>
        <v>27.365993878806723</v>
      </c>
      <c r="BO7" s="76">
        <f>IS!BO21</f>
        <v>29.030953421506471</v>
      </c>
      <c r="BP7" s="76">
        <f>IS!BP21</f>
        <v>32.217524444107504</v>
      </c>
      <c r="BQ7" s="76">
        <f>IS!BQ21</f>
        <v>33.379692895162513</v>
      </c>
      <c r="BR7" s="76">
        <f>IS!BR21</f>
        <v>33.702384645684511</v>
      </c>
    </row>
    <row r="8" spans="1:70" x14ac:dyDescent="0.2">
      <c r="A8" s="284" t="s">
        <v>217</v>
      </c>
      <c r="B8" s="14"/>
      <c r="C8" s="82"/>
      <c r="D8" s="82"/>
      <c r="E8" s="82"/>
      <c r="F8" s="82"/>
      <c r="G8" s="82"/>
      <c r="H8" s="82"/>
      <c r="I8" s="82"/>
      <c r="J8" s="143">
        <v>94.638000000000005</v>
      </c>
      <c r="K8" s="143">
        <v>69.504999999999995</v>
      </c>
      <c r="L8" s="143">
        <v>65.245000000000005</v>
      </c>
      <c r="M8" s="129">
        <f>SUM(AY8:BB8)</f>
        <v>67.971515995440029</v>
      </c>
      <c r="N8" s="130">
        <f>SUM(BC8:BF8)</f>
        <v>75.866132082015397</v>
      </c>
      <c r="O8" s="130">
        <f>SUM(BG8:BJ8)</f>
        <v>91.621784122201149</v>
      </c>
      <c r="P8" s="130">
        <f>SUM(BK8:BN8)</f>
        <v>111.29312900848818</v>
      </c>
      <c r="Q8" s="130">
        <f>SUM(BO8:BR8)</f>
        <v>137.47355657528846</v>
      </c>
      <c r="R8" s="54"/>
      <c r="S8" s="143"/>
      <c r="T8" s="143"/>
      <c r="U8" s="143"/>
      <c r="V8" s="146"/>
      <c r="W8" s="143"/>
      <c r="X8" s="143"/>
      <c r="Y8" s="143"/>
      <c r="Z8" s="146"/>
      <c r="AA8" s="143"/>
      <c r="AB8" s="143"/>
      <c r="AC8" s="143"/>
      <c r="AD8" s="146"/>
      <c r="AE8" s="143"/>
      <c r="AF8" s="143"/>
      <c r="AG8" s="143"/>
      <c r="AH8" s="146"/>
      <c r="AI8" s="143"/>
      <c r="AJ8" s="143"/>
      <c r="AK8" s="143"/>
      <c r="AL8" s="146"/>
      <c r="AM8" s="142"/>
      <c r="AN8" s="142"/>
      <c r="AO8" s="142"/>
      <c r="AP8" s="146"/>
      <c r="AQ8" s="143"/>
      <c r="AR8" s="143"/>
      <c r="AS8" s="143"/>
      <c r="AT8" s="146"/>
      <c r="AU8" s="143">
        <v>16.303000000000001</v>
      </c>
      <c r="AV8" s="143">
        <v>16.551999999999996</v>
      </c>
      <c r="AW8" s="143">
        <v>16.088000000000005</v>
      </c>
      <c r="AX8" s="148">
        <f>L8-AW8-AV8-AU8</f>
        <v>16.302000000000003</v>
      </c>
      <c r="AY8" s="143">
        <v>16.297000000000001</v>
      </c>
      <c r="AZ8" s="143">
        <v>17.690000000000001</v>
      </c>
      <c r="BA8" s="213">
        <v>17.156000000000002</v>
      </c>
      <c r="BB8" s="83">
        <f>IS!BB23</f>
        <v>16.828515995440036</v>
      </c>
      <c r="BC8" s="84">
        <f>IS!BC23</f>
        <v>17.668280968763508</v>
      </c>
      <c r="BD8" s="84">
        <f>IS!BD23</f>
        <v>18.648457830972529</v>
      </c>
      <c r="BE8" s="84">
        <f>IS!BE23</f>
        <v>19.55302360841975</v>
      </c>
      <c r="BF8" s="84">
        <f>IS!BF23</f>
        <v>19.996369673859615</v>
      </c>
      <c r="BG8" s="84">
        <f>IS!BG23</f>
        <v>21.150529326394864</v>
      </c>
      <c r="BH8" s="84">
        <f>IS!BH23</f>
        <v>22.701320582659402</v>
      </c>
      <c r="BI8" s="84">
        <f>IS!BI23</f>
        <v>23.658918699468597</v>
      </c>
      <c r="BJ8" s="84">
        <f>IS!BJ23</f>
        <v>24.111015513678282</v>
      </c>
      <c r="BK8" s="84">
        <f>IS!BK23</f>
        <v>25.407678434212141</v>
      </c>
      <c r="BL8" s="84">
        <f>IS!BL23</f>
        <v>27.722275492697911</v>
      </c>
      <c r="BM8" s="84">
        <f>IS!BM23</f>
        <v>28.847471617025644</v>
      </c>
      <c r="BN8" s="84">
        <f>IS!BN23</f>
        <v>29.315703464552488</v>
      </c>
      <c r="BO8" s="84">
        <f>IS!BO23</f>
        <v>31.099284227247264</v>
      </c>
      <c r="BP8" s="84">
        <f>IS!BP23</f>
        <v>34.512884755735762</v>
      </c>
      <c r="BQ8" s="84">
        <f>IS!BQ23</f>
        <v>35.757852719913082</v>
      </c>
      <c r="BR8" s="84">
        <f>IS!BR23</f>
        <v>36.103534872392345</v>
      </c>
    </row>
    <row r="9" spans="1:70" x14ac:dyDescent="0.2">
      <c r="A9" s="283" t="s">
        <v>249</v>
      </c>
      <c r="B9" s="10" t="s">
        <v>168</v>
      </c>
      <c r="C9" s="81">
        <v>17.936</v>
      </c>
      <c r="D9" s="81">
        <v>16.195</v>
      </c>
      <c r="E9" s="81">
        <v>16.643999999999998</v>
      </c>
      <c r="F9" s="81">
        <v>16.734000000000002</v>
      </c>
      <c r="G9" s="81">
        <v>16.937999999999999</v>
      </c>
      <c r="H9" s="81">
        <v>22.943999999999999</v>
      </c>
      <c r="I9" s="81">
        <v>131.024</v>
      </c>
      <c r="J9" s="146">
        <f>SUM(J7:J8)</f>
        <v>144.63300000000001</v>
      </c>
      <c r="K9" s="146">
        <f>SUM(K7:K8)</f>
        <v>116.78699999999999</v>
      </c>
      <c r="L9" s="146">
        <f>SUM(L7:L8)</f>
        <v>126.47</v>
      </c>
      <c r="M9" s="126">
        <f>SUM(AY9:BB9)</f>
        <v>129.74281208234677</v>
      </c>
      <c r="N9" s="127">
        <f>SUM(BC9:BF9)</f>
        <v>146.68660919168414</v>
      </c>
      <c r="O9" s="127">
        <f>SUM(BG9:BJ9)</f>
        <v>177.15004669605588</v>
      </c>
      <c r="P9" s="127">
        <f>SUM(BK9:BN9)</f>
        <v>215.18444756007005</v>
      </c>
      <c r="Q9" s="127">
        <f>SUM(BO9:BR9)</f>
        <v>265.80411198174943</v>
      </c>
      <c r="R9" s="51"/>
      <c r="S9" s="142">
        <v>3.746</v>
      </c>
      <c r="T9" s="142">
        <v>4.907</v>
      </c>
      <c r="U9" s="142">
        <v>3.7980000000000005</v>
      </c>
      <c r="V9" s="146">
        <f>E9-U9-T9-S9</f>
        <v>4.1929999999999978</v>
      </c>
      <c r="W9" s="142">
        <v>4.0660000000000007</v>
      </c>
      <c r="X9" s="142">
        <v>4.1649999999999991</v>
      </c>
      <c r="Y9" s="142">
        <v>4.3460000000000001</v>
      </c>
      <c r="Z9" s="146">
        <f>F9-Y9-X9-W9</f>
        <v>4.1570000000000018</v>
      </c>
      <c r="AA9" s="142">
        <v>3.8380000000000001</v>
      </c>
      <c r="AB9" s="142">
        <v>4.2299999999999995</v>
      </c>
      <c r="AC9" s="142">
        <v>4.3269999999999991</v>
      </c>
      <c r="AD9" s="146">
        <f>G9-AC9-AB9-AA9</f>
        <v>4.5430000000000001</v>
      </c>
      <c r="AE9" s="142">
        <v>4.2809999999999997</v>
      </c>
      <c r="AF9" s="142">
        <v>4.6879999999999997</v>
      </c>
      <c r="AG9" s="142">
        <v>5.2090000000000023</v>
      </c>
      <c r="AH9" s="146">
        <f>H9-AG9-AF9-AE9</f>
        <v>8.7659999999999982</v>
      </c>
      <c r="AI9" s="142">
        <v>31.032</v>
      </c>
      <c r="AJ9" s="142">
        <v>31.489000000000001</v>
      </c>
      <c r="AK9" s="142">
        <v>32.456999999999994</v>
      </c>
      <c r="AL9" s="146">
        <f>I9-AK9-AJ9-AI9</f>
        <v>36.046000000000006</v>
      </c>
      <c r="AM9" s="142">
        <v>35.518000000000001</v>
      </c>
      <c r="AN9" s="142">
        <v>36.069999999999993</v>
      </c>
      <c r="AO9" s="142">
        <v>36.471000000000004</v>
      </c>
      <c r="AP9" s="146">
        <f>J9-AO9-AN9-AM9</f>
        <v>36.574000000000012</v>
      </c>
      <c r="AQ9" s="142">
        <v>28.155000000000001</v>
      </c>
      <c r="AR9" s="142">
        <v>28.835000000000001</v>
      </c>
      <c r="AS9" s="142">
        <v>29.860999999999997</v>
      </c>
      <c r="AT9" s="146">
        <f>K9-AS9-AR9-AQ9</f>
        <v>29.935999999999986</v>
      </c>
      <c r="AU9" s="146">
        <f>SUM(AU7:AU8)</f>
        <v>29.128</v>
      </c>
      <c r="AV9" s="146">
        <f>SUM(AV7:AV8)</f>
        <v>30.252999999999997</v>
      </c>
      <c r="AW9" s="146">
        <f>SUM(AW7:AW8)</f>
        <v>33.392000000000003</v>
      </c>
      <c r="AX9" s="146">
        <f>L9-AW9-AV9-AU9</f>
        <v>33.697000000000003</v>
      </c>
      <c r="AY9" s="146">
        <f>SUM(AY7:AY8)</f>
        <v>31.085999999999999</v>
      </c>
      <c r="AZ9" s="146">
        <f>SUM(AZ7:AZ8)</f>
        <v>32.948</v>
      </c>
      <c r="BA9" s="154">
        <f>SUM(BA7:BA8)</f>
        <v>33.170999999999992</v>
      </c>
      <c r="BB9" s="166">
        <f>SUM(BB7:BB8)</f>
        <v>32.53781208234679</v>
      </c>
      <c r="BC9" s="76">
        <f>SUM(BC7:BC8)</f>
        <v>34.16149149072362</v>
      </c>
      <c r="BD9" s="76">
        <f>SUM(BD7:BD8)</f>
        <v>36.056656255023881</v>
      </c>
      <c r="BE9" s="76">
        <f>SUM(BE7:BE8)</f>
        <v>37.80562754225295</v>
      </c>
      <c r="BF9" s="76">
        <f>SUM(BF7:BF8)</f>
        <v>38.662833903683691</v>
      </c>
      <c r="BG9" s="76">
        <f>SUM(BG7:BG8)</f>
        <v>40.894393115285851</v>
      </c>
      <c r="BH9" s="76">
        <f>SUM(BH7:BH8)</f>
        <v>43.892836619689618</v>
      </c>
      <c r="BI9" s="76">
        <f>SUM(BI7:BI8)</f>
        <v>45.744345545585972</v>
      </c>
      <c r="BJ9" s="76">
        <f>SUM(BJ7:BJ8)</f>
        <v>46.618471415494426</v>
      </c>
      <c r="BK9" s="76">
        <f>SUM(BK7:BK8)</f>
        <v>49.125559649175273</v>
      </c>
      <c r="BL9" s="76">
        <f>SUM(BL7:BL8)</f>
        <v>53.600816062501892</v>
      </c>
      <c r="BM9" s="76">
        <f>SUM(BM7:BM8)</f>
        <v>55.776374505033672</v>
      </c>
      <c r="BN9" s="76">
        <f>SUM(BN7:BN8)</f>
        <v>56.681697343359211</v>
      </c>
      <c r="BO9" s="76">
        <f>SUM(BO7:BO8)</f>
        <v>60.130237648753734</v>
      </c>
      <c r="BP9" s="76">
        <f>SUM(BP7:BP8)</f>
        <v>66.730409199843265</v>
      </c>
      <c r="BQ9" s="76">
        <f>SUM(BQ7:BQ8)</f>
        <v>69.137545615075595</v>
      </c>
      <c r="BR9" s="76">
        <f>SUM(BR7:BR8)</f>
        <v>69.805919518076848</v>
      </c>
    </row>
    <row r="10" spans="1:70" x14ac:dyDescent="0.2">
      <c r="A10" s="283" t="s">
        <v>250</v>
      </c>
      <c r="B10" s="10"/>
      <c r="C10" s="81">
        <v>0.97299999999999998</v>
      </c>
      <c r="D10" s="81">
        <v>0.97299999999999998</v>
      </c>
      <c r="E10" s="81">
        <v>1.343</v>
      </c>
      <c r="F10" s="81">
        <v>1.4850000000000001</v>
      </c>
      <c r="G10" s="81">
        <v>1.7929999999999999</v>
      </c>
      <c r="H10" s="81">
        <v>2.0350000000000001</v>
      </c>
      <c r="I10" s="81">
        <v>7.109</v>
      </c>
      <c r="J10" s="142">
        <v>6.6950000000000003</v>
      </c>
      <c r="K10" s="142">
        <v>8.7059999999999995</v>
      </c>
      <c r="L10" s="142">
        <v>4.8769999999999998</v>
      </c>
      <c r="M10" s="126">
        <f>SUM(AY10:BB10)</f>
        <v>2.6970000000000001</v>
      </c>
      <c r="N10" s="127">
        <f>SUM(BC10:BF10)</f>
        <v>0</v>
      </c>
      <c r="O10" s="127">
        <f>SUM(BG10:BJ10)</f>
        <v>0</v>
      </c>
      <c r="P10" s="127">
        <f>SUM(BK10:BN10)</f>
        <v>0</v>
      </c>
      <c r="Q10" s="127">
        <f>SUM(BO10:BR10)</f>
        <v>0</v>
      </c>
      <c r="R10" s="51"/>
      <c r="S10" s="142">
        <v>0.27800000000000002</v>
      </c>
      <c r="T10" s="142">
        <v>0.35499999999999998</v>
      </c>
      <c r="U10" s="142">
        <v>0.35499999999999998</v>
      </c>
      <c r="V10" s="146">
        <f>E10-U10-T10-S10</f>
        <v>0.35499999999999998</v>
      </c>
      <c r="W10" s="142">
        <v>0.35499999999999998</v>
      </c>
      <c r="X10" s="142">
        <v>0.35499999999999998</v>
      </c>
      <c r="Y10" s="142">
        <v>0.371</v>
      </c>
      <c r="Z10" s="146">
        <f>F10-Y10-X10-W10</f>
        <v>0.40400000000000014</v>
      </c>
      <c r="AA10" s="142">
        <v>0.40300000000000002</v>
      </c>
      <c r="AB10" s="142">
        <v>0.44899999999999995</v>
      </c>
      <c r="AC10" s="142">
        <v>0.47099999999999997</v>
      </c>
      <c r="AD10" s="146">
        <f>G10-AC10-AB10-AA10</f>
        <v>0.47000000000000008</v>
      </c>
      <c r="AE10" s="142">
        <v>0.47099999999999997</v>
      </c>
      <c r="AF10" s="142">
        <v>0.47099999999999997</v>
      </c>
      <c r="AG10" s="142">
        <v>0.47</v>
      </c>
      <c r="AH10" s="146">
        <f>H10-AG10-AF10-AE10</f>
        <v>0.62300000000000033</v>
      </c>
      <c r="AI10" s="142">
        <v>2.0720000000000001</v>
      </c>
      <c r="AJ10" s="142">
        <v>1.6579999999999999</v>
      </c>
      <c r="AK10" s="142">
        <v>1.7289999999999996</v>
      </c>
      <c r="AL10" s="146">
        <f>I10-AK10-AJ10-AI10</f>
        <v>1.6500000000000008</v>
      </c>
      <c r="AM10" s="142">
        <v>1.6719999999999999</v>
      </c>
      <c r="AN10" s="142">
        <v>1.6770000000000003</v>
      </c>
      <c r="AO10" s="142">
        <v>1.6739999999999993</v>
      </c>
      <c r="AP10" s="146">
        <f>J10-AO10-AN10-AM10</f>
        <v>1.6720000000000004</v>
      </c>
      <c r="AQ10" s="142">
        <v>1.6719999999999999</v>
      </c>
      <c r="AR10" s="142">
        <v>1.514</v>
      </c>
      <c r="AS10" s="142">
        <v>1.381</v>
      </c>
      <c r="AT10" s="146">
        <f>K10-AS10-AR10-AQ10</f>
        <v>4.1389999999999993</v>
      </c>
      <c r="AU10" s="142">
        <v>0.90500000000000003</v>
      </c>
      <c r="AV10" s="142">
        <v>2.1559999999999997</v>
      </c>
      <c r="AW10" s="142">
        <v>0.90800000000000014</v>
      </c>
      <c r="AX10" s="146">
        <f>L10-AW10-AV10-AU10</f>
        <v>0.9079999999999997</v>
      </c>
      <c r="AY10" s="142">
        <v>0.89</v>
      </c>
      <c r="AZ10" s="142">
        <v>0.89899999999999991</v>
      </c>
      <c r="BA10" s="153">
        <v>0.90800000000000003</v>
      </c>
      <c r="BB10" s="172"/>
      <c r="BC10" s="188"/>
      <c r="BD10" s="188"/>
      <c r="BE10" s="188"/>
      <c r="BF10" s="188"/>
      <c r="BG10" s="188"/>
      <c r="BH10" s="188"/>
      <c r="BI10" s="188"/>
      <c r="BJ10" s="188"/>
      <c r="BK10" s="188"/>
      <c r="BL10" s="188"/>
      <c r="BM10" s="188"/>
      <c r="BN10" s="188"/>
      <c r="BO10" s="188"/>
      <c r="BP10" s="188"/>
      <c r="BQ10" s="188"/>
      <c r="BR10" s="188"/>
    </row>
    <row r="11" spans="1:70" x14ac:dyDescent="0.2">
      <c r="A11" s="283" t="s">
        <v>251</v>
      </c>
      <c r="B11" s="10"/>
      <c r="C11" s="81">
        <v>0.13900000000000001</v>
      </c>
      <c r="D11" s="81">
        <v>-0.36599999999999999</v>
      </c>
      <c r="E11" s="81">
        <v>0.99099999999999999</v>
      </c>
      <c r="F11" s="81">
        <v>0</v>
      </c>
      <c r="G11" s="81">
        <v>0.17799999999999999</v>
      </c>
      <c r="H11" s="81">
        <v>5.5E-2</v>
      </c>
      <c r="I11" s="81">
        <v>-2.7890000000000001</v>
      </c>
      <c r="J11" s="142">
        <v>2.5630000000000002</v>
      </c>
      <c r="K11" s="142">
        <v>2.5129999999999999</v>
      </c>
      <c r="L11" s="142">
        <v>0.86899999999999999</v>
      </c>
      <c r="M11" s="126">
        <f>SUM(AY11:BB11)</f>
        <v>1.375</v>
      </c>
      <c r="N11" s="127">
        <f>SUM(BC11:BF11)</f>
        <v>0</v>
      </c>
      <c r="O11" s="127">
        <f>SUM(BG11:BJ11)</f>
        <v>0</v>
      </c>
      <c r="P11" s="127">
        <f>SUM(BK11:BN11)</f>
        <v>0</v>
      </c>
      <c r="Q11" s="127">
        <f>SUM(BO11:BR11)</f>
        <v>0</v>
      </c>
      <c r="R11" s="51"/>
      <c r="S11" s="142">
        <v>-1.4E-2</v>
      </c>
      <c r="T11" s="142">
        <f>0-S11</f>
        <v>1.4E-2</v>
      </c>
      <c r="U11" s="142">
        <v>0.216</v>
      </c>
      <c r="V11" s="146">
        <f>E11-U11-T11-S11</f>
        <v>0.77500000000000002</v>
      </c>
      <c r="W11" s="142">
        <v>-5.7000000000000002E-2</v>
      </c>
      <c r="X11" s="142">
        <v>0.23399999999999999</v>
      </c>
      <c r="Y11" s="142">
        <v>-6.4999999999999974E-2</v>
      </c>
      <c r="Z11" s="146">
        <f>F11-Y11-X11-W11</f>
        <v>-0.11200000000000002</v>
      </c>
      <c r="AA11" s="142">
        <v>-8.9999999999999993E-3</v>
      </c>
      <c r="AB11" s="142">
        <v>0.124</v>
      </c>
      <c r="AC11" s="142">
        <v>4.3000000000000003E-2</v>
      </c>
      <c r="AD11" s="146">
        <f>G11-AC11-AB11-AA11</f>
        <v>1.9999999999999983E-2</v>
      </c>
      <c r="AE11" s="142">
        <v>0.124</v>
      </c>
      <c r="AF11" s="142">
        <v>-0.14499999999999999</v>
      </c>
      <c r="AG11" s="142">
        <v>9.9999999999999978E-2</v>
      </c>
      <c r="AH11" s="146">
        <f>H11-AG11-AF11-AE11</f>
        <v>-2.3999999999999994E-2</v>
      </c>
      <c r="AI11" s="142">
        <v>2E-3</v>
      </c>
      <c r="AJ11" s="142">
        <v>0.372</v>
      </c>
      <c r="AK11" s="142">
        <v>-3.7859999999999996</v>
      </c>
      <c r="AL11" s="146">
        <f>I11-AK11-AJ11-AI11</f>
        <v>0.62299999999999944</v>
      </c>
      <c r="AM11" s="142">
        <v>0.61099999999999999</v>
      </c>
      <c r="AN11" s="142">
        <v>1.077</v>
      </c>
      <c r="AO11" s="142">
        <v>0.86599999999999988</v>
      </c>
      <c r="AP11" s="146">
        <f>J11-AO11-AN11-AM11</f>
        <v>9.0000000000003411E-3</v>
      </c>
      <c r="AQ11" s="142">
        <v>0.436</v>
      </c>
      <c r="AR11" s="142">
        <v>0.96300000000000008</v>
      </c>
      <c r="AS11" s="142">
        <v>0.18099999999999999</v>
      </c>
      <c r="AT11" s="146">
        <f>K11-AS11-AR11-AQ11</f>
        <v>0.93299999999999983</v>
      </c>
      <c r="AU11" s="142">
        <v>-1.2999999999999999E-2</v>
      </c>
      <c r="AV11" s="142">
        <v>0.22800000000000001</v>
      </c>
      <c r="AW11" s="142">
        <v>0.47200000000000009</v>
      </c>
      <c r="AX11" s="146">
        <f>L11-AW11-AV11-AU11</f>
        <v>0.18199999999999991</v>
      </c>
      <c r="AY11" s="142">
        <v>0.51300000000000001</v>
      </c>
      <c r="AZ11" s="142">
        <v>0.60799999999999998</v>
      </c>
      <c r="BA11" s="153">
        <v>0.254</v>
      </c>
      <c r="BB11" s="172"/>
      <c r="BC11" s="188"/>
      <c r="BD11" s="188"/>
      <c r="BE11" s="188"/>
      <c r="BF11" s="188"/>
      <c r="BG11" s="188"/>
      <c r="BH11" s="188"/>
      <c r="BI11" s="188"/>
      <c r="BJ11" s="188"/>
      <c r="BK11" s="188"/>
      <c r="BL11" s="188"/>
      <c r="BM11" s="188"/>
      <c r="BN11" s="188"/>
      <c r="BO11" s="188"/>
      <c r="BP11" s="188"/>
      <c r="BQ11" s="188"/>
      <c r="BR11" s="188"/>
    </row>
    <row r="12" spans="1:70" x14ac:dyDescent="0.2">
      <c r="A12" s="283" t="s">
        <v>252</v>
      </c>
      <c r="B12" s="10"/>
      <c r="C12" s="81">
        <v>0</v>
      </c>
      <c r="D12" s="81">
        <v>0</v>
      </c>
      <c r="E12" s="81">
        <v>0</v>
      </c>
      <c r="F12" s="81">
        <v>0</v>
      </c>
      <c r="G12" s="81">
        <v>0</v>
      </c>
      <c r="H12" s="81">
        <v>0.30099999999999999</v>
      </c>
      <c r="I12" s="81">
        <v>7.6139999999999999</v>
      </c>
      <c r="J12" s="142">
        <v>8.6920000000000002</v>
      </c>
      <c r="K12" s="142">
        <v>7.819</v>
      </c>
      <c r="L12" s="142">
        <v>8.4209999999999994</v>
      </c>
      <c r="M12" s="126">
        <f>SUM(AY12:BB12)</f>
        <v>8.76</v>
      </c>
      <c r="N12" s="127">
        <f>SUM(BC12:BF12)</f>
        <v>8.8840000000000003</v>
      </c>
      <c r="O12" s="127">
        <f>SUM(BG12:BJ12)</f>
        <v>8.8840000000000003</v>
      </c>
      <c r="P12" s="127">
        <f>SUM(BK12:BN12)</f>
        <v>8.8840000000000003</v>
      </c>
      <c r="Q12" s="127">
        <f>SUM(BO12:BR12)</f>
        <v>8.8840000000000003</v>
      </c>
      <c r="R12" s="51"/>
      <c r="S12" s="142">
        <v>0</v>
      </c>
      <c r="T12" s="142">
        <v>0</v>
      </c>
      <c r="U12" s="142">
        <v>0</v>
      </c>
      <c r="V12" s="146">
        <f>E12-U12-T12-S12</f>
        <v>0</v>
      </c>
      <c r="W12" s="142">
        <v>0</v>
      </c>
      <c r="X12" s="142">
        <v>0</v>
      </c>
      <c r="Y12" s="142">
        <v>0</v>
      </c>
      <c r="Z12" s="146">
        <f>F12-Y12-X12-W12</f>
        <v>0</v>
      </c>
      <c r="AA12" s="142">
        <v>0</v>
      </c>
      <c r="AB12" s="142">
        <v>0</v>
      </c>
      <c r="AC12" s="142">
        <v>0</v>
      </c>
      <c r="AD12" s="146">
        <f>G12-AC12-AB12-AA12</f>
        <v>0</v>
      </c>
      <c r="AE12" s="142">
        <v>0</v>
      </c>
      <c r="AF12" s="142">
        <v>0</v>
      </c>
      <c r="AG12" s="142">
        <v>0</v>
      </c>
      <c r="AH12" s="146">
        <f>H12-AG12-AF12-AE12</f>
        <v>0.30099999999999999</v>
      </c>
      <c r="AI12" s="142">
        <v>2.1040000000000001</v>
      </c>
      <c r="AJ12" s="142">
        <v>1.9879999999999995</v>
      </c>
      <c r="AK12" s="142">
        <v>1.9140000000000006</v>
      </c>
      <c r="AL12" s="146">
        <f>I12-AK12-AJ12-AI12</f>
        <v>1.6079999999999997</v>
      </c>
      <c r="AM12" s="142">
        <v>2.097</v>
      </c>
      <c r="AN12" s="142">
        <v>2.2420000000000004</v>
      </c>
      <c r="AO12" s="142">
        <v>2.1819999999999999</v>
      </c>
      <c r="AP12" s="146">
        <f>J12-AO12-AN12-AM12</f>
        <v>2.1709999999999989</v>
      </c>
      <c r="AQ12" s="142">
        <v>2.0019999999999998</v>
      </c>
      <c r="AR12" s="142">
        <v>1.907</v>
      </c>
      <c r="AS12" s="142">
        <v>1.9359999999999999</v>
      </c>
      <c r="AT12" s="146">
        <f>K12-AS12-AR12-AQ12</f>
        <v>1.9740000000000002</v>
      </c>
      <c r="AU12" s="142">
        <v>2.0569999999999999</v>
      </c>
      <c r="AV12" s="142">
        <v>2.121</v>
      </c>
      <c r="AW12" s="142">
        <v>2.1210000000000009</v>
      </c>
      <c r="AX12" s="146">
        <f>L12-AW12-AV12-AU12</f>
        <v>2.1219999999999986</v>
      </c>
      <c r="AY12" s="142">
        <v>2.1219999999999999</v>
      </c>
      <c r="AZ12" s="142">
        <v>2.1959999999999997</v>
      </c>
      <c r="BA12" s="153">
        <v>2.2210000000000001</v>
      </c>
      <c r="BB12" s="172">
        <f>BA12</f>
        <v>2.2210000000000001</v>
      </c>
      <c r="BC12" s="188">
        <f>BB12</f>
        <v>2.2210000000000001</v>
      </c>
      <c r="BD12" s="188">
        <f>BC12</f>
        <v>2.2210000000000001</v>
      </c>
      <c r="BE12" s="188">
        <f>BD12</f>
        <v>2.2210000000000001</v>
      </c>
      <c r="BF12" s="188">
        <f>BE12</f>
        <v>2.2210000000000001</v>
      </c>
      <c r="BG12" s="188">
        <f>BF12</f>
        <v>2.2210000000000001</v>
      </c>
      <c r="BH12" s="188">
        <f>BG12</f>
        <v>2.2210000000000001</v>
      </c>
      <c r="BI12" s="188">
        <f>BH12</f>
        <v>2.2210000000000001</v>
      </c>
      <c r="BJ12" s="188">
        <f>BI12</f>
        <v>2.2210000000000001</v>
      </c>
      <c r="BK12" s="188">
        <f>BJ12</f>
        <v>2.2210000000000001</v>
      </c>
      <c r="BL12" s="188">
        <f>BK12</f>
        <v>2.2210000000000001</v>
      </c>
      <c r="BM12" s="188">
        <f>BL12</f>
        <v>2.2210000000000001</v>
      </c>
      <c r="BN12" s="188">
        <f>BM12</f>
        <v>2.2210000000000001</v>
      </c>
      <c r="BO12" s="188">
        <f>BN12</f>
        <v>2.2210000000000001</v>
      </c>
      <c r="BP12" s="188">
        <f>BO12</f>
        <v>2.2210000000000001</v>
      </c>
      <c r="BQ12" s="188">
        <f>BP12</f>
        <v>2.2210000000000001</v>
      </c>
      <c r="BR12" s="188">
        <f>BQ12</f>
        <v>2.2210000000000001</v>
      </c>
    </row>
    <row r="13" spans="1:70" x14ac:dyDescent="0.2">
      <c r="A13" s="283" t="s">
        <v>253</v>
      </c>
      <c r="B13" s="10"/>
      <c r="C13" s="81">
        <v>7.9550000000000001</v>
      </c>
      <c r="D13" s="81">
        <v>5.9080000000000004</v>
      </c>
      <c r="E13" s="81">
        <v>5.9589999999999996</v>
      </c>
      <c r="F13" s="81">
        <v>5.1820000000000004</v>
      </c>
      <c r="G13" s="81">
        <v>7.8739999999999997</v>
      </c>
      <c r="H13" s="81">
        <v>8.9909999999999997</v>
      </c>
      <c r="I13" s="81">
        <v>10.135</v>
      </c>
      <c r="J13" s="142">
        <v>9.9079999999999995</v>
      </c>
      <c r="K13" s="142">
        <v>9.7370000000000001</v>
      </c>
      <c r="L13" s="142">
        <v>11.459</v>
      </c>
      <c r="M13" s="126">
        <f>SUM(AY13:BB13)</f>
        <v>10.01</v>
      </c>
      <c r="N13" s="127">
        <f>SUM(BC13:BF13)</f>
        <v>0</v>
      </c>
      <c r="O13" s="127">
        <f>SUM(BG13:BJ13)</f>
        <v>0</v>
      </c>
      <c r="P13" s="127">
        <f>SUM(BK13:BN13)</f>
        <v>0</v>
      </c>
      <c r="Q13" s="127">
        <f>SUM(BO13:BR13)</f>
        <v>0</v>
      </c>
      <c r="R13" s="51"/>
      <c r="S13" s="142">
        <v>1.4870000000000001</v>
      </c>
      <c r="T13" s="142">
        <v>1.254</v>
      </c>
      <c r="U13" s="142">
        <v>1.2749999999999999</v>
      </c>
      <c r="V13" s="146">
        <f>E13-U13-T13-S13</f>
        <v>1.9429999999999992</v>
      </c>
      <c r="W13" s="142">
        <v>1.19</v>
      </c>
      <c r="X13" s="142">
        <v>0.83700000000000019</v>
      </c>
      <c r="Y13" s="142">
        <v>0.55899999999999972</v>
      </c>
      <c r="Z13" s="146">
        <f>F13-Y13-X13-W13</f>
        <v>2.596000000000001</v>
      </c>
      <c r="AA13" s="142">
        <v>2.11</v>
      </c>
      <c r="AB13" s="142">
        <v>1.8610000000000002</v>
      </c>
      <c r="AC13" s="142">
        <v>1.9109999999999991</v>
      </c>
      <c r="AD13" s="146">
        <f>G13-AC13-AB13-AA13</f>
        <v>1.9920000000000004</v>
      </c>
      <c r="AE13" s="142">
        <v>2.0139999999999998</v>
      </c>
      <c r="AF13" s="142">
        <v>2.2150000000000003</v>
      </c>
      <c r="AG13" s="142">
        <v>2.5409999999999999</v>
      </c>
      <c r="AH13" s="146">
        <f>H13-AG13-AF13-AE13</f>
        <v>2.2209999999999996</v>
      </c>
      <c r="AI13" s="142">
        <v>2.266</v>
      </c>
      <c r="AJ13" s="142">
        <v>2.1040000000000001</v>
      </c>
      <c r="AK13" s="142">
        <v>2.5969999999999995</v>
      </c>
      <c r="AL13" s="146">
        <f>I13-AK13-AJ13-AI13</f>
        <v>3.1680000000000001</v>
      </c>
      <c r="AM13" s="142">
        <v>2.444</v>
      </c>
      <c r="AN13" s="142">
        <v>2.5110000000000001</v>
      </c>
      <c r="AO13" s="142">
        <v>2.2370000000000001</v>
      </c>
      <c r="AP13" s="146">
        <f>J13-AO13-AN13-AM13</f>
        <v>2.7159999999999993</v>
      </c>
      <c r="AQ13" s="142">
        <v>2.8170000000000002</v>
      </c>
      <c r="AR13" s="142">
        <v>2.3529999999999998</v>
      </c>
      <c r="AS13" s="142">
        <v>2.7759999999999998</v>
      </c>
      <c r="AT13" s="146">
        <f>K13-AS13-AR13-AQ13</f>
        <v>1.7910000000000004</v>
      </c>
      <c r="AU13" s="142">
        <v>2.1819999999999999</v>
      </c>
      <c r="AV13" s="142">
        <v>2.9319999999999999</v>
      </c>
      <c r="AW13" s="142">
        <v>3.2280000000000002</v>
      </c>
      <c r="AX13" s="146">
        <f>L13-AW13-AV13-AU13</f>
        <v>3.1169999999999995</v>
      </c>
      <c r="AY13" s="142">
        <v>2.8639999999999999</v>
      </c>
      <c r="AZ13" s="142">
        <v>3.048</v>
      </c>
      <c r="BA13" s="153">
        <v>4.0979999999999999</v>
      </c>
      <c r="BB13" s="172"/>
      <c r="BC13" s="188"/>
      <c r="BD13" s="188"/>
      <c r="BE13" s="188"/>
      <c r="BF13" s="188"/>
      <c r="BG13" s="188"/>
      <c r="BH13" s="188"/>
      <c r="BI13" s="188"/>
      <c r="BJ13" s="188"/>
      <c r="BK13" s="188"/>
      <c r="BL13" s="188"/>
      <c r="BM13" s="188"/>
      <c r="BN13" s="188"/>
      <c r="BO13" s="188"/>
      <c r="BP13" s="188"/>
      <c r="BQ13" s="188"/>
      <c r="BR13" s="188"/>
    </row>
    <row r="14" spans="1:70" x14ac:dyDescent="0.2">
      <c r="A14" s="283" t="s">
        <v>254</v>
      </c>
      <c r="B14" s="10"/>
      <c r="C14" s="81">
        <v>19.577999999999999</v>
      </c>
      <c r="D14" s="81">
        <v>17.504999999999999</v>
      </c>
      <c r="E14" s="81">
        <v>9.2520000000000007</v>
      </c>
      <c r="F14" s="81">
        <v>14.375999999999999</v>
      </c>
      <c r="G14" s="81">
        <v>13.643000000000001</v>
      </c>
      <c r="H14" s="81">
        <v>6.6130000000000004</v>
      </c>
      <c r="I14" s="81">
        <v>-19.878</v>
      </c>
      <c r="J14" s="142">
        <v>29.94</v>
      </c>
      <c r="K14" s="142">
        <v>-20.015000000000001</v>
      </c>
      <c r="L14" s="142">
        <v>-10.343</v>
      </c>
      <c r="M14" s="126">
        <f>SUM(AY14:BB14)</f>
        <v>-3.173</v>
      </c>
      <c r="N14" s="127">
        <f>SUM(BC14:BF14)</f>
        <v>0</v>
      </c>
      <c r="O14" s="127">
        <f>SUM(BG14:BJ14)</f>
        <v>0</v>
      </c>
      <c r="P14" s="127">
        <f>SUM(BK14:BN14)</f>
        <v>0</v>
      </c>
      <c r="Q14" s="127">
        <f>SUM(BO14:BR14)</f>
        <v>0</v>
      </c>
      <c r="R14" s="51"/>
      <c r="S14" s="142">
        <v>1.319</v>
      </c>
      <c r="T14" s="142">
        <v>1.4359999999999999</v>
      </c>
      <c r="U14" s="142">
        <v>1.3369999999999997</v>
      </c>
      <c r="V14" s="146">
        <f>E14-U14-T14-S14</f>
        <v>5.160000000000001</v>
      </c>
      <c r="W14" s="142">
        <v>3.9350000000000001</v>
      </c>
      <c r="X14" s="142">
        <v>4.7430000000000003</v>
      </c>
      <c r="Y14" s="142">
        <v>3.8779999999999988</v>
      </c>
      <c r="Z14" s="146">
        <f>F14-Y14-X14-W14</f>
        <v>1.8200000000000007</v>
      </c>
      <c r="AA14" s="142">
        <v>3.399</v>
      </c>
      <c r="AB14" s="142">
        <v>3.8120000000000003</v>
      </c>
      <c r="AC14" s="142">
        <v>3.1240000000000006</v>
      </c>
      <c r="AD14" s="146">
        <f>G14-AC14-AB14-AA14</f>
        <v>3.3079999999999998</v>
      </c>
      <c r="AE14" s="142">
        <v>3.0329999999999999</v>
      </c>
      <c r="AF14" s="142">
        <v>2.5779999999999998</v>
      </c>
      <c r="AG14" s="142">
        <v>2.9430000000000009</v>
      </c>
      <c r="AH14" s="146">
        <f>H14-AG14-AF14-AE14</f>
        <v>-1.9410000000000003</v>
      </c>
      <c r="AI14" s="142">
        <v>1.7689999999999999</v>
      </c>
      <c r="AJ14" s="142">
        <v>-9.2940000000000005</v>
      </c>
      <c r="AK14" s="142">
        <v>-4.3739999999999988</v>
      </c>
      <c r="AL14" s="146">
        <f>I14-AK14-AJ14-AI14</f>
        <v>-7.979000000000001</v>
      </c>
      <c r="AM14" s="142">
        <v>-8.343</v>
      </c>
      <c r="AN14" s="142">
        <v>-8.4409999999999989</v>
      </c>
      <c r="AO14" s="142">
        <v>-5.4750000000000014</v>
      </c>
      <c r="AP14" s="146">
        <f>J14-AO14-AN14-AM14</f>
        <v>52.199000000000012</v>
      </c>
      <c r="AQ14" s="142">
        <v>0.626</v>
      </c>
      <c r="AR14" s="142">
        <v>1.9390000000000001</v>
      </c>
      <c r="AS14" s="142">
        <v>0.60899999999999987</v>
      </c>
      <c r="AT14" s="146">
        <f>K14-AS14-AR14-AQ14</f>
        <v>-23.189</v>
      </c>
      <c r="AU14" s="142">
        <v>-0.56100000000000005</v>
      </c>
      <c r="AV14" s="142">
        <v>-1.3479999999999999</v>
      </c>
      <c r="AW14" s="142">
        <v>-0.89499999999999991</v>
      </c>
      <c r="AX14" s="146">
        <f>L14-AW14-AV14-AU14</f>
        <v>-7.5390000000000015</v>
      </c>
      <c r="AY14" s="142">
        <v>-0.51300000000000001</v>
      </c>
      <c r="AZ14" s="142">
        <v>-1.2349999999999999</v>
      </c>
      <c r="BA14" s="153">
        <v>-1.4250000000000003</v>
      </c>
      <c r="BB14" s="172"/>
      <c r="BC14" s="188"/>
      <c r="BD14" s="188"/>
      <c r="BE14" s="188"/>
      <c r="BF14" s="188"/>
      <c r="BG14" s="188"/>
      <c r="BH14" s="188"/>
      <c r="BI14" s="188"/>
      <c r="BJ14" s="188"/>
      <c r="BK14" s="188"/>
      <c r="BL14" s="188"/>
      <c r="BM14" s="188"/>
      <c r="BN14" s="188"/>
      <c r="BO14" s="188"/>
      <c r="BP14" s="188"/>
      <c r="BQ14" s="188"/>
      <c r="BR14" s="188"/>
    </row>
    <row r="15" spans="1:70" x14ac:dyDescent="0.2">
      <c r="A15" s="283" t="s">
        <v>255</v>
      </c>
      <c r="B15" s="10"/>
      <c r="C15" s="81">
        <v>0</v>
      </c>
      <c r="D15" s="81">
        <v>0</v>
      </c>
      <c r="E15" s="81">
        <v>0</v>
      </c>
      <c r="F15" s="81">
        <v>0</v>
      </c>
      <c r="G15" s="81">
        <v>0</v>
      </c>
      <c r="H15" s="81">
        <v>3.129</v>
      </c>
      <c r="I15" s="81">
        <v>0</v>
      </c>
      <c r="J15" s="142">
        <v>4.2889999999999997</v>
      </c>
      <c r="K15" s="81">
        <v>0</v>
      </c>
      <c r="L15" s="142">
        <v>2.5750000000000002</v>
      </c>
      <c r="M15" s="126">
        <f>SUM(AY15:BB15)</f>
        <v>0.84299999999999997</v>
      </c>
      <c r="N15" s="127">
        <f>SUM(BC15:BF15)</f>
        <v>0</v>
      </c>
      <c r="O15" s="127">
        <f>SUM(BG15:BJ15)</f>
        <v>0</v>
      </c>
      <c r="P15" s="127">
        <f>SUM(BK15:BN15)</f>
        <v>0</v>
      </c>
      <c r="Q15" s="127">
        <f>SUM(BO15:BR15)</f>
        <v>0</v>
      </c>
      <c r="R15" s="51"/>
      <c r="S15" s="142">
        <v>0</v>
      </c>
      <c r="T15" s="142">
        <v>0</v>
      </c>
      <c r="U15" s="142">
        <v>0</v>
      </c>
      <c r="V15" s="146">
        <f>E15-U15-T15-S15</f>
        <v>0</v>
      </c>
      <c r="W15" s="142">
        <v>0</v>
      </c>
      <c r="X15" s="142">
        <v>0</v>
      </c>
      <c r="Y15" s="142">
        <v>0</v>
      </c>
      <c r="Z15" s="146">
        <f>F15-Y15-X15-W15</f>
        <v>0</v>
      </c>
      <c r="AA15" s="142">
        <v>0</v>
      </c>
      <c r="AB15" s="142">
        <v>0</v>
      </c>
      <c r="AC15" s="142">
        <v>0</v>
      </c>
      <c r="AD15" s="146">
        <f>G15-AC15-AB15-AA15</f>
        <v>0</v>
      </c>
      <c r="AE15" s="142">
        <v>0</v>
      </c>
      <c r="AF15" s="142">
        <v>0</v>
      </c>
      <c r="AG15" s="142">
        <v>0</v>
      </c>
      <c r="AH15" s="146">
        <f>H15-AG15-AF15-AE15</f>
        <v>3.129</v>
      </c>
      <c r="AI15" s="142">
        <v>0</v>
      </c>
      <c r="AJ15" s="142">
        <v>0</v>
      </c>
      <c r="AK15" s="142">
        <v>0</v>
      </c>
      <c r="AL15" s="146">
        <f>I15-AK15-AJ15-AI15</f>
        <v>0</v>
      </c>
      <c r="AM15" s="142">
        <v>0</v>
      </c>
      <c r="AN15" s="142">
        <v>4.2889999999999997</v>
      </c>
      <c r="AO15" s="142">
        <v>0</v>
      </c>
      <c r="AP15" s="146">
        <f>J15-AO15-AN15-AM15</f>
        <v>0</v>
      </c>
      <c r="AQ15" s="142">
        <v>0</v>
      </c>
      <c r="AR15" s="142">
        <v>0</v>
      </c>
      <c r="AS15" s="142">
        <v>0</v>
      </c>
      <c r="AT15" s="146">
        <f>K15-AS15-AR15-AQ15</f>
        <v>0</v>
      </c>
      <c r="AU15" s="142">
        <v>0</v>
      </c>
      <c r="AV15" s="142">
        <v>2.5750000000000002</v>
      </c>
      <c r="AW15" s="142">
        <v>0</v>
      </c>
      <c r="AX15" s="146">
        <f>L15-AW15-AV15-AU15</f>
        <v>0</v>
      </c>
      <c r="AY15" s="142">
        <v>0</v>
      </c>
      <c r="AZ15" s="142">
        <v>0.84299999999999997</v>
      </c>
      <c r="BA15" s="153">
        <v>0</v>
      </c>
      <c r="BB15" s="172"/>
      <c r="BC15" s="188"/>
      <c r="BD15" s="188"/>
      <c r="BE15" s="188"/>
      <c r="BF15" s="188"/>
      <c r="BG15" s="188"/>
      <c r="BH15" s="188"/>
      <c r="BI15" s="188"/>
      <c r="BJ15" s="188"/>
      <c r="BK15" s="188"/>
      <c r="BL15" s="188"/>
      <c r="BM15" s="188"/>
      <c r="BN15" s="188"/>
      <c r="BO15" s="188"/>
      <c r="BP15" s="188"/>
      <c r="BQ15" s="188"/>
      <c r="BR15" s="188"/>
    </row>
    <row r="16" spans="1:70" x14ac:dyDescent="0.2">
      <c r="A16" s="283" t="s">
        <v>256</v>
      </c>
      <c r="B16" s="10"/>
      <c r="C16" s="81">
        <v>0</v>
      </c>
      <c r="D16" s="81">
        <v>0</v>
      </c>
      <c r="E16" s="81">
        <v>0</v>
      </c>
      <c r="F16" s="81">
        <v>0</v>
      </c>
      <c r="G16" s="81">
        <v>0.15</v>
      </c>
      <c r="H16" s="81">
        <v>0.27</v>
      </c>
      <c r="I16" s="81">
        <v>1.2430000000000001</v>
      </c>
      <c r="J16" s="142">
        <v>3.581</v>
      </c>
      <c r="K16" s="142">
        <v>0.39700000000000002</v>
      </c>
      <c r="L16" s="142">
        <v>1.919</v>
      </c>
      <c r="M16" s="126">
        <f>SUM(AY16:BB16)</f>
        <v>1.83</v>
      </c>
      <c r="N16" s="127">
        <f>SUM(BC16:BF16)</f>
        <v>0</v>
      </c>
      <c r="O16" s="127">
        <f>SUM(BG16:BJ16)</f>
        <v>0</v>
      </c>
      <c r="P16" s="127">
        <f>SUM(BK16:BN16)</f>
        <v>0</v>
      </c>
      <c r="Q16" s="127">
        <f>SUM(BO16:BR16)</f>
        <v>0</v>
      </c>
      <c r="R16" s="51"/>
      <c r="S16" s="142">
        <v>0</v>
      </c>
      <c r="T16" s="142">
        <v>0</v>
      </c>
      <c r="U16" s="142">
        <v>0</v>
      </c>
      <c r="V16" s="146">
        <f>E16-U16-T16-S16</f>
        <v>0</v>
      </c>
      <c r="W16" s="142">
        <v>0</v>
      </c>
      <c r="X16" s="142">
        <v>0</v>
      </c>
      <c r="Y16" s="142">
        <v>0</v>
      </c>
      <c r="Z16" s="146">
        <f>F16-Y16-X16-W16</f>
        <v>0</v>
      </c>
      <c r="AA16" s="142">
        <v>0</v>
      </c>
      <c r="AB16" s="142">
        <v>0</v>
      </c>
      <c r="AC16" s="142">
        <v>0</v>
      </c>
      <c r="AD16" s="146">
        <f>G16-AC16-AB16-AA16</f>
        <v>0.15</v>
      </c>
      <c r="AE16" s="142">
        <v>0</v>
      </c>
      <c r="AF16" s="142">
        <v>0</v>
      </c>
      <c r="AG16" s="142">
        <v>0</v>
      </c>
      <c r="AH16" s="146">
        <f>H16-AG16-AF16-AE16</f>
        <v>0.27</v>
      </c>
      <c r="AI16" s="142">
        <v>7.2999999999999995E-2</v>
      </c>
      <c r="AJ16" s="142">
        <v>5.1000000000000004E-2</v>
      </c>
      <c r="AK16" s="142">
        <v>0.377</v>
      </c>
      <c r="AL16" s="146">
        <f>I16-AK16-AJ16-AI16</f>
        <v>0.7420000000000001</v>
      </c>
      <c r="AM16" s="142">
        <v>0.11899999999999999</v>
      </c>
      <c r="AN16" s="142">
        <v>0.54800000000000004</v>
      </c>
      <c r="AO16" s="142">
        <v>0.27499999999999991</v>
      </c>
      <c r="AP16" s="146">
        <f>J16-AO16-AN16-AM16</f>
        <v>2.6390000000000002</v>
      </c>
      <c r="AQ16" s="142">
        <v>0.40799999999999997</v>
      </c>
      <c r="AR16" s="142">
        <v>-0.14199999999999996</v>
      </c>
      <c r="AS16" s="142">
        <v>-0.22000000000000003</v>
      </c>
      <c r="AT16" s="146">
        <f>K16-AS16-AR16-AQ16</f>
        <v>0.35099999999999992</v>
      </c>
      <c r="AU16" s="142">
        <v>0.30499999999999999</v>
      </c>
      <c r="AV16" s="142">
        <v>0.748</v>
      </c>
      <c r="AW16" s="142">
        <v>0.33299999999999991</v>
      </c>
      <c r="AX16" s="146">
        <f>L16-AW16-AV16-AU16</f>
        <v>0.53300000000000014</v>
      </c>
      <c r="AY16" s="142">
        <v>0.441</v>
      </c>
      <c r="AZ16" s="142">
        <v>0.22900000000000004</v>
      </c>
      <c r="BA16" s="153">
        <v>1.1599999999999999</v>
      </c>
      <c r="BB16" s="172"/>
      <c r="BC16" s="188"/>
      <c r="BD16" s="188"/>
      <c r="BE16" s="188"/>
      <c r="BF16" s="188"/>
      <c r="BG16" s="188"/>
      <c r="BH16" s="188"/>
      <c r="BI16" s="188"/>
      <c r="BJ16" s="188"/>
      <c r="BK16" s="188"/>
      <c r="BL16" s="188"/>
      <c r="BM16" s="188"/>
      <c r="BN16" s="188"/>
      <c r="BO16" s="188"/>
      <c r="BP16" s="188"/>
      <c r="BQ16" s="188"/>
      <c r="BR16" s="188"/>
    </row>
    <row r="17" spans="1:70" x14ac:dyDescent="0.2">
      <c r="A17" s="283" t="s">
        <v>215</v>
      </c>
      <c r="B17" s="10"/>
      <c r="C17" s="81">
        <v>0</v>
      </c>
      <c r="D17" s="81">
        <v>0</v>
      </c>
      <c r="E17" s="81">
        <v>0</v>
      </c>
      <c r="F17" s="81">
        <v>0</v>
      </c>
      <c r="G17" s="81">
        <v>0</v>
      </c>
      <c r="H17" s="81">
        <v>0</v>
      </c>
      <c r="I17" s="81">
        <v>75.007999999999996</v>
      </c>
      <c r="J17" s="142">
        <v>146.29900000000001</v>
      </c>
      <c r="K17" s="81">
        <v>0</v>
      </c>
      <c r="L17" s="81">
        <v>0</v>
      </c>
      <c r="M17" s="126">
        <f>SUM(AY17:BB17)</f>
        <v>0</v>
      </c>
      <c r="N17" s="127">
        <f>SUM(BC17:BF17)</f>
        <v>0</v>
      </c>
      <c r="O17" s="127">
        <f>SUM(BG17:BJ17)</f>
        <v>0</v>
      </c>
      <c r="P17" s="127">
        <f>SUM(BK17:BN17)</f>
        <v>0</v>
      </c>
      <c r="Q17" s="127">
        <f>SUM(BO17:BR17)</f>
        <v>0</v>
      </c>
      <c r="R17" s="51"/>
      <c r="S17" s="142">
        <v>0</v>
      </c>
      <c r="T17" s="142">
        <v>0</v>
      </c>
      <c r="U17" s="142">
        <v>0</v>
      </c>
      <c r="V17" s="146">
        <f>E17-U17-T17-S17</f>
        <v>0</v>
      </c>
      <c r="W17" s="142">
        <v>0</v>
      </c>
      <c r="X17" s="142">
        <v>0</v>
      </c>
      <c r="Y17" s="142">
        <v>0</v>
      </c>
      <c r="Z17" s="146">
        <f>F17-Y17-X17-W17</f>
        <v>0</v>
      </c>
      <c r="AA17" s="142">
        <v>0</v>
      </c>
      <c r="AB17" s="142">
        <v>0</v>
      </c>
      <c r="AC17" s="142">
        <v>0</v>
      </c>
      <c r="AD17" s="146">
        <f>G17-AC17-AB17-AA17</f>
        <v>0</v>
      </c>
      <c r="AE17" s="142">
        <v>0</v>
      </c>
      <c r="AF17" s="142">
        <v>0</v>
      </c>
      <c r="AG17" s="142">
        <v>0</v>
      </c>
      <c r="AH17" s="146">
        <f>H17-AG17-AF17-AE17</f>
        <v>0</v>
      </c>
      <c r="AI17" s="142">
        <v>0</v>
      </c>
      <c r="AJ17" s="142">
        <v>0</v>
      </c>
      <c r="AK17" s="142">
        <v>0</v>
      </c>
      <c r="AL17" s="146">
        <f>I17-AK17-AJ17-AI17</f>
        <v>75.007999999999996</v>
      </c>
      <c r="AM17" s="142">
        <v>0</v>
      </c>
      <c r="AN17" s="142">
        <v>0</v>
      </c>
      <c r="AO17" s="142">
        <v>0</v>
      </c>
      <c r="AP17" s="146">
        <f>J17-AO17-AN17-AM17</f>
        <v>146.29900000000001</v>
      </c>
      <c r="AQ17" s="142">
        <v>0</v>
      </c>
      <c r="AR17" s="142">
        <v>0</v>
      </c>
      <c r="AS17" s="142">
        <v>0</v>
      </c>
      <c r="AT17" s="146">
        <f>K17-AS17-AR17-AQ17</f>
        <v>0</v>
      </c>
      <c r="AU17" s="142">
        <v>0</v>
      </c>
      <c r="AV17" s="142">
        <v>0</v>
      </c>
      <c r="AW17" s="142">
        <v>0</v>
      </c>
      <c r="AX17" s="146">
        <f>L17-AW17-AV17-AU17</f>
        <v>0</v>
      </c>
      <c r="AY17" s="142">
        <v>0</v>
      </c>
      <c r="AZ17" s="142">
        <v>0</v>
      </c>
      <c r="BA17" s="153">
        <v>0</v>
      </c>
      <c r="BB17" s="172"/>
      <c r="BC17" s="188"/>
      <c r="BD17" s="188"/>
      <c r="BE17" s="188"/>
      <c r="BF17" s="188"/>
      <c r="BG17" s="188"/>
      <c r="BH17" s="188"/>
      <c r="BI17" s="188"/>
      <c r="BJ17" s="188"/>
      <c r="BK17" s="188"/>
      <c r="BL17" s="188"/>
      <c r="BM17" s="188"/>
      <c r="BN17" s="188"/>
      <c r="BO17" s="188"/>
      <c r="BP17" s="188"/>
      <c r="BQ17" s="188"/>
      <c r="BR17" s="188"/>
    </row>
    <row r="18" spans="1:70" x14ac:dyDescent="0.2">
      <c r="A18" s="283" t="s">
        <v>245</v>
      </c>
      <c r="B18" s="10"/>
      <c r="C18" s="81">
        <v>0</v>
      </c>
      <c r="D18" s="81">
        <v>0</v>
      </c>
      <c r="E18" s="81">
        <v>0.94299999999999995</v>
      </c>
      <c r="F18" s="81">
        <v>0</v>
      </c>
      <c r="G18" s="81">
        <v>0</v>
      </c>
      <c r="H18" s="81">
        <v>2.7250000000000001</v>
      </c>
      <c r="I18" s="81">
        <v>13.063000000000001</v>
      </c>
      <c r="J18" s="81">
        <v>0</v>
      </c>
      <c r="K18" s="142">
        <v>51.75</v>
      </c>
      <c r="L18" s="142">
        <v>0.16600000000000001</v>
      </c>
      <c r="M18" s="126">
        <f>SUM(AY18:BB18)</f>
        <v>0</v>
      </c>
      <c r="N18" s="127">
        <f>SUM(BC18:BF18)</f>
        <v>0</v>
      </c>
      <c r="O18" s="127">
        <f>SUM(BG18:BJ18)</f>
        <v>0</v>
      </c>
      <c r="P18" s="127">
        <f>SUM(BK18:BN18)</f>
        <v>0</v>
      </c>
      <c r="Q18" s="127">
        <f>SUM(BO18:BR18)</f>
        <v>0</v>
      </c>
      <c r="R18" s="51"/>
      <c r="S18" s="142">
        <v>0.94299999999999995</v>
      </c>
      <c r="T18" s="142">
        <v>0</v>
      </c>
      <c r="U18" s="142">
        <v>0</v>
      </c>
      <c r="V18" s="146">
        <f>E18-U18-T18-S18</f>
        <v>0</v>
      </c>
      <c r="W18" s="142">
        <v>0</v>
      </c>
      <c r="X18" s="142">
        <v>0</v>
      </c>
      <c r="Y18" s="142">
        <v>0</v>
      </c>
      <c r="Z18" s="146">
        <f>F18-Y18-X18-W18</f>
        <v>0</v>
      </c>
      <c r="AA18" s="142">
        <v>0</v>
      </c>
      <c r="AB18" s="142">
        <v>0</v>
      </c>
      <c r="AC18" s="142">
        <v>0</v>
      </c>
      <c r="AD18" s="146">
        <f>G18-AC18-AB18-AA18</f>
        <v>0</v>
      </c>
      <c r="AE18" s="142">
        <v>0</v>
      </c>
      <c r="AF18" s="142">
        <v>0</v>
      </c>
      <c r="AG18" s="142">
        <v>0</v>
      </c>
      <c r="AH18" s="146">
        <f>H18-AG18-AF18-AE18</f>
        <v>2.7250000000000001</v>
      </c>
      <c r="AI18" s="142">
        <v>0</v>
      </c>
      <c r="AJ18" s="142">
        <v>12.977</v>
      </c>
      <c r="AK18" s="142">
        <v>8.6000000000000298E-2</v>
      </c>
      <c r="AL18" s="146">
        <f>I18-AK18-AJ18-AI18</f>
        <v>0</v>
      </c>
      <c r="AM18" s="142">
        <v>0</v>
      </c>
      <c r="AN18" s="142">
        <v>0</v>
      </c>
      <c r="AO18" s="142">
        <v>0</v>
      </c>
      <c r="AP18" s="146">
        <f>J18-AO18-AN18-AM18</f>
        <v>0</v>
      </c>
      <c r="AQ18" s="142">
        <v>0</v>
      </c>
      <c r="AR18" s="142">
        <v>14.615</v>
      </c>
      <c r="AS18" s="142">
        <v>0</v>
      </c>
      <c r="AT18" s="146">
        <f>K18-AS18-AR18-AQ18</f>
        <v>37.134999999999998</v>
      </c>
      <c r="AU18" s="142">
        <v>0</v>
      </c>
      <c r="AV18" s="142">
        <v>0.16600000000000001</v>
      </c>
      <c r="AW18" s="142">
        <v>0</v>
      </c>
      <c r="AX18" s="146">
        <f>L18-AW18-AV18-AU18</f>
        <v>0</v>
      </c>
      <c r="AY18" s="142">
        <v>0</v>
      </c>
      <c r="AZ18" s="142">
        <v>0</v>
      </c>
      <c r="BA18" s="153">
        <v>0</v>
      </c>
      <c r="BB18" s="172"/>
      <c r="BC18" s="188"/>
      <c r="BD18" s="188"/>
      <c r="BE18" s="188"/>
      <c r="BF18" s="188"/>
      <c r="BG18" s="188"/>
      <c r="BH18" s="188"/>
      <c r="BI18" s="188"/>
      <c r="BJ18" s="188"/>
      <c r="BK18" s="188"/>
      <c r="BL18" s="188"/>
      <c r="BM18" s="188"/>
      <c r="BN18" s="188"/>
      <c r="BO18" s="188"/>
      <c r="BP18" s="188"/>
      <c r="BQ18" s="188"/>
      <c r="BR18" s="188"/>
    </row>
    <row r="19" spans="1:70" x14ac:dyDescent="0.2">
      <c r="A19" s="283" t="s">
        <v>257</v>
      </c>
      <c r="B19" s="10" t="s">
        <v>169</v>
      </c>
      <c r="C19" s="81">
        <v>8.4540000000000006</v>
      </c>
      <c r="D19" s="81">
        <v>7.9349999999999996</v>
      </c>
      <c r="E19" s="81">
        <v>6.8090000000000002</v>
      </c>
      <c r="F19" s="81">
        <v>6.6550000000000002</v>
      </c>
      <c r="G19" s="81">
        <v>5.0780000000000003</v>
      </c>
      <c r="H19" s="81">
        <v>8.8759999999999994</v>
      </c>
      <c r="I19" s="81">
        <v>8.2840000000000007</v>
      </c>
      <c r="J19" s="142">
        <v>6.7350000000000003</v>
      </c>
      <c r="K19" s="142">
        <v>6.4109999999999996</v>
      </c>
      <c r="L19" s="142">
        <v>7.2510000000000003</v>
      </c>
      <c r="M19" s="126">
        <f>SUM(AY19:BB19)</f>
        <v>8.0841854853676107</v>
      </c>
      <c r="N19" s="127">
        <f>SUM(BC19:BF19)</f>
        <v>8.7602475900252106</v>
      </c>
      <c r="O19" s="127">
        <f>SUM(BG19:BJ19)</f>
        <v>10.579549682098421</v>
      </c>
      <c r="P19" s="127">
        <f>SUM(BK19:BN19)</f>
        <v>12.850996069352711</v>
      </c>
      <c r="Q19" s="127">
        <f>SUM(BO19:BR19)</f>
        <v>15.874044974099235</v>
      </c>
      <c r="R19" s="51"/>
      <c r="S19" s="142">
        <v>1.097</v>
      </c>
      <c r="T19" s="142">
        <v>2.2389999999999999</v>
      </c>
      <c r="U19" s="142">
        <v>1.9020000000000006</v>
      </c>
      <c r="V19" s="146">
        <f>E19-U19-T19-S19</f>
        <v>1.5710000000000002</v>
      </c>
      <c r="W19" s="142">
        <v>0.84299999999999997</v>
      </c>
      <c r="X19" s="142">
        <v>1.266</v>
      </c>
      <c r="Y19" s="142">
        <v>1.8420000000000001</v>
      </c>
      <c r="Z19" s="146">
        <f>F19-Y19-X19-W19</f>
        <v>2.7040000000000006</v>
      </c>
      <c r="AA19" s="142">
        <v>1.171</v>
      </c>
      <c r="AB19" s="142">
        <v>1.284</v>
      </c>
      <c r="AC19" s="142">
        <v>1.2470000000000001</v>
      </c>
      <c r="AD19" s="146">
        <f>G19-AC19-AB19-AA19</f>
        <v>1.3760000000000006</v>
      </c>
      <c r="AE19" s="142">
        <v>2.0569999999999999</v>
      </c>
      <c r="AF19" s="142">
        <v>3.3519999999999999</v>
      </c>
      <c r="AG19" s="142">
        <v>2.124000000000001</v>
      </c>
      <c r="AH19" s="146">
        <f>H19-AG19-AF19-AE19</f>
        <v>1.3429999999999991</v>
      </c>
      <c r="AI19" s="142">
        <v>1.7929999999999999</v>
      </c>
      <c r="AJ19" s="142">
        <v>2.1610000000000005</v>
      </c>
      <c r="AK19" s="142">
        <v>2.1339999999999995</v>
      </c>
      <c r="AL19" s="146">
        <f>I19-AK19-AJ19-AI19</f>
        <v>2.1960000000000006</v>
      </c>
      <c r="AM19" s="142">
        <v>1.0609999999999999</v>
      </c>
      <c r="AN19" s="142">
        <v>1.7069999999999999</v>
      </c>
      <c r="AO19" s="142">
        <v>1.3780000000000001</v>
      </c>
      <c r="AP19" s="146">
        <f>J19-AO19-AN19-AM19</f>
        <v>2.5890000000000004</v>
      </c>
      <c r="AQ19" s="142">
        <v>1.4119999999999999</v>
      </c>
      <c r="AR19" s="142">
        <v>2.0680000000000001</v>
      </c>
      <c r="AS19" s="142">
        <v>1.645</v>
      </c>
      <c r="AT19" s="146">
        <f>K19-AS19-AR19-AQ19</f>
        <v>1.286</v>
      </c>
      <c r="AU19" s="142">
        <v>2.35</v>
      </c>
      <c r="AV19" s="142">
        <v>1.9549999999999996</v>
      </c>
      <c r="AW19" s="142">
        <v>1.8120000000000007</v>
      </c>
      <c r="AX19" s="146">
        <f>L19-AW19-AV19-AU19</f>
        <v>1.1340000000000003</v>
      </c>
      <c r="AY19" s="142">
        <v>1.7729999999999999</v>
      </c>
      <c r="AZ19" s="142">
        <v>2.3870000000000005</v>
      </c>
      <c r="BA19" s="153">
        <v>1.9809999999999997</v>
      </c>
      <c r="BB19" s="77">
        <f>BB66*IS!BB15</f>
        <v>1.94318548536761</v>
      </c>
      <c r="BC19" s="76">
        <f>BC66*IS!BC15</f>
        <v>2.0401529843273787</v>
      </c>
      <c r="BD19" s="76">
        <f>BD66*IS!BD15</f>
        <v>2.153333816924492</v>
      </c>
      <c r="BE19" s="76">
        <f>BE66*IS!BE15</f>
        <v>2.2577838521962885</v>
      </c>
      <c r="BF19" s="76">
        <f>BF66*IS!BF15</f>
        <v>2.3089769365770518</v>
      </c>
      <c r="BG19" s="76">
        <f>BG66*IS!BG15</f>
        <v>2.4422475283042799</v>
      </c>
      <c r="BH19" s="76">
        <f>BH66*IS!BH15</f>
        <v>2.621317094558655</v>
      </c>
      <c r="BI19" s="76">
        <f>BI66*IS!BI15</f>
        <v>2.7318907637938503</v>
      </c>
      <c r="BJ19" s="76">
        <f>BJ66*IS!BJ15</f>
        <v>2.7840942954416343</v>
      </c>
      <c r="BK19" s="76">
        <f>BK66*IS!BK15</f>
        <v>2.9338197119476717</v>
      </c>
      <c r="BL19" s="76">
        <f>BL66*IS!BL15</f>
        <v>3.2010857863741293</v>
      </c>
      <c r="BM19" s="76">
        <f>BM66*IS!BM15</f>
        <v>3.3310119651042087</v>
      </c>
      <c r="BN19" s="76">
        <f>BN66*IS!BN15</f>
        <v>3.3850786059267008</v>
      </c>
      <c r="BO19" s="76">
        <f>BO66*IS!BO15</f>
        <v>3.5910283314395453</v>
      </c>
      <c r="BP19" s="76">
        <f>BP66*IS!BP15</f>
        <v>3.9851961238699323</v>
      </c>
      <c r="BQ19" s="76">
        <f>BQ66*IS!BQ15</f>
        <v>4.1289523337693996</v>
      </c>
      <c r="BR19" s="76">
        <f>BR66*IS!BR15</f>
        <v>4.1688681850203571</v>
      </c>
    </row>
    <row r="20" spans="1:70" x14ac:dyDescent="0.2">
      <c r="A20" s="283" t="s">
        <v>136</v>
      </c>
      <c r="B20" s="10"/>
      <c r="C20" s="81">
        <v>0</v>
      </c>
      <c r="D20" s="81">
        <v>0</v>
      </c>
      <c r="E20" s="81">
        <v>0</v>
      </c>
      <c r="F20" s="81">
        <v>0</v>
      </c>
      <c r="G20" s="81">
        <v>0</v>
      </c>
      <c r="H20" s="81">
        <v>-1.9E-2</v>
      </c>
      <c r="I20" s="81">
        <v>0</v>
      </c>
      <c r="J20" s="81">
        <v>0</v>
      </c>
      <c r="K20" s="81">
        <v>0</v>
      </c>
      <c r="L20" s="81">
        <v>0</v>
      </c>
      <c r="M20" s="126">
        <f>SUM(AY20:BB20)</f>
        <v>0</v>
      </c>
      <c r="N20" s="127">
        <f>SUM(BC20:BF20)</f>
        <v>0</v>
      </c>
      <c r="O20" s="127">
        <f>SUM(BG20:BJ20)</f>
        <v>0</v>
      </c>
      <c r="P20" s="127">
        <f>SUM(BK20:BN20)</f>
        <v>0</v>
      </c>
      <c r="Q20" s="127">
        <f>SUM(BO20:BR20)</f>
        <v>0</v>
      </c>
      <c r="R20" s="51"/>
      <c r="S20" s="142">
        <v>0</v>
      </c>
      <c r="T20" s="142">
        <v>0</v>
      </c>
      <c r="U20" s="142">
        <v>0</v>
      </c>
      <c r="V20" s="146">
        <f>E20-U20-T20-S20</f>
        <v>0</v>
      </c>
      <c r="W20" s="142">
        <v>0</v>
      </c>
      <c r="X20" s="142">
        <v>0</v>
      </c>
      <c r="Y20" s="142">
        <v>0</v>
      </c>
      <c r="Z20" s="146">
        <f>F20-Y20-X20-W20</f>
        <v>0</v>
      </c>
      <c r="AA20" s="142">
        <v>0</v>
      </c>
      <c r="AB20" s="142">
        <v>0</v>
      </c>
      <c r="AC20" s="142">
        <v>0</v>
      </c>
      <c r="AD20" s="146">
        <f>G20-AC20-AB20-AA20</f>
        <v>0</v>
      </c>
      <c r="AE20" s="142">
        <v>0</v>
      </c>
      <c r="AF20" s="183">
        <v>0</v>
      </c>
      <c r="AG20" s="142">
        <v>0</v>
      </c>
      <c r="AH20" s="146">
        <f>H20-AG20-AF20-AE20</f>
        <v>-1.9E-2</v>
      </c>
      <c r="AI20" s="142">
        <v>0.23100000000000001</v>
      </c>
      <c r="AJ20" s="142">
        <v>-0.251</v>
      </c>
      <c r="AK20" s="142">
        <v>0.14699999999999999</v>
      </c>
      <c r="AL20" s="146">
        <f>I20-AK20-AJ20-AI20</f>
        <v>-0.127</v>
      </c>
      <c r="AM20" s="142">
        <v>0</v>
      </c>
      <c r="AN20" s="142">
        <v>0</v>
      </c>
      <c r="AO20" s="142">
        <v>0</v>
      </c>
      <c r="AP20" s="146">
        <f>J20-AO20-AN20-AM20</f>
        <v>0</v>
      </c>
      <c r="AQ20" s="142">
        <v>0</v>
      </c>
      <c r="AR20" s="142">
        <v>0</v>
      </c>
      <c r="AS20" s="142">
        <v>0</v>
      </c>
      <c r="AT20" s="146">
        <f>K20-AS20-AR20-AQ20</f>
        <v>0</v>
      </c>
      <c r="AU20" s="142">
        <v>0</v>
      </c>
      <c r="AV20" s="142">
        <v>0</v>
      </c>
      <c r="AW20" s="142">
        <v>0</v>
      </c>
      <c r="AX20" s="146">
        <f>L20-AW20-AV20-AU20</f>
        <v>0</v>
      </c>
      <c r="AY20" s="142">
        <v>0</v>
      </c>
      <c r="AZ20" s="142">
        <v>0</v>
      </c>
      <c r="BA20" s="153">
        <v>0</v>
      </c>
      <c r="BB20" s="172"/>
      <c r="BC20" s="188"/>
      <c r="BD20" s="188"/>
      <c r="BE20" s="188"/>
      <c r="BF20" s="188"/>
      <c r="BG20" s="188"/>
      <c r="BH20" s="188"/>
      <c r="BI20" s="188"/>
      <c r="BJ20" s="188"/>
      <c r="BK20" s="188"/>
      <c r="BL20" s="188"/>
      <c r="BM20" s="188"/>
      <c r="BN20" s="188"/>
      <c r="BO20" s="188"/>
      <c r="BP20" s="188"/>
      <c r="BQ20" s="188"/>
      <c r="BR20" s="188"/>
    </row>
    <row r="21" spans="1:70" x14ac:dyDescent="0.2">
      <c r="A21" s="283" t="s">
        <v>258</v>
      </c>
      <c r="B21" s="10"/>
      <c r="C21" s="81">
        <v>0</v>
      </c>
      <c r="D21" s="81">
        <v>0</v>
      </c>
      <c r="E21" s="81">
        <v>0</v>
      </c>
      <c r="F21" s="81">
        <v>0</v>
      </c>
      <c r="G21" s="81">
        <v>0</v>
      </c>
      <c r="H21" s="81">
        <v>0</v>
      </c>
      <c r="I21" s="81">
        <v>0</v>
      </c>
      <c r="J21" s="81">
        <v>0</v>
      </c>
      <c r="K21" s="81">
        <v>0</v>
      </c>
      <c r="L21" s="81">
        <v>0</v>
      </c>
      <c r="M21" s="126">
        <f>SUM(AY21:BB21)</f>
        <v>0</v>
      </c>
      <c r="N21" s="127">
        <f>SUM(BC21:BF21)</f>
        <v>0</v>
      </c>
      <c r="O21" s="127">
        <f>SUM(BG21:BJ21)</f>
        <v>0</v>
      </c>
      <c r="P21" s="127">
        <f>SUM(BK21:BN21)</f>
        <v>0</v>
      </c>
      <c r="Q21" s="127">
        <f>SUM(BO21:BR21)</f>
        <v>0</v>
      </c>
      <c r="R21" s="51"/>
      <c r="S21" s="142">
        <v>0</v>
      </c>
      <c r="T21" s="142">
        <v>0</v>
      </c>
      <c r="U21" s="142">
        <v>0</v>
      </c>
      <c r="V21" s="146">
        <f>E21-U21-T21-S21</f>
        <v>0</v>
      </c>
      <c r="W21" s="142">
        <v>0</v>
      </c>
      <c r="X21" s="142">
        <v>0</v>
      </c>
      <c r="Y21" s="142">
        <v>0</v>
      </c>
      <c r="Z21" s="146">
        <f>F21-Y21-X21-W21</f>
        <v>0</v>
      </c>
      <c r="AA21" s="142">
        <v>0</v>
      </c>
      <c r="AB21" s="142">
        <v>0</v>
      </c>
      <c r="AC21" s="142">
        <v>0</v>
      </c>
      <c r="AD21" s="146">
        <f>G21-AC21-AB21-AA21</f>
        <v>0</v>
      </c>
      <c r="AE21" s="142">
        <v>0</v>
      </c>
      <c r="AF21" s="142">
        <v>0</v>
      </c>
      <c r="AG21" s="142">
        <v>0</v>
      </c>
      <c r="AH21" s="146"/>
      <c r="AI21" s="142">
        <v>0</v>
      </c>
      <c r="AJ21" s="142">
        <v>0</v>
      </c>
      <c r="AK21" s="142">
        <v>0</v>
      </c>
      <c r="AL21" s="146"/>
      <c r="AM21" s="142">
        <v>0</v>
      </c>
      <c r="AN21" s="142">
        <v>0</v>
      </c>
      <c r="AO21" s="142">
        <v>0</v>
      </c>
      <c r="AP21" s="146">
        <f>J21-AO21-AN21-AM21</f>
        <v>0</v>
      </c>
      <c r="AQ21" s="142">
        <v>0</v>
      </c>
      <c r="AR21" s="142">
        <v>0</v>
      </c>
      <c r="AS21" s="142">
        <v>0</v>
      </c>
      <c r="AT21" s="146">
        <f>K21-AS21-AR21-AQ21</f>
        <v>0</v>
      </c>
      <c r="AU21" s="142">
        <v>0</v>
      </c>
      <c r="AV21" s="142">
        <v>0</v>
      </c>
      <c r="AW21" s="142">
        <v>-0.55000000000000004</v>
      </c>
      <c r="AX21" s="146">
        <f>L21-AW21-AV21-AU21</f>
        <v>0.55000000000000004</v>
      </c>
      <c r="AY21" s="142">
        <v>0</v>
      </c>
      <c r="AZ21" s="142">
        <v>0</v>
      </c>
      <c r="BA21" s="153">
        <v>0</v>
      </c>
      <c r="BB21" s="172"/>
      <c r="BC21" s="188"/>
      <c r="BD21" s="188"/>
      <c r="BE21" s="188"/>
      <c r="BF21" s="188"/>
      <c r="BG21" s="188"/>
      <c r="BH21" s="188"/>
      <c r="BI21" s="188"/>
      <c r="BJ21" s="188"/>
      <c r="BK21" s="188"/>
      <c r="BL21" s="188"/>
      <c r="BM21" s="188"/>
      <c r="BN21" s="188"/>
      <c r="BO21" s="188"/>
      <c r="BP21" s="188"/>
      <c r="BQ21" s="188"/>
      <c r="BR21" s="188"/>
    </row>
    <row r="22" spans="1:70" x14ac:dyDescent="0.2">
      <c r="A22" s="274" t="s">
        <v>44</v>
      </c>
      <c r="B22" s="10"/>
      <c r="C22" s="81"/>
      <c r="D22" s="81"/>
      <c r="E22" s="81"/>
      <c r="F22" s="81"/>
      <c r="G22" s="81"/>
      <c r="H22" s="81"/>
      <c r="I22" s="81"/>
      <c r="J22" s="142"/>
      <c r="K22" s="142"/>
      <c r="L22" s="153"/>
      <c r="M22" s="126"/>
      <c r="N22" s="127"/>
      <c r="O22" s="127"/>
      <c r="P22" s="127"/>
      <c r="Q22" s="127"/>
      <c r="R22" s="51"/>
      <c r="S22" s="142"/>
      <c r="T22" s="142"/>
      <c r="U22" s="142"/>
      <c r="V22" s="142"/>
      <c r="W22" s="142"/>
      <c r="X22" s="142"/>
      <c r="Y22" s="142"/>
      <c r="Z22" s="142"/>
      <c r="AA22" s="142"/>
      <c r="AB22" s="142"/>
      <c r="AC22" s="142"/>
      <c r="AD22" s="142"/>
      <c r="AE22" s="142"/>
      <c r="AF22" s="142"/>
      <c r="AG22" s="142"/>
      <c r="AH22" s="142"/>
      <c r="AI22" s="142"/>
      <c r="AJ22" s="142"/>
      <c r="AK22" s="142"/>
      <c r="AL22" s="142"/>
      <c r="AM22" s="142"/>
      <c r="AN22" s="142"/>
      <c r="AO22" s="142"/>
      <c r="AP22" s="142"/>
      <c r="AQ22" s="142"/>
      <c r="AR22" s="142"/>
      <c r="AS22" s="142"/>
      <c r="AT22" s="142"/>
      <c r="AU22" s="142"/>
      <c r="AV22" s="142"/>
      <c r="AW22" s="142"/>
      <c r="AX22" s="142"/>
      <c r="AY22" s="142"/>
      <c r="AZ22" s="142"/>
      <c r="BA22" s="153"/>
      <c r="BB22" s="126"/>
      <c r="BC22" s="127"/>
      <c r="BD22" s="127"/>
      <c r="BE22" s="127"/>
      <c r="BF22" s="127"/>
      <c r="BG22" s="127"/>
      <c r="BH22" s="127"/>
      <c r="BI22" s="127"/>
      <c r="BJ22" s="127"/>
      <c r="BK22" s="127"/>
      <c r="BL22" s="127"/>
      <c r="BM22" s="127"/>
      <c r="BN22" s="127"/>
      <c r="BO22" s="127"/>
      <c r="BP22" s="127"/>
      <c r="BQ22" s="127"/>
      <c r="BR22" s="127"/>
    </row>
    <row r="23" spans="1:70" x14ac:dyDescent="0.2">
      <c r="A23" s="283" t="s">
        <v>259</v>
      </c>
      <c r="B23" s="10"/>
      <c r="C23" s="81">
        <v>9.2200000000000006</v>
      </c>
      <c r="D23" s="81">
        <v>1.66</v>
      </c>
      <c r="E23" s="81">
        <v>-69.881</v>
      </c>
      <c r="F23" s="81">
        <v>50.823</v>
      </c>
      <c r="G23" s="81">
        <v>-8.7929999999999993</v>
      </c>
      <c r="H23" s="81">
        <v>-5.1559999999999997</v>
      </c>
      <c r="I23" s="81">
        <v>-1.83</v>
      </c>
      <c r="J23" s="142">
        <v>-83.998000000000005</v>
      </c>
      <c r="K23" s="142">
        <v>-98.39</v>
      </c>
      <c r="L23" s="142">
        <v>143.70500000000001</v>
      </c>
      <c r="M23" s="77">
        <f>SUM(AY23:BB23)</f>
        <v>27.843629645343746</v>
      </c>
      <c r="N23" s="76">
        <f>SUM(BC23:BF23)</f>
        <v>-10.346857126966718</v>
      </c>
      <c r="O23" s="76">
        <f>SUM(BG23:BJ23)</f>
        <v>-13.439273702158957</v>
      </c>
      <c r="P23" s="76">
        <f>SUM(BK23:BN23)</f>
        <v>-16.999573870787842</v>
      </c>
      <c r="Q23" s="76">
        <f>SUM(BO23:BR23)</f>
        <v>-22.170443747861171</v>
      </c>
      <c r="R23" s="59"/>
      <c r="S23" s="142">
        <v>4.4729999999999999</v>
      </c>
      <c r="T23" s="142">
        <v>13.827999999999999</v>
      </c>
      <c r="U23" s="142">
        <v>-8.0350000000000001</v>
      </c>
      <c r="V23" s="146">
        <f>E23-U23-T23-S23</f>
        <v>-80.147000000000006</v>
      </c>
      <c r="W23" s="142">
        <v>7.1150000000000002</v>
      </c>
      <c r="X23" s="142">
        <v>5.722999999999999</v>
      </c>
      <c r="Y23" s="142">
        <v>-46.514000000000003</v>
      </c>
      <c r="Z23" s="146">
        <f>F23-Y23-X23-W23</f>
        <v>84.499000000000009</v>
      </c>
      <c r="AA23" s="142">
        <v>-89.49</v>
      </c>
      <c r="AB23" s="142">
        <v>-4.4120000000000061</v>
      </c>
      <c r="AC23" s="142">
        <v>98.951999999999998</v>
      </c>
      <c r="AD23" s="146">
        <f>G23-AC23-AB23-AA23</f>
        <v>-13.843000000000004</v>
      </c>
      <c r="AE23" s="142">
        <v>8.2850000000000001</v>
      </c>
      <c r="AF23" s="142">
        <v>4.9719999999999995</v>
      </c>
      <c r="AG23" s="142">
        <v>-2.4290000000000003</v>
      </c>
      <c r="AH23" s="146">
        <f>H23-AG23-AF23-AE23</f>
        <v>-15.983999999999998</v>
      </c>
      <c r="AI23" s="142">
        <v>13.208</v>
      </c>
      <c r="AJ23" s="142">
        <v>-13.282999999999999</v>
      </c>
      <c r="AK23" s="142">
        <v>17.747</v>
      </c>
      <c r="AL23" s="146">
        <f>I23-AK23-AJ23-AI23</f>
        <v>-19.501999999999999</v>
      </c>
      <c r="AM23" s="142">
        <v>16.634</v>
      </c>
      <c r="AN23" s="142">
        <v>1.3960000000000008</v>
      </c>
      <c r="AO23" s="142">
        <v>-8.8720000000000017</v>
      </c>
      <c r="AP23" s="146">
        <f>J23-AO23-AN23-AM23</f>
        <v>-93.156000000000006</v>
      </c>
      <c r="AQ23" s="142">
        <v>86.4</v>
      </c>
      <c r="AR23" s="142">
        <v>-4.8100000000000023</v>
      </c>
      <c r="AS23" s="142">
        <v>-80.021000000000001</v>
      </c>
      <c r="AT23" s="146">
        <f>K23-AS23-AR23-AQ23</f>
        <v>-99.959000000000003</v>
      </c>
      <c r="AU23" s="142">
        <v>73.570999999999998</v>
      </c>
      <c r="AV23" s="142">
        <v>13.765000000000001</v>
      </c>
      <c r="AW23" s="142">
        <v>-85.632999999999996</v>
      </c>
      <c r="AX23" s="146">
        <f>L23-AW23-AV23-AU23</f>
        <v>142.00200000000004</v>
      </c>
      <c r="AY23" s="142">
        <v>-175.74799999999999</v>
      </c>
      <c r="AZ23" s="142">
        <v>14.631</v>
      </c>
      <c r="BA23" s="153">
        <v>187.89099999999999</v>
      </c>
      <c r="BB23" s="126">
        <f>BS!BA7-BS!BB7</f>
        <v>1.0696296453437455</v>
      </c>
      <c r="BC23" s="127">
        <f>BS!BB7-BS!BC7</f>
        <v>-2.7428439193390375</v>
      </c>
      <c r="BD23" s="127">
        <f>BS!BC7-BS!BD7</f>
        <v>-3.2014578266427236</v>
      </c>
      <c r="BE23" s="127">
        <f>BS!BD7-BS!BE7</f>
        <v>-2.9544965807446459</v>
      </c>
      <c r="BF23" s="127">
        <f>BS!BE7-BS!BF7</f>
        <v>-1.448058800240311</v>
      </c>
      <c r="BG23" s="127">
        <f>BS!BF7-BS!BG7</f>
        <v>-3.7697211546871472</v>
      </c>
      <c r="BH23" s="127">
        <f>BS!BG7-BS!BH7</f>
        <v>-5.0652009818596184</v>
      </c>
      <c r="BI23" s="127">
        <f>BS!BH7-BS!BI7</f>
        <v>-3.1277110326068538</v>
      </c>
      <c r="BJ23" s="127">
        <f>BS!BI7-BS!BJ7</f>
        <v>-1.4766405330053374</v>
      </c>
      <c r="BK23" s="127">
        <f>BS!BJ7-BS!BK7</f>
        <v>-4.2351659333244811</v>
      </c>
      <c r="BL23" s="127">
        <f>BS!BK7-BS!BL7</f>
        <v>-7.5599467342183573</v>
      </c>
      <c r="BM23" s="127">
        <f>BS!BL7-BS!BM7</f>
        <v>-3.6751203559515346</v>
      </c>
      <c r="BN23" s="127">
        <f>BS!BM7-BS!BN7</f>
        <v>-1.5293408472934686</v>
      </c>
      <c r="BO23" s="127">
        <f>BS!BN7-BS!BO7</f>
        <v>-5.8255390555841586</v>
      </c>
      <c r="BP23" s="127">
        <f>BS!BO7-BS!BP7</f>
        <v>-11.149516531467299</v>
      </c>
      <c r="BQ23" s="127">
        <f>BS!BP7-BS!BQ7</f>
        <v>-4.0663196475096726</v>
      </c>
      <c r="BR23" s="127">
        <f>BS!BQ7-BS!BR7</f>
        <v>-1.1290685133000409</v>
      </c>
    </row>
    <row r="24" spans="1:70" x14ac:dyDescent="0.2">
      <c r="A24" s="283" t="s">
        <v>260</v>
      </c>
      <c r="B24" s="10"/>
      <c r="C24" s="81">
        <v>-11.85</v>
      </c>
      <c r="D24" s="81">
        <v>2.7570000000000001</v>
      </c>
      <c r="E24" s="81">
        <v>-8.125</v>
      </c>
      <c r="F24" s="81">
        <v>1.196</v>
      </c>
      <c r="G24" s="81">
        <v>-13.335000000000001</v>
      </c>
      <c r="H24" s="81">
        <v>-12.256</v>
      </c>
      <c r="I24" s="81">
        <v>-5.2190000000000003</v>
      </c>
      <c r="J24" s="142">
        <v>-8.2070000000000007</v>
      </c>
      <c r="K24" s="142">
        <v>-0.88400000000000001</v>
      </c>
      <c r="L24" s="142">
        <v>-29.32</v>
      </c>
      <c r="M24" s="77">
        <f>SUM(AY24:BB24)</f>
        <v>-22.386007176815234</v>
      </c>
      <c r="N24" s="76">
        <f>SUM(BC24:BF24)</f>
        <v>-13.871454411512815</v>
      </c>
      <c r="O24" s="76">
        <f>SUM(BG24:BJ24)</f>
        <v>-18.017284881364986</v>
      </c>
      <c r="P24" s="76">
        <f>SUM(BK24:BN24)</f>
        <v>-22.79038079584538</v>
      </c>
      <c r="Q24" s="76">
        <f>SUM(BO24:BR24)</f>
        <v>-29.722677713403669</v>
      </c>
      <c r="R24" s="59"/>
      <c r="S24" s="142">
        <v>-1.714</v>
      </c>
      <c r="T24" s="142">
        <v>2.8129999999999997</v>
      </c>
      <c r="U24" s="142">
        <v>-1.9279999999999995</v>
      </c>
      <c r="V24" s="146">
        <f>E24-U24-T24-S24</f>
        <v>-7.2960000000000012</v>
      </c>
      <c r="W24" s="142">
        <v>5.2460000000000004</v>
      </c>
      <c r="X24" s="142">
        <v>-2.0960000000000005</v>
      </c>
      <c r="Y24" s="142">
        <v>2.532</v>
      </c>
      <c r="Z24" s="146">
        <f>F24-Y24-X24-W24</f>
        <v>-4.4859999999999998</v>
      </c>
      <c r="AA24" s="142">
        <v>-1.694</v>
      </c>
      <c r="AB24" s="142">
        <v>-4.5919999999999996</v>
      </c>
      <c r="AC24" s="142">
        <v>-1.9779999999999998</v>
      </c>
      <c r="AD24" s="146">
        <f>G24-AC24-AB24-AA24</f>
        <v>-5.0710000000000015</v>
      </c>
      <c r="AE24" s="142">
        <v>-1.008</v>
      </c>
      <c r="AF24" s="142">
        <v>-2.7639999999999998</v>
      </c>
      <c r="AG24" s="142">
        <v>-2.7749999999999999</v>
      </c>
      <c r="AH24" s="146">
        <f>H24-AG24-AF24-AE24</f>
        <v>-5.7090000000000005</v>
      </c>
      <c r="AI24" s="142">
        <v>-4.7160000000000002</v>
      </c>
      <c r="AJ24" s="142">
        <v>24.26</v>
      </c>
      <c r="AK24" s="142">
        <v>-17.670999999999999</v>
      </c>
      <c r="AL24" s="146">
        <f>I24-AK24-AJ24-AI24</f>
        <v>-7.0920000000000032</v>
      </c>
      <c r="AM24" s="142">
        <v>5.7110000000000003</v>
      </c>
      <c r="AN24" s="142">
        <v>-3.9030000000000005</v>
      </c>
      <c r="AO24" s="142">
        <v>-3.194</v>
      </c>
      <c r="AP24" s="146">
        <f>J24-AO24-AN24-AM24</f>
        <v>-6.8210000000000006</v>
      </c>
      <c r="AQ24" s="142">
        <v>4.423</v>
      </c>
      <c r="AR24" s="142">
        <v>0.86000000000000032</v>
      </c>
      <c r="AS24" s="142">
        <v>-2.5160000000000005</v>
      </c>
      <c r="AT24" s="146">
        <f>K24-AS24-AR24-AQ24</f>
        <v>-3.6509999999999998</v>
      </c>
      <c r="AU24" s="142">
        <v>-9.7149999999999999</v>
      </c>
      <c r="AV24" s="142">
        <v>-10.515000000000001</v>
      </c>
      <c r="AW24" s="142">
        <v>-3.6260000000000012</v>
      </c>
      <c r="AX24" s="146">
        <f>L24-AW24-AV24-AU24</f>
        <v>-5.4639999999999986</v>
      </c>
      <c r="AY24" s="142">
        <v>-12.385</v>
      </c>
      <c r="AZ24" s="142">
        <v>-4.1120000000000001</v>
      </c>
      <c r="BA24" s="153">
        <v>-7.3229999999999986</v>
      </c>
      <c r="BB24" s="126">
        <f>BS!BA8-BS!BB8</f>
        <v>1.4339928231847665</v>
      </c>
      <c r="BC24" s="127">
        <f>BS!BB8-BS!BC8</f>
        <v>-3.6771779022487152</v>
      </c>
      <c r="BD24" s="127">
        <f>BS!BC8-BS!BD8</f>
        <v>-4.2920159955542232</v>
      </c>
      <c r="BE24" s="127">
        <f>BS!BD8-BS!BE8</f>
        <v>-3.9609288236866291</v>
      </c>
      <c r="BF24" s="127">
        <f>BS!BE8-BS!BF8</f>
        <v>-1.9413316900232473</v>
      </c>
      <c r="BG24" s="127">
        <f>BS!BF8-BS!BG8</f>
        <v>-5.0538549532178649</v>
      </c>
      <c r="BH24" s="127">
        <f>BS!BG8-BS!BH8</f>
        <v>-6.7906325218209957</v>
      </c>
      <c r="BI24" s="127">
        <f>BS!BH8-BS!BI8</f>
        <v>-4.1931477808963109</v>
      </c>
      <c r="BJ24" s="127">
        <f>BS!BI8-BS!BJ8</f>
        <v>-1.9796496254298148</v>
      </c>
      <c r="BK24" s="127">
        <f>BS!BJ8-BS!BK8</f>
        <v>-5.6778508148324249</v>
      </c>
      <c r="BL24" s="127">
        <f>BS!BK8-BS!BL8</f>
        <v>-10.135199045501665</v>
      </c>
      <c r="BM24" s="127">
        <f>BS!BL8-BS!BM8</f>
        <v>-4.9270289372739882</v>
      </c>
      <c r="BN24" s="127">
        <f>BS!BM8-BS!BN8</f>
        <v>-2.0503019982373019</v>
      </c>
      <c r="BO24" s="127">
        <f>BS!BN8-BS!BO8</f>
        <v>-7.8099753809698882</v>
      </c>
      <c r="BP24" s="127">
        <f>BS!BO8-BS!BP8</f>
        <v>-14.947535119004527</v>
      </c>
      <c r="BQ24" s="127">
        <f>BS!BP8-BS!BQ8</f>
        <v>-5.451488014274446</v>
      </c>
      <c r="BR24" s="127">
        <f>BS!BQ8-BS!BR8</f>
        <v>-1.513679199154808</v>
      </c>
    </row>
    <row r="25" spans="1:70" x14ac:dyDescent="0.2">
      <c r="A25" s="283" t="s">
        <v>261</v>
      </c>
      <c r="B25" s="10"/>
      <c r="C25" s="81"/>
      <c r="D25" s="81">
        <v>0.81399999999999995</v>
      </c>
      <c r="E25" s="81">
        <v>-3.1459999999999999</v>
      </c>
      <c r="F25" s="81">
        <v>0.13400000000000001</v>
      </c>
      <c r="G25" s="81">
        <v>-2.4359999999999999</v>
      </c>
      <c r="H25" s="81">
        <v>-1.1200000000000001</v>
      </c>
      <c r="I25" s="81">
        <v>-1.075</v>
      </c>
      <c r="J25" s="142">
        <v>5.6</v>
      </c>
      <c r="K25" s="142">
        <v>-5.7530000000000001</v>
      </c>
      <c r="L25" s="142">
        <v>-3.8479999999999999</v>
      </c>
      <c r="M25" s="77">
        <f>SUM(AY25:BB25)</f>
        <v>-2.8361256448702243</v>
      </c>
      <c r="N25" s="76">
        <f>SUM(BC25:BF25)</f>
        <v>-4.8838051958801216</v>
      </c>
      <c r="O25" s="76">
        <f>SUM(BG25:BJ25)</f>
        <v>-6.3434523092424797</v>
      </c>
      <c r="P25" s="76">
        <f>SUM(BK25:BN25)</f>
        <v>-8.0239444866327787</v>
      </c>
      <c r="Q25" s="76">
        <f>SUM(BO25:BR25)</f>
        <v>-10.464639362669409</v>
      </c>
      <c r="R25" s="59"/>
      <c r="S25" s="142">
        <v>-0.39700000000000002</v>
      </c>
      <c r="T25" s="142">
        <v>-0.879</v>
      </c>
      <c r="U25" s="142">
        <v>-1.2990000000000002</v>
      </c>
      <c r="V25" s="146">
        <f>E25-U25-T25-S25</f>
        <v>-0.57099999999999973</v>
      </c>
      <c r="W25" s="142">
        <v>-0.84299999999999997</v>
      </c>
      <c r="X25" s="142">
        <v>6.0000000000000053E-3</v>
      </c>
      <c r="Y25" s="142">
        <v>0.83099999999999996</v>
      </c>
      <c r="Z25" s="146">
        <f>F25-Y25-X25-W25</f>
        <v>0.14000000000000001</v>
      </c>
      <c r="AA25" s="142">
        <v>9.7000000000000003E-2</v>
      </c>
      <c r="AB25" s="142">
        <v>-0.53800000000000003</v>
      </c>
      <c r="AC25" s="142">
        <v>-1.4059999999999999</v>
      </c>
      <c r="AD25" s="146">
        <f>G25-AC25-AB25-AA25</f>
        <v>-0.58899999999999997</v>
      </c>
      <c r="AE25" s="142">
        <v>-1.835</v>
      </c>
      <c r="AF25" s="142">
        <v>-0.43400000000000016</v>
      </c>
      <c r="AG25" s="142">
        <v>0.83900000000000019</v>
      </c>
      <c r="AH25" s="146">
        <f>H25-AG25-AF25-AE25</f>
        <v>0.30999999999999983</v>
      </c>
      <c r="AI25" s="142">
        <v>4.0819999999999999</v>
      </c>
      <c r="AJ25" s="142">
        <v>-0.44499999999999984</v>
      </c>
      <c r="AK25" s="142">
        <v>-2.3049999999999997</v>
      </c>
      <c r="AL25" s="146">
        <f>I25-AK25-AJ25-AI25</f>
        <v>-2.407</v>
      </c>
      <c r="AM25" s="142">
        <v>-0.497</v>
      </c>
      <c r="AN25" s="142">
        <v>1.9990000000000001</v>
      </c>
      <c r="AO25" s="142">
        <v>4.8130000000000006</v>
      </c>
      <c r="AP25" s="146">
        <f>J25-AO25-AN25-AM25</f>
        <v>-0.71500000000000108</v>
      </c>
      <c r="AQ25" s="142">
        <v>-3.7389999999999999</v>
      </c>
      <c r="AR25" s="142">
        <v>0.84899999999999975</v>
      </c>
      <c r="AS25" s="142">
        <v>-2.4240000000000004</v>
      </c>
      <c r="AT25" s="146">
        <f>K25-AS25-AR25-AQ25</f>
        <v>-0.43899999999999917</v>
      </c>
      <c r="AU25" s="142">
        <v>-1.157</v>
      </c>
      <c r="AV25" s="142">
        <v>-1.202</v>
      </c>
      <c r="AW25" s="142">
        <v>-2.4649999999999999</v>
      </c>
      <c r="AX25" s="146">
        <f>L25-AW25-AV25-AU25</f>
        <v>0.97599999999999998</v>
      </c>
      <c r="AY25" s="142">
        <v>5.7000000000000002E-2</v>
      </c>
      <c r="AZ25" s="142">
        <v>-4.6270000000000007</v>
      </c>
      <c r="BA25" s="153">
        <v>1.2290000000000005</v>
      </c>
      <c r="BB25" s="126">
        <f>BS!BA9-BS!BB9</f>
        <v>0.50487435512977541</v>
      </c>
      <c r="BC25" s="127">
        <f>BS!BB9-BS!BC9</f>
        <v>-1.2946458253341362</v>
      </c>
      <c r="BD25" s="127">
        <f>BS!BC9-BS!BD9</f>
        <v>-1.5111155181024962</v>
      </c>
      <c r="BE25" s="127">
        <f>BS!BD9-BS!BE9</f>
        <v>-1.3945476945501021</v>
      </c>
      <c r="BF25" s="127">
        <f>BS!BE9-BS!BF9</f>
        <v>-0.68349615789338714</v>
      </c>
      <c r="BG25" s="127">
        <f>BS!BF9-BS!BG9</f>
        <v>-1.7793406767256243</v>
      </c>
      <c r="BH25" s="127">
        <f>BS!BG9-BS!BH9</f>
        <v>-2.3908182523281027</v>
      </c>
      <c r="BI25" s="127">
        <f>BS!BH9-BS!BI9</f>
        <v>-1.4763063995970072</v>
      </c>
      <c r="BJ25" s="127">
        <f>BS!BI9-BS!BJ9</f>
        <v>-0.69698698059174546</v>
      </c>
      <c r="BK25" s="127">
        <f>BS!BJ9-BS!BK9</f>
        <v>-1.9990345992772234</v>
      </c>
      <c r="BL25" s="127">
        <f>BS!BK9-BS!BL9</f>
        <v>-3.5683596176200822</v>
      </c>
      <c r="BM25" s="127">
        <f>BS!BL9-BS!BM9</f>
        <v>-1.7346882893649038</v>
      </c>
      <c r="BN25" s="127">
        <f>BS!BM9-BS!BN9</f>
        <v>-0.72186198037056926</v>
      </c>
      <c r="BO25" s="127">
        <f>BS!BN9-BS!BO9</f>
        <v>-2.7497043362388709</v>
      </c>
      <c r="BP25" s="127">
        <f>BS!BO9-BS!BP9</f>
        <v>-5.2626673104448827</v>
      </c>
      <c r="BQ25" s="127">
        <f>BS!BP9-BS!BQ9</f>
        <v>-1.9193377060227235</v>
      </c>
      <c r="BR25" s="127">
        <f>BS!BQ9-BS!BR9</f>
        <v>-0.53293000996293216</v>
      </c>
    </row>
    <row r="26" spans="1:70" x14ac:dyDescent="0.2">
      <c r="A26" s="283" t="s">
        <v>262</v>
      </c>
      <c r="B26" s="10"/>
      <c r="C26" s="81">
        <v>0.57699999999999996</v>
      </c>
      <c r="D26" s="81">
        <v>1.5669999999999999</v>
      </c>
      <c r="E26" s="81">
        <v>-2.323</v>
      </c>
      <c r="F26" s="81">
        <v>-3.4249999999999998</v>
      </c>
      <c r="G26" s="81">
        <v>-9.4819999999999993</v>
      </c>
      <c r="H26" s="81">
        <v>0.90400000000000003</v>
      </c>
      <c r="I26" s="81">
        <v>-5.5529999999999999</v>
      </c>
      <c r="J26" s="142">
        <v>4.6680000000000001</v>
      </c>
      <c r="K26" s="142">
        <v>-1.105</v>
      </c>
      <c r="L26" s="142">
        <v>1.6719999999999999</v>
      </c>
      <c r="M26" s="77">
        <f>SUM(AY26:BB26)</f>
        <v>-17.213738038617279</v>
      </c>
      <c r="N26" s="76">
        <f>SUM(BC26:BF26)</f>
        <v>-5.7291324364842744</v>
      </c>
      <c r="O26" s="76">
        <f>SUM(BG26:BJ26)</f>
        <v>-7.4414267003995036</v>
      </c>
      <c r="P26" s="76">
        <f>SUM(BK26:BN26)</f>
        <v>-9.4127916211106353</v>
      </c>
      <c r="Q26" s="76">
        <f>SUM(BO26:BR26)</f>
        <v>-12.275941075486543</v>
      </c>
      <c r="R26" s="59"/>
      <c r="S26" s="142">
        <v>-1.577</v>
      </c>
      <c r="T26" s="142">
        <v>-0.69200000000000017</v>
      </c>
      <c r="U26" s="142">
        <v>-1.2079999999999997</v>
      </c>
      <c r="V26" s="146">
        <f>E26-U26-T26-S26</f>
        <v>1.1539999999999999</v>
      </c>
      <c r="W26" s="142">
        <v>0.68700000000000006</v>
      </c>
      <c r="X26" s="142">
        <v>-2.1320000000000001</v>
      </c>
      <c r="Y26" s="142">
        <v>0.1160000000000001</v>
      </c>
      <c r="Z26" s="146">
        <f>F26-Y26-X26-W26</f>
        <v>-2.0960000000000001</v>
      </c>
      <c r="AA26" s="142">
        <v>-0.54200000000000004</v>
      </c>
      <c r="AB26" s="142">
        <v>-0.69599999999999995</v>
      </c>
      <c r="AC26" s="142">
        <v>-0.48799999999999999</v>
      </c>
      <c r="AD26" s="146">
        <f>G26-AC26-AB26-AA26</f>
        <v>-7.7560000000000002</v>
      </c>
      <c r="AE26" s="142">
        <v>-1.357</v>
      </c>
      <c r="AF26" s="142">
        <v>1.24</v>
      </c>
      <c r="AG26" s="142">
        <v>-2.8099999999999996</v>
      </c>
      <c r="AH26" s="146">
        <f>H26-AG26-AF26-AE26</f>
        <v>3.8309999999999995</v>
      </c>
      <c r="AI26" s="142">
        <v>-0.54700000000000004</v>
      </c>
      <c r="AJ26" s="142">
        <v>-17.849</v>
      </c>
      <c r="AK26" s="142">
        <v>16.734000000000002</v>
      </c>
      <c r="AL26" s="146">
        <f>I26-AK26-AJ26-AI26</f>
        <v>-3.8910000000000022</v>
      </c>
      <c r="AM26" s="142">
        <v>2.0470000000000002</v>
      </c>
      <c r="AN26" s="142">
        <v>0.56999999999999984</v>
      </c>
      <c r="AO26" s="142">
        <v>0.29499999999999993</v>
      </c>
      <c r="AP26" s="146">
        <f>J26-AO26-AN26-AM26</f>
        <v>1.7560000000000002</v>
      </c>
      <c r="AQ26" s="142">
        <v>-3.3580000000000001</v>
      </c>
      <c r="AR26" s="142">
        <v>1.401</v>
      </c>
      <c r="AS26" s="142">
        <v>-1.1880000000000002</v>
      </c>
      <c r="AT26" s="146">
        <f>K26-AS26-AR26-AQ26</f>
        <v>2.04</v>
      </c>
      <c r="AU26" s="142">
        <v>1.2509999999999999</v>
      </c>
      <c r="AV26" s="142">
        <v>0.7260000000000002</v>
      </c>
      <c r="AW26" s="142">
        <v>-3.1230000000000002</v>
      </c>
      <c r="AX26" s="146">
        <f>L26-AW26-AV26-AU26</f>
        <v>2.8180000000000001</v>
      </c>
      <c r="AY26" s="142">
        <v>-16.756</v>
      </c>
      <c r="AZ26" s="142">
        <v>-1.7439999999999998</v>
      </c>
      <c r="BA26" s="153">
        <v>0.69399999999999906</v>
      </c>
      <c r="BB26" s="126">
        <f>BS!BA10-BS!BB10</f>
        <v>0.59226196138272158</v>
      </c>
      <c r="BC26" s="127">
        <f>BS!BB10-BS!BC10</f>
        <v>-1.5187332610927555</v>
      </c>
      <c r="BD26" s="127">
        <f>BS!BC10-BS!BD10</f>
        <v>-1.7726712231149087</v>
      </c>
      <c r="BE26" s="127">
        <f>BS!BD10-BS!BE10</f>
        <v>-1.6359269280050697</v>
      </c>
      <c r="BF26" s="127">
        <f>BS!BE10-BS!BF10</f>
        <v>-0.80180102427154054</v>
      </c>
      <c r="BG26" s="127">
        <f>BS!BF10-BS!BG10</f>
        <v>-2.0873228922366067</v>
      </c>
      <c r="BH26" s="127">
        <f>BS!BG10-BS!BH10</f>
        <v>-2.8046397941314964</v>
      </c>
      <c r="BI26" s="127">
        <f>BS!BH10-BS!BI10</f>
        <v>-1.7318370698437136</v>
      </c>
      <c r="BJ26" s="127">
        <f>BS!BI10-BS!BJ10</f>
        <v>-0.81762694418768689</v>
      </c>
      <c r="BK26" s="127">
        <f>BS!BJ10-BS!BK10</f>
        <v>-2.3450431589766865</v>
      </c>
      <c r="BL26" s="127">
        <f>BS!BK10-BS!BL10</f>
        <v>-4.1859992383794591</v>
      </c>
      <c r="BM26" s="127">
        <f>BS!BL10-BS!BM10</f>
        <v>-2.034941720069753</v>
      </c>
      <c r="BN26" s="127">
        <f>BS!BM10-BS!BN10</f>
        <v>-0.84680750368473667</v>
      </c>
      <c r="BO26" s="127">
        <f>BS!BN10-BS!BO10</f>
        <v>-3.2256446913109542</v>
      </c>
      <c r="BP26" s="127">
        <f>BS!BO10-BS!BP10</f>
        <v>-6.1735709721037964</v>
      </c>
      <c r="BQ26" s="127">
        <f>BS!BP10-BS!BQ10</f>
        <v>-2.2515517034582473</v>
      </c>
      <c r="BR26" s="127">
        <f>BS!BQ10-BS!BR10</f>
        <v>-0.62517370861354493</v>
      </c>
    </row>
    <row r="27" spans="1:70" x14ac:dyDescent="0.2">
      <c r="A27" s="283" t="s">
        <v>263</v>
      </c>
      <c r="B27" s="10"/>
      <c r="C27" s="81">
        <v>13.505000000000001</v>
      </c>
      <c r="D27" s="81">
        <v>-2.6549999999999998</v>
      </c>
      <c r="E27" s="81">
        <v>82.125</v>
      </c>
      <c r="F27" s="81">
        <v>40.53</v>
      </c>
      <c r="G27" s="81">
        <v>-37.200000000000003</v>
      </c>
      <c r="H27" s="81">
        <v>-25.523</v>
      </c>
      <c r="I27" s="81">
        <v>21.228999999999999</v>
      </c>
      <c r="J27" s="142">
        <v>99.245000000000005</v>
      </c>
      <c r="K27" s="142">
        <v>78.465000000000003</v>
      </c>
      <c r="L27" s="142">
        <v>17.158999999999999</v>
      </c>
      <c r="M27" s="77">
        <f>SUM(AY27:BB27)</f>
        <v>-40.270755917527502</v>
      </c>
      <c r="N27" s="76">
        <f>SUM(BC27:BF27)</f>
        <v>55.116148546949205</v>
      </c>
      <c r="O27" s="76">
        <f>SUM(BG27:BJ27)</f>
        <v>71.588985586819376</v>
      </c>
      <c r="P27" s="76">
        <f>SUM(BK27:BN27)</f>
        <v>90.554168014481377</v>
      </c>
      <c r="Q27" s="76">
        <f>SUM(BO27:BR27)</f>
        <v>118.09861255106784</v>
      </c>
      <c r="R27" s="59"/>
      <c r="S27" s="142">
        <v>-15.435</v>
      </c>
      <c r="T27" s="142">
        <v>-18.32</v>
      </c>
      <c r="U27" s="142">
        <v>21.533999999999999</v>
      </c>
      <c r="V27" s="146">
        <f>E27-U27-T27-S27</f>
        <v>94.346000000000004</v>
      </c>
      <c r="W27" s="142">
        <v>-17.241</v>
      </c>
      <c r="X27" s="142">
        <v>-7.9570000000000007</v>
      </c>
      <c r="Y27" s="142">
        <v>41.707000000000001</v>
      </c>
      <c r="Z27" s="146">
        <f>F27-Y27-X27-W27</f>
        <v>24.021000000000001</v>
      </c>
      <c r="AA27" s="142">
        <v>-1.373</v>
      </c>
      <c r="AB27" s="142">
        <v>5.7690000000000001</v>
      </c>
      <c r="AC27" s="142">
        <v>-24.523</v>
      </c>
      <c r="AD27" s="146">
        <f>G27-AC27-AB27-AA27</f>
        <v>-17.073000000000004</v>
      </c>
      <c r="AE27" s="142">
        <v>54.904000000000003</v>
      </c>
      <c r="AF27" s="142">
        <v>-25.351000000000003</v>
      </c>
      <c r="AG27" s="142">
        <v>-57.677999999999997</v>
      </c>
      <c r="AH27" s="146">
        <f>H27-AG27-AF27-AE27</f>
        <v>2.6019999999999968</v>
      </c>
      <c r="AI27" s="142">
        <v>22.765000000000001</v>
      </c>
      <c r="AJ27" s="142">
        <v>-0.52500000000000213</v>
      </c>
      <c r="AK27" s="142">
        <v>-34.36</v>
      </c>
      <c r="AL27" s="146">
        <f>I27-AK27-AJ27-AI27</f>
        <v>33.349000000000004</v>
      </c>
      <c r="AM27" s="142">
        <v>-29.603000000000002</v>
      </c>
      <c r="AN27" s="142">
        <v>-8.8969999999999985</v>
      </c>
      <c r="AO27" s="142">
        <v>16.5</v>
      </c>
      <c r="AP27" s="146">
        <f>J27-AO27-AN27-AM27</f>
        <v>121.245</v>
      </c>
      <c r="AQ27" s="142">
        <v>-111.498</v>
      </c>
      <c r="AR27" s="142">
        <v>18.019000000000005</v>
      </c>
      <c r="AS27" s="142">
        <v>51.68</v>
      </c>
      <c r="AT27" s="146">
        <f>K27-AS27-AR27-AQ27</f>
        <v>120.26400000000001</v>
      </c>
      <c r="AU27" s="142">
        <v>-74.617000000000004</v>
      </c>
      <c r="AV27" s="142">
        <v>-25.24199999999999</v>
      </c>
      <c r="AW27" s="142">
        <v>86.97</v>
      </c>
      <c r="AX27" s="146">
        <f>L27-AW27-AV27-AU27</f>
        <v>30.047999999999988</v>
      </c>
      <c r="AY27" s="142">
        <v>19.931000000000001</v>
      </c>
      <c r="AZ27" s="142">
        <v>-23.409000000000002</v>
      </c>
      <c r="BA27" s="153">
        <v>-31.094999999999999</v>
      </c>
      <c r="BB27" s="126">
        <f>BS!BB27-BS!BA27</f>
        <v>-5.6977559175275019</v>
      </c>
      <c r="BC27" s="127">
        <f>BS!BC27-BS!BB27</f>
        <v>14.610716186017896</v>
      </c>
      <c r="BD27" s="127">
        <f>BS!BD27-BS!BC27</f>
        <v>17.053683352807752</v>
      </c>
      <c r="BE27" s="127">
        <f>BS!BE27-BS!BD27</f>
        <v>15.738158015284569</v>
      </c>
      <c r="BF27" s="127">
        <f>BS!BF27-BS!BE27</f>
        <v>7.7135909928389879</v>
      </c>
      <c r="BG27" s="127">
        <f>BS!BG27-BS!BF27</f>
        <v>20.080736458687682</v>
      </c>
      <c r="BH27" s="127">
        <f>BS!BH27-BS!BG27</f>
        <v>26.981562257076405</v>
      </c>
      <c r="BI27" s="127">
        <f>BS!BI27-BS!BH27</f>
        <v>16.660845295312185</v>
      </c>
      <c r="BJ27" s="127">
        <f>BS!BJ27-BS!BI27</f>
        <v>7.8658415757431044</v>
      </c>
      <c r="BK27" s="127">
        <f>BS!BK27-BS!BJ27</f>
        <v>22.5600906475957</v>
      </c>
      <c r="BL27" s="127">
        <f>BS!BL27-BS!BK27</f>
        <v>40.270696898310632</v>
      </c>
      <c r="BM27" s="127">
        <f>BS!BM27-BS!BL27</f>
        <v>19.576812261050748</v>
      </c>
      <c r="BN27" s="127">
        <f>BS!BN27-BS!BM27</f>
        <v>8.1465682075242967</v>
      </c>
      <c r="BO27" s="127">
        <f>BS!BO27-BS!BN27</f>
        <v>31.031768585728855</v>
      </c>
      <c r="BP27" s="127">
        <f>BS!BP27-BS!BO27</f>
        <v>59.391794226424054</v>
      </c>
      <c r="BQ27" s="127">
        <f>BS!BQ27-BS!BP27</f>
        <v>21.660671929779028</v>
      </c>
      <c r="BR27" s="127">
        <f>BS!BR27-BS!BQ27</f>
        <v>6.0143778091359081</v>
      </c>
    </row>
    <row r="28" spans="1:70" x14ac:dyDescent="0.2">
      <c r="A28" s="284" t="s">
        <v>130</v>
      </c>
      <c r="B28" s="14"/>
      <c r="C28" s="82">
        <v>-9.1059999999999999</v>
      </c>
      <c r="D28" s="82">
        <v>-0.94499999999999995</v>
      </c>
      <c r="E28" s="82">
        <v>4.532</v>
      </c>
      <c r="F28" s="82">
        <v>-1.891</v>
      </c>
      <c r="G28" s="82">
        <v>5.5279999999999996</v>
      </c>
      <c r="H28" s="82">
        <v>-0.378</v>
      </c>
      <c r="I28" s="82">
        <v>-8.8059999999999992</v>
      </c>
      <c r="J28" s="143">
        <v>0.73499999999999999</v>
      </c>
      <c r="K28" s="143">
        <v>-8.2759999999999998</v>
      </c>
      <c r="L28" s="143">
        <v>-1.1020000000000001</v>
      </c>
      <c r="M28" s="83">
        <f>SUM(AY28:BB28)</f>
        <v>26.188798632779896</v>
      </c>
      <c r="N28" s="84">
        <f>SUM(BC28:BF28)</f>
        <v>27.212963611026083</v>
      </c>
      <c r="O28" s="84">
        <f>SUM(BG28:BJ28)</f>
        <v>35.346237193350191</v>
      </c>
      <c r="P28" s="84">
        <f>SUM(BK28:BN28)</f>
        <v>44.710077608302498</v>
      </c>
      <c r="Q28" s="84">
        <f>SUM(BO28:BR28)</f>
        <v>58.309829888191132</v>
      </c>
      <c r="R28" s="54"/>
      <c r="S28" s="143">
        <v>2.0129999999999999</v>
      </c>
      <c r="T28" s="143">
        <v>-7.9660000000000002</v>
      </c>
      <c r="U28" s="143">
        <v>2.4279999999999999</v>
      </c>
      <c r="V28" s="148">
        <f>E28-U28-T28-S28</f>
        <v>8.0570000000000004</v>
      </c>
      <c r="W28" s="143">
        <v>5.8570000000000002</v>
      </c>
      <c r="X28" s="143">
        <v>-4.74</v>
      </c>
      <c r="Y28" s="143">
        <v>-1.0309999999999997</v>
      </c>
      <c r="Z28" s="148">
        <f>F28-Y28-X28-W28</f>
        <v>-1.9770000000000003</v>
      </c>
      <c r="AA28" s="143">
        <v>4.3899999999999997</v>
      </c>
      <c r="AB28" s="143">
        <v>-2.7249999999999996</v>
      </c>
      <c r="AC28" s="143">
        <v>-1.4769999999999999</v>
      </c>
      <c r="AD28" s="148">
        <f>G28-AC28-AB28-AA28</f>
        <v>5.339999999999999</v>
      </c>
      <c r="AE28" s="143">
        <v>8.1389999999999993</v>
      </c>
      <c r="AF28" s="143">
        <v>-6.7139999999999995</v>
      </c>
      <c r="AG28" s="143">
        <v>-0.19899999999999984</v>
      </c>
      <c r="AH28" s="148">
        <f>H28-AG28-AF28-AE28</f>
        <v>-1.6040000000000001</v>
      </c>
      <c r="AI28" s="143">
        <v>9.2129999999999992</v>
      </c>
      <c r="AJ28" s="143">
        <v>17.902999999999999</v>
      </c>
      <c r="AK28" s="143">
        <v>-30.344000000000001</v>
      </c>
      <c r="AL28" s="148">
        <f>I28-AK28-AJ28-AI28</f>
        <v>-5.5779999999999941</v>
      </c>
      <c r="AM28" s="143">
        <v>8.3840000000000003</v>
      </c>
      <c r="AN28" s="143">
        <v>9.66</v>
      </c>
      <c r="AO28" s="143">
        <v>-11.5</v>
      </c>
      <c r="AP28" s="148">
        <f>J28-AO28-AN28-AM28</f>
        <v>-5.8090000000000011</v>
      </c>
      <c r="AQ28" s="143">
        <v>25.161000000000001</v>
      </c>
      <c r="AR28" s="143">
        <v>-8.6310000000000002</v>
      </c>
      <c r="AS28" s="143">
        <v>-3.5489999999999995</v>
      </c>
      <c r="AT28" s="148">
        <f>K28-AS28-AR28-AQ28</f>
        <v>-21.257000000000001</v>
      </c>
      <c r="AU28" s="143">
        <v>2.456</v>
      </c>
      <c r="AV28" s="143">
        <v>-4.3129999999999997</v>
      </c>
      <c r="AW28" s="143">
        <v>8.1379999999999999</v>
      </c>
      <c r="AX28" s="148">
        <f>L28-AW28-AV28-AU28</f>
        <v>-7.3830000000000009</v>
      </c>
      <c r="AY28" s="143">
        <v>27.677</v>
      </c>
      <c r="AZ28" s="143">
        <v>-3.6170000000000009</v>
      </c>
      <c r="BA28" s="213">
        <v>4.9420000000000002</v>
      </c>
      <c r="BB28" s="129">
        <f>BS!BB28-BS!BA28</f>
        <v>-2.8132013672201026</v>
      </c>
      <c r="BC28" s="130">
        <f>BS!BC28-BS!BB28</f>
        <v>7.2138728554744489</v>
      </c>
      <c r="BD28" s="130">
        <f>BS!BD28-BS!BC28</f>
        <v>8.4200597601373488</v>
      </c>
      <c r="BE28" s="130">
        <f>BS!BE28-BS!BD28</f>
        <v>7.7705342747179884</v>
      </c>
      <c r="BF28" s="130">
        <f>BS!BF28-BS!BE28</f>
        <v>3.8084967206962972</v>
      </c>
      <c r="BG28" s="130">
        <f>BS!BG28-BS!BF28</f>
        <v>9.9146323707178396</v>
      </c>
      <c r="BH28" s="130">
        <f>BS!BH28-BS!BG28</f>
        <v>13.321835636701024</v>
      </c>
      <c r="BI28" s="130">
        <f>BS!BI28-BS!BH28</f>
        <v>8.2261004932893229</v>
      </c>
      <c r="BJ28" s="130">
        <f>BS!BJ28-BS!BI28</f>
        <v>3.8836686926420043</v>
      </c>
      <c r="BK28" s="130">
        <f>BS!BK28-BS!BJ28</f>
        <v>11.138784948507691</v>
      </c>
      <c r="BL28" s="130">
        <f>BS!BL28-BS!BK28</f>
        <v>19.883192824166429</v>
      </c>
      <c r="BM28" s="130">
        <f>BS!BM28-BS!BL28</f>
        <v>9.665825601476115</v>
      </c>
      <c r="BN28" s="130">
        <f>BS!BN28-BS!BM28</f>
        <v>4.0222742341522633</v>
      </c>
      <c r="BO28" s="130">
        <f>BS!BO28-BS!BN28</f>
        <v>15.321578368087273</v>
      </c>
      <c r="BP28" s="130">
        <f>BS!BP28-BS!BO28</f>
        <v>29.32401442565407</v>
      </c>
      <c r="BQ28" s="130">
        <f>BS!BQ28-BS!BP28</f>
        <v>10.694707314560333</v>
      </c>
      <c r="BR28" s="130">
        <f>BS!BR28-BS!BQ28</f>
        <v>2.9695297798894558</v>
      </c>
    </row>
    <row r="29" spans="1:70" x14ac:dyDescent="0.2">
      <c r="A29" s="285" t="s">
        <v>45</v>
      </c>
      <c r="B29" s="20" t="s">
        <v>170</v>
      </c>
      <c r="C29" s="148">
        <f>SUM(C23:C28)</f>
        <v>2.3460000000000019</v>
      </c>
      <c r="D29" s="148">
        <f>SUM(D23:D28)</f>
        <v>3.1980000000000008</v>
      </c>
      <c r="E29" s="148">
        <f>SUM(E23:E28)</f>
        <v>3.1820000000000057</v>
      </c>
      <c r="F29" s="148">
        <f>SUM(F23:F28)</f>
        <v>87.367000000000004</v>
      </c>
      <c r="G29" s="148">
        <f>SUM(G23:G28)</f>
        <v>-65.718000000000004</v>
      </c>
      <c r="H29" s="148">
        <f>SUM(H23:H28)</f>
        <v>-43.528999999999996</v>
      </c>
      <c r="I29" s="148">
        <f>SUM(I23:I28)</f>
        <v>-1.2539999999999996</v>
      </c>
      <c r="J29" s="148">
        <f>SUM(J23:J28)</f>
        <v>18.042999999999992</v>
      </c>
      <c r="K29" s="148">
        <f>SUM(K23:K28)</f>
        <v>-35.942999999999998</v>
      </c>
      <c r="L29" s="148">
        <f>SUM(L23:L28)</f>
        <v>128.26600000000002</v>
      </c>
      <c r="M29" s="83">
        <f>SUM(AY29:BB29)</f>
        <v>-28.674198499706606</v>
      </c>
      <c r="N29" s="84">
        <f>SUM(BC29:BF29)</f>
        <v>47.497862987131363</v>
      </c>
      <c r="O29" s="84">
        <f>SUM(BG29:BJ29)</f>
        <v>61.693785187003641</v>
      </c>
      <c r="P29" s="84">
        <f>SUM(BK29:BN29)</f>
        <v>78.03755484840724</v>
      </c>
      <c r="Q29" s="84">
        <f>SUM(BO29:BR29)</f>
        <v>101.77474053983818</v>
      </c>
      <c r="R29" s="51"/>
      <c r="S29" s="148">
        <f>SUM(S23:S28)</f>
        <v>-12.637</v>
      </c>
      <c r="T29" s="148">
        <f>SUM(T23:T28)</f>
        <v>-11.216000000000001</v>
      </c>
      <c r="U29" s="148">
        <f>SUM(U23:U28)</f>
        <v>11.492000000000001</v>
      </c>
      <c r="V29" s="148">
        <f>SUM(V23:V28)</f>
        <v>15.54299999999999</v>
      </c>
      <c r="W29" s="148">
        <f>SUM(W23:W28)</f>
        <v>0.82100000000000062</v>
      </c>
      <c r="X29" s="148">
        <f>SUM(X23:X28)</f>
        <v>-11.196000000000003</v>
      </c>
      <c r="Y29" s="148">
        <f>SUM(Y23:Y28)</f>
        <v>-2.3589999999999955</v>
      </c>
      <c r="Z29" s="148">
        <f>SUM(Z23:Z28)</f>
        <v>100.101</v>
      </c>
      <c r="AA29" s="148">
        <f>SUM(AA23:AA28)</f>
        <v>-88.612000000000009</v>
      </c>
      <c r="AB29" s="148">
        <f>SUM(AB23:AB28)</f>
        <v>-7.1940000000000044</v>
      </c>
      <c r="AC29" s="148">
        <f>SUM(AC23:AC28)</f>
        <v>69.08</v>
      </c>
      <c r="AD29" s="148">
        <f>SUM(AD23:AD28)</f>
        <v>-38.992000000000012</v>
      </c>
      <c r="AE29" s="148">
        <f>SUM(AE23:AE28)</f>
        <v>67.128</v>
      </c>
      <c r="AF29" s="148">
        <f>SUM(AF23:AF28)</f>
        <v>-29.051000000000002</v>
      </c>
      <c r="AG29" s="148">
        <f>SUM(AG23:AG28)</f>
        <v>-65.051999999999992</v>
      </c>
      <c r="AH29" s="148">
        <f>SUM(AH23:AH28)</f>
        <v>-16.554000000000002</v>
      </c>
      <c r="AI29" s="148">
        <f>SUM(AI23:AI28)</f>
        <v>44.005000000000003</v>
      </c>
      <c r="AJ29" s="148">
        <f>SUM(AJ23:AJ28)</f>
        <v>10.060999999999998</v>
      </c>
      <c r="AK29" s="148">
        <f>SUM(AK23:AK28)</f>
        <v>-50.198999999999998</v>
      </c>
      <c r="AL29" s="148">
        <f>SUM(AL23:AL28)</f>
        <v>-5.1209999999999933</v>
      </c>
      <c r="AM29" s="148">
        <f>SUM(AM23:AM28)</f>
        <v>2.6759999999999984</v>
      </c>
      <c r="AN29" s="148">
        <f>SUM(AN23:AN28)</f>
        <v>0.82500000000000284</v>
      </c>
      <c r="AO29" s="148">
        <f>SUM(AO23:AO28)</f>
        <v>-1.958000000000002</v>
      </c>
      <c r="AP29" s="148">
        <f>SUM(AP23:AP28)</f>
        <v>16.499999999999996</v>
      </c>
      <c r="AQ29" s="148">
        <f>SUM(AQ23:AQ28)</f>
        <v>-2.6110000000000042</v>
      </c>
      <c r="AR29" s="148">
        <f>SUM(AR23:AR28)</f>
        <v>7.6880000000000024</v>
      </c>
      <c r="AS29" s="148">
        <f>SUM(AS23:AS28)</f>
        <v>-38.018000000000015</v>
      </c>
      <c r="AT29" s="148">
        <f>SUM(AT23:AT28)</f>
        <v>-3.0019999999999776</v>
      </c>
      <c r="AU29" s="148">
        <f>SUM(AU23:AU28)</f>
        <v>-8.2110000000000092</v>
      </c>
      <c r="AV29" s="148">
        <f>SUM(AV23:AV28)</f>
        <v>-26.780999999999988</v>
      </c>
      <c r="AW29" s="148">
        <f>SUM(AW23:AW28)</f>
        <v>0.26099999999999035</v>
      </c>
      <c r="AX29" s="148">
        <f>SUM(AX23:AX28)</f>
        <v>162.99700000000004</v>
      </c>
      <c r="AY29" s="148">
        <f>SUM(AY23:AY28)</f>
        <v>-157.22399999999999</v>
      </c>
      <c r="AZ29" s="148">
        <f>SUM(AZ23:AZ28)</f>
        <v>-22.878000000000004</v>
      </c>
      <c r="BA29" s="156">
        <f>SUM(BA23:BA28)</f>
        <v>156.33799999999999</v>
      </c>
      <c r="BB29" s="83">
        <f>SUM(BB23:BB28)</f>
        <v>-4.9101984997065955</v>
      </c>
      <c r="BC29" s="84">
        <f>SUM(BC23:BC28)</f>
        <v>12.591188133477701</v>
      </c>
      <c r="BD29" s="84">
        <f>SUM(BD23:BD28)</f>
        <v>14.696482549530749</v>
      </c>
      <c r="BE29" s="84">
        <f>SUM(BE23:BE28)</f>
        <v>13.56279226301611</v>
      </c>
      <c r="BF29" s="84">
        <f>SUM(BF23:BF28)</f>
        <v>6.6474000411067991</v>
      </c>
      <c r="BG29" s="84">
        <f>SUM(BG23:BG28)</f>
        <v>17.305129152538278</v>
      </c>
      <c r="BH29" s="84">
        <f>SUM(BH23:BH28)</f>
        <v>23.252106343637216</v>
      </c>
      <c r="BI29" s="84">
        <f>SUM(BI23:BI28)</f>
        <v>14.357943505657623</v>
      </c>
      <c r="BJ29" s="84">
        <f>SUM(BJ23:BJ28)</f>
        <v>6.7786061851705242</v>
      </c>
      <c r="BK29" s="84">
        <f>SUM(BK23:BK28)</f>
        <v>19.441781089692576</v>
      </c>
      <c r="BL29" s="84">
        <f>SUM(BL23:BL28)</f>
        <v>34.704385086757497</v>
      </c>
      <c r="BM29" s="84">
        <f>SUM(BM23:BM28)</f>
        <v>16.870858559866683</v>
      </c>
      <c r="BN29" s="84">
        <f>SUM(BN23:BN28)</f>
        <v>7.0205301120904835</v>
      </c>
      <c r="BO29" s="84">
        <f>SUM(BO23:BO28)</f>
        <v>26.742483489712257</v>
      </c>
      <c r="BP29" s="84">
        <f>SUM(BP23:BP28)</f>
        <v>51.182518719057619</v>
      </c>
      <c r="BQ29" s="84">
        <f>SUM(BQ23:BQ28)</f>
        <v>18.666682173074271</v>
      </c>
      <c r="BR29" s="84">
        <f>SUM(BR23:BR28)</f>
        <v>5.183056157994038</v>
      </c>
    </row>
    <row r="30" spans="1:70" x14ac:dyDescent="0.2">
      <c r="A30" s="286" t="s">
        <v>123</v>
      </c>
      <c r="B30" s="21" t="s">
        <v>171</v>
      </c>
      <c r="C30" s="85">
        <v>90.962999999999994</v>
      </c>
      <c r="D30" s="85">
        <v>68.897999999999996</v>
      </c>
      <c r="E30" s="85">
        <v>54.252000000000002</v>
      </c>
      <c r="F30" s="85">
        <v>157.488</v>
      </c>
      <c r="G30" s="85">
        <v>4.3339999999999996</v>
      </c>
      <c r="H30" s="85">
        <v>24.530999999999999</v>
      </c>
      <c r="I30" s="85">
        <v>124.587</v>
      </c>
      <c r="J30" s="145">
        <v>131.899</v>
      </c>
      <c r="K30" s="145">
        <v>96.259</v>
      </c>
      <c r="L30" s="145">
        <v>294.286</v>
      </c>
      <c r="M30" s="110">
        <f>SUM(AY30:BB30)</f>
        <v>160.86387354136684</v>
      </c>
      <c r="N30" s="111">
        <f>SUM(BC30:BF30)</f>
        <v>262.51055035194571</v>
      </c>
      <c r="O30" s="111">
        <f>SUM(BG30:BJ30)</f>
        <v>338.18913421746618</v>
      </c>
      <c r="P30" s="111">
        <f>SUM(BK30:BN30)</f>
        <v>431.29561982785742</v>
      </c>
      <c r="Q30" s="111">
        <f>SUM(BO30:BR30)</f>
        <v>557.19565896680683</v>
      </c>
      <c r="R30" s="60"/>
      <c r="S30" s="145">
        <v>-2.0390000000000001</v>
      </c>
      <c r="T30" s="145">
        <v>-1.9999999999997797E-3</v>
      </c>
      <c r="U30" s="145">
        <v>22.215</v>
      </c>
      <c r="V30" s="144">
        <f>E30-U30-T30-S30</f>
        <v>34.07800000000001</v>
      </c>
      <c r="W30" s="145">
        <v>18.280999999999999</v>
      </c>
      <c r="X30" s="145">
        <v>7.4879999999999995</v>
      </c>
      <c r="Y30" s="145">
        <v>15.649999999999999</v>
      </c>
      <c r="Z30" s="144">
        <f>F30-Y30-X30-W30</f>
        <v>116.06899999999999</v>
      </c>
      <c r="AA30" s="145">
        <v>-71.563999999999993</v>
      </c>
      <c r="AB30" s="145">
        <v>11.341999999999992</v>
      </c>
      <c r="AC30" s="145">
        <v>85.984999999999999</v>
      </c>
      <c r="AD30" s="144">
        <f>G30-AC30-AB30-AA30</f>
        <v>-21.429000000000002</v>
      </c>
      <c r="AE30" s="145">
        <v>86.596999999999994</v>
      </c>
      <c r="AF30" s="145">
        <v>-11.167999999999992</v>
      </c>
      <c r="AG30" s="145">
        <v>-45.989000000000004</v>
      </c>
      <c r="AH30" s="144">
        <f>H30-AG30-AF30-AE30</f>
        <v>-4.9089999999999918</v>
      </c>
      <c r="AI30" s="145">
        <v>85.816000000000003</v>
      </c>
      <c r="AJ30" s="145">
        <v>40.575000000000003</v>
      </c>
      <c r="AK30" s="145">
        <v>-23.028000000000006</v>
      </c>
      <c r="AL30" s="144">
        <f>I30-AK30-AJ30-AI30</f>
        <v>21.224000000000004</v>
      </c>
      <c r="AM30" s="145">
        <v>24.704000000000001</v>
      </c>
      <c r="AN30" s="145">
        <v>31.707999999999998</v>
      </c>
      <c r="AO30" s="145">
        <v>29.396000000000008</v>
      </c>
      <c r="AP30" s="144">
        <f>J30-AO30-AN30-AM30</f>
        <v>46.090999999999987</v>
      </c>
      <c r="AQ30" s="145">
        <v>31.408999999999999</v>
      </c>
      <c r="AR30" s="145">
        <v>42.683</v>
      </c>
      <c r="AS30" s="145">
        <v>-4.1380000000000052</v>
      </c>
      <c r="AT30" s="144">
        <f>K30-AS30-AR30-AQ30</f>
        <v>26.305000000000007</v>
      </c>
      <c r="AU30" s="145">
        <v>32.750999999999998</v>
      </c>
      <c r="AV30" s="145">
        <v>16.480000000000004</v>
      </c>
      <c r="AW30" s="145">
        <v>43.151000000000003</v>
      </c>
      <c r="AX30" s="144">
        <f>L30-AW30-AV30-AU30</f>
        <v>201.90399999999997</v>
      </c>
      <c r="AY30" s="145">
        <v>-112.188</v>
      </c>
      <c r="AZ30" s="145">
        <v>24.531000000000006</v>
      </c>
      <c r="BA30" s="155">
        <v>208.02100000000002</v>
      </c>
      <c r="BB30" s="131">
        <f>SUM(BB29,BB9:BB21,BB5)</f>
        <v>40.499873541366831</v>
      </c>
      <c r="BC30" s="132">
        <f>SUM(BC29,BC9:BC21,BC5)</f>
        <v>61.278242022196714</v>
      </c>
      <c r="BD30" s="132">
        <f>SUM(BD29,BD9:BD21,BD5)</f>
        <v>67.208442080871691</v>
      </c>
      <c r="BE30" s="132">
        <f>SUM(BE29,BE9:BE21,BE5)</f>
        <v>69.604603272878023</v>
      </c>
      <c r="BF30" s="132">
        <f>SUM(BF29,BF9:BF21,BF5)</f>
        <v>64.419262975999288</v>
      </c>
      <c r="BG30" s="132">
        <f>SUM(BG29,BG9:BG21,BG5)</f>
        <v>79.58082393418502</v>
      </c>
      <c r="BH30" s="132">
        <f>SUM(BH29,BH9:BH21,BH5)</f>
        <v>91.579392889291569</v>
      </c>
      <c r="BI30" s="132">
        <f>SUM(BI29,BI9:BI21,BI5)</f>
        <v>86.422027543239039</v>
      </c>
      <c r="BJ30" s="132">
        <f>SUM(BJ29,BJ9:BJ21,BJ5)</f>
        <v>80.606889850750576</v>
      </c>
      <c r="BK30" s="132">
        <f>SUM(BK29,BK9:BK21,BK5)</f>
        <v>98.329981503512442</v>
      </c>
      <c r="BL30" s="132">
        <f>SUM(BL29,BL9:BL21,BL5)</f>
        <v>122.6247466244852</v>
      </c>
      <c r="BM30" s="132">
        <f>SUM(BM29,BM9:BM21,BM5)</f>
        <v>109.18202870666323</v>
      </c>
      <c r="BN30" s="132">
        <f>SUM(BN29,BN9:BN21,BN5)</f>
        <v>101.15886299319649</v>
      </c>
      <c r="BO30" s="132">
        <f>SUM(BO29,BO9:BO21,BO5)</f>
        <v>127.84081347575747</v>
      </c>
      <c r="BP30" s="132">
        <f>SUM(BP29,BP9:BP21,BP5)</f>
        <v>165.60160787263408</v>
      </c>
      <c r="BQ30" s="132">
        <f>SUM(BQ29,BQ9:BQ21,BQ5)</f>
        <v>137.94396087861941</v>
      </c>
      <c r="BR30" s="132">
        <f>SUM(BR29,BR9:BR21,BR5)</f>
        <v>125.80927673979583</v>
      </c>
    </row>
    <row r="31" spans="1:70" x14ac:dyDescent="0.2">
      <c r="A31" s="65" t="s">
        <v>7</v>
      </c>
      <c r="B31" s="13"/>
      <c r="C31" s="159">
        <f>SUM(C29,C9:C21,C5)-C30</f>
        <v>0</v>
      </c>
      <c r="D31" s="159">
        <f>SUM(D29,D9:D21,D5)-D30</f>
        <v>0</v>
      </c>
      <c r="E31" s="159">
        <f>SUM(E29,E9:E21,E5)-E30</f>
        <v>0</v>
      </c>
      <c r="F31" s="159">
        <f>SUM(F29,F9:F21,F5)-F30</f>
        <v>0</v>
      </c>
      <c r="G31" s="159">
        <f>SUM(G29,G9:G21,G5)-G30</f>
        <v>0</v>
      </c>
      <c r="H31" s="159">
        <f>SUM(H29,H9:H21,H5)-H30</f>
        <v>0</v>
      </c>
      <c r="I31" s="159">
        <f>SUM(I29,I9:I21,I5)-I30</f>
        <v>0</v>
      </c>
      <c r="J31" s="159">
        <f>SUM(J29,J9:J21,J5)-J30</f>
        <v>0</v>
      </c>
      <c r="K31" s="159">
        <f>SUM(K29,K9:K21,K5)-K30</f>
        <v>0</v>
      </c>
      <c r="L31" s="160">
        <f>SUM(L29,L9:L21,L5)-L30</f>
        <v>0</v>
      </c>
      <c r="M31" s="167">
        <f>SUM(M29,M9:M21,M5)-M30</f>
        <v>0</v>
      </c>
      <c r="N31" s="159">
        <f>SUM(N29,N9:N21,N5)-N30</f>
        <v>0</v>
      </c>
      <c r="O31" s="159">
        <f>SUM(O29,O9:O21,O5)-O30</f>
        <v>0</v>
      </c>
      <c r="P31" s="159">
        <f>SUM(P29,P9:P21,P5)-P30</f>
        <v>0</v>
      </c>
      <c r="Q31" s="159">
        <f>SUM(Q29,Q9:Q21,Q5)-Q30</f>
        <v>0</v>
      </c>
      <c r="R31" s="50"/>
      <c r="S31" s="159">
        <f>SUM(S29,S9:S21,S5)-S30</f>
        <v>0</v>
      </c>
      <c r="T31" s="159">
        <f>SUM(T29,T9:T21,T5)-T30</f>
        <v>-4.4408920985006262E-16</v>
      </c>
      <c r="U31" s="159">
        <f>SUM(U29,U9:U21,U5)-U30</f>
        <v>0</v>
      </c>
      <c r="V31" s="159">
        <f>SUM(V29,V9:V21,V5)-V30</f>
        <v>0</v>
      </c>
      <c r="W31" s="159">
        <f>SUM(W29,W9:W21,W5)-W30</f>
        <v>0</v>
      </c>
      <c r="X31" s="159">
        <f>SUM(X29,X9:X21,X5)-X30</f>
        <v>0</v>
      </c>
      <c r="Y31" s="159">
        <f>SUM(Y29,Y9:Y21,Y5)-Y30</f>
        <v>0</v>
      </c>
      <c r="Z31" s="159">
        <f>SUM(Z29,Z9:Z21,Z5)-Z30</f>
        <v>0</v>
      </c>
      <c r="AA31" s="159">
        <f>SUM(AA29,AA9:AA21,AA5)-AA30</f>
        <v>0</v>
      </c>
      <c r="AB31" s="159">
        <f>SUM(AB29,AB9:AB21,AB5)-AB30</f>
        <v>0</v>
      </c>
      <c r="AC31" s="159">
        <f>SUM(AC29,AC9:AC21,AC5)-AC30</f>
        <v>0</v>
      </c>
      <c r="AD31" s="159">
        <f>SUM(AD29,AD9:AD21,AD5)-AD30</f>
        <v>0</v>
      </c>
      <c r="AE31" s="159">
        <f>SUM(AE29,AE9:AE21,AE5)-AE30</f>
        <v>0</v>
      </c>
      <c r="AF31" s="159">
        <f>SUM(AF29,AF9:AF21,AF5)-AF30</f>
        <v>0</v>
      </c>
      <c r="AG31" s="159">
        <f>SUM(AG29,AG9:AG21,AG5)-AG30</f>
        <v>0</v>
      </c>
      <c r="AH31" s="159">
        <f>SUM(AH29,AH9:AH21,AH5)-AH30</f>
        <v>-1.0658141036401503E-14</v>
      </c>
      <c r="AI31" s="159">
        <f>SUM(AI29,AI9:AI21,AI5)-AI30</f>
        <v>0</v>
      </c>
      <c r="AJ31" s="159">
        <f>SUM(AJ29,AJ9:AJ21,AJ5)-AJ30</f>
        <v>0</v>
      </c>
      <c r="AK31" s="159">
        <f>SUM(AK29,AK9:AK21,AK5)-AK30</f>
        <v>0</v>
      </c>
      <c r="AL31" s="159">
        <f>SUM(AL29,AL9:AL21,AL5)-AL30</f>
        <v>0</v>
      </c>
      <c r="AM31" s="159">
        <f>SUM(AM29,AM9:AM21,AM5)-AM30</f>
        <v>0</v>
      </c>
      <c r="AN31" s="159">
        <f>SUM(AN29,AN9:AN21,AN5)-AN30</f>
        <v>0</v>
      </c>
      <c r="AO31" s="159">
        <f>SUM(AO29,AO9:AO21,AO5)-AO30</f>
        <v>0</v>
      </c>
      <c r="AP31" s="159">
        <f>SUM(AP29,AP9:AP21,AP5)-AP30</f>
        <v>0</v>
      </c>
      <c r="AQ31" s="159">
        <f>SUM(AQ29,AQ9:AQ21,AQ5)-AQ30</f>
        <v>0</v>
      </c>
      <c r="AR31" s="159">
        <f>SUM(AR29,AR9:AR21,AR5)-AR30</f>
        <v>0</v>
      </c>
      <c r="AS31" s="159">
        <f>SUM(AS29,AS9:AS21,AS5)-AS30</f>
        <v>-9.7699626167013776E-15</v>
      </c>
      <c r="AT31" s="159">
        <f>SUM(AT29,AT9:AT21,AT5)-AT30</f>
        <v>0</v>
      </c>
      <c r="AU31" s="159">
        <f>SUM(AU29,AU9:AU21,AU5)-AU30</f>
        <v>0</v>
      </c>
      <c r="AV31" s="159">
        <f>SUM(AV29,AV9:AV21,AV5)-AV30</f>
        <v>0</v>
      </c>
      <c r="AW31" s="159">
        <f>SUM(AW29,AW9:AW21,AW5)-AW30</f>
        <v>0</v>
      </c>
      <c r="AX31" s="159">
        <f>SUM(AX29,AX9:AX21,AX5)-AX30</f>
        <v>0</v>
      </c>
      <c r="AY31" s="159">
        <f>SUM(AY29,AY9:AY21,AY5)-AY30</f>
        <v>0</v>
      </c>
      <c r="AZ31" s="159">
        <f>SUM(AZ29,AZ9:AZ21,AZ5)-AZ30</f>
        <v>0</v>
      </c>
      <c r="BA31" s="160">
        <f>SUM(BA29,BA9:BA21,BA5)-BA30</f>
        <v>0</v>
      </c>
      <c r="BB31" s="170">
        <f>SUM(BB29,BB9:BB21,BB5)-BB30</f>
        <v>0</v>
      </c>
      <c r="BC31" s="171">
        <f>SUM(BC29,BC9:BC21,BC5)-BC30</f>
        <v>0</v>
      </c>
      <c r="BD31" s="171">
        <f>SUM(BD29,BD9:BD21,BD5)-BD30</f>
        <v>0</v>
      </c>
      <c r="BE31" s="171">
        <f>SUM(BE29,BE9:BE21,BE5)-BE30</f>
        <v>0</v>
      </c>
      <c r="BF31" s="171">
        <f>SUM(BF29,BF9:BF21,BF5)-BF30</f>
        <v>0</v>
      </c>
      <c r="BG31" s="171">
        <f>SUM(BG29,BG9:BG21,BG5)-BG30</f>
        <v>0</v>
      </c>
      <c r="BH31" s="171">
        <f>SUM(BH29,BH9:BH21,BH5)-BH30</f>
        <v>0</v>
      </c>
      <c r="BI31" s="171">
        <f>SUM(BI29,BI9:BI21,BI5)-BI30</f>
        <v>0</v>
      </c>
      <c r="BJ31" s="171">
        <f>SUM(BJ29,BJ9:BJ21,BJ5)-BJ30</f>
        <v>0</v>
      </c>
      <c r="BK31" s="171">
        <f>SUM(BK29,BK9:BK21,BK5)-BK30</f>
        <v>0</v>
      </c>
      <c r="BL31" s="171">
        <f>SUM(BL29,BL9:BL21,BL5)-BL30</f>
        <v>0</v>
      </c>
      <c r="BM31" s="171">
        <f>SUM(BM29,BM9:BM21,BM5)-BM30</f>
        <v>0</v>
      </c>
      <c r="BN31" s="171">
        <f>SUM(BN29,BN9:BN21,BN5)-BN30</f>
        <v>0</v>
      </c>
      <c r="BO31" s="171">
        <f>SUM(BO29,BO9:BO21,BO5)-BO30</f>
        <v>0</v>
      </c>
      <c r="BP31" s="171">
        <f>SUM(BP29,BP9:BP21,BP5)-BP30</f>
        <v>0</v>
      </c>
      <c r="BQ31" s="171">
        <f>SUM(BQ29,BQ9:BQ21,BQ5)-BQ30</f>
        <v>0</v>
      </c>
      <c r="BR31" s="171">
        <f>SUM(BR29,BR9:BR21,BR5)-BR30</f>
        <v>0</v>
      </c>
    </row>
    <row r="32" spans="1:70" x14ac:dyDescent="0.2">
      <c r="A32" s="271"/>
      <c r="B32" s="9"/>
      <c r="C32" s="94"/>
      <c r="D32" s="94"/>
      <c r="E32" s="94"/>
      <c r="F32" s="94"/>
      <c r="G32" s="94"/>
      <c r="H32" s="94"/>
      <c r="I32" s="94"/>
      <c r="J32" s="94"/>
      <c r="K32" s="94"/>
      <c r="L32" s="95"/>
      <c r="M32" s="83"/>
      <c r="N32" s="84"/>
      <c r="O32" s="84"/>
      <c r="P32" s="84"/>
      <c r="Q32" s="84"/>
      <c r="R32" s="46"/>
      <c r="S32" s="94"/>
      <c r="T32" s="94"/>
      <c r="U32" s="94"/>
      <c r="V32" s="94"/>
      <c r="W32" s="94"/>
      <c r="X32" s="94"/>
      <c r="Y32" s="94"/>
      <c r="Z32" s="94"/>
      <c r="AA32" s="94"/>
      <c r="AB32" s="94"/>
      <c r="AC32" s="94"/>
      <c r="AD32" s="94"/>
      <c r="AE32" s="94"/>
      <c r="AF32" s="94"/>
      <c r="AG32" s="94"/>
      <c r="AH32" s="94"/>
      <c r="AI32" s="94"/>
      <c r="AJ32" s="94"/>
      <c r="AK32" s="94"/>
      <c r="AL32" s="94"/>
      <c r="AM32" s="94"/>
      <c r="AN32" s="94"/>
      <c r="AO32" s="94"/>
      <c r="AP32" s="94"/>
      <c r="AQ32" s="94"/>
      <c r="AR32" s="94"/>
      <c r="AS32" s="94"/>
      <c r="AT32" s="94"/>
      <c r="AU32" s="94"/>
      <c r="AV32" s="94"/>
      <c r="AW32" s="94"/>
      <c r="AX32" s="94"/>
      <c r="AY32" s="94"/>
      <c r="AZ32" s="94"/>
      <c r="BA32" s="95"/>
      <c r="BB32" s="96"/>
      <c r="BC32" s="94"/>
      <c r="BD32" s="94"/>
      <c r="BE32" s="94"/>
      <c r="BF32" s="94"/>
      <c r="BG32" s="94"/>
      <c r="BH32" s="94"/>
      <c r="BI32" s="94"/>
      <c r="BJ32" s="94"/>
      <c r="BK32" s="94"/>
      <c r="BL32" s="94"/>
      <c r="BM32" s="94"/>
      <c r="BN32" s="94"/>
      <c r="BO32" s="94"/>
      <c r="BP32" s="94"/>
      <c r="BQ32" s="94"/>
      <c r="BR32" s="94"/>
    </row>
    <row r="33" spans="1:70" x14ac:dyDescent="0.2">
      <c r="A33" s="266" t="s">
        <v>14</v>
      </c>
      <c r="B33" s="9"/>
      <c r="C33" s="133"/>
      <c r="D33" s="133"/>
      <c r="E33" s="133"/>
      <c r="F33" s="133"/>
      <c r="G33" s="133"/>
      <c r="H33" s="133"/>
      <c r="I33" s="133"/>
      <c r="J33" s="133"/>
      <c r="K33" s="133"/>
      <c r="L33" s="134"/>
      <c r="M33" s="86"/>
      <c r="N33" s="72"/>
      <c r="O33" s="72"/>
      <c r="P33" s="72"/>
      <c r="Q33" s="72"/>
      <c r="R33" s="46"/>
      <c r="S33" s="133"/>
      <c r="T33" s="133"/>
      <c r="U33" s="133"/>
      <c r="V33" s="133"/>
      <c r="W33" s="133"/>
      <c r="X33" s="133"/>
      <c r="Y33" s="133"/>
      <c r="Z33" s="133"/>
      <c r="AA33" s="133"/>
      <c r="AB33" s="133"/>
      <c r="AC33" s="133"/>
      <c r="AD33" s="133"/>
      <c r="AE33" s="133"/>
      <c r="AF33" s="133"/>
      <c r="AG33" s="133"/>
      <c r="AH33" s="133"/>
      <c r="AI33" s="133"/>
      <c r="AJ33" s="133"/>
      <c r="AK33" s="133"/>
      <c r="AL33" s="133"/>
      <c r="AM33" s="133"/>
      <c r="AN33" s="133"/>
      <c r="AO33" s="133"/>
      <c r="AP33" s="133"/>
      <c r="AQ33" s="133"/>
      <c r="AR33" s="133"/>
      <c r="AS33" s="133"/>
      <c r="AT33" s="133"/>
      <c r="AU33" s="133"/>
      <c r="AV33" s="133"/>
      <c r="AW33" s="133"/>
      <c r="AX33" s="133"/>
      <c r="AY33" s="133"/>
      <c r="AZ33" s="133"/>
      <c r="BA33" s="134"/>
      <c r="BB33" s="135"/>
      <c r="BC33" s="133"/>
      <c r="BD33" s="133"/>
      <c r="BE33" s="133"/>
      <c r="BF33" s="133"/>
      <c r="BG33" s="133"/>
      <c r="BH33" s="133"/>
      <c r="BI33" s="133"/>
      <c r="BJ33" s="133"/>
      <c r="BK33" s="133"/>
      <c r="BL33" s="133"/>
      <c r="BM33" s="133"/>
      <c r="BN33" s="133"/>
      <c r="BO33" s="133"/>
      <c r="BP33" s="133"/>
      <c r="BQ33" s="133"/>
      <c r="BR33" s="133"/>
    </row>
    <row r="34" spans="1:70" x14ac:dyDescent="0.2">
      <c r="A34" s="283" t="s">
        <v>264</v>
      </c>
      <c r="B34" s="9" t="s">
        <v>172</v>
      </c>
      <c r="C34" s="81">
        <v>-7.2539999999999996</v>
      </c>
      <c r="D34" s="81">
        <v>-9.0510000000000002</v>
      </c>
      <c r="E34" s="81">
        <v>-7.42</v>
      </c>
      <c r="F34" s="81">
        <v>-12.786</v>
      </c>
      <c r="G34" s="81">
        <v>-13.986000000000001</v>
      </c>
      <c r="H34" s="81">
        <v>-18.442</v>
      </c>
      <c r="I34" s="81">
        <v>-76.988</v>
      </c>
      <c r="J34" s="81">
        <v>-80.741</v>
      </c>
      <c r="K34" s="81">
        <v>-96.49</v>
      </c>
      <c r="L34" s="142">
        <v>-103.03100000000001</v>
      </c>
      <c r="M34" s="77">
        <f>SUM(AY34:BB34)</f>
        <v>-116.91459306831592</v>
      </c>
      <c r="N34" s="76">
        <f>SUM(BC34:BF34)</f>
        <v>-159.01551897512189</v>
      </c>
      <c r="O34" s="76">
        <f>SUM(BG34:BJ34)</f>
        <v>-192.03938769236595</v>
      </c>
      <c r="P34" s="76">
        <f>SUM(BK34:BN34)</f>
        <v>-233.27055409280865</v>
      </c>
      <c r="Q34" s="76">
        <f>SUM(BO34:BR34)</f>
        <v>-288.14476689734187</v>
      </c>
      <c r="R34" s="46"/>
      <c r="S34" s="142">
        <v>-1.885</v>
      </c>
      <c r="T34" s="142">
        <v>-2.1800000000000006</v>
      </c>
      <c r="U34" s="142">
        <v>-2.1619999999999999</v>
      </c>
      <c r="V34" s="146">
        <f>E34-U34-T34-S34</f>
        <v>-1.1929999999999994</v>
      </c>
      <c r="W34" s="142">
        <v>-1.8</v>
      </c>
      <c r="X34" s="142">
        <v>-3.2010000000000005</v>
      </c>
      <c r="Y34" s="142">
        <v>-2.3519999999999994</v>
      </c>
      <c r="Z34" s="146">
        <f>F34-Y34-X34-W34</f>
        <v>-5.4330000000000007</v>
      </c>
      <c r="AA34" s="142">
        <v>-2.9340000000000002</v>
      </c>
      <c r="AB34" s="142">
        <v>-4.26</v>
      </c>
      <c r="AC34" s="142">
        <v>-1.9709999999999992</v>
      </c>
      <c r="AD34" s="146">
        <f>G34-AC34-AB34-AA34</f>
        <v>-4.8210000000000006</v>
      </c>
      <c r="AE34" s="142">
        <v>-3.0249999999999999</v>
      </c>
      <c r="AF34" s="142">
        <v>-4.468</v>
      </c>
      <c r="AG34" s="142">
        <v>-3.5420000000000003</v>
      </c>
      <c r="AH34" s="146">
        <f>H34-AG34-AF34-AE34</f>
        <v>-7.407</v>
      </c>
      <c r="AI34" s="142">
        <v>-12.616</v>
      </c>
      <c r="AJ34" s="142">
        <v>-17.044</v>
      </c>
      <c r="AK34" s="142">
        <v>-19.873999999999995</v>
      </c>
      <c r="AL34" s="146">
        <f>I34-AK34-AJ34-AI34</f>
        <v>-27.454000000000008</v>
      </c>
      <c r="AM34" s="142">
        <v>-23.613</v>
      </c>
      <c r="AN34" s="142">
        <v>-22.896000000000001</v>
      </c>
      <c r="AO34" s="142">
        <v>-20.516000000000005</v>
      </c>
      <c r="AP34" s="146">
        <f>J34-AO34-AN34-AM34</f>
        <v>-13.715999999999994</v>
      </c>
      <c r="AQ34" s="142">
        <v>-17.184000000000001</v>
      </c>
      <c r="AR34" s="142">
        <v>-26.511999999999997</v>
      </c>
      <c r="AS34" s="142">
        <v>-26.361000000000001</v>
      </c>
      <c r="AT34" s="146">
        <f>K34-AS34-AR34-AQ34</f>
        <v>-26.432999999999989</v>
      </c>
      <c r="AU34" s="142">
        <v>-26.338999999999999</v>
      </c>
      <c r="AV34" s="142">
        <v>-31.597000000000001</v>
      </c>
      <c r="AW34" s="142">
        <v>-20.609000000000002</v>
      </c>
      <c r="AX34" s="146">
        <f>L34-AW34-AV34-AU34</f>
        <v>-24.485999999999997</v>
      </c>
      <c r="AY34" s="142">
        <v>-22.193999999999999</v>
      </c>
      <c r="AZ34" s="142">
        <v>-23.489000000000001</v>
      </c>
      <c r="BA34" s="153">
        <v>-35.958999999999989</v>
      </c>
      <c r="BB34" s="77">
        <f>-BB68*IS!BB4</f>
        <v>-35.272593068315935</v>
      </c>
      <c r="BC34" s="76">
        <f>-BC68*IS!BC4</f>
        <v>-37.032741627172236</v>
      </c>
      <c r="BD34" s="76">
        <f>-BD68*IS!BD4</f>
        <v>-39.087193701558697</v>
      </c>
      <c r="BE34" s="76">
        <f>-BE68*IS!BE4</f>
        <v>-40.983164836510007</v>
      </c>
      <c r="BF34" s="76">
        <f>-BF68*IS!BF4</f>
        <v>-41.912418809880961</v>
      </c>
      <c r="BG34" s="76">
        <f>-BG68*IS!BG4</f>
        <v>-44.33153905618051</v>
      </c>
      <c r="BH34" s="76">
        <f>-BH68*IS!BH4</f>
        <v>-47.581999698755503</v>
      </c>
      <c r="BI34" s="76">
        <f>-BI68*IS!BI4</f>
        <v>-49.589126691197897</v>
      </c>
      <c r="BJ34" s="76">
        <f>-BJ68*IS!BJ4</f>
        <v>-50.536722246232053</v>
      </c>
      <c r="BK34" s="76">
        <f>-BK68*IS!BK4</f>
        <v>-53.254529541608427</v>
      </c>
      <c r="BL34" s="76">
        <f>-BL68*IS!BL4</f>
        <v>-58.105928214148051</v>
      </c>
      <c r="BM34" s="76">
        <f>-BM68*IS!BM4</f>
        <v>-60.464340864806772</v>
      </c>
      <c r="BN34" s="76">
        <f>-BN68*IS!BN4</f>
        <v>-61.445755472245438</v>
      </c>
      <c r="BO34" s="76">
        <f>-BO68*IS!BO4</f>
        <v>-65.184143245953848</v>
      </c>
      <c r="BP34" s="76">
        <f>-BP68*IS!BP4</f>
        <v>-72.339054729045358</v>
      </c>
      <c r="BQ34" s="76">
        <f>-BQ68*IS!BQ4</f>
        <v>-74.948509323580922</v>
      </c>
      <c r="BR34" s="76">
        <f>-BR68*IS!BR4</f>
        <v>-75.673059598761725</v>
      </c>
    </row>
    <row r="35" spans="1:70" x14ac:dyDescent="0.2">
      <c r="A35" s="283" t="s">
        <v>265</v>
      </c>
      <c r="B35" s="9"/>
      <c r="C35" s="81">
        <v>0</v>
      </c>
      <c r="D35" s="81">
        <v>-15.353999999999999</v>
      </c>
      <c r="E35" s="81">
        <v>-10.763</v>
      </c>
      <c r="F35" s="81">
        <v>0</v>
      </c>
      <c r="G35" s="81">
        <v>0</v>
      </c>
      <c r="H35" s="81">
        <v>-1068</v>
      </c>
      <c r="I35" s="81">
        <v>-10.856999999999999</v>
      </c>
      <c r="J35" s="81">
        <v>-0.69399999999999995</v>
      </c>
      <c r="K35" s="81">
        <v>0</v>
      </c>
      <c r="L35" s="81">
        <v>0</v>
      </c>
      <c r="M35" s="77">
        <f>SUM(AY35:BB35)</f>
        <v>-20</v>
      </c>
      <c r="N35" s="76">
        <f>SUM(BC35:BF35)</f>
        <v>0</v>
      </c>
      <c r="O35" s="76">
        <f>SUM(BG35:BJ35)</f>
        <v>0</v>
      </c>
      <c r="P35" s="76">
        <f>SUM(BK35:BN35)</f>
        <v>0</v>
      </c>
      <c r="Q35" s="76">
        <f>SUM(BO35:BR35)</f>
        <v>0</v>
      </c>
      <c r="R35" s="46"/>
      <c r="S35" s="142">
        <v>-0.02</v>
      </c>
      <c r="T35" s="142">
        <f>0-S35</f>
        <v>0.02</v>
      </c>
      <c r="U35" s="142">
        <f>0-T35-S35</f>
        <v>0</v>
      </c>
      <c r="V35" s="146">
        <f>E35-U35-T35-S35</f>
        <v>-10.763</v>
      </c>
      <c r="W35" s="142">
        <v>0</v>
      </c>
      <c r="X35" s="142">
        <v>0</v>
      </c>
      <c r="Y35" s="142">
        <v>0</v>
      </c>
      <c r="Z35" s="146">
        <f>F35-Y35-X35-W35</f>
        <v>0</v>
      </c>
      <c r="AA35" s="142">
        <v>0</v>
      </c>
      <c r="AB35" s="142">
        <v>0</v>
      </c>
      <c r="AC35" s="142">
        <v>0</v>
      </c>
      <c r="AD35" s="146">
        <f>G35-AC35-AB35-AA35</f>
        <v>0</v>
      </c>
      <c r="AE35" s="142">
        <v>0</v>
      </c>
      <c r="AF35" s="142">
        <v>-11.845000000000001</v>
      </c>
      <c r="AG35" s="142">
        <v>0</v>
      </c>
      <c r="AH35" s="146">
        <f>H35-AG35-AF35-AE35</f>
        <v>-1056.155</v>
      </c>
      <c r="AI35" s="142">
        <v>0</v>
      </c>
      <c r="AJ35" s="142">
        <v>-2.2570000000000001</v>
      </c>
      <c r="AK35" s="142">
        <v>-8.6</v>
      </c>
      <c r="AL35" s="146">
        <f>I35-AK35-AJ35-AI35</f>
        <v>4.4408920985006262E-16</v>
      </c>
      <c r="AM35" s="142">
        <v>0</v>
      </c>
      <c r="AN35" s="142">
        <v>0</v>
      </c>
      <c r="AO35" s="142">
        <v>-0.69399999999999995</v>
      </c>
      <c r="AP35" s="146">
        <f>J35-AO35-AN35-AM35</f>
        <v>0</v>
      </c>
      <c r="AQ35" s="142">
        <v>0</v>
      </c>
      <c r="AR35" s="142">
        <v>0</v>
      </c>
      <c r="AS35" s="142">
        <v>0</v>
      </c>
      <c r="AT35" s="146">
        <f>K35-AS35-AR35-AQ35</f>
        <v>0</v>
      </c>
      <c r="AU35" s="142">
        <v>0</v>
      </c>
      <c r="AV35" s="142">
        <v>0</v>
      </c>
      <c r="AW35" s="142">
        <v>0</v>
      </c>
      <c r="AX35" s="146">
        <f>L35-AW35-AV35-AU35</f>
        <v>0</v>
      </c>
      <c r="AY35" s="142">
        <v>-20</v>
      </c>
      <c r="AZ35" s="142">
        <v>0</v>
      </c>
      <c r="BA35" s="153">
        <v>0</v>
      </c>
      <c r="BB35" s="172"/>
      <c r="BC35" s="188"/>
      <c r="BD35" s="188"/>
      <c r="BE35" s="188"/>
      <c r="BF35" s="188"/>
      <c r="BG35" s="188"/>
      <c r="BH35" s="188"/>
      <c r="BI35" s="188"/>
      <c r="BJ35" s="188"/>
      <c r="BK35" s="188"/>
      <c r="BL35" s="188"/>
      <c r="BM35" s="188"/>
      <c r="BN35" s="188"/>
      <c r="BO35" s="188"/>
      <c r="BP35" s="188"/>
      <c r="BQ35" s="188"/>
      <c r="BR35" s="188"/>
    </row>
    <row r="36" spans="1:70" x14ac:dyDescent="0.2">
      <c r="A36" s="283" t="s">
        <v>266</v>
      </c>
      <c r="B36" s="9"/>
      <c r="C36" s="81">
        <v>0</v>
      </c>
      <c r="D36" s="81">
        <v>0</v>
      </c>
      <c r="E36" s="81">
        <v>0</v>
      </c>
      <c r="F36" s="81">
        <v>0</v>
      </c>
      <c r="G36" s="81">
        <v>8.5999999999999993E-2</v>
      </c>
      <c r="H36" s="81">
        <v>0.42099999999999999</v>
      </c>
      <c r="I36" s="81">
        <v>2.1019999999999999</v>
      </c>
      <c r="J36" s="81">
        <v>4.5990000000000002</v>
      </c>
      <c r="K36" s="81">
        <v>0.01</v>
      </c>
      <c r="L36" s="142">
        <v>0.23699999999999999</v>
      </c>
      <c r="M36" s="77">
        <f>SUM(AY36:BB36)</f>
        <v>5.6000000000000001E-2</v>
      </c>
      <c r="N36" s="76">
        <f>SUM(BC36:BF36)</f>
        <v>0</v>
      </c>
      <c r="O36" s="76">
        <f>SUM(BG36:BJ36)</f>
        <v>0</v>
      </c>
      <c r="P36" s="76">
        <f>SUM(BK36:BN36)</f>
        <v>0</v>
      </c>
      <c r="Q36" s="76">
        <f>SUM(BO36:BR36)</f>
        <v>0</v>
      </c>
      <c r="R36" s="46"/>
      <c r="S36" s="142">
        <v>0</v>
      </c>
      <c r="T36" s="142">
        <v>0</v>
      </c>
      <c r="U36" s="142">
        <v>0</v>
      </c>
      <c r="V36" s="146">
        <f>E36-U36-T36-S36</f>
        <v>0</v>
      </c>
      <c r="W36" s="142">
        <v>0</v>
      </c>
      <c r="X36" s="142">
        <v>0</v>
      </c>
      <c r="Y36" s="142">
        <v>0.44800000000000001</v>
      </c>
      <c r="Z36" s="146">
        <f>F36-Y36-X36-W36</f>
        <v>-0.44800000000000001</v>
      </c>
      <c r="AA36" s="142">
        <v>3.1E-2</v>
      </c>
      <c r="AB36" s="142">
        <v>4.0000000000000036E-3</v>
      </c>
      <c r="AC36" s="142">
        <v>4.8000000000000001E-2</v>
      </c>
      <c r="AD36" s="146">
        <f>G36-AC36-AB36-AA36</f>
        <v>2.9999999999999888E-3</v>
      </c>
      <c r="AE36" s="142">
        <v>0.192</v>
      </c>
      <c r="AF36" s="142">
        <v>2.0999999999999991E-2</v>
      </c>
      <c r="AG36" s="142">
        <v>8.500000000000002E-2</v>
      </c>
      <c r="AH36" s="146">
        <f>H36-AG36-AF36-AE36</f>
        <v>0.12299999999999994</v>
      </c>
      <c r="AI36" s="142">
        <v>1E-3</v>
      </c>
      <c r="AJ36" s="142">
        <v>2.8000000000000001E-2</v>
      </c>
      <c r="AK36" s="142">
        <v>2.0740000000000003</v>
      </c>
      <c r="AL36" s="146">
        <f>I36-AK36-AJ36-AI36</f>
        <v>-1.0000000000004198E-3</v>
      </c>
      <c r="AM36" s="142">
        <v>0.01</v>
      </c>
      <c r="AN36" s="142">
        <v>4.5979999999999999</v>
      </c>
      <c r="AO36" s="142">
        <v>-2.1337098754514727E-16</v>
      </c>
      <c r="AP36" s="146">
        <f>J36-AO36-AN36-AM36</f>
        <v>-8.9999999999996663E-3</v>
      </c>
      <c r="AQ36" s="142">
        <v>0</v>
      </c>
      <c r="AR36" s="142">
        <v>2E-3</v>
      </c>
      <c r="AS36" s="142">
        <v>2E-3</v>
      </c>
      <c r="AT36" s="146">
        <f>K36-AS36-AR36-AQ36</f>
        <v>6.0000000000000001E-3</v>
      </c>
      <c r="AU36" s="142">
        <v>7.1999999999999995E-2</v>
      </c>
      <c r="AV36" s="142">
        <v>7.0000000000000062E-3</v>
      </c>
      <c r="AW36" s="142">
        <v>4.0000000000000036E-3</v>
      </c>
      <c r="AX36" s="146">
        <f>L36-AW36-AV36-AU36</f>
        <v>0.15399999999999997</v>
      </c>
      <c r="AY36" s="142">
        <v>3.3000000000000002E-2</v>
      </c>
      <c r="AZ36" s="142">
        <v>1.7000000000000001E-2</v>
      </c>
      <c r="BA36" s="153">
        <v>5.9999999999999984E-3</v>
      </c>
      <c r="BB36" s="172"/>
      <c r="BC36" s="188"/>
      <c r="BD36" s="188"/>
      <c r="BE36" s="188"/>
      <c r="BF36" s="188"/>
      <c r="BG36" s="188"/>
      <c r="BH36" s="188"/>
      <c r="BI36" s="188"/>
      <c r="BJ36" s="188"/>
      <c r="BK36" s="188"/>
      <c r="BL36" s="188"/>
      <c r="BM36" s="188"/>
      <c r="BN36" s="188"/>
      <c r="BO36" s="188"/>
      <c r="BP36" s="188"/>
      <c r="BQ36" s="188"/>
      <c r="BR36" s="188"/>
    </row>
    <row r="37" spans="1:70" x14ac:dyDescent="0.2">
      <c r="A37" s="283" t="s">
        <v>267</v>
      </c>
      <c r="B37" s="9"/>
      <c r="C37" s="81">
        <v>0</v>
      </c>
      <c r="D37" s="81">
        <v>0</v>
      </c>
      <c r="E37" s="81">
        <v>0</v>
      </c>
      <c r="F37" s="81">
        <v>0</v>
      </c>
      <c r="G37" s="81">
        <v>0</v>
      </c>
      <c r="H37" s="81">
        <v>0</v>
      </c>
      <c r="I37" s="81">
        <v>-2.8130000000000002</v>
      </c>
      <c r="J37" s="81">
        <v>-11.311999999999999</v>
      </c>
      <c r="K37" s="81">
        <v>-13.3</v>
      </c>
      <c r="L37" s="142">
        <v>-20.556000000000001</v>
      </c>
      <c r="M37" s="77">
        <f>SUM(AY37:BB37)</f>
        <v>-17.102</v>
      </c>
      <c r="N37" s="76">
        <f>SUM(BC37:BF37)</f>
        <v>0</v>
      </c>
      <c r="O37" s="76">
        <f>SUM(BG37:BJ37)</f>
        <v>0</v>
      </c>
      <c r="P37" s="76">
        <f>SUM(BK37:BN37)</f>
        <v>0</v>
      </c>
      <c r="Q37" s="76">
        <f>SUM(BO37:BR37)</f>
        <v>0</v>
      </c>
      <c r="R37" s="46"/>
      <c r="S37" s="142">
        <v>0</v>
      </c>
      <c r="T37" s="142">
        <v>0</v>
      </c>
      <c r="U37" s="142">
        <v>0</v>
      </c>
      <c r="V37" s="146">
        <f>E37-U37-T37-S37</f>
        <v>0</v>
      </c>
      <c r="W37" s="142">
        <v>0</v>
      </c>
      <c r="X37" s="142">
        <v>0</v>
      </c>
      <c r="Y37" s="142">
        <v>0</v>
      </c>
      <c r="Z37" s="146">
        <f>F37-Y37-X37-W37</f>
        <v>0</v>
      </c>
      <c r="AA37" s="142">
        <v>0</v>
      </c>
      <c r="AB37" s="142">
        <v>0</v>
      </c>
      <c r="AC37" s="142">
        <v>0</v>
      </c>
      <c r="AD37" s="146">
        <f>G37-AC37-AB37-AA37</f>
        <v>0</v>
      </c>
      <c r="AE37" s="142">
        <v>0</v>
      </c>
      <c r="AF37" s="142">
        <v>0</v>
      </c>
      <c r="AG37" s="142">
        <v>0</v>
      </c>
      <c r="AH37" s="146">
        <f>H37-AG37-AF37-AE37</f>
        <v>0</v>
      </c>
      <c r="AI37" s="142">
        <v>-1.2549999999999999</v>
      </c>
      <c r="AJ37" s="142">
        <v>0</v>
      </c>
      <c r="AK37" s="142">
        <v>-1.5580000000000003</v>
      </c>
      <c r="AL37" s="146">
        <f>I37-AK37-AJ37-AI37</f>
        <v>0</v>
      </c>
      <c r="AM37" s="142">
        <v>-1</v>
      </c>
      <c r="AN37" s="142">
        <v>-10.186999999999999</v>
      </c>
      <c r="AO37" s="142">
        <v>0</v>
      </c>
      <c r="AP37" s="146">
        <f>J37-AO37-AN37-AM37</f>
        <v>-0.125</v>
      </c>
      <c r="AQ37" s="142">
        <v>-3.044</v>
      </c>
      <c r="AR37" s="142">
        <v>0</v>
      </c>
      <c r="AS37" s="142">
        <v>-10.087999999999999</v>
      </c>
      <c r="AT37" s="146">
        <f>K37-AS37-AR37-AQ37</f>
        <v>-0.16800000000000148</v>
      </c>
      <c r="AU37" s="142">
        <v>-4.6429999999999998</v>
      </c>
      <c r="AV37" s="142">
        <v>-5.4740000000000011</v>
      </c>
      <c r="AW37" s="142">
        <v>-5.1830000000000007</v>
      </c>
      <c r="AX37" s="146">
        <f>L37-AW37-AV37-AU37</f>
        <v>-5.2560000000000011</v>
      </c>
      <c r="AY37" s="142">
        <v>-5.3289999999999997</v>
      </c>
      <c r="AZ37" s="142">
        <v>-6.319</v>
      </c>
      <c r="BA37" s="153">
        <v>-5.4540000000000015</v>
      </c>
      <c r="BB37" s="172"/>
      <c r="BC37" s="188"/>
      <c r="BD37" s="188"/>
      <c r="BE37" s="188"/>
      <c r="BF37" s="188"/>
      <c r="BG37" s="188"/>
      <c r="BH37" s="188"/>
      <c r="BI37" s="188"/>
      <c r="BJ37" s="188"/>
      <c r="BK37" s="188"/>
      <c r="BL37" s="188"/>
      <c r="BM37" s="188"/>
      <c r="BN37" s="188"/>
      <c r="BO37" s="188"/>
      <c r="BP37" s="188"/>
      <c r="BQ37" s="188"/>
      <c r="BR37" s="188"/>
    </row>
    <row r="38" spans="1:70" x14ac:dyDescent="0.2">
      <c r="A38" s="283" t="s">
        <v>268</v>
      </c>
      <c r="B38" s="9"/>
      <c r="C38" s="81">
        <v>0</v>
      </c>
      <c r="D38" s="81">
        <v>0</v>
      </c>
      <c r="E38" s="81">
        <v>0</v>
      </c>
      <c r="F38" s="81">
        <v>0</v>
      </c>
      <c r="G38" s="81">
        <v>0</v>
      </c>
      <c r="H38" s="81">
        <v>0.27600000000000002</v>
      </c>
      <c r="I38" s="81">
        <v>3.1040000000000001</v>
      </c>
      <c r="J38" s="81">
        <v>0</v>
      </c>
      <c r="K38" s="81">
        <v>0</v>
      </c>
      <c r="L38" s="142">
        <v>0</v>
      </c>
      <c r="M38" s="77">
        <f>SUM(AY38:BB38)</f>
        <v>0</v>
      </c>
      <c r="N38" s="76">
        <f>SUM(BC38:BF38)</f>
        <v>0</v>
      </c>
      <c r="O38" s="76">
        <f>SUM(BG38:BJ38)</f>
        <v>0</v>
      </c>
      <c r="P38" s="76">
        <f>SUM(BK38:BN38)</f>
        <v>0</v>
      </c>
      <c r="Q38" s="76">
        <f>SUM(BO38:BR38)</f>
        <v>0</v>
      </c>
      <c r="R38" s="46"/>
      <c r="S38" s="142">
        <v>0</v>
      </c>
      <c r="T38" s="142">
        <v>0</v>
      </c>
      <c r="U38" s="142">
        <v>0</v>
      </c>
      <c r="V38" s="146">
        <f>E38-U38-T38-S38</f>
        <v>0</v>
      </c>
      <c r="W38" s="142">
        <v>0</v>
      </c>
      <c r="X38" s="142">
        <v>0</v>
      </c>
      <c r="Y38" s="142">
        <v>0</v>
      </c>
      <c r="Z38" s="146">
        <f>F38-Y38-X38-W38</f>
        <v>0</v>
      </c>
      <c r="AA38" s="142">
        <v>0</v>
      </c>
      <c r="AB38" s="142">
        <v>0</v>
      </c>
      <c r="AC38" s="142">
        <v>0</v>
      </c>
      <c r="AD38" s="146">
        <f>G38-AC38-AB38-AA38</f>
        <v>0</v>
      </c>
      <c r="AE38" s="142">
        <v>0</v>
      </c>
      <c r="AF38" s="142">
        <v>0</v>
      </c>
      <c r="AG38" s="142">
        <v>0</v>
      </c>
      <c r="AH38" s="146">
        <f>H38-AG38-AF38-AE38</f>
        <v>0.27600000000000002</v>
      </c>
      <c r="AI38" s="142">
        <v>1.2170000000000001</v>
      </c>
      <c r="AJ38" s="142">
        <v>1.1749999999999998</v>
      </c>
      <c r="AK38" s="142">
        <v>0.71200000000000019</v>
      </c>
      <c r="AL38" s="146">
        <f>I38-AK38-AJ38-AI38</f>
        <v>0</v>
      </c>
      <c r="AM38" s="142">
        <v>0</v>
      </c>
      <c r="AN38" s="142">
        <v>0</v>
      </c>
      <c r="AO38" s="142">
        <v>0</v>
      </c>
      <c r="AP38" s="146">
        <f>J38-AO38-AN38-AM38</f>
        <v>0</v>
      </c>
      <c r="AQ38" s="142">
        <v>0</v>
      </c>
      <c r="AR38" s="142">
        <v>0</v>
      </c>
      <c r="AS38" s="142">
        <v>0</v>
      </c>
      <c r="AT38" s="146">
        <f>K38-AS38-AR38-AQ38</f>
        <v>0</v>
      </c>
      <c r="AU38" s="142">
        <v>0</v>
      </c>
      <c r="AV38" s="142">
        <v>0</v>
      </c>
      <c r="AW38" s="142">
        <v>0</v>
      </c>
      <c r="AX38" s="146">
        <f>L38-AW38-AV38-AU38</f>
        <v>0</v>
      </c>
      <c r="AY38" s="142">
        <v>0</v>
      </c>
      <c r="AZ38" s="142">
        <v>0</v>
      </c>
      <c r="BA38" s="153">
        <v>0</v>
      </c>
      <c r="BB38" s="172"/>
      <c r="BC38" s="188"/>
      <c r="BD38" s="188"/>
      <c r="BE38" s="188"/>
      <c r="BF38" s="188"/>
      <c r="BG38" s="188"/>
      <c r="BH38" s="188"/>
      <c r="BI38" s="188"/>
      <c r="BJ38" s="188"/>
      <c r="BK38" s="188"/>
      <c r="BL38" s="188"/>
      <c r="BM38" s="188"/>
      <c r="BN38" s="188"/>
      <c r="BO38" s="188"/>
      <c r="BP38" s="188"/>
      <c r="BQ38" s="188"/>
      <c r="BR38" s="188"/>
    </row>
    <row r="39" spans="1:70" x14ac:dyDescent="0.2">
      <c r="A39" s="284" t="s">
        <v>269</v>
      </c>
      <c r="B39" s="29"/>
      <c r="C39" s="82">
        <v>1.9E-2</v>
      </c>
      <c r="D39" s="82">
        <v>-8.6999999999999994E-2</v>
      </c>
      <c r="E39" s="82">
        <v>0</v>
      </c>
      <c r="F39" s="82">
        <v>0.255</v>
      </c>
      <c r="G39" s="82">
        <v>-0.09</v>
      </c>
      <c r="H39" s="82">
        <v>-0.10199999999999999</v>
      </c>
      <c r="I39" s="82">
        <v>-9.7000000000000003E-2</v>
      </c>
      <c r="J39" s="82">
        <v>0</v>
      </c>
      <c r="K39" s="82">
        <v>0</v>
      </c>
      <c r="L39" s="143">
        <v>0</v>
      </c>
      <c r="M39" s="83">
        <f>SUM(AY39:BB39)</f>
        <v>0</v>
      </c>
      <c r="N39" s="84">
        <f>SUM(BC39:BF39)</f>
        <v>0</v>
      </c>
      <c r="O39" s="84">
        <f>SUM(BG39:BJ39)</f>
        <v>0</v>
      </c>
      <c r="P39" s="84">
        <f>SUM(BK39:BN39)</f>
        <v>0</v>
      </c>
      <c r="Q39" s="84">
        <f>SUM(BO39:BR39)</f>
        <v>0</v>
      </c>
      <c r="R39" s="61"/>
      <c r="S39" s="143">
        <v>0</v>
      </c>
      <c r="T39" s="143">
        <v>-1.4E-2</v>
      </c>
      <c r="U39" s="143">
        <v>0</v>
      </c>
      <c r="V39" s="148">
        <f>E39-U39-T39-S39</f>
        <v>1.4E-2</v>
      </c>
      <c r="W39" s="143">
        <v>0.255</v>
      </c>
      <c r="X39" s="143">
        <v>0</v>
      </c>
      <c r="Y39" s="143">
        <v>0</v>
      </c>
      <c r="Z39" s="148">
        <f>F39-Y39-X39-W39</f>
        <v>0</v>
      </c>
      <c r="AA39" s="143">
        <v>0</v>
      </c>
      <c r="AB39" s="143">
        <v>0</v>
      </c>
      <c r="AC39" s="143">
        <v>-9.0999999999999998E-2</v>
      </c>
      <c r="AD39" s="148">
        <f>G39-AC39-AB39-AA39</f>
        <v>1.0000000000000009E-3</v>
      </c>
      <c r="AE39" s="143">
        <v>-4.5999999999999999E-2</v>
      </c>
      <c r="AF39" s="143">
        <v>1.0000000000000009E-3</v>
      </c>
      <c r="AG39" s="143">
        <v>-3.2000000000000001E-2</v>
      </c>
      <c r="AH39" s="148">
        <f>H39-AG39-AF39-AE39</f>
        <v>-2.4999999999999994E-2</v>
      </c>
      <c r="AI39" s="143">
        <v>5.8999999999999997E-2</v>
      </c>
      <c r="AJ39" s="143">
        <v>1.0000000000000009E-3</v>
      </c>
      <c r="AK39" s="143">
        <v>-0.126</v>
      </c>
      <c r="AL39" s="148">
        <f>I39-AK39-AJ39-AI39</f>
        <v>-3.1E-2</v>
      </c>
      <c r="AM39" s="143">
        <v>4.3999999999999997E-2</v>
      </c>
      <c r="AN39" s="143">
        <v>1.0000000000000002E-2</v>
      </c>
      <c r="AO39" s="143">
        <v>3.3999999999999989E-2</v>
      </c>
      <c r="AP39" s="148">
        <f>J39-AO39-AN39-AM39</f>
        <v>-8.7999999999999995E-2</v>
      </c>
      <c r="AQ39" s="143">
        <v>0</v>
      </c>
      <c r="AR39" s="143">
        <v>0</v>
      </c>
      <c r="AS39" s="143">
        <v>0</v>
      </c>
      <c r="AT39" s="148">
        <f>K39-AS39-AR39-AQ39</f>
        <v>0</v>
      </c>
      <c r="AU39" s="143">
        <v>0</v>
      </c>
      <c r="AV39" s="143">
        <v>0</v>
      </c>
      <c r="AW39" s="143">
        <v>0</v>
      </c>
      <c r="AX39" s="148">
        <f>L39-AW39-AV39-AU39</f>
        <v>0</v>
      </c>
      <c r="AY39" s="143">
        <v>0</v>
      </c>
      <c r="AZ39" s="143">
        <v>0</v>
      </c>
      <c r="BA39" s="213">
        <v>0</v>
      </c>
      <c r="BB39" s="253"/>
      <c r="BC39" s="194"/>
      <c r="BD39" s="194"/>
      <c r="BE39" s="194"/>
      <c r="BF39" s="194"/>
      <c r="BG39" s="194"/>
      <c r="BH39" s="194"/>
      <c r="BI39" s="194"/>
      <c r="BJ39" s="194"/>
      <c r="BK39" s="194"/>
      <c r="BL39" s="194"/>
      <c r="BM39" s="194"/>
      <c r="BN39" s="194"/>
      <c r="BO39" s="194"/>
      <c r="BP39" s="194"/>
      <c r="BQ39" s="194"/>
      <c r="BR39" s="194"/>
    </row>
    <row r="40" spans="1:70" x14ac:dyDescent="0.2">
      <c r="A40" s="286" t="s">
        <v>128</v>
      </c>
      <c r="B40" s="21" t="s">
        <v>173</v>
      </c>
      <c r="C40" s="85">
        <v>-7.2350000000000003</v>
      </c>
      <c r="D40" s="85">
        <v>-24.492000000000001</v>
      </c>
      <c r="E40" s="85">
        <v>-18.183</v>
      </c>
      <c r="F40" s="85">
        <v>-12.531000000000001</v>
      </c>
      <c r="G40" s="85">
        <v>-13.99</v>
      </c>
      <c r="H40" s="85">
        <v>-1085.847</v>
      </c>
      <c r="I40" s="85">
        <v>-85.549000000000007</v>
      </c>
      <c r="J40" s="145">
        <v>-88.147999999999996</v>
      </c>
      <c r="K40" s="145">
        <v>-109.78</v>
      </c>
      <c r="L40" s="145">
        <v>-123.35</v>
      </c>
      <c r="M40" s="110">
        <f>SUM(AY40:BB40)</f>
        <v>-153.96059306831592</v>
      </c>
      <c r="N40" s="111">
        <f>SUM(BC40:BF40)</f>
        <v>-159.01551897512189</v>
      </c>
      <c r="O40" s="111">
        <f>SUM(BG40:BJ40)</f>
        <v>-192.03938769236595</v>
      </c>
      <c r="P40" s="111">
        <f>SUM(BK40:BN40)</f>
        <v>-233.27055409280865</v>
      </c>
      <c r="Q40" s="111">
        <f>SUM(BO40:BR40)</f>
        <v>-288.14476689734187</v>
      </c>
      <c r="R40" s="60"/>
      <c r="S40" s="145">
        <v>-1.905</v>
      </c>
      <c r="T40" s="145">
        <v>-2.1739999999999995</v>
      </c>
      <c r="U40" s="145">
        <v>-2.1619999999999999</v>
      </c>
      <c r="V40" s="144">
        <f>E40-U40-T40-S40</f>
        <v>-11.942000000000002</v>
      </c>
      <c r="W40" s="145">
        <v>-1.5449999999999999</v>
      </c>
      <c r="X40" s="145">
        <v>-3.2010000000000005</v>
      </c>
      <c r="Y40" s="145">
        <v>-1.9039999999999999</v>
      </c>
      <c r="Z40" s="144">
        <f>F40-Y40-X40-W40</f>
        <v>-5.8810000000000002</v>
      </c>
      <c r="AA40" s="145">
        <v>-2.903</v>
      </c>
      <c r="AB40" s="145">
        <v>-4.2560000000000002</v>
      </c>
      <c r="AC40" s="145">
        <v>-2.0139999999999998</v>
      </c>
      <c r="AD40" s="144">
        <f>G40-AC40-AB40-AA40</f>
        <v>-4.8170000000000002</v>
      </c>
      <c r="AE40" s="145">
        <v>-2.879</v>
      </c>
      <c r="AF40" s="145">
        <v>-16.291</v>
      </c>
      <c r="AG40" s="145">
        <v>-3.4889999999999985</v>
      </c>
      <c r="AH40" s="144">
        <f>H40-AG40-AF40-AE40</f>
        <v>-1063.1880000000001</v>
      </c>
      <c r="AI40" s="145">
        <v>-12.593999999999999</v>
      </c>
      <c r="AJ40" s="145">
        <v>-18.097000000000001</v>
      </c>
      <c r="AK40" s="145">
        <v>-27.372</v>
      </c>
      <c r="AL40" s="144">
        <f>I40-AK40-AJ40-AI40</f>
        <v>-27.486000000000004</v>
      </c>
      <c r="AM40" s="145">
        <v>-24.559000000000001</v>
      </c>
      <c r="AN40" s="145">
        <v>-28.474999999999998</v>
      </c>
      <c r="AO40" s="145">
        <v>-21.175999999999998</v>
      </c>
      <c r="AP40" s="144">
        <f>J40-AO40-AN40-AM40</f>
        <v>-13.937999999999999</v>
      </c>
      <c r="AQ40" s="145">
        <v>-20.228000000000002</v>
      </c>
      <c r="AR40" s="145">
        <v>-26.509999999999998</v>
      </c>
      <c r="AS40" s="145">
        <v>-36.447000000000003</v>
      </c>
      <c r="AT40" s="144">
        <f>K40-AS40-AR40-AQ40</f>
        <v>-26.594999999999999</v>
      </c>
      <c r="AU40" s="145">
        <v>-30.91</v>
      </c>
      <c r="AV40" s="145">
        <v>-37.064000000000007</v>
      </c>
      <c r="AW40" s="145">
        <v>-25.787999999999993</v>
      </c>
      <c r="AX40" s="144">
        <f>L40-AW40-AV40-AU40</f>
        <v>-29.58799999999999</v>
      </c>
      <c r="AY40" s="145">
        <v>-47.49</v>
      </c>
      <c r="AZ40" s="145">
        <v>-29.791000000000004</v>
      </c>
      <c r="BA40" s="155">
        <v>-41.406999999999989</v>
      </c>
      <c r="BB40" s="136">
        <f>SUM(BB34:BB39)</f>
        <v>-35.272593068315935</v>
      </c>
      <c r="BC40" s="137">
        <f>SUM(BC34:BC39)</f>
        <v>-37.032741627172236</v>
      </c>
      <c r="BD40" s="137">
        <f>SUM(BD34:BD39)</f>
        <v>-39.087193701558697</v>
      </c>
      <c r="BE40" s="137">
        <f>SUM(BE34:BE39)</f>
        <v>-40.983164836510007</v>
      </c>
      <c r="BF40" s="137">
        <f>SUM(BF34:BF39)</f>
        <v>-41.912418809880961</v>
      </c>
      <c r="BG40" s="137">
        <f>SUM(BG34:BG39)</f>
        <v>-44.33153905618051</v>
      </c>
      <c r="BH40" s="137">
        <f>SUM(BH34:BH39)</f>
        <v>-47.581999698755503</v>
      </c>
      <c r="BI40" s="137">
        <f>SUM(BI34:BI39)</f>
        <v>-49.589126691197897</v>
      </c>
      <c r="BJ40" s="137">
        <f>SUM(BJ34:BJ39)</f>
        <v>-50.536722246232053</v>
      </c>
      <c r="BK40" s="137">
        <f>SUM(BK34:BK39)</f>
        <v>-53.254529541608427</v>
      </c>
      <c r="BL40" s="137">
        <f>SUM(BL34:BL39)</f>
        <v>-58.105928214148051</v>
      </c>
      <c r="BM40" s="137">
        <f>SUM(BM34:BM39)</f>
        <v>-60.464340864806772</v>
      </c>
      <c r="BN40" s="137">
        <f>SUM(BN34:BN39)</f>
        <v>-61.445755472245438</v>
      </c>
      <c r="BO40" s="137">
        <f>SUM(BO34:BO39)</f>
        <v>-65.184143245953848</v>
      </c>
      <c r="BP40" s="137">
        <f>SUM(BP34:BP39)</f>
        <v>-72.339054729045358</v>
      </c>
      <c r="BQ40" s="137">
        <f>SUM(BQ34:BQ39)</f>
        <v>-74.948509323580922</v>
      </c>
      <c r="BR40" s="137">
        <f>SUM(BR34:BR39)</f>
        <v>-75.673059598761725</v>
      </c>
    </row>
    <row r="41" spans="1:70" x14ac:dyDescent="0.2">
      <c r="A41" s="65" t="s">
        <v>7</v>
      </c>
      <c r="B41" s="13"/>
      <c r="C41" s="159">
        <f>SUM(C34:C39)-C40</f>
        <v>0</v>
      </c>
      <c r="D41" s="159">
        <f>SUM(D34:D39)-D40</f>
        <v>0</v>
      </c>
      <c r="E41" s="159">
        <f>SUM(E34:E39)-E40</f>
        <v>0</v>
      </c>
      <c r="F41" s="159">
        <f>SUM(F34:F39)-F40</f>
        <v>0</v>
      </c>
      <c r="G41" s="159">
        <f>SUM(G34:G39)-G40</f>
        <v>0</v>
      </c>
      <c r="H41" s="159">
        <f>SUM(H34:H39)-H40</f>
        <v>0</v>
      </c>
      <c r="I41" s="159">
        <f>SUM(I34:I39)-I40</f>
        <v>0</v>
      </c>
      <c r="J41" s="159">
        <f>SUM(J34:J39)-J40</f>
        <v>0</v>
      </c>
      <c r="K41" s="159">
        <f>SUM(K34:K39)-K40</f>
        <v>0</v>
      </c>
      <c r="L41" s="160">
        <f>SUM(L34:L39)-L40</f>
        <v>0</v>
      </c>
      <c r="M41" s="167">
        <f>SUM(M34:M39)-M40</f>
        <v>0</v>
      </c>
      <c r="N41" s="159">
        <f>SUM(N34:N39)-N40</f>
        <v>0</v>
      </c>
      <c r="O41" s="159">
        <f>SUM(O34:O39)-O40</f>
        <v>0</v>
      </c>
      <c r="P41" s="159">
        <f>SUM(P34:P39)-P40</f>
        <v>0</v>
      </c>
      <c r="Q41" s="159">
        <f>SUM(Q34:Q39)-Q40</f>
        <v>0</v>
      </c>
      <c r="R41" s="50"/>
      <c r="S41" s="159">
        <f>SUM(S34:S39)-S40</f>
        <v>0</v>
      </c>
      <c r="T41" s="159">
        <f>SUM(T34:T39)-T40</f>
        <v>0</v>
      </c>
      <c r="U41" s="159">
        <f>SUM(U34:U39)-U40</f>
        <v>0</v>
      </c>
      <c r="V41" s="159">
        <f>SUM(V34:V39)-V40</f>
        <v>0</v>
      </c>
      <c r="W41" s="159">
        <f>SUM(W34:W39)-W40</f>
        <v>0</v>
      </c>
      <c r="X41" s="159">
        <f>SUM(X34:X39)-X40</f>
        <v>0</v>
      </c>
      <c r="Y41" s="159">
        <f>SUM(Y34:Y39)-Y40</f>
        <v>0</v>
      </c>
      <c r="Z41" s="159">
        <f>SUM(Z34:Z39)-Z40</f>
        <v>0</v>
      </c>
      <c r="AA41" s="159">
        <f>SUM(AA34:AA39)-AA40</f>
        <v>0</v>
      </c>
      <c r="AB41" s="159">
        <f>SUM(AB34:AB39)-AB40</f>
        <v>0</v>
      </c>
      <c r="AC41" s="159">
        <f>SUM(AC34:AC39)-AC40</f>
        <v>0</v>
      </c>
      <c r="AD41" s="159">
        <f>SUM(AD34:AD39)-AD40</f>
        <v>0</v>
      </c>
      <c r="AE41" s="159">
        <f>SUM(AE34:AE39)-AE40</f>
        <v>0</v>
      </c>
      <c r="AF41" s="159">
        <f>SUM(AF34:AF39)-AF40</f>
        <v>0</v>
      </c>
      <c r="AG41" s="159">
        <f>SUM(AG34:AG39)-AG40</f>
        <v>0</v>
      </c>
      <c r="AH41" s="159">
        <f>SUM(AH34:AH39)-AH40</f>
        <v>0</v>
      </c>
      <c r="AI41" s="159">
        <f>SUM(AI34:AI39)-AI40</f>
        <v>0</v>
      </c>
      <c r="AJ41" s="159">
        <f>SUM(AJ34:AJ39)-AJ40</f>
        <v>0</v>
      </c>
      <c r="AK41" s="159">
        <f>SUM(AK34:AK39)-AK40</f>
        <v>0</v>
      </c>
      <c r="AL41" s="159">
        <f>SUM(AL34:AL39)-AL40</f>
        <v>0</v>
      </c>
      <c r="AM41" s="159">
        <f>SUM(AM34:AM39)-AM40</f>
        <v>0</v>
      </c>
      <c r="AN41" s="159">
        <f>SUM(AN34:AN39)-AN40</f>
        <v>0</v>
      </c>
      <c r="AO41" s="159">
        <f>SUM(AO34:AO39)-AO40</f>
        <v>0</v>
      </c>
      <c r="AP41" s="159">
        <f>SUM(AP34:AP39)-AP40</f>
        <v>0</v>
      </c>
      <c r="AQ41" s="159">
        <f>SUM(AQ34:AQ39)-AQ40</f>
        <v>0</v>
      </c>
      <c r="AR41" s="159">
        <f>SUM(AR34:AR39)-AR40</f>
        <v>0</v>
      </c>
      <c r="AS41" s="159">
        <f>SUM(AS34:AS39)-AS40</f>
        <v>0</v>
      </c>
      <c r="AT41" s="159">
        <f>SUM(AT34:AT39)-AT40</f>
        <v>0</v>
      </c>
      <c r="AU41" s="159">
        <f>SUM(AU34:AU39)-AU40</f>
        <v>0</v>
      </c>
      <c r="AV41" s="159">
        <f>SUM(AV34:AV39)-AV40</f>
        <v>0</v>
      </c>
      <c r="AW41" s="159">
        <f>SUM(AW34:AW39)-AW40</f>
        <v>0</v>
      </c>
      <c r="AX41" s="159">
        <f>SUM(AX34:AX39)-AX40</f>
        <v>0</v>
      </c>
      <c r="AY41" s="159">
        <f>SUM(AY34:AY39)-AY40</f>
        <v>0</v>
      </c>
      <c r="AZ41" s="159">
        <f>SUM(AZ34:AZ39)-AZ40</f>
        <v>0</v>
      </c>
      <c r="BA41" s="160">
        <f>SUM(BA34:BA39)-BA40</f>
        <v>0</v>
      </c>
      <c r="BB41" s="170">
        <f>SUM(BB34:BB39)-BB40</f>
        <v>0</v>
      </c>
      <c r="BC41" s="171">
        <f>SUM(BC34:BC39)-BC40</f>
        <v>0</v>
      </c>
      <c r="BD41" s="171">
        <f>SUM(BD34:BD39)-BD40</f>
        <v>0</v>
      </c>
      <c r="BE41" s="171">
        <f>SUM(BE34:BE39)-BE40</f>
        <v>0</v>
      </c>
      <c r="BF41" s="171">
        <f>SUM(BF34:BF39)-BF40</f>
        <v>0</v>
      </c>
      <c r="BG41" s="171">
        <f>SUM(BG34:BG39)-BG40</f>
        <v>0</v>
      </c>
      <c r="BH41" s="171">
        <f>SUM(BH34:BH39)-BH40</f>
        <v>0</v>
      </c>
      <c r="BI41" s="171">
        <f>SUM(BI34:BI39)-BI40</f>
        <v>0</v>
      </c>
      <c r="BJ41" s="171">
        <f>SUM(BJ34:BJ39)-BJ40</f>
        <v>0</v>
      </c>
      <c r="BK41" s="171">
        <f>SUM(BK34:BK39)-BK40</f>
        <v>0</v>
      </c>
      <c r="BL41" s="171">
        <f>SUM(BL34:BL39)-BL40</f>
        <v>0</v>
      </c>
      <c r="BM41" s="171">
        <f>SUM(BM34:BM39)-BM40</f>
        <v>0</v>
      </c>
      <c r="BN41" s="171">
        <f>SUM(BN34:BN39)-BN40</f>
        <v>0</v>
      </c>
      <c r="BO41" s="171">
        <f>SUM(BO34:BO39)-BO40</f>
        <v>0</v>
      </c>
      <c r="BP41" s="171">
        <f>SUM(BP34:BP39)-BP40</f>
        <v>0</v>
      </c>
      <c r="BQ41" s="171">
        <f>SUM(BQ34:BQ39)-BQ40</f>
        <v>0</v>
      </c>
      <c r="BR41" s="171">
        <f>SUM(BR34:BR39)-BR40</f>
        <v>0</v>
      </c>
    </row>
    <row r="42" spans="1:70" x14ac:dyDescent="0.2">
      <c r="A42" s="267"/>
      <c r="B42" s="9"/>
      <c r="C42" s="106"/>
      <c r="D42" s="106"/>
      <c r="E42" s="106"/>
      <c r="F42" s="106"/>
      <c r="G42" s="106"/>
      <c r="H42" s="106"/>
      <c r="I42" s="106"/>
      <c r="J42" s="106"/>
      <c r="K42" s="106"/>
      <c r="L42" s="107"/>
      <c r="M42" s="77"/>
      <c r="N42" s="76"/>
      <c r="O42" s="76"/>
      <c r="P42" s="76"/>
      <c r="Q42" s="76"/>
      <c r="R42" s="46"/>
      <c r="S42" s="106"/>
      <c r="T42" s="106"/>
      <c r="U42" s="106"/>
      <c r="V42" s="106"/>
      <c r="W42" s="106"/>
      <c r="X42" s="106"/>
      <c r="Y42" s="106"/>
      <c r="Z42" s="106"/>
      <c r="AA42" s="106"/>
      <c r="AB42" s="106"/>
      <c r="AC42" s="106"/>
      <c r="AD42" s="106"/>
      <c r="AE42" s="106"/>
      <c r="AF42" s="106"/>
      <c r="AG42" s="106"/>
      <c r="AH42" s="106"/>
      <c r="AI42" s="106"/>
      <c r="AJ42" s="106"/>
      <c r="AK42" s="106"/>
      <c r="AL42" s="106"/>
      <c r="AM42" s="106"/>
      <c r="AN42" s="106"/>
      <c r="AO42" s="106"/>
      <c r="AP42" s="106"/>
      <c r="AQ42" s="106"/>
      <c r="AR42" s="106"/>
      <c r="AS42" s="106"/>
      <c r="AT42" s="106"/>
      <c r="AU42" s="106"/>
      <c r="AV42" s="106"/>
      <c r="AW42" s="106"/>
      <c r="AX42" s="106"/>
      <c r="AY42" s="106"/>
      <c r="AZ42" s="106"/>
      <c r="BA42" s="107"/>
      <c r="BB42" s="108"/>
      <c r="BC42" s="106"/>
      <c r="BD42" s="106"/>
      <c r="BE42" s="106"/>
      <c r="BF42" s="106"/>
      <c r="BG42" s="106"/>
      <c r="BH42" s="106"/>
      <c r="BI42" s="106"/>
      <c r="BJ42" s="106"/>
      <c r="BK42" s="106"/>
      <c r="BL42" s="106"/>
      <c r="BM42" s="106"/>
      <c r="BN42" s="106"/>
      <c r="BO42" s="106"/>
      <c r="BP42" s="106"/>
      <c r="BQ42" s="106"/>
      <c r="BR42" s="106"/>
    </row>
    <row r="43" spans="1:70" x14ac:dyDescent="0.2">
      <c r="A43" s="266" t="s">
        <v>13</v>
      </c>
      <c r="B43" s="9"/>
      <c r="C43" s="106"/>
      <c r="D43" s="106"/>
      <c r="E43" s="106"/>
      <c r="F43" s="106"/>
      <c r="G43" s="106"/>
      <c r="H43" s="106"/>
      <c r="I43" s="106"/>
      <c r="J43" s="106"/>
      <c r="K43" s="106"/>
      <c r="L43" s="107"/>
      <c r="M43" s="77"/>
      <c r="N43" s="76"/>
      <c r="O43" s="76"/>
      <c r="P43" s="76"/>
      <c r="Q43" s="76"/>
      <c r="R43" s="46"/>
      <c r="S43" s="106"/>
      <c r="T43" s="106"/>
      <c r="U43" s="106"/>
      <c r="V43" s="106"/>
      <c r="W43" s="106"/>
      <c r="X43" s="106"/>
      <c r="Y43" s="106"/>
      <c r="Z43" s="106"/>
      <c r="AA43" s="106"/>
      <c r="AB43" s="106"/>
      <c r="AC43" s="106"/>
      <c r="AD43" s="106"/>
      <c r="AE43" s="106"/>
      <c r="AF43" s="106"/>
      <c r="AG43" s="106"/>
      <c r="AH43" s="106"/>
      <c r="AI43" s="106"/>
      <c r="AJ43" s="106"/>
      <c r="AK43" s="106"/>
      <c r="AL43" s="106"/>
      <c r="AM43" s="106"/>
      <c r="AN43" s="106"/>
      <c r="AO43" s="106"/>
      <c r="AP43" s="106"/>
      <c r="AQ43" s="106"/>
      <c r="AR43" s="106"/>
      <c r="AS43" s="106"/>
      <c r="AT43" s="106"/>
      <c r="AU43" s="106"/>
      <c r="AV43" s="106"/>
      <c r="AW43" s="106"/>
      <c r="AX43" s="106"/>
      <c r="AY43" s="106"/>
      <c r="AZ43" s="106"/>
      <c r="BA43" s="107"/>
      <c r="BB43" s="108"/>
      <c r="BC43" s="106"/>
      <c r="BD43" s="106"/>
      <c r="BE43" s="106"/>
      <c r="BF43" s="106"/>
      <c r="BG43" s="106"/>
      <c r="BH43" s="106"/>
      <c r="BI43" s="106"/>
      <c r="BJ43" s="106"/>
      <c r="BK43" s="106"/>
      <c r="BL43" s="106"/>
      <c r="BM43" s="106"/>
      <c r="BN43" s="106"/>
      <c r="BO43" s="106"/>
      <c r="BP43" s="106"/>
      <c r="BQ43" s="106"/>
      <c r="BR43" s="106"/>
    </row>
    <row r="44" spans="1:70" x14ac:dyDescent="0.2">
      <c r="A44" s="168" t="s">
        <v>270</v>
      </c>
      <c r="B44" s="9"/>
      <c r="C44" s="81">
        <v>0</v>
      </c>
      <c r="D44" s="81">
        <v>0</v>
      </c>
      <c r="E44" s="81">
        <v>214</v>
      </c>
      <c r="F44" s="81">
        <v>0</v>
      </c>
      <c r="G44" s="81">
        <v>0</v>
      </c>
      <c r="H44" s="142">
        <v>500</v>
      </c>
      <c r="I44" s="81">
        <v>0</v>
      </c>
      <c r="J44" s="142">
        <v>0</v>
      </c>
      <c r="K44" s="142">
        <v>815.9</v>
      </c>
      <c r="L44" s="142">
        <v>-8.1999999999999993</v>
      </c>
      <c r="M44" s="77">
        <f>SUM(AY44:BB44)</f>
        <v>0</v>
      </c>
      <c r="N44" s="76">
        <f>SUM(BC44:BF44)</f>
        <v>0</v>
      </c>
      <c r="O44" s="76">
        <f>SUM(BG44:BJ44)</f>
        <v>0</v>
      </c>
      <c r="P44" s="76">
        <f>SUM(BK44:BN44)</f>
        <v>0</v>
      </c>
      <c r="Q44" s="76">
        <f>SUM(BO44:BR44)</f>
        <v>0</v>
      </c>
      <c r="R44" s="46"/>
      <c r="S44" s="142">
        <v>5.25</v>
      </c>
      <c r="T44" s="142">
        <v>0</v>
      </c>
      <c r="U44" s="142">
        <v>0</v>
      </c>
      <c r="V44" s="146">
        <f>E44-U44-T44-S44</f>
        <v>208.75</v>
      </c>
      <c r="W44" s="142">
        <v>0</v>
      </c>
      <c r="X44" s="142">
        <v>0</v>
      </c>
      <c r="Y44" s="142">
        <v>0</v>
      </c>
      <c r="Z44" s="146">
        <f>F44-Y44-X44-W44</f>
        <v>0</v>
      </c>
      <c r="AA44" s="142">
        <v>0</v>
      </c>
      <c r="AB44" s="142">
        <v>0</v>
      </c>
      <c r="AC44" s="142">
        <v>0</v>
      </c>
      <c r="AD44" s="146">
        <f>G44-AC44-AB44-AA44</f>
        <v>0</v>
      </c>
      <c r="AE44" s="142">
        <v>0</v>
      </c>
      <c r="AF44" s="142">
        <v>0</v>
      </c>
      <c r="AG44" s="142">
        <v>0</v>
      </c>
      <c r="AH44" s="146">
        <f>H44-AG44-AF44-AE44</f>
        <v>500</v>
      </c>
      <c r="AI44" s="142">
        <v>0</v>
      </c>
      <c r="AJ44" s="142">
        <v>0</v>
      </c>
      <c r="AK44" s="142">
        <v>0</v>
      </c>
      <c r="AL44" s="146">
        <f>I44-AK44-AJ44-AI44</f>
        <v>0</v>
      </c>
      <c r="AM44" s="142">
        <v>0</v>
      </c>
      <c r="AN44" s="142">
        <v>0</v>
      </c>
      <c r="AO44" s="142">
        <v>0</v>
      </c>
      <c r="AP44" s="146">
        <f>J44-AO44-AN44-AM44</f>
        <v>0</v>
      </c>
      <c r="AQ44" s="142">
        <v>0</v>
      </c>
      <c r="AR44" s="142">
        <v>820</v>
      </c>
      <c r="AS44" s="142">
        <v>0</v>
      </c>
      <c r="AT44" s="146">
        <f>K44-AS44-AR44-AQ44</f>
        <v>-4.1000000000000227</v>
      </c>
      <c r="AU44" s="142">
        <v>0</v>
      </c>
      <c r="AV44" s="142">
        <v>0</v>
      </c>
      <c r="AW44" s="142">
        <v>0</v>
      </c>
      <c r="AX44" s="146">
        <f>L44-AW44-AV44-AU44</f>
        <v>-8.1999999999999993</v>
      </c>
      <c r="AY44" s="142">
        <v>0</v>
      </c>
      <c r="AZ44" s="142">
        <v>0</v>
      </c>
      <c r="BA44" s="153">
        <v>0</v>
      </c>
      <c r="BB44" s="172"/>
      <c r="BC44" s="188"/>
      <c r="BD44" s="188"/>
      <c r="BE44" s="188"/>
      <c r="BF44" s="188"/>
      <c r="BG44" s="188"/>
      <c r="BH44" s="188"/>
      <c r="BI44" s="188"/>
      <c r="BJ44" s="188"/>
      <c r="BK44" s="188"/>
      <c r="BL44" s="188"/>
      <c r="BM44" s="188"/>
      <c r="BN44" s="188"/>
      <c r="BO44" s="188"/>
      <c r="BP44" s="188"/>
      <c r="BQ44" s="188"/>
      <c r="BR44" s="188"/>
    </row>
    <row r="45" spans="1:70" x14ac:dyDescent="0.2">
      <c r="A45" s="168" t="s">
        <v>271</v>
      </c>
      <c r="B45" s="9"/>
      <c r="C45" s="81">
        <v>-16</v>
      </c>
      <c r="D45" s="81">
        <v>-41</v>
      </c>
      <c r="E45" s="81">
        <v>-248.75</v>
      </c>
      <c r="F45" s="81">
        <v>-52.5</v>
      </c>
      <c r="G45" s="81">
        <v>-18.5</v>
      </c>
      <c r="H45" s="142">
        <v>-103</v>
      </c>
      <c r="I45" s="81">
        <v>-10</v>
      </c>
      <c r="J45" s="142">
        <v>-24.4</v>
      </c>
      <c r="K45" s="142">
        <v>-465.6</v>
      </c>
      <c r="L45" s="142">
        <v>0</v>
      </c>
      <c r="M45" s="77">
        <f>SUM(AY45:BB45)</f>
        <v>-33.700000000000003</v>
      </c>
      <c r="N45" s="76">
        <f>SUM(BC45:BF45)</f>
        <v>-32</v>
      </c>
      <c r="O45" s="76">
        <f>SUM(BG45:BJ45)</f>
        <v>-32</v>
      </c>
      <c r="P45" s="76">
        <f>SUM(BK45:BN45)</f>
        <v>-32</v>
      </c>
      <c r="Q45" s="76">
        <f>SUM(BO45:BR45)</f>
        <v>-32</v>
      </c>
      <c r="R45" s="46"/>
      <c r="S45" s="142">
        <v>-20.940999999999999</v>
      </c>
      <c r="T45" s="142">
        <v>-13.158000000000005</v>
      </c>
      <c r="U45" s="142">
        <v>-8</v>
      </c>
      <c r="V45" s="146">
        <f>E45-U45-T45-S45</f>
        <v>-206.65099999999998</v>
      </c>
      <c r="W45" s="142">
        <v>-32</v>
      </c>
      <c r="X45" s="142">
        <v>-8</v>
      </c>
      <c r="Y45" s="142">
        <v>-8.1760000000000019</v>
      </c>
      <c r="Z45" s="146">
        <f>F45-Y45-X45-W45</f>
        <v>-4.3239999999999981</v>
      </c>
      <c r="AA45" s="142">
        <v>-4</v>
      </c>
      <c r="AB45" s="142">
        <v>-6.2639999999999993</v>
      </c>
      <c r="AC45" s="142">
        <v>-5.5</v>
      </c>
      <c r="AD45" s="146">
        <f>G45-AC45-AB45-AA45</f>
        <v>-2.7360000000000007</v>
      </c>
      <c r="AE45" s="142">
        <v>-3</v>
      </c>
      <c r="AF45" s="142">
        <v>-4</v>
      </c>
      <c r="AG45" s="142">
        <v>-0.25800000000000001</v>
      </c>
      <c r="AH45" s="146">
        <f>H45-AG45-AF45-AE45</f>
        <v>-95.742000000000004</v>
      </c>
      <c r="AI45" s="142">
        <v>-17.5</v>
      </c>
      <c r="AJ45" s="142">
        <v>12.5</v>
      </c>
      <c r="AK45" s="142">
        <v>-2.5</v>
      </c>
      <c r="AL45" s="146">
        <f>I45-AK45-AJ45-AI45</f>
        <v>-2.5</v>
      </c>
      <c r="AM45" s="142">
        <v>-2.5</v>
      </c>
      <c r="AN45" s="142">
        <v>-16.899999999999999</v>
      </c>
      <c r="AO45" s="142">
        <v>-2.5</v>
      </c>
      <c r="AP45" s="146">
        <f>J45-AO45-AN45-AM45</f>
        <v>-2.5</v>
      </c>
      <c r="AQ45" s="142">
        <v>-2.5</v>
      </c>
      <c r="AR45" s="142">
        <v>-463.1</v>
      </c>
      <c r="AS45" s="142">
        <v>-2.0500000000000114</v>
      </c>
      <c r="AT45" s="146">
        <f>K45-AS45-AR45-AQ45</f>
        <v>2.0500000000000114</v>
      </c>
      <c r="AU45" s="142">
        <v>-2.0499999999999998</v>
      </c>
      <c r="AV45" s="142">
        <v>-2.0499999999999998</v>
      </c>
      <c r="AW45" s="142">
        <v>-2.0500000000000007</v>
      </c>
      <c r="AX45" s="146">
        <f>L45-AW45-AV45-AU45</f>
        <v>6.15</v>
      </c>
      <c r="AY45" s="142">
        <v>-2.0499999999999998</v>
      </c>
      <c r="AZ45" s="142">
        <v>-15.649999999999999</v>
      </c>
      <c r="BA45" s="153">
        <v>-8</v>
      </c>
      <c r="BB45" s="172">
        <f>BA45</f>
        <v>-8</v>
      </c>
      <c r="BC45" s="188">
        <f>BB45</f>
        <v>-8</v>
      </c>
      <c r="BD45" s="188">
        <f>BC45</f>
        <v>-8</v>
      </c>
      <c r="BE45" s="188">
        <f>BD45</f>
        <v>-8</v>
      </c>
      <c r="BF45" s="188">
        <f>BE45</f>
        <v>-8</v>
      </c>
      <c r="BG45" s="188">
        <f>BF45</f>
        <v>-8</v>
      </c>
      <c r="BH45" s="188">
        <f>BG45</f>
        <v>-8</v>
      </c>
      <c r="BI45" s="188">
        <f>BH45</f>
        <v>-8</v>
      </c>
      <c r="BJ45" s="188">
        <f>BI45</f>
        <v>-8</v>
      </c>
      <c r="BK45" s="188">
        <f>BJ45</f>
        <v>-8</v>
      </c>
      <c r="BL45" s="188">
        <f>BK45</f>
        <v>-8</v>
      </c>
      <c r="BM45" s="188">
        <f>BL45</f>
        <v>-8</v>
      </c>
      <c r="BN45" s="188">
        <f>BM45</f>
        <v>-8</v>
      </c>
      <c r="BO45" s="188">
        <f>BN45</f>
        <v>-8</v>
      </c>
      <c r="BP45" s="188">
        <f>BO45</f>
        <v>-8</v>
      </c>
      <c r="BQ45" s="188">
        <f>BP45</f>
        <v>-8</v>
      </c>
      <c r="BR45" s="188">
        <f>BQ45</f>
        <v>-8</v>
      </c>
    </row>
    <row r="46" spans="1:70" x14ac:dyDescent="0.2">
      <c r="A46" s="168" t="s">
        <v>272</v>
      </c>
      <c r="B46" s="9"/>
      <c r="C46" s="81">
        <v>0</v>
      </c>
      <c r="D46" s="81">
        <v>0</v>
      </c>
      <c r="E46" s="81">
        <v>0</v>
      </c>
      <c r="F46" s="81">
        <v>0</v>
      </c>
      <c r="G46" s="81">
        <v>0</v>
      </c>
      <c r="H46" s="142">
        <v>0</v>
      </c>
      <c r="I46" s="81">
        <v>0</v>
      </c>
      <c r="J46" s="142">
        <v>0</v>
      </c>
      <c r="K46" s="142">
        <v>375</v>
      </c>
      <c r="L46" s="142">
        <v>0</v>
      </c>
      <c r="M46" s="77">
        <f>SUM(AY46:BB46)</f>
        <v>0</v>
      </c>
      <c r="N46" s="76">
        <f>SUM(BC46:BF46)</f>
        <v>0</v>
      </c>
      <c r="O46" s="76">
        <f>SUM(BG46:BJ46)</f>
        <v>0</v>
      </c>
      <c r="P46" s="76">
        <f>SUM(BK46:BN46)</f>
        <v>0</v>
      </c>
      <c r="Q46" s="76">
        <f>SUM(BO46:BR46)</f>
        <v>0</v>
      </c>
      <c r="R46" s="46"/>
      <c r="S46" s="142">
        <v>0</v>
      </c>
      <c r="T46" s="142">
        <v>0</v>
      </c>
      <c r="U46" s="142">
        <v>0</v>
      </c>
      <c r="V46" s="146">
        <f>E46-U46-T46-S46</f>
        <v>0</v>
      </c>
      <c r="W46" s="142">
        <v>0</v>
      </c>
      <c r="X46" s="142">
        <v>0</v>
      </c>
      <c r="Y46" s="142">
        <v>0</v>
      </c>
      <c r="Z46" s="146">
        <f>F46-Y46-X46-W46</f>
        <v>0</v>
      </c>
      <c r="AA46" s="142">
        <v>0</v>
      </c>
      <c r="AB46" s="142">
        <v>0</v>
      </c>
      <c r="AC46" s="142">
        <v>0</v>
      </c>
      <c r="AD46" s="146">
        <f>G46-AC46-AB46-AA46</f>
        <v>0</v>
      </c>
      <c r="AE46" s="142">
        <v>0</v>
      </c>
      <c r="AF46" s="142">
        <v>0</v>
      </c>
      <c r="AG46" s="142">
        <v>0</v>
      </c>
      <c r="AH46" s="146">
        <f>H46-AG46-AF46-AE46</f>
        <v>0</v>
      </c>
      <c r="AI46" s="142">
        <v>0</v>
      </c>
      <c r="AJ46" s="142">
        <v>0</v>
      </c>
      <c r="AK46" s="142">
        <v>0</v>
      </c>
      <c r="AL46" s="146">
        <f>I46-AK46-AJ46-AI46</f>
        <v>0</v>
      </c>
      <c r="AM46" s="142">
        <v>0</v>
      </c>
      <c r="AN46" s="142">
        <v>0</v>
      </c>
      <c r="AO46" s="142">
        <v>0</v>
      </c>
      <c r="AP46" s="146">
        <f>J46-AO46-AN46-AM46</f>
        <v>0</v>
      </c>
      <c r="AQ46" s="142">
        <v>0</v>
      </c>
      <c r="AR46" s="142">
        <v>0</v>
      </c>
      <c r="AS46" s="142">
        <v>0</v>
      </c>
      <c r="AT46" s="146">
        <f>K46-AS46-AR46-AQ46</f>
        <v>375</v>
      </c>
      <c r="AU46" s="142">
        <v>0</v>
      </c>
      <c r="AV46" s="142">
        <v>0</v>
      </c>
      <c r="AW46" s="142">
        <v>0</v>
      </c>
      <c r="AX46" s="146">
        <f>L46-AW46-AV46-AU46</f>
        <v>0</v>
      </c>
      <c r="AY46" s="142">
        <v>0</v>
      </c>
      <c r="AZ46" s="142">
        <v>0</v>
      </c>
      <c r="BA46" s="153">
        <v>0</v>
      </c>
      <c r="BB46" s="172"/>
      <c r="BC46" s="188"/>
      <c r="BD46" s="188"/>
      <c r="BE46" s="188"/>
      <c r="BF46" s="188"/>
      <c r="BG46" s="188"/>
      <c r="BH46" s="188"/>
      <c r="BI46" s="188"/>
      <c r="BJ46" s="188"/>
      <c r="BK46" s="188"/>
      <c r="BL46" s="188"/>
      <c r="BM46" s="188"/>
      <c r="BN46" s="188"/>
      <c r="BO46" s="188"/>
      <c r="BP46" s="188"/>
      <c r="BQ46" s="188"/>
      <c r="BR46" s="188"/>
    </row>
    <row r="47" spans="1:70" x14ac:dyDescent="0.2">
      <c r="A47" s="168" t="s">
        <v>273</v>
      </c>
      <c r="B47" s="9"/>
      <c r="C47" s="81">
        <v>0</v>
      </c>
      <c r="D47" s="81">
        <v>0</v>
      </c>
      <c r="E47" s="81">
        <v>0</v>
      </c>
      <c r="F47" s="81">
        <v>0</v>
      </c>
      <c r="G47" s="81">
        <v>0</v>
      </c>
      <c r="H47" s="142">
        <v>0</v>
      </c>
      <c r="I47" s="81">
        <v>-350</v>
      </c>
      <c r="J47" s="142">
        <v>0</v>
      </c>
      <c r="K47" s="142">
        <v>-335</v>
      </c>
      <c r="L47" s="142">
        <v>0</v>
      </c>
      <c r="M47" s="77">
        <f>SUM(AY47:BB47)</f>
        <v>0</v>
      </c>
      <c r="N47" s="76">
        <f>SUM(BC47:BF47)</f>
        <v>0</v>
      </c>
      <c r="O47" s="76">
        <f>SUM(BG47:BJ47)</f>
        <v>0</v>
      </c>
      <c r="P47" s="76">
        <f>SUM(BK47:BN47)</f>
        <v>0</v>
      </c>
      <c r="Q47" s="76">
        <f>SUM(BO47:BR47)</f>
        <v>0</v>
      </c>
      <c r="R47" s="46"/>
      <c r="S47" s="142">
        <v>0</v>
      </c>
      <c r="T47" s="142">
        <v>0</v>
      </c>
      <c r="U47" s="142">
        <v>0</v>
      </c>
      <c r="V47" s="146">
        <f>E47-U47-T47-S47</f>
        <v>0</v>
      </c>
      <c r="W47" s="142">
        <v>0</v>
      </c>
      <c r="X47" s="142">
        <v>0</v>
      </c>
      <c r="Y47" s="142">
        <v>0</v>
      </c>
      <c r="Z47" s="146">
        <f>F47-Y47-X47-W47</f>
        <v>0</v>
      </c>
      <c r="AA47" s="142">
        <v>0</v>
      </c>
      <c r="AB47" s="142">
        <v>0</v>
      </c>
      <c r="AC47" s="142">
        <v>0</v>
      </c>
      <c r="AD47" s="146">
        <f>G47-AC47-AB47-AA47</f>
        <v>0</v>
      </c>
      <c r="AE47" s="142">
        <v>0</v>
      </c>
      <c r="AF47" s="142">
        <v>0</v>
      </c>
      <c r="AG47" s="142">
        <v>0</v>
      </c>
      <c r="AH47" s="146">
        <f>H47-AG47-AF47-AE47</f>
        <v>0</v>
      </c>
      <c r="AI47" s="142">
        <v>0</v>
      </c>
      <c r="AJ47" s="142">
        <v>-350</v>
      </c>
      <c r="AK47" s="142">
        <v>0</v>
      </c>
      <c r="AL47" s="146">
        <f>I47-AK47-AJ47-AI47</f>
        <v>0</v>
      </c>
      <c r="AM47" s="142">
        <v>0</v>
      </c>
      <c r="AN47" s="142">
        <v>0</v>
      </c>
      <c r="AO47" s="142">
        <v>0</v>
      </c>
      <c r="AP47" s="146">
        <f>J47-AO47-AN47-AM47</f>
        <v>0</v>
      </c>
      <c r="AQ47" s="142">
        <v>0</v>
      </c>
      <c r="AR47" s="142">
        <v>-335</v>
      </c>
      <c r="AS47" s="142">
        <v>0</v>
      </c>
      <c r="AT47" s="146">
        <f>K47-AS47-AR47-AQ47</f>
        <v>0</v>
      </c>
      <c r="AU47" s="142">
        <v>0</v>
      </c>
      <c r="AV47" s="142">
        <v>0</v>
      </c>
      <c r="AW47" s="142">
        <v>0</v>
      </c>
      <c r="AX47" s="146">
        <f>L47-AW47-AV47-AU47</f>
        <v>0</v>
      </c>
      <c r="AY47" s="142">
        <v>0</v>
      </c>
      <c r="AZ47" s="142">
        <v>0</v>
      </c>
      <c r="BA47" s="153">
        <v>0</v>
      </c>
      <c r="BB47" s="172"/>
      <c r="BC47" s="188"/>
      <c r="BD47" s="188"/>
      <c r="BE47" s="188"/>
      <c r="BF47" s="188"/>
      <c r="BG47" s="188"/>
      <c r="BH47" s="188"/>
      <c r="BI47" s="188"/>
      <c r="BJ47" s="188"/>
      <c r="BK47" s="188"/>
      <c r="BL47" s="188"/>
      <c r="BM47" s="188"/>
      <c r="BN47" s="188"/>
      <c r="BO47" s="188"/>
      <c r="BP47" s="188"/>
      <c r="BQ47" s="188"/>
      <c r="BR47" s="188"/>
    </row>
    <row r="48" spans="1:70" x14ac:dyDescent="0.2">
      <c r="A48" s="168" t="s">
        <v>274</v>
      </c>
      <c r="B48" s="9"/>
      <c r="C48" s="81">
        <v>0</v>
      </c>
      <c r="D48" s="81">
        <v>0</v>
      </c>
      <c r="E48" s="81">
        <v>0</v>
      </c>
      <c r="F48" s="81">
        <v>0</v>
      </c>
      <c r="G48" s="81">
        <v>0</v>
      </c>
      <c r="H48" s="142">
        <v>0</v>
      </c>
      <c r="I48" s="81">
        <v>0</v>
      </c>
      <c r="J48" s="142">
        <v>0</v>
      </c>
      <c r="K48" s="142">
        <v>-350</v>
      </c>
      <c r="L48" s="142">
        <v>0</v>
      </c>
      <c r="M48" s="77">
        <f>SUM(AY48:BB48)</f>
        <v>0</v>
      </c>
      <c r="N48" s="76">
        <f>SUM(BC48:BF48)</f>
        <v>0</v>
      </c>
      <c r="O48" s="76">
        <f>SUM(BG48:BJ48)</f>
        <v>0</v>
      </c>
      <c r="P48" s="76">
        <f>SUM(BK48:BN48)</f>
        <v>0</v>
      </c>
      <c r="Q48" s="76">
        <f>SUM(BO48:BR48)</f>
        <v>0</v>
      </c>
      <c r="R48" s="46"/>
      <c r="S48" s="142">
        <v>0</v>
      </c>
      <c r="T48" s="142">
        <v>0</v>
      </c>
      <c r="U48" s="142">
        <v>0</v>
      </c>
      <c r="V48" s="146">
        <f>E48-U48-T48-S48</f>
        <v>0</v>
      </c>
      <c r="W48" s="142">
        <v>0</v>
      </c>
      <c r="X48" s="142">
        <v>0</v>
      </c>
      <c r="Y48" s="142">
        <v>0</v>
      </c>
      <c r="Z48" s="146">
        <f>F48-Y48-X48-W48</f>
        <v>0</v>
      </c>
      <c r="AA48" s="142">
        <v>0</v>
      </c>
      <c r="AB48" s="142">
        <v>0</v>
      </c>
      <c r="AC48" s="142">
        <v>0</v>
      </c>
      <c r="AD48" s="146">
        <f>G48-AC48-AB48-AA48</f>
        <v>0</v>
      </c>
      <c r="AE48" s="142">
        <v>0</v>
      </c>
      <c r="AF48" s="142">
        <v>0</v>
      </c>
      <c r="AG48" s="142">
        <v>0</v>
      </c>
      <c r="AH48" s="146">
        <f>H48-AG48-AF48-AE48</f>
        <v>0</v>
      </c>
      <c r="AI48" s="142">
        <v>0</v>
      </c>
      <c r="AJ48" s="142">
        <v>0</v>
      </c>
      <c r="AK48" s="142">
        <v>0</v>
      </c>
      <c r="AL48" s="146">
        <f>I48-AK48-AJ48-AI48</f>
        <v>0</v>
      </c>
      <c r="AM48" s="142">
        <v>0</v>
      </c>
      <c r="AN48" s="142">
        <v>0</v>
      </c>
      <c r="AO48" s="142">
        <v>0</v>
      </c>
      <c r="AP48" s="146">
        <f>J48-AO48-AN48-AM48</f>
        <v>0</v>
      </c>
      <c r="AQ48" s="142">
        <v>0</v>
      </c>
      <c r="AR48" s="142">
        <v>0</v>
      </c>
      <c r="AS48" s="142">
        <v>0</v>
      </c>
      <c r="AT48" s="146">
        <f>K48-AS48-AR48-AQ48</f>
        <v>-350</v>
      </c>
      <c r="AU48" s="142">
        <v>0</v>
      </c>
      <c r="AV48" s="142">
        <v>0</v>
      </c>
      <c r="AW48" s="142">
        <v>0</v>
      </c>
      <c r="AX48" s="146">
        <f>L48-AW48-AV48-AU48</f>
        <v>0</v>
      </c>
      <c r="AY48" s="142">
        <v>0</v>
      </c>
      <c r="AZ48" s="142">
        <v>0</v>
      </c>
      <c r="BA48" s="153">
        <v>0</v>
      </c>
      <c r="BB48" s="172"/>
      <c r="BC48" s="188"/>
      <c r="BD48" s="188"/>
      <c r="BE48" s="188"/>
      <c r="BF48" s="188"/>
      <c r="BG48" s="188"/>
      <c r="BH48" s="188"/>
      <c r="BI48" s="188"/>
      <c r="BJ48" s="188"/>
      <c r="BK48" s="188"/>
      <c r="BL48" s="188"/>
      <c r="BM48" s="188"/>
      <c r="BN48" s="188"/>
      <c r="BO48" s="188"/>
      <c r="BP48" s="188"/>
      <c r="BQ48" s="188"/>
      <c r="BR48" s="188"/>
    </row>
    <row r="49" spans="1:70" x14ac:dyDescent="0.2">
      <c r="A49" s="168" t="s">
        <v>275</v>
      </c>
      <c r="B49" s="9"/>
      <c r="C49" s="81">
        <v>0</v>
      </c>
      <c r="D49" s="81">
        <v>0</v>
      </c>
      <c r="E49" s="81">
        <v>0</v>
      </c>
      <c r="F49" s="81">
        <v>0</v>
      </c>
      <c r="G49" s="81">
        <v>0</v>
      </c>
      <c r="H49" s="142">
        <v>350</v>
      </c>
      <c r="I49" s="81">
        <v>335</v>
      </c>
      <c r="J49" s="142">
        <v>0</v>
      </c>
      <c r="K49" s="142">
        <v>0</v>
      </c>
      <c r="L49" s="142">
        <v>0</v>
      </c>
      <c r="M49" s="77">
        <f>SUM(AY49:BB49)</f>
        <v>0</v>
      </c>
      <c r="N49" s="76">
        <f>SUM(BC49:BF49)</f>
        <v>0</v>
      </c>
      <c r="O49" s="76">
        <f>SUM(BG49:BJ49)</f>
        <v>0</v>
      </c>
      <c r="P49" s="76">
        <f>SUM(BK49:BN49)</f>
        <v>0</v>
      </c>
      <c r="Q49" s="76">
        <f>SUM(BO49:BR49)</f>
        <v>0</v>
      </c>
      <c r="R49" s="46"/>
      <c r="S49" s="142">
        <v>0</v>
      </c>
      <c r="T49" s="142">
        <v>0</v>
      </c>
      <c r="U49" s="142">
        <v>0</v>
      </c>
      <c r="V49" s="146">
        <f>E49-U49-T49-S49</f>
        <v>0</v>
      </c>
      <c r="W49" s="142">
        <v>0</v>
      </c>
      <c r="X49" s="142">
        <v>0</v>
      </c>
      <c r="Y49" s="142">
        <v>0</v>
      </c>
      <c r="Z49" s="146">
        <f>F49-Y49-X49-W49</f>
        <v>0</v>
      </c>
      <c r="AA49" s="142">
        <v>0</v>
      </c>
      <c r="AB49" s="142">
        <v>0</v>
      </c>
      <c r="AC49" s="142">
        <v>0</v>
      </c>
      <c r="AD49" s="146">
        <f>G49-AC49-AB49-AA49</f>
        <v>0</v>
      </c>
      <c r="AE49" s="142">
        <v>0</v>
      </c>
      <c r="AF49" s="142">
        <v>0</v>
      </c>
      <c r="AG49" s="142">
        <v>0</v>
      </c>
      <c r="AH49" s="146">
        <f>H49-AG49-AF49-AE49</f>
        <v>350</v>
      </c>
      <c r="AI49" s="142">
        <v>0</v>
      </c>
      <c r="AJ49" s="142">
        <v>335</v>
      </c>
      <c r="AK49" s="142">
        <v>0</v>
      </c>
      <c r="AL49" s="146">
        <f>I49-AK49-AJ49-AI49</f>
        <v>0</v>
      </c>
      <c r="AM49" s="142">
        <v>0</v>
      </c>
      <c r="AN49" s="142">
        <v>0</v>
      </c>
      <c r="AO49" s="142">
        <v>0</v>
      </c>
      <c r="AP49" s="146">
        <f>J49-AO49-AN49-AM49</f>
        <v>0</v>
      </c>
      <c r="AQ49" s="142">
        <v>0</v>
      </c>
      <c r="AR49" s="142">
        <v>0</v>
      </c>
      <c r="AS49" s="142">
        <v>0</v>
      </c>
      <c r="AT49" s="146">
        <f>K49-AS49-AR49-AQ49</f>
        <v>0</v>
      </c>
      <c r="AU49" s="142">
        <v>0</v>
      </c>
      <c r="AV49" s="142">
        <v>0</v>
      </c>
      <c r="AW49" s="142">
        <v>0</v>
      </c>
      <c r="AX49" s="146">
        <f>L49-AW49-AV49-AU49</f>
        <v>0</v>
      </c>
      <c r="AY49" s="142">
        <v>0</v>
      </c>
      <c r="AZ49" s="142">
        <v>0</v>
      </c>
      <c r="BA49" s="153">
        <v>0</v>
      </c>
      <c r="BB49" s="172"/>
      <c r="BC49" s="188"/>
      <c r="BD49" s="188"/>
      <c r="BE49" s="188"/>
      <c r="BF49" s="188"/>
      <c r="BG49" s="188"/>
      <c r="BH49" s="188"/>
      <c r="BI49" s="188"/>
      <c r="BJ49" s="188"/>
      <c r="BK49" s="188"/>
      <c r="BL49" s="188"/>
      <c r="BM49" s="188"/>
      <c r="BN49" s="188"/>
      <c r="BO49" s="188"/>
      <c r="BP49" s="188"/>
      <c r="BQ49" s="188"/>
      <c r="BR49" s="188"/>
    </row>
    <row r="50" spans="1:70" x14ac:dyDescent="0.2">
      <c r="A50" s="168" t="s">
        <v>276</v>
      </c>
      <c r="B50" s="9"/>
      <c r="C50" s="81">
        <v>0</v>
      </c>
      <c r="D50" s="81">
        <v>0</v>
      </c>
      <c r="E50" s="81">
        <v>0</v>
      </c>
      <c r="F50" s="81">
        <v>0</v>
      </c>
      <c r="G50" s="81">
        <v>0</v>
      </c>
      <c r="H50" s="142">
        <v>350</v>
      </c>
      <c r="I50" s="81">
        <v>0</v>
      </c>
      <c r="J50" s="142">
        <v>0</v>
      </c>
      <c r="K50" s="142">
        <v>0</v>
      </c>
      <c r="L50" s="142">
        <v>0</v>
      </c>
      <c r="M50" s="77">
        <f>SUM(AY50:BB50)</f>
        <v>0</v>
      </c>
      <c r="N50" s="76">
        <f>SUM(BC50:BF50)</f>
        <v>0</v>
      </c>
      <c r="O50" s="76">
        <f>SUM(BG50:BJ50)</f>
        <v>0</v>
      </c>
      <c r="P50" s="76">
        <f>SUM(BK50:BN50)</f>
        <v>0</v>
      </c>
      <c r="Q50" s="76">
        <f>SUM(BO50:BR50)</f>
        <v>0</v>
      </c>
      <c r="R50" s="46"/>
      <c r="S50" s="142">
        <v>0</v>
      </c>
      <c r="T50" s="142">
        <v>0</v>
      </c>
      <c r="U50" s="142">
        <v>0</v>
      </c>
      <c r="V50" s="146">
        <f>E50-U50-T50-S50</f>
        <v>0</v>
      </c>
      <c r="W50" s="142">
        <v>0</v>
      </c>
      <c r="X50" s="142">
        <v>0</v>
      </c>
      <c r="Y50" s="142">
        <v>0</v>
      </c>
      <c r="Z50" s="146">
        <f>F50-Y50-X50-W50</f>
        <v>0</v>
      </c>
      <c r="AA50" s="142">
        <v>0</v>
      </c>
      <c r="AB50" s="142">
        <v>0</v>
      </c>
      <c r="AC50" s="142">
        <v>0</v>
      </c>
      <c r="AD50" s="146">
        <f>G50-AC50-AB50-AA50</f>
        <v>0</v>
      </c>
      <c r="AE50" s="142">
        <v>0</v>
      </c>
      <c r="AF50" s="142">
        <v>0</v>
      </c>
      <c r="AG50" s="142">
        <v>0</v>
      </c>
      <c r="AH50" s="146">
        <f>H50-AG50-AF50-AE50</f>
        <v>350</v>
      </c>
      <c r="AI50" s="142">
        <v>0</v>
      </c>
      <c r="AJ50" s="142">
        <v>0</v>
      </c>
      <c r="AK50" s="142">
        <v>0</v>
      </c>
      <c r="AL50" s="146">
        <f>I50-AK50-AJ50-AI50</f>
        <v>0</v>
      </c>
      <c r="AM50" s="142">
        <v>0</v>
      </c>
      <c r="AN50" s="142">
        <v>0</v>
      </c>
      <c r="AO50" s="142">
        <v>0</v>
      </c>
      <c r="AP50" s="146">
        <f>J50-AO50-AN50-AM50</f>
        <v>0</v>
      </c>
      <c r="AQ50" s="142">
        <v>0</v>
      </c>
      <c r="AR50" s="142">
        <v>0</v>
      </c>
      <c r="AS50" s="142">
        <v>0</v>
      </c>
      <c r="AT50" s="146">
        <f>K50-AS50-AR50-AQ50</f>
        <v>0</v>
      </c>
      <c r="AU50" s="142">
        <v>0</v>
      </c>
      <c r="AV50" s="142">
        <v>0</v>
      </c>
      <c r="AW50" s="142">
        <v>0</v>
      </c>
      <c r="AX50" s="146">
        <f>L50-AW50-AV50-AU50</f>
        <v>0</v>
      </c>
      <c r="AY50" s="142">
        <v>0</v>
      </c>
      <c r="AZ50" s="142">
        <v>0</v>
      </c>
      <c r="BA50" s="153">
        <v>0</v>
      </c>
      <c r="BB50" s="172"/>
      <c r="BC50" s="188"/>
      <c r="BD50" s="188"/>
      <c r="BE50" s="188"/>
      <c r="BF50" s="188"/>
      <c r="BG50" s="188"/>
      <c r="BH50" s="188"/>
      <c r="BI50" s="188"/>
      <c r="BJ50" s="188"/>
      <c r="BK50" s="188"/>
      <c r="BL50" s="188"/>
      <c r="BM50" s="188"/>
      <c r="BN50" s="188"/>
      <c r="BO50" s="188"/>
      <c r="BP50" s="188"/>
      <c r="BQ50" s="188"/>
      <c r="BR50" s="188"/>
    </row>
    <row r="51" spans="1:70" x14ac:dyDescent="0.2">
      <c r="A51" s="168" t="s">
        <v>277</v>
      </c>
      <c r="B51" s="9"/>
      <c r="C51" s="81">
        <v>0</v>
      </c>
      <c r="D51" s="81">
        <v>0</v>
      </c>
      <c r="E51" s="81">
        <v>-7.0990000000000002</v>
      </c>
      <c r="F51" s="81">
        <v>-0.67600000000000005</v>
      </c>
      <c r="G51" s="81">
        <v>-0.76400000000000001</v>
      </c>
      <c r="H51" s="142">
        <v>-52.734999999999999</v>
      </c>
      <c r="I51" s="81">
        <v>-1.2210000000000001</v>
      </c>
      <c r="J51" s="142">
        <v>-0.48</v>
      </c>
      <c r="K51" s="142">
        <v>-28.702000000000002</v>
      </c>
      <c r="L51" s="142">
        <v>-1.276</v>
      </c>
      <c r="M51" s="77">
        <f>SUM(AY51:BB51)</f>
        <v>0</v>
      </c>
      <c r="N51" s="76">
        <f>SUM(BC51:BF51)</f>
        <v>0</v>
      </c>
      <c r="O51" s="76">
        <f>SUM(BG51:BJ51)</f>
        <v>0</v>
      </c>
      <c r="P51" s="76">
        <f>SUM(BK51:BN51)</f>
        <v>0</v>
      </c>
      <c r="Q51" s="76">
        <f>SUM(BO51:BR51)</f>
        <v>0</v>
      </c>
      <c r="R51" s="46"/>
      <c r="S51" s="142">
        <v>0</v>
      </c>
      <c r="T51" s="142">
        <v>0</v>
      </c>
      <c r="U51" s="142">
        <v>0</v>
      </c>
      <c r="V51" s="146">
        <f>E51-U51-T51-S51</f>
        <v>-7.0990000000000002</v>
      </c>
      <c r="W51" s="142">
        <v>0</v>
      </c>
      <c r="X51" s="142">
        <v>0</v>
      </c>
      <c r="Y51" s="142">
        <v>0</v>
      </c>
      <c r="Z51" s="146">
        <f>F51-Y51-X51-W51</f>
        <v>-0.67600000000000005</v>
      </c>
      <c r="AA51" s="142">
        <v>0</v>
      </c>
      <c r="AB51" s="142">
        <v>0</v>
      </c>
      <c r="AC51" s="142">
        <v>0</v>
      </c>
      <c r="AD51" s="146">
        <f>G51-AC51-AB51-AA51</f>
        <v>-0.76400000000000001</v>
      </c>
      <c r="AE51" s="142">
        <v>0</v>
      </c>
      <c r="AF51" s="142">
        <v>0</v>
      </c>
      <c r="AG51" s="142">
        <v>0</v>
      </c>
      <c r="AH51" s="146">
        <f>H51-AG51-AF51-AE51</f>
        <v>-52.734999999999999</v>
      </c>
      <c r="AI51" s="142">
        <v>-0.252</v>
      </c>
      <c r="AJ51" s="142">
        <v>-0.90199999999999991</v>
      </c>
      <c r="AK51" s="142">
        <v>8.0000000000000071E-3</v>
      </c>
      <c r="AL51" s="146">
        <f>I51-AK51-AJ51-AI51</f>
        <v>-7.5000000000000178E-2</v>
      </c>
      <c r="AM51" s="142">
        <v>-0.48</v>
      </c>
      <c r="AN51" s="142">
        <v>0</v>
      </c>
      <c r="AO51" s="142">
        <v>0</v>
      </c>
      <c r="AP51" s="146">
        <f>J51-AO51-AN51-AM51</f>
        <v>0</v>
      </c>
      <c r="AQ51" s="142">
        <v>0</v>
      </c>
      <c r="AR51" s="142">
        <v>-19.663</v>
      </c>
      <c r="AS51" s="142">
        <v>-8.5000000000000853E-2</v>
      </c>
      <c r="AT51" s="146">
        <f>K51-AS51-AR51-AQ51</f>
        <v>-8.9540000000000006</v>
      </c>
      <c r="AU51" s="142">
        <v>0</v>
      </c>
      <c r="AV51" s="142">
        <v>-1.276</v>
      </c>
      <c r="AW51" s="142">
        <v>0</v>
      </c>
      <c r="AX51" s="146">
        <f>L51-AW51-AV51-AU51</f>
        <v>0</v>
      </c>
      <c r="AY51" s="142">
        <v>0</v>
      </c>
      <c r="AZ51" s="142">
        <v>0</v>
      </c>
      <c r="BA51" s="153">
        <v>0</v>
      </c>
      <c r="BB51" s="172"/>
      <c r="BC51" s="188"/>
      <c r="BD51" s="188"/>
      <c r="BE51" s="188"/>
      <c r="BF51" s="188"/>
      <c r="BG51" s="188"/>
      <c r="BH51" s="188"/>
      <c r="BI51" s="188"/>
      <c r="BJ51" s="188"/>
      <c r="BK51" s="188"/>
      <c r="BL51" s="188"/>
      <c r="BM51" s="188"/>
      <c r="BN51" s="188"/>
      <c r="BO51" s="188"/>
      <c r="BP51" s="188"/>
      <c r="BQ51" s="188"/>
      <c r="BR51" s="188"/>
    </row>
    <row r="52" spans="1:70" x14ac:dyDescent="0.2">
      <c r="A52" s="168" t="s">
        <v>138</v>
      </c>
      <c r="B52" s="9" t="s">
        <v>345</v>
      </c>
      <c r="C52" s="81">
        <v>2.9129999999999998</v>
      </c>
      <c r="D52" s="81">
        <v>5.6289999999999996</v>
      </c>
      <c r="E52" s="81">
        <v>0.81200000000000006</v>
      </c>
      <c r="F52" s="81">
        <v>6.6550000000000002</v>
      </c>
      <c r="G52" s="81">
        <v>8.4309999999999992</v>
      </c>
      <c r="H52" s="142">
        <v>5.3380000000000001</v>
      </c>
      <c r="I52" s="81">
        <v>1.839</v>
      </c>
      <c r="J52" s="142">
        <v>0</v>
      </c>
      <c r="K52" s="142">
        <v>10.906000000000001</v>
      </c>
      <c r="L52" s="142">
        <v>9.61</v>
      </c>
      <c r="M52" s="77">
        <f>SUM(AY52:BB52)</f>
        <v>11.288</v>
      </c>
      <c r="N52" s="76">
        <f>SUM(BC52:BF52)</f>
        <v>0</v>
      </c>
      <c r="O52" s="76">
        <f>SUM(BG52:BJ52)</f>
        <v>0</v>
      </c>
      <c r="P52" s="76">
        <f>SUM(BK52:BN52)</f>
        <v>0</v>
      </c>
      <c r="Q52" s="76">
        <f>SUM(BO52:BR52)</f>
        <v>0</v>
      </c>
      <c r="R52" s="46"/>
      <c r="S52" s="142">
        <v>8.6999999999999994E-2</v>
      </c>
      <c r="T52" s="142">
        <v>0.26400000000000001</v>
      </c>
      <c r="U52" s="142">
        <v>0.23999999999999996</v>
      </c>
      <c r="V52" s="146">
        <f>E52-U52-T52-S52</f>
        <v>0.22100000000000006</v>
      </c>
      <c r="W52" s="142">
        <v>1.0049999999999999</v>
      </c>
      <c r="X52" s="142">
        <v>2.597</v>
      </c>
      <c r="Y52" s="142">
        <v>2.3439999999999999</v>
      </c>
      <c r="Z52" s="146">
        <f>F52-Y52-X52-W52</f>
        <v>0.70900000000000007</v>
      </c>
      <c r="AA52" s="142">
        <v>0.96199999999999997</v>
      </c>
      <c r="AB52" s="142">
        <v>1.4200000000000002</v>
      </c>
      <c r="AC52" s="142">
        <v>1.3939999999999999</v>
      </c>
      <c r="AD52" s="146">
        <f>G52-AC52-AB52-AA52</f>
        <v>4.6549999999999994</v>
      </c>
      <c r="AE52" s="142">
        <v>2.44</v>
      </c>
      <c r="AF52" s="142">
        <v>2.1730000000000005</v>
      </c>
      <c r="AG52" s="142">
        <v>0.6379999999999999</v>
      </c>
      <c r="AH52" s="146">
        <f>H52-AG52-AF52-AE52</f>
        <v>8.6999999999999744E-2</v>
      </c>
      <c r="AI52" s="142">
        <v>1.048</v>
      </c>
      <c r="AJ52" s="142">
        <v>0.625</v>
      </c>
      <c r="AK52" s="142">
        <v>0.15999999999999992</v>
      </c>
      <c r="AL52" s="146">
        <f>I52-AK52-AJ52-AI52</f>
        <v>6.0000000000000053E-3</v>
      </c>
      <c r="AM52" s="142">
        <v>0</v>
      </c>
      <c r="AN52" s="142">
        <v>0</v>
      </c>
      <c r="AO52" s="142">
        <v>0</v>
      </c>
      <c r="AP52" s="146">
        <f>J52-AO52-AN52-AM52</f>
        <v>0</v>
      </c>
      <c r="AQ52" s="142">
        <v>5.0000000000000001E-3</v>
      </c>
      <c r="AR52" s="142">
        <v>1.794</v>
      </c>
      <c r="AS52" s="142">
        <v>2.2470000000000003</v>
      </c>
      <c r="AT52" s="146">
        <f>K52-AS52-AR52-AQ52</f>
        <v>6.86</v>
      </c>
      <c r="AU52" s="142">
        <v>4.0880000000000001</v>
      </c>
      <c r="AV52" s="142">
        <v>2.2850000000000001</v>
      </c>
      <c r="AW52" s="142">
        <v>3.1559999999999997</v>
      </c>
      <c r="AX52" s="146">
        <f>L52-AW52-AV52-AU52</f>
        <v>8.0999999999999517E-2</v>
      </c>
      <c r="AY52" s="142">
        <v>4.6859999999999999</v>
      </c>
      <c r="AZ52" s="142">
        <v>4.7639999999999993</v>
      </c>
      <c r="BA52" s="153">
        <v>1.838000000000001</v>
      </c>
      <c r="BB52" s="172"/>
      <c r="BC52" s="188"/>
      <c r="BD52" s="188"/>
      <c r="BE52" s="188"/>
      <c r="BF52" s="188"/>
      <c r="BG52" s="188"/>
      <c r="BH52" s="188"/>
      <c r="BI52" s="188"/>
      <c r="BJ52" s="188"/>
      <c r="BK52" s="188"/>
      <c r="BL52" s="188"/>
      <c r="BM52" s="188"/>
      <c r="BN52" s="188"/>
      <c r="BO52" s="188"/>
      <c r="BP52" s="188"/>
      <c r="BQ52" s="188"/>
      <c r="BR52" s="188"/>
    </row>
    <row r="53" spans="1:70" x14ac:dyDescent="0.2">
      <c r="A53" s="201" t="s">
        <v>278</v>
      </c>
      <c r="B53" s="29" t="s">
        <v>346</v>
      </c>
      <c r="C53" s="82">
        <v>-61.338000000000001</v>
      </c>
      <c r="D53" s="82">
        <v>-33.473999999999997</v>
      </c>
      <c r="E53" s="82">
        <v>-0.19</v>
      </c>
      <c r="F53" s="82">
        <v>-0.26200000000000001</v>
      </c>
      <c r="G53" s="82">
        <v>-18.350000000000001</v>
      </c>
      <c r="H53" s="82">
        <v>-12.18</v>
      </c>
      <c r="I53" s="82">
        <v>-0.16900000000000001</v>
      </c>
      <c r="J53" s="82">
        <v>-4.2000000000000003E-2</v>
      </c>
      <c r="K53" s="82">
        <v>-0.11</v>
      </c>
      <c r="L53" s="82">
        <v>-0.123</v>
      </c>
      <c r="M53" s="83">
        <f>SUM(AY53:BB53)</f>
        <v>-1.0619999999999998</v>
      </c>
      <c r="N53" s="84">
        <f>SUM(BC53:BF53)</f>
        <v>-0.16399999999999976</v>
      </c>
      <c r="O53" s="84">
        <f>SUM(BG53:BJ53)</f>
        <v>-0.16399999999999976</v>
      </c>
      <c r="P53" s="84">
        <f>SUM(BK53:BN53)</f>
        <v>-0.16399999999999976</v>
      </c>
      <c r="Q53" s="84">
        <f>SUM(BO53:BR53)</f>
        <v>-0.16399999999999976</v>
      </c>
      <c r="R53" s="61"/>
      <c r="S53" s="143">
        <v>-5.1999999999999998E-2</v>
      </c>
      <c r="T53" s="143">
        <v>-5.7000000000000002E-2</v>
      </c>
      <c r="U53" s="143">
        <v>-4.7000000000000007E-2</v>
      </c>
      <c r="V53" s="148">
        <f>E53-U53-T53-S53</f>
        <v>-3.3999999999999996E-2</v>
      </c>
      <c r="W53" s="143">
        <v>-5.5E-2</v>
      </c>
      <c r="X53" s="143">
        <v>-6.8000000000000005E-2</v>
      </c>
      <c r="Y53" s="143">
        <v>-6.8000000000000005E-2</v>
      </c>
      <c r="Z53" s="148">
        <f>F53-Y53-X53-W53</f>
        <v>-7.1000000000000008E-2</v>
      </c>
      <c r="AA53" s="143">
        <v>-4.5869999999999997</v>
      </c>
      <c r="AB53" s="143">
        <v>-7.0670000000000002</v>
      </c>
      <c r="AC53" s="143">
        <v>-2.9770000000000003</v>
      </c>
      <c r="AD53" s="148">
        <f>G53-AC53-AB53-AA53</f>
        <v>-3.7190000000000012</v>
      </c>
      <c r="AE53" s="143">
        <v>-2.7669999999999999</v>
      </c>
      <c r="AF53" s="143">
        <v>-3.8370000000000002</v>
      </c>
      <c r="AG53" s="143">
        <v>-5.5130000000000017</v>
      </c>
      <c r="AH53" s="148">
        <f>H53-AG53-AF53-AE53</f>
        <v>-6.2999999999997947E-2</v>
      </c>
      <c r="AI53" s="143">
        <v>-0.02</v>
      </c>
      <c r="AJ53" s="143">
        <v>-0.02</v>
      </c>
      <c r="AK53" s="143">
        <v>-1.4000000000000002E-2</v>
      </c>
      <c r="AL53" s="148">
        <f>I53-AK53-AJ53-AI53</f>
        <v>-0.115</v>
      </c>
      <c r="AM53" s="143">
        <v>-8.9999999999999993E-3</v>
      </c>
      <c r="AN53" s="143">
        <v>-4.0000000000000001E-3</v>
      </c>
      <c r="AO53" s="143">
        <v>-4.0000000000000018E-3</v>
      </c>
      <c r="AP53" s="148">
        <f>J53-AO53-AN53-AM53</f>
        <v>-2.5000000000000001E-2</v>
      </c>
      <c r="AQ53" s="143">
        <v>-7.0000000000000001E-3</v>
      </c>
      <c r="AR53" s="143">
        <v>-3.9999999999999992E-3</v>
      </c>
      <c r="AS53" s="143">
        <v>-1.0000000000000002E-2</v>
      </c>
      <c r="AT53" s="148">
        <f>K53-AS53-AR53-AQ53</f>
        <v>-8.8999999999999996E-2</v>
      </c>
      <c r="AU53" s="143">
        <v>-3.7999999999999999E-2</v>
      </c>
      <c r="AV53" s="143">
        <v>-9.0000000000000011E-3</v>
      </c>
      <c r="AW53" s="143">
        <v>-1.0000000000000002E-2</v>
      </c>
      <c r="AX53" s="148">
        <f>L53-AW53-AV53-AU53</f>
        <v>-6.5999999999999975E-2</v>
      </c>
      <c r="AY53" s="143">
        <v>-1.4999999999999999E-2</v>
      </c>
      <c r="AZ53" s="143">
        <v>-0.96499999999999997</v>
      </c>
      <c r="BA53" s="213">
        <v>-4.0999999999999939E-2</v>
      </c>
      <c r="BB53" s="253">
        <f>BA53</f>
        <v>-4.0999999999999939E-2</v>
      </c>
      <c r="BC53" s="194">
        <f>BB53</f>
        <v>-4.0999999999999939E-2</v>
      </c>
      <c r="BD53" s="194">
        <f>BC53</f>
        <v>-4.0999999999999939E-2</v>
      </c>
      <c r="BE53" s="194">
        <f>BD53</f>
        <v>-4.0999999999999939E-2</v>
      </c>
      <c r="BF53" s="194">
        <f>BE53</f>
        <v>-4.0999999999999939E-2</v>
      </c>
      <c r="BG53" s="194">
        <f>BF53</f>
        <v>-4.0999999999999939E-2</v>
      </c>
      <c r="BH53" s="194">
        <f>BG53</f>
        <v>-4.0999999999999939E-2</v>
      </c>
      <c r="BI53" s="194">
        <f>BH53</f>
        <v>-4.0999999999999939E-2</v>
      </c>
      <c r="BJ53" s="194">
        <f>BI53</f>
        <v>-4.0999999999999939E-2</v>
      </c>
      <c r="BK53" s="194">
        <f>BJ53</f>
        <v>-4.0999999999999939E-2</v>
      </c>
      <c r="BL53" s="194">
        <f>BK53</f>
        <v>-4.0999999999999939E-2</v>
      </c>
      <c r="BM53" s="194">
        <f>BL53</f>
        <v>-4.0999999999999939E-2</v>
      </c>
      <c r="BN53" s="194">
        <f>BM53</f>
        <v>-4.0999999999999939E-2</v>
      </c>
      <c r="BO53" s="194">
        <f>BN53</f>
        <v>-4.0999999999999939E-2</v>
      </c>
      <c r="BP53" s="194">
        <f>BO53</f>
        <v>-4.0999999999999939E-2</v>
      </c>
      <c r="BQ53" s="194">
        <f>BP53</f>
        <v>-4.0999999999999939E-2</v>
      </c>
      <c r="BR53" s="194">
        <f>BQ53</f>
        <v>-4.0999999999999939E-2</v>
      </c>
    </row>
    <row r="54" spans="1:70" x14ac:dyDescent="0.2">
      <c r="A54" s="286" t="s">
        <v>129</v>
      </c>
      <c r="B54" s="21" t="s">
        <v>174</v>
      </c>
      <c r="C54" s="85">
        <v>-74.424999999999997</v>
      </c>
      <c r="D54" s="85">
        <v>-68.844999999999999</v>
      </c>
      <c r="E54" s="85">
        <v>-41.226999999999997</v>
      </c>
      <c r="F54" s="85">
        <v>-46.783000000000001</v>
      </c>
      <c r="G54" s="85">
        <v>-29.183</v>
      </c>
      <c r="H54" s="85">
        <v>1037.423</v>
      </c>
      <c r="I54" s="85">
        <v>-24.550999999999998</v>
      </c>
      <c r="J54" s="145">
        <v>-24.922000000000001</v>
      </c>
      <c r="K54" s="145">
        <v>22.393999999999998</v>
      </c>
      <c r="L54" s="145">
        <v>1.0999999999999999E-2</v>
      </c>
      <c r="M54" s="110">
        <f>SUM(AY54:BB54)</f>
        <v>-23.474</v>
      </c>
      <c r="N54" s="111">
        <f>SUM(BC54:BF54)</f>
        <v>-32.164000000000001</v>
      </c>
      <c r="O54" s="111">
        <f>SUM(BG54:BJ54)</f>
        <v>-32.164000000000001</v>
      </c>
      <c r="P54" s="111">
        <f>SUM(BK54:BN54)</f>
        <v>-32.164000000000001</v>
      </c>
      <c r="Q54" s="111">
        <f>SUM(BO54:BR54)</f>
        <v>-32.164000000000001</v>
      </c>
      <c r="R54" s="60"/>
      <c r="S54" s="145">
        <v>-15.656000000000001</v>
      </c>
      <c r="T54" s="145">
        <v>-12.950999999999999</v>
      </c>
      <c r="U54" s="145">
        <v>-7.8070000000000004</v>
      </c>
      <c r="V54" s="144">
        <f>E54-U54-T54-S54</f>
        <v>-4.8129999999999935</v>
      </c>
      <c r="W54" s="145">
        <v>-31.05</v>
      </c>
      <c r="X54" s="145">
        <v>-5.4710000000000001</v>
      </c>
      <c r="Y54" s="145">
        <v>-5.9000000000000021</v>
      </c>
      <c r="Z54" s="144">
        <f>F54-Y54-X54-W54</f>
        <v>-4.3619999999999912</v>
      </c>
      <c r="AA54" s="145">
        <v>-7.625</v>
      </c>
      <c r="AB54" s="145">
        <v>-11.911000000000001</v>
      </c>
      <c r="AC54" s="145">
        <v>-7.0829999999999984</v>
      </c>
      <c r="AD54" s="144">
        <f>G54-AC54-AB54-AA54</f>
        <v>-2.5640000000000001</v>
      </c>
      <c r="AE54" s="145">
        <v>-3.327</v>
      </c>
      <c r="AF54" s="145">
        <v>-5.6639999999999997</v>
      </c>
      <c r="AG54" s="145">
        <v>-5.1330000000000009</v>
      </c>
      <c r="AH54" s="144">
        <f>H54-AG54-AF54-AE54</f>
        <v>1051.547</v>
      </c>
      <c r="AI54" s="145">
        <v>-16.724</v>
      </c>
      <c r="AJ54" s="145">
        <v>-2.7970000000000006</v>
      </c>
      <c r="AK54" s="145">
        <v>-2.3460000000000001</v>
      </c>
      <c r="AL54" s="144">
        <f>I54-AK54-AJ54-AI54</f>
        <v>-2.6839999999999975</v>
      </c>
      <c r="AM54" s="145">
        <v>-2.9889999999999999</v>
      </c>
      <c r="AN54" s="145">
        <v>-16.904</v>
      </c>
      <c r="AO54" s="145">
        <v>-2.5039999999999987</v>
      </c>
      <c r="AP54" s="144">
        <f>J54-AO54-AN54-AM54</f>
        <v>-2.525000000000003</v>
      </c>
      <c r="AQ54" s="145">
        <v>-2.5019999999999998</v>
      </c>
      <c r="AR54" s="145">
        <v>4.0269999999999992</v>
      </c>
      <c r="AS54" s="145">
        <v>0.10200000000000031</v>
      </c>
      <c r="AT54" s="144">
        <f>K54-AS54-AR54-AQ54</f>
        <v>20.766999999999999</v>
      </c>
      <c r="AU54" s="145">
        <v>2</v>
      </c>
      <c r="AV54" s="145">
        <v>-1.05</v>
      </c>
      <c r="AW54" s="145">
        <v>1.0960000000000001</v>
      </c>
      <c r="AX54" s="144">
        <f>L54-AW54-AV54-AU54</f>
        <v>-2.0350000000000001</v>
      </c>
      <c r="AY54" s="145">
        <v>2.621</v>
      </c>
      <c r="AZ54" s="145">
        <v>-11.851000000000001</v>
      </c>
      <c r="BA54" s="155">
        <v>-6.2029999999999994</v>
      </c>
      <c r="BB54" s="136">
        <f>SUM(BB44:BB53)</f>
        <v>-8.0410000000000004</v>
      </c>
      <c r="BC54" s="137">
        <f>SUM(BC44:BC53)</f>
        <v>-8.0410000000000004</v>
      </c>
      <c r="BD54" s="137">
        <f>SUM(BD44:BD53)</f>
        <v>-8.0410000000000004</v>
      </c>
      <c r="BE54" s="137">
        <f>SUM(BE44:BE53)</f>
        <v>-8.0410000000000004</v>
      </c>
      <c r="BF54" s="137">
        <f>SUM(BF44:BF53)</f>
        <v>-8.0410000000000004</v>
      </c>
      <c r="BG54" s="137">
        <f>SUM(BG44:BG53)</f>
        <v>-8.0410000000000004</v>
      </c>
      <c r="BH54" s="137">
        <f>SUM(BH44:BH53)</f>
        <v>-8.0410000000000004</v>
      </c>
      <c r="BI54" s="137">
        <f>SUM(BI44:BI53)</f>
        <v>-8.0410000000000004</v>
      </c>
      <c r="BJ54" s="137">
        <f>SUM(BJ44:BJ53)</f>
        <v>-8.0410000000000004</v>
      </c>
      <c r="BK54" s="137">
        <f>SUM(BK44:BK53)</f>
        <v>-8.0410000000000004</v>
      </c>
      <c r="BL54" s="137">
        <f>SUM(BL44:BL53)</f>
        <v>-8.0410000000000004</v>
      </c>
      <c r="BM54" s="137">
        <f>SUM(BM44:BM53)</f>
        <v>-8.0410000000000004</v>
      </c>
      <c r="BN54" s="137">
        <f>SUM(BN44:BN53)</f>
        <v>-8.0410000000000004</v>
      </c>
      <c r="BO54" s="137">
        <f>SUM(BO44:BO53)</f>
        <v>-8.0410000000000004</v>
      </c>
      <c r="BP54" s="137">
        <f>SUM(BP44:BP53)</f>
        <v>-8.0410000000000004</v>
      </c>
      <c r="BQ54" s="137">
        <f>SUM(BQ44:BQ53)</f>
        <v>-8.0410000000000004</v>
      </c>
      <c r="BR54" s="137">
        <f>SUM(BR44:BR53)</f>
        <v>-8.0410000000000004</v>
      </c>
    </row>
    <row r="55" spans="1:70" x14ac:dyDescent="0.2">
      <c r="A55" s="65" t="s">
        <v>7</v>
      </c>
      <c r="B55" s="13"/>
      <c r="C55" s="159">
        <f>SUM(C44:C53)-C54</f>
        <v>0</v>
      </c>
      <c r="D55" s="159">
        <f>SUM(D44:D53)-D54</f>
        <v>0</v>
      </c>
      <c r="E55" s="159">
        <f>SUM(E44:E53)-E54</f>
        <v>0</v>
      </c>
      <c r="F55" s="159">
        <f>SUM(F44:F53)-F54</f>
        <v>0</v>
      </c>
      <c r="G55" s="159">
        <f>SUM(G44:G53)-G54</f>
        <v>0</v>
      </c>
      <c r="H55" s="159">
        <f>SUM(H44:H53)-H54</f>
        <v>0</v>
      </c>
      <c r="I55" s="159">
        <f>SUM(I44:I53)-I54</f>
        <v>0</v>
      </c>
      <c r="J55" s="159">
        <f>SUM(J44:J53)-J54</f>
        <v>0</v>
      </c>
      <c r="K55" s="159">
        <f>SUM(K44:K53)-K54</f>
        <v>-4.2632564145606011E-14</v>
      </c>
      <c r="L55" s="160">
        <f>SUM(L44:L53)-L54</f>
        <v>3.434752482434078E-16</v>
      </c>
      <c r="M55" s="167">
        <f>SUM(M44:M53)-M54</f>
        <v>0</v>
      </c>
      <c r="N55" s="159">
        <f>SUM(N44:N53)-N54</f>
        <v>0</v>
      </c>
      <c r="O55" s="159">
        <f>SUM(O44:O53)-O54</f>
        <v>0</v>
      </c>
      <c r="P55" s="159">
        <f>SUM(P44:P53)-P54</f>
        <v>0</v>
      </c>
      <c r="Q55" s="159">
        <f>SUM(Q44:Q53)-Q54</f>
        <v>0</v>
      </c>
      <c r="R55" s="50"/>
      <c r="S55" s="159">
        <f>SUM(S44:S53)-S54</f>
        <v>0</v>
      </c>
      <c r="T55" s="159">
        <f>SUM(T44:T53)-T54</f>
        <v>0</v>
      </c>
      <c r="U55" s="159">
        <f>SUM(U44:U53)-U54</f>
        <v>0</v>
      </c>
      <c r="V55" s="159">
        <f>SUM(V44:V53)-V54</f>
        <v>1.1546319456101628E-14</v>
      </c>
      <c r="W55" s="159">
        <f>SUM(W44:W53)-W54</f>
        <v>0</v>
      </c>
      <c r="X55" s="159">
        <f>SUM(X44:X53)-X54</f>
        <v>0</v>
      </c>
      <c r="Y55" s="159">
        <f>SUM(Y44:Y53)-Y54</f>
        <v>0</v>
      </c>
      <c r="Z55" s="159">
        <f>SUM(Z44:Z53)-Z54</f>
        <v>-7.1054273576010019E-15</v>
      </c>
      <c r="AA55" s="159">
        <f>SUM(AA44:AA53)-AA54</f>
        <v>0</v>
      </c>
      <c r="AB55" s="159">
        <f>SUM(AB44:AB53)-AB54</f>
        <v>0</v>
      </c>
      <c r="AC55" s="159">
        <f>SUM(AC44:AC53)-AC54</f>
        <v>0</v>
      </c>
      <c r="AD55" s="159">
        <f>SUM(AD44:AD53)-AD54</f>
        <v>0</v>
      </c>
      <c r="AE55" s="159">
        <f>SUM(AE44:AE53)-AE54</f>
        <v>0</v>
      </c>
      <c r="AF55" s="159">
        <f>SUM(AF44:AF53)-AF54</f>
        <v>0</v>
      </c>
      <c r="AG55" s="159">
        <f>SUM(AG44:AG53)-AG54</f>
        <v>0</v>
      </c>
      <c r="AH55" s="159">
        <f>SUM(AH44:AH53)-AH54</f>
        <v>0</v>
      </c>
      <c r="AI55" s="159">
        <f>SUM(AI44:AI53)-AI54</f>
        <v>0</v>
      </c>
      <c r="AJ55" s="159">
        <f>SUM(AJ44:AJ53)-AJ54</f>
        <v>0</v>
      </c>
      <c r="AK55" s="159">
        <f>SUM(AK44:AK53)-AK54</f>
        <v>0</v>
      </c>
      <c r="AL55" s="159">
        <f>SUM(AL44:AL53)-AL54</f>
        <v>0</v>
      </c>
      <c r="AM55" s="159">
        <f>SUM(AM44:AM53)-AM54</f>
        <v>0</v>
      </c>
      <c r="AN55" s="159">
        <f>SUM(AN44:AN53)-AN54</f>
        <v>0</v>
      </c>
      <c r="AO55" s="159">
        <f>SUM(AO44:AO53)-AO54</f>
        <v>0</v>
      </c>
      <c r="AP55" s="159">
        <f>SUM(AP44:AP53)-AP54</f>
        <v>0</v>
      </c>
      <c r="AQ55" s="159">
        <f>SUM(AQ44:AQ53)-AQ54</f>
        <v>0</v>
      </c>
      <c r="AR55" s="159">
        <f>SUM(AR44:AR53)-AR54</f>
        <v>-2.1316282072803006E-14</v>
      </c>
      <c r="AS55" s="159">
        <f>SUM(AS44:AS53)-AS54</f>
        <v>-1.2212453270876722E-14</v>
      </c>
      <c r="AT55" s="159">
        <f>SUM(AT44:AT53)-AT54</f>
        <v>0</v>
      </c>
      <c r="AU55" s="159">
        <f>SUM(AU44:AU53)-AU54</f>
        <v>0</v>
      </c>
      <c r="AV55" s="159">
        <f>SUM(AV44:AV53)-AV54</f>
        <v>0</v>
      </c>
      <c r="AW55" s="159">
        <f>SUM(AW44:AW53)-AW54</f>
        <v>0</v>
      </c>
      <c r="AX55" s="159">
        <f>SUM(AX44:AX53)-AX54</f>
        <v>0</v>
      </c>
      <c r="AY55" s="159">
        <f>SUM(AY44:AY53)-AY54</f>
        <v>0</v>
      </c>
      <c r="AZ55" s="159">
        <f>SUM(AZ44:AZ53)-AZ54</f>
        <v>0</v>
      </c>
      <c r="BA55" s="160">
        <f>SUM(BA44:BA53)-BA54</f>
        <v>0</v>
      </c>
      <c r="BB55" s="170">
        <f>SUM(BB44:BB53)-BB54</f>
        <v>0</v>
      </c>
      <c r="BC55" s="171">
        <f>SUM(BC44:BC53)-BC54</f>
        <v>0</v>
      </c>
      <c r="BD55" s="171">
        <f>SUM(BD44:BD53)-BD54</f>
        <v>0</v>
      </c>
      <c r="BE55" s="171">
        <f>SUM(BE44:BE53)-BE54</f>
        <v>0</v>
      </c>
      <c r="BF55" s="171">
        <f>SUM(BF44:BF53)-BF54</f>
        <v>0</v>
      </c>
      <c r="BG55" s="171">
        <f>SUM(BG44:BG53)-BG54</f>
        <v>0</v>
      </c>
      <c r="BH55" s="171">
        <f>SUM(BH44:BH53)-BH54</f>
        <v>0</v>
      </c>
      <c r="BI55" s="171">
        <f>SUM(BI44:BI53)-BI54</f>
        <v>0</v>
      </c>
      <c r="BJ55" s="171">
        <f>SUM(BJ44:BJ53)-BJ54</f>
        <v>0</v>
      </c>
      <c r="BK55" s="171">
        <f>SUM(BK44:BK53)-BK54</f>
        <v>0</v>
      </c>
      <c r="BL55" s="171">
        <f>SUM(BL44:BL53)-BL54</f>
        <v>0</v>
      </c>
      <c r="BM55" s="171">
        <f>SUM(BM44:BM53)-BM54</f>
        <v>0</v>
      </c>
      <c r="BN55" s="171">
        <f>SUM(BN44:BN53)-BN54</f>
        <v>0</v>
      </c>
      <c r="BO55" s="171">
        <f>SUM(BO44:BO53)-BO54</f>
        <v>0</v>
      </c>
      <c r="BP55" s="171">
        <f>SUM(BP44:BP53)-BP54</f>
        <v>0</v>
      </c>
      <c r="BQ55" s="171">
        <f>SUM(BQ44:BQ53)-BQ54</f>
        <v>0</v>
      </c>
      <c r="BR55" s="171">
        <f>SUM(BR44:BR53)-BR54</f>
        <v>0</v>
      </c>
    </row>
    <row r="56" spans="1:70" x14ac:dyDescent="0.2">
      <c r="A56" s="267"/>
      <c r="B56" s="9"/>
      <c r="C56" s="106"/>
      <c r="D56" s="106"/>
      <c r="E56" s="106"/>
      <c r="F56" s="106"/>
      <c r="G56" s="106"/>
      <c r="H56" s="106"/>
      <c r="I56" s="106"/>
      <c r="J56" s="106"/>
      <c r="K56" s="106"/>
      <c r="L56" s="107"/>
      <c r="M56" s="77"/>
      <c r="N56" s="76"/>
      <c r="O56" s="76"/>
      <c r="P56" s="76"/>
      <c r="Q56" s="76"/>
      <c r="R56" s="46"/>
      <c r="S56" s="106"/>
      <c r="T56" s="106"/>
      <c r="U56" s="106"/>
      <c r="V56" s="106"/>
      <c r="W56" s="106"/>
      <c r="X56" s="106"/>
      <c r="Y56" s="106"/>
      <c r="Z56" s="106"/>
      <c r="AA56" s="106"/>
      <c r="AB56" s="106"/>
      <c r="AC56" s="106"/>
      <c r="AD56" s="106"/>
      <c r="AE56" s="106"/>
      <c r="AF56" s="106"/>
      <c r="AG56" s="106"/>
      <c r="AH56" s="106"/>
      <c r="AI56" s="106"/>
      <c r="AJ56" s="106"/>
      <c r="AK56" s="106"/>
      <c r="AL56" s="106"/>
      <c r="AM56" s="106"/>
      <c r="AN56" s="106"/>
      <c r="AO56" s="106"/>
      <c r="AP56" s="106"/>
      <c r="AQ56" s="106"/>
      <c r="AR56" s="106"/>
      <c r="AS56" s="106"/>
      <c r="AT56" s="106"/>
      <c r="AU56" s="106"/>
      <c r="AV56" s="106"/>
      <c r="AW56" s="106"/>
      <c r="AX56" s="106"/>
      <c r="AY56" s="106"/>
      <c r="AZ56" s="106"/>
      <c r="BA56" s="107"/>
      <c r="BB56" s="108"/>
      <c r="BC56" s="106"/>
      <c r="BD56" s="106"/>
      <c r="BE56" s="106"/>
      <c r="BF56" s="106"/>
      <c r="BG56" s="106"/>
      <c r="BH56" s="106"/>
      <c r="BI56" s="106"/>
      <c r="BJ56" s="106"/>
      <c r="BK56" s="106"/>
      <c r="BL56" s="106"/>
      <c r="BM56" s="106"/>
      <c r="BN56" s="106"/>
      <c r="BO56" s="106"/>
      <c r="BP56" s="106"/>
      <c r="BQ56" s="106"/>
      <c r="BR56" s="106"/>
    </row>
    <row r="57" spans="1:70" x14ac:dyDescent="0.2">
      <c r="A57" s="168" t="s">
        <v>139</v>
      </c>
      <c r="B57" s="149"/>
      <c r="C57" s="81">
        <v>-1.6830000000000001</v>
      </c>
      <c r="D57" s="81">
        <v>0.307</v>
      </c>
      <c r="E57" s="81">
        <v>5.7000000000000002E-2</v>
      </c>
      <c r="F57" s="81">
        <v>-0.68899999999999995</v>
      </c>
      <c r="G57" s="81">
        <v>7.2999999999999995E-2</v>
      </c>
      <c r="H57" s="81">
        <v>-1.266</v>
      </c>
      <c r="I57" s="81">
        <v>-1.552</v>
      </c>
      <c r="J57" s="142">
        <v>-1.714</v>
      </c>
      <c r="K57" s="142">
        <v>1.292</v>
      </c>
      <c r="L57" s="142">
        <v>-1.37</v>
      </c>
      <c r="M57" s="179">
        <f>SUM(AY57:BB57)</f>
        <v>-1.3140000000000001</v>
      </c>
      <c r="N57" s="150">
        <f>SUM(BC57:BF57)</f>
        <v>0</v>
      </c>
      <c r="O57" s="150">
        <f>SUM(BG57:BJ57)</f>
        <v>0</v>
      </c>
      <c r="P57" s="150">
        <f>SUM(BK57:BN57)</f>
        <v>0</v>
      </c>
      <c r="Q57" s="150">
        <f>SUM(BO57:BR57)</f>
        <v>0</v>
      </c>
      <c r="R57" s="310"/>
      <c r="S57" s="142">
        <v>-0.505</v>
      </c>
      <c r="T57" s="142">
        <v>-0.14800000000000002</v>
      </c>
      <c r="U57" s="142">
        <v>0.84400000000000008</v>
      </c>
      <c r="V57" s="146">
        <f>E57-U57-T57-S57</f>
        <v>-0.13400000000000001</v>
      </c>
      <c r="W57" s="142">
        <v>-0.65500000000000003</v>
      </c>
      <c r="X57" s="142">
        <v>0.57900000000000007</v>
      </c>
      <c r="Y57" s="142">
        <v>-0.86699999999999999</v>
      </c>
      <c r="Z57" s="146">
        <f>F57-Y57-X57-W57</f>
        <v>0.254</v>
      </c>
      <c r="AA57" s="142">
        <v>-0.22600000000000001</v>
      </c>
      <c r="AB57" s="142">
        <v>-0.42900000000000005</v>
      </c>
      <c r="AC57" s="142">
        <v>0.65400000000000003</v>
      </c>
      <c r="AD57" s="146">
        <f>G57-AC57-AB57-AA57</f>
        <v>7.3999999999999982E-2</v>
      </c>
      <c r="AE57" s="142">
        <v>-7.9000000000000001E-2</v>
      </c>
      <c r="AF57" s="142">
        <v>0.55499999999999994</v>
      </c>
      <c r="AG57" s="142">
        <v>-0.8879999999999999</v>
      </c>
      <c r="AH57" s="146">
        <f>H57-AG57-AF57-AE57</f>
        <v>-0.85400000000000009</v>
      </c>
      <c r="AI57" s="142">
        <v>-0.57999999999999996</v>
      </c>
      <c r="AJ57" s="142">
        <v>0.32299999999999995</v>
      </c>
      <c r="AK57" s="142">
        <v>-0.79799999999999993</v>
      </c>
      <c r="AL57" s="146">
        <f>I57-AK57-AJ57-AI57</f>
        <v>-0.497</v>
      </c>
      <c r="AM57" s="142">
        <v>0.14799999999999999</v>
      </c>
      <c r="AN57" s="142">
        <v>-0.55899999999999994</v>
      </c>
      <c r="AO57" s="142">
        <v>-0.33200000000000007</v>
      </c>
      <c r="AP57" s="146">
        <f>J57-AO57-AN57-AM57</f>
        <v>-0.97099999999999997</v>
      </c>
      <c r="AQ57" s="142">
        <v>0.307</v>
      </c>
      <c r="AR57" s="142">
        <v>0.57499999999999996</v>
      </c>
      <c r="AS57" s="142">
        <v>0.48300000000000004</v>
      </c>
      <c r="AT57" s="146">
        <f>K57-AS57-AR57-AQ57</f>
        <v>-7.3000000000000009E-2</v>
      </c>
      <c r="AU57" s="142">
        <v>0.14699999999999999</v>
      </c>
      <c r="AV57" s="142">
        <v>-0.76700000000000002</v>
      </c>
      <c r="AW57" s="142">
        <v>0.18800000000000003</v>
      </c>
      <c r="AX57" s="146">
        <f>L57-AW57-AV57-AU57</f>
        <v>-0.93800000000000006</v>
      </c>
      <c r="AY57" s="142">
        <v>-0.34300000000000003</v>
      </c>
      <c r="AZ57" s="142">
        <v>1.0569999999999999</v>
      </c>
      <c r="BA57" s="153">
        <v>-2.028</v>
      </c>
      <c r="BB57" s="172"/>
      <c r="BC57" s="188"/>
      <c r="BD57" s="188"/>
      <c r="BE57" s="188"/>
      <c r="BF57" s="188"/>
      <c r="BG57" s="188"/>
      <c r="BH57" s="188"/>
      <c r="BI57" s="188"/>
      <c r="BJ57" s="188"/>
      <c r="BK57" s="188"/>
      <c r="BL57" s="188"/>
      <c r="BM57" s="188"/>
      <c r="BN57" s="188"/>
      <c r="BO57" s="188"/>
      <c r="BP57" s="188"/>
      <c r="BQ57" s="188"/>
      <c r="BR57" s="188"/>
    </row>
    <row r="58" spans="1:70" x14ac:dyDescent="0.2">
      <c r="A58" s="168" t="s">
        <v>140</v>
      </c>
      <c r="B58" s="149" t="s">
        <v>175</v>
      </c>
      <c r="C58" s="81">
        <v>7.62</v>
      </c>
      <c r="D58" s="81">
        <v>-24.132000000000001</v>
      </c>
      <c r="E58" s="81">
        <v>-5.101</v>
      </c>
      <c r="F58" s="81">
        <v>97.484999999999999</v>
      </c>
      <c r="G58" s="81">
        <v>-38.765999999999998</v>
      </c>
      <c r="H58" s="81">
        <v>-25.158999999999999</v>
      </c>
      <c r="I58" s="81">
        <v>12.935</v>
      </c>
      <c r="J58" s="142">
        <v>17.114999999999998</v>
      </c>
      <c r="K58" s="142">
        <v>10.164999999999999</v>
      </c>
      <c r="L58" s="142">
        <v>169.577</v>
      </c>
      <c r="M58" s="179">
        <f>SUM(AY58:BB58)</f>
        <v>-17.884719526949102</v>
      </c>
      <c r="N58" s="150">
        <f>SUM(BC58:BF58)</f>
        <v>71.331031376823816</v>
      </c>
      <c r="O58" s="150">
        <f>SUM(BG58:BJ58)</f>
        <v>113.98574652510023</v>
      </c>
      <c r="P58" s="150">
        <f>SUM(BK58:BN58)</f>
        <v>165.86106573504867</v>
      </c>
      <c r="Q58" s="150">
        <f>SUM(BO58:BR58)</f>
        <v>236.88689206946495</v>
      </c>
      <c r="R58" s="310"/>
      <c r="S58" s="142">
        <v>-20.105</v>
      </c>
      <c r="T58" s="142">
        <v>-15.275000000000002</v>
      </c>
      <c r="U58" s="142">
        <v>13.090000000000003</v>
      </c>
      <c r="V58" s="146">
        <f>E58-U58-T58-S58</f>
        <v>17.189</v>
      </c>
      <c r="W58" s="142">
        <v>-14.968999999999999</v>
      </c>
      <c r="X58" s="142">
        <v>-0.60500000000000043</v>
      </c>
      <c r="Y58" s="142">
        <v>6.9789999999999992</v>
      </c>
      <c r="Z58" s="146">
        <f>F58-Y58-X58-W58</f>
        <v>106.08</v>
      </c>
      <c r="AA58" s="142">
        <v>-82.317999999999998</v>
      </c>
      <c r="AB58" s="142">
        <v>-5.2540000000000049</v>
      </c>
      <c r="AC58" s="142">
        <v>77.542000000000002</v>
      </c>
      <c r="AD58" s="146">
        <f>G58-AC58-AB58-AA58</f>
        <v>-28.73599999999999</v>
      </c>
      <c r="AE58" s="142">
        <v>80.311999999999998</v>
      </c>
      <c r="AF58" s="142">
        <v>-32.567999999999998</v>
      </c>
      <c r="AG58" s="142">
        <v>-55.498999999999995</v>
      </c>
      <c r="AH58" s="146">
        <f>H58-AG58-AF58-AE58</f>
        <v>-17.404000000000003</v>
      </c>
      <c r="AI58" s="142">
        <v>55.917999999999999</v>
      </c>
      <c r="AJ58" s="142">
        <v>20.003999999999998</v>
      </c>
      <c r="AK58" s="142">
        <v>-53.543999999999997</v>
      </c>
      <c r="AL58" s="146">
        <f>I58-AK58-AJ58-AI58</f>
        <v>-9.4429999999999978</v>
      </c>
      <c r="AM58" s="142">
        <v>-2.6960000000000002</v>
      </c>
      <c r="AN58" s="142">
        <v>-14.229999999999999</v>
      </c>
      <c r="AO58" s="142">
        <v>5.3839999999999986</v>
      </c>
      <c r="AP58" s="146">
        <f>J58-AO58-AN58-AM58</f>
        <v>28.657</v>
      </c>
      <c r="AQ58" s="142">
        <v>8.9860000000000007</v>
      </c>
      <c r="AR58" s="142">
        <v>20.774999999999999</v>
      </c>
      <c r="AS58" s="142">
        <v>-40</v>
      </c>
      <c r="AT58" s="146">
        <f>K58-AS58-AR58-AQ58</f>
        <v>20.404</v>
      </c>
      <c r="AU58" s="142">
        <v>3.988</v>
      </c>
      <c r="AV58" s="142">
        <v>-22.401</v>
      </c>
      <c r="AW58" s="142">
        <v>18.647000000000002</v>
      </c>
      <c r="AX58" s="146">
        <f>L58-AW58-AV58-AU58</f>
        <v>169.34300000000002</v>
      </c>
      <c r="AY58" s="142">
        <v>-157.4</v>
      </c>
      <c r="AZ58" s="142">
        <v>-16.054000000000002</v>
      </c>
      <c r="BA58" s="153">
        <v>158.38300000000001</v>
      </c>
      <c r="BB58" s="151">
        <f>BB30+BB40+BB54+BB57</f>
        <v>-2.8137195269491038</v>
      </c>
      <c r="BC58" s="152">
        <f>BC30+BC40+BC54+BC57</f>
        <v>16.204500395024478</v>
      </c>
      <c r="BD58" s="152">
        <f>BD30+BD40+BD54+BD57</f>
        <v>20.080248379312994</v>
      </c>
      <c r="BE58" s="152">
        <f>BE30+BE40+BE54+BE57</f>
        <v>20.580438436368016</v>
      </c>
      <c r="BF58" s="152">
        <f>BF30+BF40+BF54+BF57</f>
        <v>14.465844166118327</v>
      </c>
      <c r="BG58" s="152">
        <f>BG30+BG40+BG54+BG57</f>
        <v>27.208284878004509</v>
      </c>
      <c r="BH58" s="152">
        <f>BH30+BH40+BH54+BH57</f>
        <v>35.956393190536062</v>
      </c>
      <c r="BI58" s="152">
        <f>BI30+BI40+BI54+BI57</f>
        <v>28.791900852041142</v>
      </c>
      <c r="BJ58" s="152">
        <f>BJ30+BJ40+BJ54+BJ57</f>
        <v>22.029167604518523</v>
      </c>
      <c r="BK58" s="152">
        <f>BK30+BK40+BK54+BK57</f>
        <v>37.034451961904011</v>
      </c>
      <c r="BL58" s="152">
        <f>BL30+BL40+BL54+BL57</f>
        <v>56.47781841033715</v>
      </c>
      <c r="BM58" s="152">
        <f>BM30+BM40+BM54+BM57</f>
        <v>40.676687841856463</v>
      </c>
      <c r="BN58" s="152">
        <f>BN30+BN40+BN54+BN57</f>
        <v>31.672107520951055</v>
      </c>
      <c r="BO58" s="152">
        <f>BO30+BO40+BO54+BO57</f>
        <v>54.615670229803627</v>
      </c>
      <c r="BP58" s="152">
        <f>BP30+BP40+BP54+BP57</f>
        <v>85.221553143588721</v>
      </c>
      <c r="BQ58" s="152">
        <f>BQ30+BQ40+BQ54+BQ57</f>
        <v>54.954451555038489</v>
      </c>
      <c r="BR58" s="152">
        <f>BR30+BR40+BR54+BR57</f>
        <v>42.095217141034112</v>
      </c>
    </row>
    <row r="59" spans="1:70" x14ac:dyDescent="0.2">
      <c r="A59" s="65" t="s">
        <v>7</v>
      </c>
      <c r="B59" s="13"/>
      <c r="C59" s="88">
        <f>C30+C40+C54+C57-C58</f>
        <v>0</v>
      </c>
      <c r="D59" s="88">
        <f>D30+D40+D54+D57-D58</f>
        <v>0</v>
      </c>
      <c r="E59" s="88">
        <f>E30+E40+E54+E57-E58</f>
        <v>0</v>
      </c>
      <c r="F59" s="88">
        <f>F30+F40+F54+F57-F58</f>
        <v>0</v>
      </c>
      <c r="G59" s="88">
        <f>G30+G40+G54+G57-G58</f>
        <v>0</v>
      </c>
      <c r="H59" s="88">
        <f>H30+H40+H54+H57-H58</f>
        <v>-2.8421709430404007E-14</v>
      </c>
      <c r="I59" s="88">
        <f>I30+I40+I54+I57-I58</f>
        <v>0</v>
      </c>
      <c r="J59" s="88">
        <f>J30+J40+J54+J57-J58</f>
        <v>0</v>
      </c>
      <c r="K59" s="88">
        <f>K30+K40+K54+K57-K58</f>
        <v>0</v>
      </c>
      <c r="L59" s="90">
        <f>L30+L40+L54+L57-L58</f>
        <v>0</v>
      </c>
      <c r="M59" s="89">
        <f>M30+M40+M54+M57-M58</f>
        <v>2.8421709430404007E-14</v>
      </c>
      <c r="N59" s="88">
        <f>N30+N40+N54+N57-N58</f>
        <v>0</v>
      </c>
      <c r="O59" s="88">
        <f>O30+O40+O54+O57-O58</f>
        <v>0</v>
      </c>
      <c r="P59" s="88">
        <f>P30+P40+P54+P57-P58</f>
        <v>0</v>
      </c>
      <c r="Q59" s="88">
        <f>Q30+Q40+Q54+Q57-Q58</f>
        <v>0</v>
      </c>
      <c r="R59" s="50"/>
      <c r="S59" s="88">
        <f>S30+S40+S54+S57-S58</f>
        <v>0</v>
      </c>
      <c r="T59" s="88">
        <f>T30+T40+T54+T57-T58</f>
        <v>0</v>
      </c>
      <c r="U59" s="88">
        <f>U30+U40+U54+U57-U58</f>
        <v>0</v>
      </c>
      <c r="V59" s="88">
        <f>V30+V40+V54+V57-V58</f>
        <v>0</v>
      </c>
      <c r="W59" s="88">
        <f>W30+W40+W54+W57-W58</f>
        <v>0</v>
      </c>
      <c r="X59" s="88">
        <f>X30+X40+X54+X57-X58</f>
        <v>0</v>
      </c>
      <c r="Y59" s="88">
        <f>Y30+Y40+Y54+Y57-Y58</f>
        <v>0</v>
      </c>
      <c r="Z59" s="88">
        <f>Z30+Z40+Z54+Z57-Z58</f>
        <v>0</v>
      </c>
      <c r="AA59" s="88">
        <f>AA30+AA40+AA54+AA57-AA58</f>
        <v>0</v>
      </c>
      <c r="AB59" s="88">
        <f>AB30+AB40+AB54+AB57-AB58</f>
        <v>0</v>
      </c>
      <c r="AC59" s="88">
        <f>AC30+AC40+AC54+AC57-AC58</f>
        <v>0</v>
      </c>
      <c r="AD59" s="88">
        <f>AD30+AD40+AD54+AD57-AD58</f>
        <v>0</v>
      </c>
      <c r="AE59" s="88">
        <f>AE30+AE40+AE54+AE57-AE58</f>
        <v>0</v>
      </c>
      <c r="AF59" s="88">
        <f>AF30+AF40+AF54+AF57-AF58</f>
        <v>0</v>
      </c>
      <c r="AG59" s="88">
        <f>AG30+AG40+AG54+AG57-AG58</f>
        <v>0</v>
      </c>
      <c r="AH59" s="88">
        <f>AH30+AH40+AH54+AH57-AH58</f>
        <v>-1.7763568394002505E-13</v>
      </c>
      <c r="AI59" s="88">
        <f>AI30+AI40+AI54+AI57-AI58</f>
        <v>0</v>
      </c>
      <c r="AJ59" s="88">
        <f>AJ30+AJ40+AJ54+AJ57-AJ58</f>
        <v>0</v>
      </c>
      <c r="AK59" s="88">
        <f>AK30+AK40+AK54+AK57-AK58</f>
        <v>0</v>
      </c>
      <c r="AL59" s="88">
        <f>AL30+AL40+AL54+AL57-AL58</f>
        <v>0</v>
      </c>
      <c r="AM59" s="88">
        <f>AM30+AM40+AM54+AM57-AM58</f>
        <v>0</v>
      </c>
      <c r="AN59" s="88">
        <f>AN30+AN40+AN54+AN57-AN58</f>
        <v>0</v>
      </c>
      <c r="AO59" s="88">
        <f>AO30+AO40+AO54+AO57-AO58</f>
        <v>1.2434497875801753E-14</v>
      </c>
      <c r="AP59" s="88">
        <f>AP30+AP40+AP54+AP57-AP58</f>
        <v>0</v>
      </c>
      <c r="AQ59" s="88">
        <f>AQ30+AQ40+AQ54+AQ57-AQ58</f>
        <v>0</v>
      </c>
      <c r="AR59" s="88">
        <f>AR30+AR40+AR54+AR57-AR58</f>
        <v>0</v>
      </c>
      <c r="AS59" s="88">
        <f>AS30+AS40+AS54+AS57-AS58</f>
        <v>0</v>
      </c>
      <c r="AT59" s="88">
        <f>AT30+AT40+AT54+AT57-AT58</f>
        <v>0</v>
      </c>
      <c r="AU59" s="88">
        <f>AU30+AU40+AU54+AU57-AU58</f>
        <v>0</v>
      </c>
      <c r="AV59" s="88">
        <f>AV30+AV40+AV54+AV57-AV58</f>
        <v>0</v>
      </c>
      <c r="AW59" s="88">
        <f>AW30+AW40+AW54+AW57-AW58</f>
        <v>0</v>
      </c>
      <c r="AX59" s="88">
        <f>AX30+AX40+AX54+AX57-AX58</f>
        <v>0</v>
      </c>
      <c r="AY59" s="88">
        <f>AY30+AY40+AY54+AY57-AY58</f>
        <v>0</v>
      </c>
      <c r="AZ59" s="88">
        <f>AZ30+AZ40+AZ54+AZ57-AZ58</f>
        <v>0</v>
      </c>
      <c r="BA59" s="90">
        <f>BA30+BA40+BA54+BA57-BA58</f>
        <v>0</v>
      </c>
      <c r="BB59" s="89">
        <f>BB30+BB40+BB54+BB57-BB58</f>
        <v>0</v>
      </c>
      <c r="BC59" s="88">
        <f>BC30+BC40+BC54+BC57-BC58</f>
        <v>0</v>
      </c>
      <c r="BD59" s="88">
        <f>BD30+BD40+BD54+BD57-BD58</f>
        <v>0</v>
      </c>
      <c r="BE59" s="88">
        <f>BE30+BE40+BE54+BE57-BE58</f>
        <v>0</v>
      </c>
      <c r="BF59" s="88">
        <f>BF30+BF40+BF54+BF57-BF58</f>
        <v>0</v>
      </c>
      <c r="BG59" s="88">
        <f>BG30+BG40+BG54+BG57-BG58</f>
        <v>0</v>
      </c>
      <c r="BH59" s="88">
        <f>BH30+BH40+BH54+BH57-BH58</f>
        <v>0</v>
      </c>
      <c r="BI59" s="88">
        <f>BI30+BI40+BI54+BI57-BI58</f>
        <v>0</v>
      </c>
      <c r="BJ59" s="88">
        <f>BJ30+BJ40+BJ54+BJ57-BJ58</f>
        <v>0</v>
      </c>
      <c r="BK59" s="88">
        <f>BK30+BK40+BK54+BK57-BK58</f>
        <v>0</v>
      </c>
      <c r="BL59" s="88">
        <f>BL30+BL40+BL54+BL57-BL58</f>
        <v>0</v>
      </c>
      <c r="BM59" s="88">
        <f>BM30+BM40+BM54+BM57-BM58</f>
        <v>0</v>
      </c>
      <c r="BN59" s="88">
        <f>BN30+BN40+BN54+BN57-BN58</f>
        <v>0</v>
      </c>
      <c r="BO59" s="88">
        <f>BO30+BO40+BO54+BO57-BO58</f>
        <v>0</v>
      </c>
      <c r="BP59" s="88">
        <f>BP30+BP40+BP54+BP57-BP58</f>
        <v>0</v>
      </c>
      <c r="BQ59" s="88">
        <f>BQ30+BQ40+BQ54+BQ57-BQ58</f>
        <v>0</v>
      </c>
      <c r="BR59" s="88">
        <f>BR30+BR40+BR54+BR57-BR58</f>
        <v>0</v>
      </c>
    </row>
    <row r="60" spans="1:70" x14ac:dyDescent="0.2">
      <c r="A60" s="267" t="s">
        <v>124</v>
      </c>
      <c r="B60" s="9"/>
      <c r="C60" s="81">
        <v>77.147999999999996</v>
      </c>
      <c r="D60" s="74">
        <f>C61</f>
        <v>84.768000000000001</v>
      </c>
      <c r="E60" s="74">
        <f>D61</f>
        <v>60.636000000000003</v>
      </c>
      <c r="F60" s="74">
        <f>E61</f>
        <v>55.534999999999997</v>
      </c>
      <c r="G60" s="74">
        <f>F61</f>
        <v>153.02000000000001</v>
      </c>
      <c r="H60" s="74">
        <f>G61</f>
        <v>114.254</v>
      </c>
      <c r="I60" s="74">
        <f>H61</f>
        <v>89.094999999999999</v>
      </c>
      <c r="J60" s="74">
        <f>I61</f>
        <v>102.03</v>
      </c>
      <c r="K60" s="74">
        <f>J61</f>
        <v>119.43899999999999</v>
      </c>
      <c r="L60" s="74">
        <f>K61</f>
        <v>129.60400000000001</v>
      </c>
      <c r="M60" s="77">
        <f>L61</f>
        <v>299.18099999999998</v>
      </c>
      <c r="N60" s="74">
        <f>M61</f>
        <v>281.2962804730509</v>
      </c>
      <c r="O60" s="74">
        <f>N61</f>
        <v>352.62731184987473</v>
      </c>
      <c r="P60" s="74">
        <f>O61</f>
        <v>466.61305837497497</v>
      </c>
      <c r="Q60" s="74">
        <f>P61</f>
        <v>632.47412411002369</v>
      </c>
      <c r="R60" s="46"/>
      <c r="S60" s="74">
        <f>D61</f>
        <v>60.636000000000003</v>
      </c>
      <c r="T60" s="74">
        <f>S61</f>
        <v>40.530999999999999</v>
      </c>
      <c r="U60" s="74">
        <f>T61</f>
        <v>25.256</v>
      </c>
      <c r="V60" s="74">
        <f>U61</f>
        <v>38.345999999999997</v>
      </c>
      <c r="W60" s="74">
        <f>V61</f>
        <v>55.534999999999997</v>
      </c>
      <c r="X60" s="74">
        <f>W61</f>
        <v>40.566000000000003</v>
      </c>
      <c r="Y60" s="74">
        <f>X61</f>
        <v>39.960999999999999</v>
      </c>
      <c r="Z60" s="74">
        <f>Y61</f>
        <v>46.94</v>
      </c>
      <c r="AA60" s="74">
        <f>Z61</f>
        <v>153.02000000000001</v>
      </c>
      <c r="AB60" s="74">
        <f>AA61</f>
        <v>70.701999999999998</v>
      </c>
      <c r="AC60" s="74">
        <f>AB61</f>
        <v>65.447999999999993</v>
      </c>
      <c r="AD60" s="74">
        <f>AC61</f>
        <v>142.99</v>
      </c>
      <c r="AE60" s="74">
        <f>AD61</f>
        <v>114.254</v>
      </c>
      <c r="AF60" s="74">
        <f>AE61</f>
        <v>194.566</v>
      </c>
      <c r="AG60" s="74">
        <f>AF61</f>
        <v>161.99799999999999</v>
      </c>
      <c r="AH60" s="74">
        <f>AG61</f>
        <v>106.499</v>
      </c>
      <c r="AI60" s="74">
        <f>AH61</f>
        <v>89.094999999999999</v>
      </c>
      <c r="AJ60" s="74">
        <f>AI61</f>
        <v>145.01300000000001</v>
      </c>
      <c r="AK60" s="74">
        <f>AJ61</f>
        <v>165.017</v>
      </c>
      <c r="AL60" s="74">
        <f>AK61</f>
        <v>111.473</v>
      </c>
      <c r="AM60" s="74">
        <f>AL61</f>
        <v>102.03</v>
      </c>
      <c r="AN60" s="74">
        <f>AM61</f>
        <v>99.334000000000003</v>
      </c>
      <c r="AO60" s="74">
        <f>AN61</f>
        <v>85.103999999999999</v>
      </c>
      <c r="AP60" s="74">
        <f>AO61</f>
        <v>90.488</v>
      </c>
      <c r="AQ60" s="74">
        <f>AP61</f>
        <v>119.43899999999999</v>
      </c>
      <c r="AR60" s="74">
        <f>AQ61</f>
        <v>128.42400000000001</v>
      </c>
      <c r="AS60" s="74">
        <f>AR61</f>
        <v>149.19900000000001</v>
      </c>
      <c r="AT60" s="74">
        <f>AS61</f>
        <v>109.2</v>
      </c>
      <c r="AU60" s="74">
        <f>AT61</f>
        <v>129.60400000000001</v>
      </c>
      <c r="AV60" s="74">
        <f>AU61</f>
        <v>133.59200000000001</v>
      </c>
      <c r="AW60" s="74">
        <f>AV61</f>
        <v>111.191</v>
      </c>
      <c r="AX60" s="74">
        <f>AW61</f>
        <v>129.83799999999999</v>
      </c>
      <c r="AY60" s="74">
        <f>AX61</f>
        <v>299.18099999999998</v>
      </c>
      <c r="AZ60" s="74">
        <f>AY61</f>
        <v>141.78100000000001</v>
      </c>
      <c r="BA60" s="78">
        <f>AZ61</f>
        <v>125.727</v>
      </c>
      <c r="BB60" s="77">
        <f>BS!BA5</f>
        <v>275.70600000000002</v>
      </c>
      <c r="BC60" s="76">
        <f>BB61</f>
        <v>272.8922804730509</v>
      </c>
      <c r="BD60" s="76">
        <f>BC61</f>
        <v>289.09678086807537</v>
      </c>
      <c r="BE60" s="76">
        <f>BD61</f>
        <v>309.17702924738836</v>
      </c>
      <c r="BF60" s="76">
        <f>BE61</f>
        <v>329.75746768375637</v>
      </c>
      <c r="BG60" s="76">
        <f>BF61</f>
        <v>344.22331184987468</v>
      </c>
      <c r="BH60" s="76">
        <f>BG61</f>
        <v>371.4315967278792</v>
      </c>
      <c r="BI60" s="76">
        <f>BH61</f>
        <v>407.38798991841526</v>
      </c>
      <c r="BJ60" s="76">
        <f>BI61</f>
        <v>436.17989077045638</v>
      </c>
      <c r="BK60" s="76">
        <f>BJ61</f>
        <v>458.20905837497492</v>
      </c>
      <c r="BL60" s="76">
        <f>BK61</f>
        <v>495.2435103368789</v>
      </c>
      <c r="BM60" s="76">
        <f>BL61</f>
        <v>551.72132874721603</v>
      </c>
      <c r="BN60" s="76">
        <f>BM61</f>
        <v>592.39801658907254</v>
      </c>
      <c r="BO60" s="76">
        <f>BN61</f>
        <v>624.07012411002358</v>
      </c>
      <c r="BP60" s="76">
        <f>BO61</f>
        <v>678.68579433982723</v>
      </c>
      <c r="BQ60" s="76">
        <f>BP61</f>
        <v>763.90734748341595</v>
      </c>
      <c r="BR60" s="76">
        <f>BQ61</f>
        <v>818.86179903845448</v>
      </c>
    </row>
    <row r="61" spans="1:70" x14ac:dyDescent="0.2">
      <c r="A61" s="286" t="s">
        <v>141</v>
      </c>
      <c r="B61" s="22"/>
      <c r="C61" s="85">
        <v>84.768000000000001</v>
      </c>
      <c r="D61" s="85">
        <v>60.636000000000003</v>
      </c>
      <c r="E61" s="85">
        <v>55.534999999999997</v>
      </c>
      <c r="F61" s="85">
        <v>153.02000000000001</v>
      </c>
      <c r="G61" s="85">
        <v>114.254</v>
      </c>
      <c r="H61" s="85">
        <v>89.094999999999999</v>
      </c>
      <c r="I61" s="85">
        <v>102.03</v>
      </c>
      <c r="J61" s="145">
        <v>119.43899999999999</v>
      </c>
      <c r="K61" s="145">
        <v>129.60400000000001</v>
      </c>
      <c r="L61" s="145">
        <v>299.18099999999998</v>
      </c>
      <c r="M61" s="110">
        <f>M58+M60</f>
        <v>281.2962804730509</v>
      </c>
      <c r="N61" s="111">
        <f>N58+N60</f>
        <v>352.62731184987473</v>
      </c>
      <c r="O61" s="111">
        <f>O58+O60</f>
        <v>466.61305837497497</v>
      </c>
      <c r="P61" s="111">
        <f>P58+P60</f>
        <v>632.47412411002369</v>
      </c>
      <c r="Q61" s="111">
        <f>Q58+Q60</f>
        <v>869.36101617948862</v>
      </c>
      <c r="R61" s="60"/>
      <c r="S61" s="145">
        <v>40.530999999999999</v>
      </c>
      <c r="T61" s="145">
        <v>25.256</v>
      </c>
      <c r="U61" s="145">
        <v>38.345999999999997</v>
      </c>
      <c r="V61" s="144">
        <f>E61</f>
        <v>55.534999999999997</v>
      </c>
      <c r="W61" s="145">
        <v>40.566000000000003</v>
      </c>
      <c r="X61" s="145">
        <v>39.960999999999999</v>
      </c>
      <c r="Y61" s="145">
        <v>46.94</v>
      </c>
      <c r="Z61" s="144">
        <f>F61</f>
        <v>153.02000000000001</v>
      </c>
      <c r="AA61" s="145">
        <v>70.701999999999998</v>
      </c>
      <c r="AB61" s="145">
        <v>65.447999999999993</v>
      </c>
      <c r="AC61" s="145">
        <v>142.99</v>
      </c>
      <c r="AD61" s="144">
        <f>G61</f>
        <v>114.254</v>
      </c>
      <c r="AE61" s="145">
        <v>194.566</v>
      </c>
      <c r="AF61" s="145">
        <v>161.99799999999999</v>
      </c>
      <c r="AG61" s="145">
        <v>106.499</v>
      </c>
      <c r="AH61" s="144">
        <f>H61</f>
        <v>89.094999999999999</v>
      </c>
      <c r="AI61" s="145">
        <v>145.01300000000001</v>
      </c>
      <c r="AJ61" s="145">
        <v>165.017</v>
      </c>
      <c r="AK61" s="145">
        <v>111.473</v>
      </c>
      <c r="AL61" s="144">
        <f>I61</f>
        <v>102.03</v>
      </c>
      <c r="AM61" s="145">
        <v>99.334000000000003</v>
      </c>
      <c r="AN61" s="145">
        <v>85.103999999999999</v>
      </c>
      <c r="AO61" s="145">
        <v>90.488</v>
      </c>
      <c r="AP61" s="144">
        <f>J61</f>
        <v>119.43899999999999</v>
      </c>
      <c r="AQ61" s="145">
        <v>128.42400000000001</v>
      </c>
      <c r="AR61" s="145">
        <v>149.19900000000001</v>
      </c>
      <c r="AS61" s="145">
        <v>109.2</v>
      </c>
      <c r="AT61" s="144">
        <f>K61</f>
        <v>129.60400000000001</v>
      </c>
      <c r="AU61" s="145">
        <v>133.59200000000001</v>
      </c>
      <c r="AV61" s="145">
        <v>111.191</v>
      </c>
      <c r="AW61" s="145">
        <v>129.83799999999999</v>
      </c>
      <c r="AX61" s="144">
        <f>L61</f>
        <v>299.18099999999998</v>
      </c>
      <c r="AY61" s="145">
        <v>141.78100000000001</v>
      </c>
      <c r="AZ61" s="145">
        <v>125.727</v>
      </c>
      <c r="BA61" s="155">
        <v>284.11</v>
      </c>
      <c r="BB61" s="136">
        <f>BB58+BB60</f>
        <v>272.8922804730509</v>
      </c>
      <c r="BC61" s="137">
        <f>BC58+BC60</f>
        <v>289.09678086807537</v>
      </c>
      <c r="BD61" s="137">
        <f>BD58+BD60</f>
        <v>309.17702924738836</v>
      </c>
      <c r="BE61" s="137">
        <f>BE58+BE60</f>
        <v>329.75746768375637</v>
      </c>
      <c r="BF61" s="137">
        <f>BF58+BF60</f>
        <v>344.22331184987468</v>
      </c>
      <c r="BG61" s="137">
        <f>BG58+BG60</f>
        <v>371.4315967278792</v>
      </c>
      <c r="BH61" s="137">
        <f>BH58+BH60</f>
        <v>407.38798991841526</v>
      </c>
      <c r="BI61" s="137">
        <f>BI58+BI60</f>
        <v>436.17989077045638</v>
      </c>
      <c r="BJ61" s="137">
        <f>BJ58+BJ60</f>
        <v>458.20905837497492</v>
      </c>
      <c r="BK61" s="137">
        <f>BK58+BK60</f>
        <v>495.2435103368789</v>
      </c>
      <c r="BL61" s="137">
        <f>BL58+BL60</f>
        <v>551.72132874721603</v>
      </c>
      <c r="BM61" s="137">
        <f>BM58+BM60</f>
        <v>592.39801658907254</v>
      </c>
      <c r="BN61" s="137">
        <f>BN58+BN60</f>
        <v>624.07012411002358</v>
      </c>
      <c r="BO61" s="137">
        <f>BO58+BO60</f>
        <v>678.68579433982723</v>
      </c>
      <c r="BP61" s="137">
        <f>BP58+BP60</f>
        <v>763.90734748341595</v>
      </c>
      <c r="BQ61" s="137">
        <f>BQ58+BQ60</f>
        <v>818.86179903845448</v>
      </c>
      <c r="BR61" s="137">
        <f>BR58+BR60</f>
        <v>860.95701617948862</v>
      </c>
    </row>
    <row r="62" spans="1:70" x14ac:dyDescent="0.2">
      <c r="A62" s="65" t="s">
        <v>7</v>
      </c>
      <c r="B62" s="13"/>
      <c r="C62" s="88">
        <f>C58+C60-C61</f>
        <v>0</v>
      </c>
      <c r="D62" s="88">
        <f>D58+D60-D61</f>
        <v>0</v>
      </c>
      <c r="E62" s="88">
        <f>E58+E60-E61</f>
        <v>0</v>
      </c>
      <c r="F62" s="88">
        <f>F58+F60-F61</f>
        <v>0</v>
      </c>
      <c r="G62" s="88">
        <f>G58+G60-G61</f>
        <v>0</v>
      </c>
      <c r="H62" s="88">
        <f>H58+H60-H61</f>
        <v>0</v>
      </c>
      <c r="I62" s="88">
        <f>I58+I60-I61</f>
        <v>0</v>
      </c>
      <c r="J62" s="88">
        <f>J58+J60-J61</f>
        <v>-0.29399999999999693</v>
      </c>
      <c r="K62" s="88">
        <f>K58+K60-K61</f>
        <v>0</v>
      </c>
      <c r="L62" s="90">
        <f>L58+L60-L61</f>
        <v>0</v>
      </c>
      <c r="M62" s="89">
        <f>M58+M60-M61</f>
        <v>0</v>
      </c>
      <c r="N62" s="88">
        <f>N58+N60-N61</f>
        <v>0</v>
      </c>
      <c r="O62" s="88">
        <f>O58+O60-O61</f>
        <v>0</v>
      </c>
      <c r="P62" s="88">
        <f>P58+P60-P61</f>
        <v>0</v>
      </c>
      <c r="Q62" s="88">
        <f>Q58+Q60-Q61</f>
        <v>0</v>
      </c>
      <c r="R62" s="50"/>
      <c r="S62" s="88">
        <f>S58+S60-S61</f>
        <v>0</v>
      </c>
      <c r="T62" s="88">
        <f>T58+T60-T61</f>
        <v>0</v>
      </c>
      <c r="U62" s="88">
        <f>U58+U60-U61</f>
        <v>0</v>
      </c>
      <c r="V62" s="88">
        <f>V58+V60-V61</f>
        <v>0</v>
      </c>
      <c r="W62" s="88">
        <f>W58+W60-W61</f>
        <v>0</v>
      </c>
      <c r="X62" s="88">
        <f>X58+X60-X61</f>
        <v>0</v>
      </c>
      <c r="Y62" s="88">
        <f>Y58+Y60-Y61</f>
        <v>0</v>
      </c>
      <c r="Z62" s="88">
        <f>Z58+Z60-Z61</f>
        <v>0</v>
      </c>
      <c r="AA62" s="88">
        <f>AA58+AA60-AA61</f>
        <v>0</v>
      </c>
      <c r="AB62" s="88">
        <f>AB58+AB60-AB61</f>
        <v>0</v>
      </c>
      <c r="AC62" s="88">
        <f>AC58+AC60-AC61</f>
        <v>0</v>
      </c>
      <c r="AD62" s="88">
        <f>AD58+AD60-AD61</f>
        <v>0</v>
      </c>
      <c r="AE62" s="88">
        <f>AE58+AE60-AE61</f>
        <v>0</v>
      </c>
      <c r="AF62" s="88">
        <f>AF58+AF60-AF61</f>
        <v>0</v>
      </c>
      <c r="AG62" s="88">
        <f>AG58+AG60-AG61</f>
        <v>0</v>
      </c>
      <c r="AH62" s="88">
        <f>AH58+AH60-AH61</f>
        <v>0</v>
      </c>
      <c r="AI62" s="88">
        <f>AI58+AI60-AI61</f>
        <v>0</v>
      </c>
      <c r="AJ62" s="88">
        <f>AJ58+AJ60-AJ61</f>
        <v>0</v>
      </c>
      <c r="AK62" s="88">
        <f>AK58+AK60-AK61</f>
        <v>0</v>
      </c>
      <c r="AL62" s="88">
        <f>AL58+AL60-AL61</f>
        <v>0</v>
      </c>
      <c r="AM62" s="88">
        <f>AM58+AM60-AM61</f>
        <v>0</v>
      </c>
      <c r="AN62" s="88">
        <f>AN58+AN60-AN61</f>
        <v>0</v>
      </c>
      <c r="AO62" s="88">
        <f>AO58+AO60-AO61</f>
        <v>0</v>
      </c>
      <c r="AP62" s="88">
        <f>AP58+AP60-AP61</f>
        <v>-0.29399999999999693</v>
      </c>
      <c r="AQ62" s="88">
        <f>AQ58+AQ60-AQ61</f>
        <v>9.9999999997635314E-4</v>
      </c>
      <c r="AR62" s="88">
        <f>AR58+AR60-AR61</f>
        <v>0</v>
      </c>
      <c r="AS62" s="88">
        <f>AS58+AS60-AS61</f>
        <v>-9.9999999999056399E-4</v>
      </c>
      <c r="AT62" s="88">
        <f>AT58+AT60-AT61</f>
        <v>0</v>
      </c>
      <c r="AU62" s="88">
        <f>AU58+AU60-AU61</f>
        <v>0</v>
      </c>
      <c r="AV62" s="88">
        <f>AV58+AV60-AV61</f>
        <v>0</v>
      </c>
      <c r="AW62" s="88">
        <f>AW58+AW60-AW61</f>
        <v>0</v>
      </c>
      <c r="AX62" s="88">
        <f>AX58+AX60-AX61</f>
        <v>0</v>
      </c>
      <c r="AY62" s="88">
        <f>AY58+AY60-AY61</f>
        <v>0</v>
      </c>
      <c r="AZ62" s="88">
        <f>AZ58+AZ60-AZ61</f>
        <v>0</v>
      </c>
      <c r="BA62" s="90">
        <f>BA58+BA60-BA61</f>
        <v>0</v>
      </c>
      <c r="BB62" s="89">
        <f>BB58+BB60-BB61</f>
        <v>0</v>
      </c>
      <c r="BC62" s="88">
        <f>BC58+BC60-BC61</f>
        <v>0</v>
      </c>
      <c r="BD62" s="88">
        <f>BD58+BD60-BD61</f>
        <v>0</v>
      </c>
      <c r="BE62" s="88">
        <f>BE58+BE60-BE61</f>
        <v>0</v>
      </c>
      <c r="BF62" s="88">
        <f>BF58+BF60-BF61</f>
        <v>0</v>
      </c>
      <c r="BG62" s="88">
        <f>BG58+BG60-BG61</f>
        <v>0</v>
      </c>
      <c r="BH62" s="88">
        <f>BH58+BH60-BH61</f>
        <v>0</v>
      </c>
      <c r="BI62" s="88">
        <f>BI58+BI60-BI61</f>
        <v>0</v>
      </c>
      <c r="BJ62" s="88">
        <f>BJ58+BJ60-BJ61</f>
        <v>0</v>
      </c>
      <c r="BK62" s="88">
        <f>BK58+BK60-BK61</f>
        <v>0</v>
      </c>
      <c r="BL62" s="88">
        <f>BL58+BL60-BL61</f>
        <v>0</v>
      </c>
      <c r="BM62" s="88">
        <f>BM58+BM60-BM61</f>
        <v>0</v>
      </c>
      <c r="BN62" s="88">
        <f>BN58+BN60-BN61</f>
        <v>0</v>
      </c>
      <c r="BO62" s="88">
        <f>BO58+BO60-BO61</f>
        <v>0</v>
      </c>
      <c r="BP62" s="88">
        <f>BP58+BP60-BP61</f>
        <v>0</v>
      </c>
      <c r="BQ62" s="88">
        <f>BQ58+BQ60-BQ61</f>
        <v>0</v>
      </c>
      <c r="BR62" s="88">
        <f>BR58+BR60-BR61</f>
        <v>0</v>
      </c>
    </row>
    <row r="63" spans="1:70" x14ac:dyDescent="0.2">
      <c r="A63" s="267"/>
      <c r="B63" s="9"/>
      <c r="C63" s="106"/>
      <c r="D63" s="106"/>
      <c r="E63" s="106"/>
      <c r="F63" s="106"/>
      <c r="G63" s="106"/>
      <c r="H63" s="106"/>
      <c r="I63" s="106"/>
      <c r="J63" s="106"/>
      <c r="K63" s="106"/>
      <c r="L63" s="107"/>
      <c r="M63" s="77"/>
      <c r="N63" s="76"/>
      <c r="O63" s="76"/>
      <c r="P63" s="76"/>
      <c r="Q63" s="76"/>
      <c r="R63" s="46"/>
      <c r="S63" s="106"/>
      <c r="T63" s="106"/>
      <c r="U63" s="106"/>
      <c r="V63" s="106"/>
      <c r="W63" s="106"/>
      <c r="X63" s="106"/>
      <c r="Y63" s="106"/>
      <c r="Z63" s="106"/>
      <c r="AA63" s="106"/>
      <c r="AB63" s="106"/>
      <c r="AC63" s="106"/>
      <c r="AD63" s="106"/>
      <c r="AE63" s="106"/>
      <c r="AF63" s="106"/>
      <c r="AG63" s="106"/>
      <c r="AH63" s="106"/>
      <c r="AI63" s="106"/>
      <c r="AJ63" s="106"/>
      <c r="AK63" s="106"/>
      <c r="AL63" s="106"/>
      <c r="AM63" s="106"/>
      <c r="AN63" s="106"/>
      <c r="AO63" s="106"/>
      <c r="AP63" s="106"/>
      <c r="AQ63" s="106"/>
      <c r="AR63" s="106"/>
      <c r="AS63" s="106"/>
      <c r="AT63" s="106"/>
      <c r="AU63" s="106"/>
      <c r="AV63" s="106"/>
      <c r="AW63" s="106"/>
      <c r="AX63" s="106"/>
      <c r="AY63" s="106"/>
      <c r="AZ63" s="106"/>
      <c r="BA63" s="107"/>
      <c r="BB63" s="108"/>
      <c r="BC63" s="106"/>
      <c r="BD63" s="106"/>
      <c r="BE63" s="106"/>
      <c r="BF63" s="106"/>
      <c r="BG63" s="106"/>
      <c r="BH63" s="106"/>
      <c r="BI63" s="106"/>
      <c r="BJ63" s="106"/>
      <c r="BK63" s="106"/>
      <c r="BL63" s="106"/>
      <c r="BM63" s="106"/>
      <c r="BN63" s="106"/>
      <c r="BO63" s="106"/>
      <c r="BP63" s="106"/>
      <c r="BQ63" s="106"/>
      <c r="BR63" s="106"/>
    </row>
    <row r="64" spans="1:70" x14ac:dyDescent="0.2">
      <c r="A64" s="272" t="s">
        <v>31</v>
      </c>
      <c r="B64" s="23" t="s">
        <v>176</v>
      </c>
      <c r="C64" s="72">
        <f>C30+C34</f>
        <v>83.708999999999989</v>
      </c>
      <c r="D64" s="72">
        <f>D30+D34</f>
        <v>59.846999999999994</v>
      </c>
      <c r="E64" s="72">
        <f>E30+E34</f>
        <v>46.832000000000001</v>
      </c>
      <c r="F64" s="72">
        <f>F30+F34</f>
        <v>144.702</v>
      </c>
      <c r="G64" s="72">
        <f>G30+G34</f>
        <v>-9.652000000000001</v>
      </c>
      <c r="H64" s="72">
        <f>H30+H34</f>
        <v>6.0889999999999986</v>
      </c>
      <c r="I64" s="72">
        <f>I30+I34</f>
        <v>47.599000000000004</v>
      </c>
      <c r="J64" s="72">
        <f>J30+J34</f>
        <v>51.158000000000001</v>
      </c>
      <c r="K64" s="72">
        <f>K30+K34</f>
        <v>-0.23099999999999454</v>
      </c>
      <c r="L64" s="98">
        <f>L30+L34</f>
        <v>191.255</v>
      </c>
      <c r="M64" s="86">
        <f>SUM(AY64:BB64)</f>
        <v>43.949280473050905</v>
      </c>
      <c r="N64" s="72">
        <f>SUM(BC64:BF64)</f>
        <v>103.49503137682382</v>
      </c>
      <c r="O64" s="72">
        <f>SUM(BG64:BJ64)</f>
        <v>146.14974652510026</v>
      </c>
      <c r="P64" s="72">
        <f>SUM(BK64:BN64)</f>
        <v>198.02506573504866</v>
      </c>
      <c r="Q64" s="72">
        <f>SUM(BO64:BR64)</f>
        <v>269.05089206946491</v>
      </c>
      <c r="R64" s="46"/>
      <c r="S64" s="72">
        <f>S30+S34</f>
        <v>-3.9240000000000004</v>
      </c>
      <c r="T64" s="72">
        <f>T30+T34</f>
        <v>-2.1820000000000004</v>
      </c>
      <c r="U64" s="72">
        <f>U30+U34</f>
        <v>20.053000000000001</v>
      </c>
      <c r="V64" s="72">
        <f>V30+V34</f>
        <v>32.885000000000012</v>
      </c>
      <c r="W64" s="72">
        <f>W30+W34</f>
        <v>16.480999999999998</v>
      </c>
      <c r="X64" s="72">
        <f>X30+X34</f>
        <v>4.286999999999999</v>
      </c>
      <c r="Y64" s="72">
        <f>Y30+Y34</f>
        <v>13.297999999999998</v>
      </c>
      <c r="Z64" s="72">
        <f>Z30+Z34</f>
        <v>110.63599999999998</v>
      </c>
      <c r="AA64" s="72">
        <f>AA30+AA34</f>
        <v>-74.49799999999999</v>
      </c>
      <c r="AB64" s="72">
        <f>AB30+AB34</f>
        <v>7.0819999999999919</v>
      </c>
      <c r="AC64" s="72">
        <f>AC30+AC34</f>
        <v>84.013999999999996</v>
      </c>
      <c r="AD64" s="72">
        <f>AD30+AD34</f>
        <v>-26.250000000000004</v>
      </c>
      <c r="AE64" s="72">
        <f>AE30+AE34</f>
        <v>83.571999999999989</v>
      </c>
      <c r="AF64" s="72">
        <f>AF30+AF34</f>
        <v>-15.635999999999992</v>
      </c>
      <c r="AG64" s="72">
        <f>AG30+AG34</f>
        <v>-49.531000000000006</v>
      </c>
      <c r="AH64" s="72">
        <f>AH30+AH34</f>
        <v>-12.315999999999992</v>
      </c>
      <c r="AI64" s="72">
        <f>AI30+AI34</f>
        <v>73.2</v>
      </c>
      <c r="AJ64" s="72">
        <f>AJ30+AJ34</f>
        <v>23.531000000000002</v>
      </c>
      <c r="AK64" s="72">
        <f>AK30+AK34</f>
        <v>-42.902000000000001</v>
      </c>
      <c r="AL64" s="72">
        <f>AL30+AL34</f>
        <v>-6.230000000000004</v>
      </c>
      <c r="AM64" s="72">
        <f>AM30+AM34</f>
        <v>1.0910000000000011</v>
      </c>
      <c r="AN64" s="72">
        <f>AN30+AN34</f>
        <v>8.8119999999999976</v>
      </c>
      <c r="AO64" s="72">
        <f>AO30+AO34</f>
        <v>8.8800000000000026</v>
      </c>
      <c r="AP64" s="72">
        <f>AP30+AP34</f>
        <v>32.374999999999993</v>
      </c>
      <c r="AQ64" s="72">
        <f>AQ30+AQ34</f>
        <v>14.224999999999998</v>
      </c>
      <c r="AR64" s="72">
        <f>AR30+AR34</f>
        <v>16.171000000000003</v>
      </c>
      <c r="AS64" s="72">
        <f>AS30+AS34</f>
        <v>-30.499000000000006</v>
      </c>
      <c r="AT64" s="72">
        <f>AT30+AT34</f>
        <v>-0.12799999999998235</v>
      </c>
      <c r="AU64" s="72">
        <f>AU30+AU34</f>
        <v>6.411999999999999</v>
      </c>
      <c r="AV64" s="72">
        <f>AV30+AV34</f>
        <v>-15.116999999999997</v>
      </c>
      <c r="AW64" s="72">
        <f>AW30+AW34</f>
        <v>22.542000000000002</v>
      </c>
      <c r="AX64" s="72">
        <f>AX30+AX34</f>
        <v>177.41799999999998</v>
      </c>
      <c r="AY64" s="72">
        <f>AY30+AY34</f>
        <v>-134.38200000000001</v>
      </c>
      <c r="AZ64" s="72">
        <f>AZ30+AZ34</f>
        <v>1.0420000000000051</v>
      </c>
      <c r="BA64" s="98">
        <f>BA30+BA34</f>
        <v>172.06200000000001</v>
      </c>
      <c r="BB64" s="86">
        <f>BB30+BB34</f>
        <v>5.2272804730508966</v>
      </c>
      <c r="BC64" s="72">
        <f>BC30+BC34</f>
        <v>24.245500395024479</v>
      </c>
      <c r="BD64" s="72">
        <f>BD30+BD34</f>
        <v>28.121248379312995</v>
      </c>
      <c r="BE64" s="72">
        <f>BE30+BE34</f>
        <v>28.621438436368017</v>
      </c>
      <c r="BF64" s="72">
        <f>BF30+BF34</f>
        <v>22.506844166118327</v>
      </c>
      <c r="BG64" s="72">
        <f>BG30+BG34</f>
        <v>35.249284878004509</v>
      </c>
      <c r="BH64" s="72">
        <f>BH30+BH34</f>
        <v>43.997393190536066</v>
      </c>
      <c r="BI64" s="72">
        <f>BI30+BI34</f>
        <v>36.832900852041142</v>
      </c>
      <c r="BJ64" s="72">
        <f>BJ30+BJ34</f>
        <v>30.070167604518524</v>
      </c>
      <c r="BK64" s="72">
        <f>BK30+BK34</f>
        <v>45.075451961904015</v>
      </c>
      <c r="BL64" s="72">
        <f>BL30+BL34</f>
        <v>64.518818410337147</v>
      </c>
      <c r="BM64" s="72">
        <f>BM30+BM34</f>
        <v>48.71768784185646</v>
      </c>
      <c r="BN64" s="72">
        <f>BN30+BN34</f>
        <v>39.713107520951056</v>
      </c>
      <c r="BO64" s="72">
        <f>BO30+BO34</f>
        <v>62.656670229803623</v>
      </c>
      <c r="BP64" s="72">
        <f>BP30+BP34</f>
        <v>93.262553143588718</v>
      </c>
      <c r="BQ64" s="72">
        <f>BQ30+BQ34</f>
        <v>62.995451555038485</v>
      </c>
      <c r="BR64" s="72">
        <f>BR30+BR34</f>
        <v>50.136217141034109</v>
      </c>
    </row>
    <row r="65" spans="1:70" x14ac:dyDescent="0.2">
      <c r="A65" s="267"/>
      <c r="B65" s="9"/>
      <c r="C65" s="106"/>
      <c r="D65" s="106"/>
      <c r="E65" s="106"/>
      <c r="F65" s="106"/>
      <c r="G65" s="106"/>
      <c r="H65" s="106"/>
      <c r="I65" s="106"/>
      <c r="J65" s="106"/>
      <c r="K65" s="106"/>
      <c r="L65" s="107"/>
      <c r="M65" s="77"/>
      <c r="N65" s="76"/>
      <c r="O65" s="76"/>
      <c r="P65" s="76"/>
      <c r="Q65" s="76"/>
      <c r="R65" s="46"/>
      <c r="S65" s="106"/>
      <c r="T65" s="106"/>
      <c r="U65" s="106"/>
      <c r="V65" s="106"/>
      <c r="W65" s="106"/>
      <c r="X65" s="106"/>
      <c r="Y65" s="106"/>
      <c r="Z65" s="106"/>
      <c r="AA65" s="106"/>
      <c r="AB65" s="106"/>
      <c r="AC65" s="106"/>
      <c r="AD65" s="106"/>
      <c r="AE65" s="106"/>
      <c r="AF65" s="106"/>
      <c r="AG65" s="106"/>
      <c r="AH65" s="106"/>
      <c r="AI65" s="106"/>
      <c r="AJ65" s="106"/>
      <c r="AK65" s="106"/>
      <c r="AL65" s="106"/>
      <c r="AM65" s="106"/>
      <c r="AN65" s="106"/>
      <c r="AO65" s="106"/>
      <c r="AP65" s="106"/>
      <c r="AQ65" s="106"/>
      <c r="AR65" s="106"/>
      <c r="AS65" s="106"/>
      <c r="AT65" s="106"/>
      <c r="AU65" s="106"/>
      <c r="AV65" s="106"/>
      <c r="AW65" s="106"/>
      <c r="AX65" s="106"/>
      <c r="AY65" s="106"/>
      <c r="AZ65" s="106"/>
      <c r="BA65" s="107"/>
      <c r="BB65" s="108"/>
      <c r="BC65" s="106"/>
      <c r="BD65" s="106"/>
      <c r="BE65" s="106"/>
      <c r="BF65" s="106"/>
      <c r="BG65" s="106"/>
      <c r="BH65" s="106"/>
      <c r="BI65" s="106"/>
      <c r="BJ65" s="106"/>
      <c r="BK65" s="106"/>
      <c r="BL65" s="106"/>
      <c r="BM65" s="106"/>
      <c r="BN65" s="106"/>
      <c r="BO65" s="106"/>
      <c r="BP65" s="106"/>
      <c r="BQ65" s="106"/>
      <c r="BR65" s="106"/>
    </row>
    <row r="66" spans="1:70" x14ac:dyDescent="0.2">
      <c r="A66" s="287" t="s">
        <v>330</v>
      </c>
      <c r="B66" s="196"/>
      <c r="C66" s="198">
        <f>C19/IS!C15</f>
        <v>0.1112295243733965</v>
      </c>
      <c r="D66" s="198">
        <f>D19/IS!D15</f>
        <v>0.10763700488334238</v>
      </c>
      <c r="E66" s="198">
        <f>E19/IS!E15</f>
        <v>9.7947264697843706E-2</v>
      </c>
      <c r="F66" s="198">
        <f>F19/IS!F15</f>
        <v>8.7789884705696125E-2</v>
      </c>
      <c r="G66" s="198">
        <f>G19/IS!G15</f>
        <v>6.6325331104203133E-2</v>
      </c>
      <c r="H66" s="198">
        <f>H19/IS!H15</f>
        <v>9.2989146377236723E-2</v>
      </c>
      <c r="I66" s="198">
        <f>I19/IS!I15</f>
        <v>8.1856089800596832E-2</v>
      </c>
      <c r="J66" s="198">
        <f>J19/IS!J15</f>
        <v>5.6735378109494645E-2</v>
      </c>
      <c r="K66" s="198">
        <f>K19/IS!K15</f>
        <v>5.3903392609408497E-2</v>
      </c>
      <c r="L66" s="195">
        <f>L19/IS!L15</f>
        <v>5.0956443519937035E-2</v>
      </c>
      <c r="M66" s="197">
        <f>M19/IS!M15</f>
        <v>5.4490816800284947E-2</v>
      </c>
      <c r="N66" s="198">
        <f>N19/IS!N15</f>
        <v>5.2642767930695424E-2</v>
      </c>
      <c r="O66" s="198">
        <f>O19/IS!O15</f>
        <v>5.2642767930695437E-2</v>
      </c>
      <c r="P66" s="198">
        <f>P19/IS!P15</f>
        <v>5.264276793069543E-2</v>
      </c>
      <c r="Q66" s="198">
        <f>Q19/IS!Q15</f>
        <v>5.2642767930695437E-2</v>
      </c>
      <c r="R66" s="311"/>
      <c r="S66" s="198">
        <f>S19/IS!S15</f>
        <v>6.8115492083203971E-2</v>
      </c>
      <c r="T66" s="198">
        <f>T19/IS!T15</f>
        <v>0.12950430909827057</v>
      </c>
      <c r="U66" s="198">
        <f>U19/IS!U15</f>
        <v>0.10264990015651144</v>
      </c>
      <c r="V66" s="198">
        <f>V19/IS!V15</f>
        <v>8.9291804024099142E-2</v>
      </c>
      <c r="W66" s="198">
        <f>W19/IS!W15</f>
        <v>4.8204483074107962E-2</v>
      </c>
      <c r="X66" s="198">
        <f>X19/IS!X15</f>
        <v>6.6779196117733947E-2</v>
      </c>
      <c r="Y66" s="198">
        <f>Y19/IS!Y15</f>
        <v>9.4641113908441654E-2</v>
      </c>
      <c r="Z66" s="198">
        <f>Z19/IS!Z15</f>
        <v>0.13589988440468417</v>
      </c>
      <c r="AA66" s="198">
        <f>AA19/IS!AA15</f>
        <v>6.1683522966708801E-2</v>
      </c>
      <c r="AB66" s="198">
        <f>AB19/IS!AB15</f>
        <v>6.5917141537039897E-2</v>
      </c>
      <c r="AC66" s="198">
        <f>AC19/IS!AC15</f>
        <v>6.4785951787198676E-2</v>
      </c>
      <c r="AD66" s="198">
        <f>AD19/IS!AD15</f>
        <v>7.299347514720711E-2</v>
      </c>
      <c r="AE66" s="198">
        <f>AE19/IS!AE15</f>
        <v>0.10264983282598932</v>
      </c>
      <c r="AF66" s="198">
        <f>AF19/IS!AF15</f>
        <v>0.15765956446074972</v>
      </c>
      <c r="AG66" s="198">
        <f>AG19/IS!AG15</f>
        <v>0.10146173688736032</v>
      </c>
      <c r="AH66" s="198">
        <f>AH19/IS!AH15</f>
        <v>4.0429887410440089E-2</v>
      </c>
      <c r="AI66" s="198">
        <f>AI19/IS!AI15</f>
        <v>0.11318729878164258</v>
      </c>
      <c r="AJ66" s="198">
        <f>AJ19/IS!AJ15</f>
        <v>8.0493164971877695E-2</v>
      </c>
      <c r="AK66" s="198">
        <f>AK19/IS!AK15</f>
        <v>8.1156113329530308E-2</v>
      </c>
      <c r="AL66" s="198">
        <f>AL19/IS!AL15</f>
        <v>6.8154309301387314E-2</v>
      </c>
      <c r="AM66" s="198">
        <f>AM19/IS!AM15</f>
        <v>3.5360773204465921E-2</v>
      </c>
      <c r="AN66" s="198">
        <f>AN19/IS!AN15</f>
        <v>5.5542901766830438E-2</v>
      </c>
      <c r="AO66" s="198">
        <f>AO19/IS!AO15</f>
        <v>5.1044599199881469E-2</v>
      </c>
      <c r="AP66" s="198">
        <f>AP19/IS!AP15</f>
        <v>8.3583535108958842E-2</v>
      </c>
      <c r="AQ66" s="198">
        <f>AQ19/IS!AQ15</f>
        <v>4.8701410685337843E-2</v>
      </c>
      <c r="AR66" s="198">
        <f>AR19/IS!AR15</f>
        <v>7.1857951978873486E-2</v>
      </c>
      <c r="AS66" s="198">
        <f>AS19/IS!AS15</f>
        <v>5.5832739368020905E-2</v>
      </c>
      <c r="AT66" s="198">
        <f>AT19/IS!AT15</f>
        <v>4.0567823343848584E-2</v>
      </c>
      <c r="AU66" s="198">
        <f>AU19/IS!AU15</f>
        <v>7.3010842886879798E-2</v>
      </c>
      <c r="AV66" s="198">
        <f>AV19/IS!AV15</f>
        <v>5.2036199095022613E-2</v>
      </c>
      <c r="AW66" s="198">
        <f>AW19/IS!AW15</f>
        <v>5.1158982467037491E-2</v>
      </c>
      <c r="AX66" s="198">
        <f>AX19/IS!AX15</f>
        <v>3.0547923064490071E-2</v>
      </c>
      <c r="AY66" s="198">
        <f>AY19/IS!AY15</f>
        <v>5.1171784807203871E-2</v>
      </c>
      <c r="AZ66" s="198">
        <f>AZ19/IS!AZ15</f>
        <v>6.0944162177343178E-2</v>
      </c>
      <c r="BA66" s="195">
        <f>BA19/IS!BA15</f>
        <v>5.264276793069543E-2</v>
      </c>
      <c r="BB66" s="262">
        <f>BA66</f>
        <v>5.264276793069543E-2</v>
      </c>
      <c r="BC66" s="190">
        <f>BB66</f>
        <v>5.264276793069543E-2</v>
      </c>
      <c r="BD66" s="190">
        <f>BC66</f>
        <v>5.264276793069543E-2</v>
      </c>
      <c r="BE66" s="190">
        <f>BD66</f>
        <v>5.264276793069543E-2</v>
      </c>
      <c r="BF66" s="190">
        <f>BE66</f>
        <v>5.264276793069543E-2</v>
      </c>
      <c r="BG66" s="190">
        <f>BF66</f>
        <v>5.264276793069543E-2</v>
      </c>
      <c r="BH66" s="190">
        <f>BG66</f>
        <v>5.264276793069543E-2</v>
      </c>
      <c r="BI66" s="190">
        <f>BH66</f>
        <v>5.264276793069543E-2</v>
      </c>
      <c r="BJ66" s="190">
        <f>BI66</f>
        <v>5.264276793069543E-2</v>
      </c>
      <c r="BK66" s="190">
        <f>BJ66</f>
        <v>5.264276793069543E-2</v>
      </c>
      <c r="BL66" s="190">
        <f>BK66</f>
        <v>5.264276793069543E-2</v>
      </c>
      <c r="BM66" s="190">
        <f>BL66</f>
        <v>5.264276793069543E-2</v>
      </c>
      <c r="BN66" s="190">
        <f>BM66</f>
        <v>5.264276793069543E-2</v>
      </c>
      <c r="BO66" s="190">
        <f>BN66</f>
        <v>5.264276793069543E-2</v>
      </c>
      <c r="BP66" s="190">
        <f>BO66</f>
        <v>5.264276793069543E-2</v>
      </c>
      <c r="BQ66" s="190">
        <f>BP66</f>
        <v>5.264276793069543E-2</v>
      </c>
      <c r="BR66" s="190">
        <f>BQ66</f>
        <v>5.264276793069543E-2</v>
      </c>
    </row>
    <row r="67" spans="1:70" x14ac:dyDescent="0.2">
      <c r="A67" s="287" t="s">
        <v>316</v>
      </c>
      <c r="B67" s="196"/>
      <c r="C67" s="198">
        <f>C13/BS!C8</f>
        <v>0.32438934877461978</v>
      </c>
      <c r="D67" s="198">
        <f>D13/BS!D8</f>
        <v>0.38840312931431203</v>
      </c>
      <c r="E67" s="198">
        <f>E13/BS!E8</f>
        <v>0.35291679005034049</v>
      </c>
      <c r="F67" s="198">
        <f>F13/BS!F8</f>
        <v>0.44784374729928272</v>
      </c>
      <c r="G67" s="198">
        <f>G13/BS!G8</f>
        <v>0.48416651294349139</v>
      </c>
      <c r="H67" s="198">
        <f>H13/BS!H8</f>
        <v>0.15435193133047209</v>
      </c>
      <c r="I67" s="198">
        <f>I13/BS!I8</f>
        <v>0.17684522770895134</v>
      </c>
      <c r="J67" s="198">
        <f>J13/BS!J8</f>
        <v>0.17489541226103686</v>
      </c>
      <c r="K67" s="198">
        <f>K13/BS!K8</f>
        <v>0.20377966598300618</v>
      </c>
      <c r="L67" s="195">
        <f>L13/BS!L8</f>
        <v>0.17797070837280818</v>
      </c>
      <c r="M67" s="197">
        <f>M13/BS!M8</f>
        <v>0.13584115709390973</v>
      </c>
      <c r="N67" s="198">
        <f>N13/BS!N8</f>
        <v>0</v>
      </c>
      <c r="O67" s="198">
        <f>O13/BS!O8</f>
        <v>0</v>
      </c>
      <c r="P67" s="198">
        <f>P13/BS!P8</f>
        <v>0</v>
      </c>
      <c r="Q67" s="198">
        <f>Q13/BS!Q8</f>
        <v>0</v>
      </c>
      <c r="R67" s="311"/>
      <c r="S67" s="198">
        <f>S13/BS!S8</f>
        <v>9.1098450039821116E-2</v>
      </c>
      <c r="T67" s="198">
        <f>T13/BS!T8</f>
        <v>7.8345620392352863E-2</v>
      </c>
      <c r="U67" s="198">
        <f>U13/BS!U8</f>
        <v>7.5510808409831195E-2</v>
      </c>
      <c r="V67" s="198">
        <f>V13/BS!V8</f>
        <v>0.11507254960023684</v>
      </c>
      <c r="W67" s="198">
        <f>W13/BS!W8</f>
        <v>9.9815467203489341E-2</v>
      </c>
      <c r="X67" s="198">
        <f>X13/BS!X8</f>
        <v>7.2074399380005191E-2</v>
      </c>
      <c r="Y67" s="198">
        <f>Y13/BS!Y8</f>
        <v>5.5478364430329462E-2</v>
      </c>
      <c r="Z67" s="198">
        <f>Z13/BS!Z8</f>
        <v>0.22435398841932427</v>
      </c>
      <c r="AA67" s="198">
        <f>AA13/BS!AA8</f>
        <v>0.18969702418412299</v>
      </c>
      <c r="AB67" s="198">
        <f>AB13/BS!AB8</f>
        <v>0.13196709686569283</v>
      </c>
      <c r="AC67" s="198">
        <f>AC13/BS!AC8</f>
        <v>0.1371957785914279</v>
      </c>
      <c r="AD67" s="198">
        <f>AD13/BS!AD8</f>
        <v>0.12248662608374843</v>
      </c>
      <c r="AE67" s="198">
        <f>AE13/BS!AE8</f>
        <v>0.12706624605678232</v>
      </c>
      <c r="AF67" s="198">
        <f>AF13/BS!AF8</f>
        <v>0.13215201956923814</v>
      </c>
      <c r="AG67" s="198">
        <f>AG13/BS!AG8</f>
        <v>0.14753527260059224</v>
      </c>
      <c r="AH67" s="198">
        <f>AH13/BS!AH8</f>
        <v>3.8128755364806859E-2</v>
      </c>
      <c r="AI67" s="198">
        <f>AI13/BS!AI8</f>
        <v>3.8012480708582166E-2</v>
      </c>
      <c r="AJ67" s="198">
        <f>AJ13/BS!AJ8</f>
        <v>3.9544412284328832E-2</v>
      </c>
      <c r="AK67" s="198">
        <f>AK13/BS!AK8</f>
        <v>4.8969509550657125E-2</v>
      </c>
      <c r="AL67" s="198">
        <f>AL13/BS!AL8</f>
        <v>5.5278310940499051E-2</v>
      </c>
      <c r="AM67" s="198">
        <f>AM13/BS!AM8</f>
        <v>4.8752269055075702E-2</v>
      </c>
      <c r="AN67" s="198">
        <f>AN13/BS!AN8</f>
        <v>4.8510490321084974E-2</v>
      </c>
      <c r="AO67" s="198">
        <f>AO13/BS!AO8</f>
        <v>4.2317732965078882E-2</v>
      </c>
      <c r="AP67" s="198">
        <f>AP13/BS!AP8</f>
        <v>4.794266650191522E-2</v>
      </c>
      <c r="AQ67" s="198">
        <f>AQ13/BS!AQ8</f>
        <v>5.8841960145381629E-2</v>
      </c>
      <c r="AR67" s="198">
        <f>AR13/BS!AR8</f>
        <v>5.1801950553684251E-2</v>
      </c>
      <c r="AS67" s="198">
        <f>AS13/BS!AS8</f>
        <v>6.1728669587067221E-2</v>
      </c>
      <c r="AT67" s="198">
        <f>AT13/BS!AT8</f>
        <v>3.7482734083964686E-2</v>
      </c>
      <c r="AU67" s="198">
        <f>AU13/BS!AU8</f>
        <v>3.8884433752116185E-2</v>
      </c>
      <c r="AV67" s="198">
        <f>AV13/BS!AV8</f>
        <v>4.7610541870321356E-2</v>
      </c>
      <c r="AW67" s="198">
        <f>AW13/BS!AW8</f>
        <v>5.2358398754298319E-2</v>
      </c>
      <c r="AX67" s="198">
        <f>AX13/BS!AX8</f>
        <v>4.8410393402394884E-2</v>
      </c>
      <c r="AY67" s="198">
        <f>AY13/BS!AY8</f>
        <v>3.9594652509919399E-2</v>
      </c>
      <c r="AZ67" s="198">
        <f>AZ13/BS!AZ8</f>
        <v>4.2506310402052799E-2</v>
      </c>
      <c r="BA67" s="195">
        <f>BA13/BS!BA8</f>
        <v>5.455053711912463E-2</v>
      </c>
      <c r="BB67" s="262">
        <f>BA67</f>
        <v>5.455053711912463E-2</v>
      </c>
      <c r="BC67" s="190">
        <f>BB67</f>
        <v>5.455053711912463E-2</v>
      </c>
      <c r="BD67" s="190">
        <f>BC67</f>
        <v>5.455053711912463E-2</v>
      </c>
      <c r="BE67" s="190">
        <f>BD67</f>
        <v>5.455053711912463E-2</v>
      </c>
      <c r="BF67" s="190">
        <f>BE67</f>
        <v>5.455053711912463E-2</v>
      </c>
      <c r="BG67" s="190">
        <f>BF67</f>
        <v>5.455053711912463E-2</v>
      </c>
      <c r="BH67" s="190">
        <f>BG67</f>
        <v>5.455053711912463E-2</v>
      </c>
      <c r="BI67" s="190">
        <f>BH67</f>
        <v>5.455053711912463E-2</v>
      </c>
      <c r="BJ67" s="190">
        <f>BI67</f>
        <v>5.455053711912463E-2</v>
      </c>
      <c r="BK67" s="190">
        <f>BJ67</f>
        <v>5.455053711912463E-2</v>
      </c>
      <c r="BL67" s="190">
        <f>BK67</f>
        <v>5.455053711912463E-2</v>
      </c>
      <c r="BM67" s="190">
        <f>BL67</f>
        <v>5.455053711912463E-2</v>
      </c>
      <c r="BN67" s="190">
        <f>BM67</f>
        <v>5.455053711912463E-2</v>
      </c>
      <c r="BO67" s="190">
        <f>BN67</f>
        <v>5.455053711912463E-2</v>
      </c>
      <c r="BP67" s="190">
        <f>BO67</f>
        <v>5.455053711912463E-2</v>
      </c>
      <c r="BQ67" s="190">
        <f>BP67</f>
        <v>5.455053711912463E-2</v>
      </c>
      <c r="BR67" s="190">
        <f>BQ67</f>
        <v>5.455053711912463E-2</v>
      </c>
    </row>
    <row r="68" spans="1:70" x14ac:dyDescent="0.2">
      <c r="A68" s="287" t="s">
        <v>127</v>
      </c>
      <c r="B68" s="196"/>
      <c r="C68" s="198">
        <f>-C34/IS!C4</f>
        <v>1.0863835140478043E-2</v>
      </c>
      <c r="D68" s="198">
        <f>-D34/IS!D4</f>
        <v>1.4945755379051833E-2</v>
      </c>
      <c r="E68" s="198">
        <f>-E34/IS!E4</f>
        <v>1.3638126466971656E-2</v>
      </c>
      <c r="F68" s="198">
        <f>-F34/IS!F4</f>
        <v>2.1875630896206238E-2</v>
      </c>
      <c r="G68" s="198">
        <f>-G34/IS!G4</f>
        <v>2.401260893751159E-2</v>
      </c>
      <c r="H68" s="198">
        <f>-H34/IS!H4</f>
        <v>3.1096714796148069E-2</v>
      </c>
      <c r="I68" s="198">
        <f>-I34/IS!I4</f>
        <v>9.3093220185272288E-2</v>
      </c>
      <c r="J68" s="198">
        <f>-J34/IS!J4</f>
        <v>9.394430895822474E-2</v>
      </c>
      <c r="K68" s="198">
        <f>-K34/IS!K4</f>
        <v>9.8969380931085552E-2</v>
      </c>
      <c r="L68" s="195">
        <f>-L34/IS!L4</f>
        <v>0.21944133840239397</v>
      </c>
      <c r="M68" s="197">
        <f>-M34/IS!M4</f>
        <v>0.2248140240280487</v>
      </c>
      <c r="N68" s="198">
        <f>-N34/IS!N4</f>
        <v>0.2672160750247084</v>
      </c>
      <c r="O68" s="198">
        <f>-O34/IS!O4</f>
        <v>0.26721607502470845</v>
      </c>
      <c r="P68" s="198">
        <f>-P34/IS!P4</f>
        <v>0.26721607502470845</v>
      </c>
      <c r="Q68" s="198">
        <f>-Q34/IS!Q4</f>
        <v>0.26721607502470851</v>
      </c>
      <c r="R68" s="311"/>
      <c r="S68" s="198">
        <f>-S34/IS!S4</f>
        <v>1.4026445616828757E-2</v>
      </c>
      <c r="T68" s="198">
        <f>-T34/IS!T4</f>
        <v>1.6141930515653234E-2</v>
      </c>
      <c r="U68" s="198">
        <f>-U34/IS!U4</f>
        <v>1.5793933726842381E-2</v>
      </c>
      <c r="V68" s="198">
        <f>-V34/IS!V4</f>
        <v>8.6616231286392609E-3</v>
      </c>
      <c r="W68" s="198">
        <f>-W34/IS!W4</f>
        <v>1.1915400655347037E-2</v>
      </c>
      <c r="X68" s="198">
        <f>-X34/IS!X4</f>
        <v>2.1706845692198152E-2</v>
      </c>
      <c r="Y68" s="198">
        <f>-Y34/IS!Y4</f>
        <v>1.5698419478855186E-2</v>
      </c>
      <c r="Z68" s="198">
        <f>-Z34/IS!Z4</f>
        <v>3.9909793435782923E-2</v>
      </c>
      <c r="AA68" s="198">
        <f>-AA34/IS!AA4</f>
        <v>1.9983381237144299E-2</v>
      </c>
      <c r="AB68" s="198">
        <f>-AB34/IS!AB4</f>
        <v>2.8577945339648209E-2</v>
      </c>
      <c r="AC68" s="198">
        <f>-AC34/IS!AC4</f>
        <v>1.349066741500742E-2</v>
      </c>
      <c r="AD68" s="198">
        <f>-AD34/IS!AD4</f>
        <v>3.4324160763233795E-2</v>
      </c>
      <c r="AE68" s="198">
        <f>-AE34/IS!AE4</f>
        <v>2.0090190010028493E-2</v>
      </c>
      <c r="AF68" s="198">
        <f>-AF34/IS!AF4</f>
        <v>3.0825272860237608E-2</v>
      </c>
      <c r="AG68" s="198">
        <f>-AG34/IS!AG4</f>
        <v>2.4346821921762983E-2</v>
      </c>
      <c r="AH68" s="198">
        <f>-AH34/IS!AH4</f>
        <v>4.8712636874815043E-2</v>
      </c>
      <c r="AI68" s="198">
        <f>-AI34/IS!AI4</f>
        <v>6.0807912354860626E-2</v>
      </c>
      <c r="AJ68" s="198">
        <f>-AJ34/IS!AJ4</f>
        <v>8.2591924948149875E-2</v>
      </c>
      <c r="AK68" s="198">
        <f>-AK34/IS!AK4</f>
        <v>9.5206614737527881E-2</v>
      </c>
      <c r="AL68" s="198">
        <f>-AL34/IS!AL4</f>
        <v>0.13430455541640579</v>
      </c>
      <c r="AM68" s="198">
        <f>-AM34/IS!AM4</f>
        <v>0.11475489505221874</v>
      </c>
      <c r="AN68" s="198">
        <f>-AN34/IS!AN4</f>
        <v>0.10699065420560748</v>
      </c>
      <c r="AO68" s="198">
        <f>-AO34/IS!AO4</f>
        <v>9.2340791351039966E-2</v>
      </c>
      <c r="AP68" s="198">
        <f>-AP34/IS!AP4</f>
        <v>6.3058879780792665E-2</v>
      </c>
      <c r="AQ68" s="198">
        <f>-AQ34/IS!AQ4</f>
        <v>7.2342414023920484E-2</v>
      </c>
      <c r="AR68" s="198">
        <f>-AR34/IS!AR4</f>
        <v>0.1094496965693762</v>
      </c>
      <c r="AS68" s="198">
        <f>-AS34/IS!AS4</f>
        <v>0.10658574651668674</v>
      </c>
      <c r="AT68" s="198">
        <f>-AT34/IS!AT4</f>
        <v>0.10664531043859608</v>
      </c>
      <c r="AU68" s="198">
        <f>-AU34/IS!AU4</f>
        <v>0.23728615057522001</v>
      </c>
      <c r="AV68" s="198">
        <f>-AV34/IS!AV4</f>
        <v>0.26623245310999138</v>
      </c>
      <c r="AW68" s="198">
        <f>-AW34/IS!AW4</f>
        <v>0.17127067231779275</v>
      </c>
      <c r="AX68" s="198">
        <f>-AX34/IS!AX4</f>
        <v>0.20490033639604358</v>
      </c>
      <c r="AY68" s="198">
        <f>-AY34/IS!AY4</f>
        <v>0.17930923045849323</v>
      </c>
      <c r="AZ68" s="198">
        <f>-AZ34/IS!AZ4</f>
        <v>0.18109416680801199</v>
      </c>
      <c r="BA68" s="195">
        <f>-BA34/IS!BA4</f>
        <v>0.26721607502470845</v>
      </c>
      <c r="BB68" s="262">
        <f>BA68</f>
        <v>0.26721607502470845</v>
      </c>
      <c r="BC68" s="190">
        <f>BB68</f>
        <v>0.26721607502470845</v>
      </c>
      <c r="BD68" s="190">
        <f>BC68</f>
        <v>0.26721607502470845</v>
      </c>
      <c r="BE68" s="190">
        <f>BD68</f>
        <v>0.26721607502470845</v>
      </c>
      <c r="BF68" s="190">
        <f>BE68</f>
        <v>0.26721607502470845</v>
      </c>
      <c r="BG68" s="190">
        <f>BF68</f>
        <v>0.26721607502470845</v>
      </c>
      <c r="BH68" s="190">
        <f>BG68</f>
        <v>0.26721607502470845</v>
      </c>
      <c r="BI68" s="190">
        <f>BH68</f>
        <v>0.26721607502470845</v>
      </c>
      <c r="BJ68" s="190">
        <f>BI68</f>
        <v>0.26721607502470845</v>
      </c>
      <c r="BK68" s="190">
        <f>BJ68</f>
        <v>0.26721607502470845</v>
      </c>
      <c r="BL68" s="190">
        <f>BK68</f>
        <v>0.26721607502470845</v>
      </c>
      <c r="BM68" s="190">
        <f>BL68</f>
        <v>0.26721607502470845</v>
      </c>
      <c r="BN68" s="190">
        <f>BM68</f>
        <v>0.26721607502470845</v>
      </c>
      <c r="BO68" s="190">
        <f>BN68</f>
        <v>0.26721607502470845</v>
      </c>
      <c r="BP68" s="190">
        <f>BO68</f>
        <v>0.26721607502470845</v>
      </c>
      <c r="BQ68" s="190">
        <f>BP68</f>
        <v>0.26721607502470845</v>
      </c>
      <c r="BR68" s="190">
        <f>BQ68</f>
        <v>0.26721607502470845</v>
      </c>
    </row>
  </sheetData>
  <mergeCells count="1">
    <mergeCell ref="B1:B2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R65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/>
    </sheetView>
  </sheetViews>
  <sheetFormatPr defaultRowHeight="12.75" x14ac:dyDescent="0.2"/>
  <cols>
    <col min="1" max="1" width="35.7109375" bestFit="1" customWidth="1"/>
    <col min="2" max="2" width="2.42578125" customWidth="1"/>
    <col min="3" max="7" width="7.28515625" bestFit="1" customWidth="1"/>
    <col min="8" max="17" width="7.42578125" bestFit="1" customWidth="1"/>
    <col min="18" max="18" width="9.140625" style="304" customWidth="1"/>
    <col min="19" max="21" width="7.28515625" bestFit="1" customWidth="1"/>
    <col min="22" max="33" width="8.28515625" bestFit="1" customWidth="1"/>
    <col min="34" max="45" width="7.42578125" bestFit="1" customWidth="1"/>
    <col min="46" max="46" width="8.28515625" bestFit="1" customWidth="1"/>
    <col min="47" max="48" width="7.42578125" bestFit="1" customWidth="1"/>
    <col min="49" max="52" width="8.28515625" bestFit="1" customWidth="1"/>
    <col min="53" max="70" width="7.42578125" bestFit="1" customWidth="1"/>
  </cols>
  <sheetData>
    <row r="1" spans="1:70" x14ac:dyDescent="0.2">
      <c r="A1" s="267"/>
      <c r="B1" s="1"/>
      <c r="C1" s="242" t="s">
        <v>177</v>
      </c>
      <c r="D1" s="242" t="s">
        <v>178</v>
      </c>
      <c r="E1" s="242" t="s">
        <v>179</v>
      </c>
      <c r="F1" s="242" t="s">
        <v>180</v>
      </c>
      <c r="G1" s="242" t="s">
        <v>15</v>
      </c>
      <c r="H1" s="242" t="s">
        <v>16</v>
      </c>
      <c r="I1" s="242" t="s">
        <v>17</v>
      </c>
      <c r="J1" s="242" t="s">
        <v>18</v>
      </c>
      <c r="K1" s="242" t="s">
        <v>25</v>
      </c>
      <c r="L1" s="242" t="s">
        <v>37</v>
      </c>
      <c r="M1" s="246" t="s">
        <v>134</v>
      </c>
      <c r="N1" s="246" t="s">
        <v>61</v>
      </c>
      <c r="O1" s="246" t="s">
        <v>62</v>
      </c>
      <c r="P1" s="246" t="s">
        <v>63</v>
      </c>
      <c r="Q1" s="246" t="s">
        <v>64</v>
      </c>
      <c r="R1" s="297"/>
      <c r="S1" s="242" t="s">
        <v>181</v>
      </c>
      <c r="T1" s="242" t="s">
        <v>182</v>
      </c>
      <c r="U1" s="242" t="s">
        <v>183</v>
      </c>
      <c r="V1" s="242" t="s">
        <v>184</v>
      </c>
      <c r="W1" s="242" t="s">
        <v>185</v>
      </c>
      <c r="X1" s="242" t="s">
        <v>186</v>
      </c>
      <c r="Y1" s="242" t="s">
        <v>187</v>
      </c>
      <c r="Z1" s="242" t="s">
        <v>188</v>
      </c>
      <c r="AA1" s="242" t="s">
        <v>189</v>
      </c>
      <c r="AB1" s="242" t="s">
        <v>190</v>
      </c>
      <c r="AC1" s="242" t="s">
        <v>191</v>
      </c>
      <c r="AD1" s="242" t="s">
        <v>192</v>
      </c>
      <c r="AE1" s="242" t="s">
        <v>193</v>
      </c>
      <c r="AF1" s="242" t="s">
        <v>194</v>
      </c>
      <c r="AG1" s="242" t="s">
        <v>195</v>
      </c>
      <c r="AH1" s="242" t="s">
        <v>196</v>
      </c>
      <c r="AI1" s="242" t="s">
        <v>197</v>
      </c>
      <c r="AJ1" s="242" t="s">
        <v>198</v>
      </c>
      <c r="AK1" s="242" t="s">
        <v>199</v>
      </c>
      <c r="AL1" s="242" t="s">
        <v>200</v>
      </c>
      <c r="AM1" s="242" t="s">
        <v>201</v>
      </c>
      <c r="AN1" s="242" t="s">
        <v>202</v>
      </c>
      <c r="AO1" s="242" t="s">
        <v>203</v>
      </c>
      <c r="AP1" s="242" t="s">
        <v>204</v>
      </c>
      <c r="AQ1" s="242" t="s">
        <v>19</v>
      </c>
      <c r="AR1" s="242" t="s">
        <v>20</v>
      </c>
      <c r="AS1" s="242" t="s">
        <v>21</v>
      </c>
      <c r="AT1" s="242" t="s">
        <v>26</v>
      </c>
      <c r="AU1" s="242" t="s">
        <v>38</v>
      </c>
      <c r="AV1" s="242" t="s">
        <v>39</v>
      </c>
      <c r="AW1" s="242" t="s">
        <v>40</v>
      </c>
      <c r="AX1" s="242" t="s">
        <v>41</v>
      </c>
      <c r="AY1" s="242" t="s">
        <v>102</v>
      </c>
      <c r="AZ1" s="242" t="s">
        <v>116</v>
      </c>
      <c r="BA1" s="242" t="s">
        <v>205</v>
      </c>
      <c r="BB1" s="246" t="s">
        <v>133</v>
      </c>
      <c r="BC1" s="246" t="s">
        <v>132</v>
      </c>
      <c r="BD1" s="246" t="s">
        <v>46</v>
      </c>
      <c r="BE1" s="246" t="s">
        <v>47</v>
      </c>
      <c r="BF1" s="246" t="s">
        <v>48</v>
      </c>
      <c r="BG1" s="246" t="s">
        <v>49</v>
      </c>
      <c r="BH1" s="246" t="s">
        <v>50</v>
      </c>
      <c r="BI1" s="246" t="s">
        <v>51</v>
      </c>
      <c r="BJ1" s="246" t="s">
        <v>52</v>
      </c>
      <c r="BK1" s="246" t="s">
        <v>53</v>
      </c>
      <c r="BL1" s="246" t="s">
        <v>54</v>
      </c>
      <c r="BM1" s="246" t="s">
        <v>55</v>
      </c>
      <c r="BN1" s="246" t="s">
        <v>56</v>
      </c>
      <c r="BO1" s="246" t="s">
        <v>57</v>
      </c>
      <c r="BP1" s="246" t="s">
        <v>58</v>
      </c>
      <c r="BQ1" s="246" t="s">
        <v>59</v>
      </c>
      <c r="BR1" s="246" t="s">
        <v>60</v>
      </c>
    </row>
    <row r="2" spans="1:70" x14ac:dyDescent="0.2">
      <c r="A2" s="268"/>
      <c r="B2" s="1"/>
      <c r="C2" s="199">
        <v>40178</v>
      </c>
      <c r="D2" s="199">
        <v>40543</v>
      </c>
      <c r="E2" s="199">
        <v>40908</v>
      </c>
      <c r="F2" s="199">
        <v>41274</v>
      </c>
      <c r="G2" s="199">
        <v>41639</v>
      </c>
      <c r="H2" s="199">
        <v>42004</v>
      </c>
      <c r="I2" s="199">
        <v>42369</v>
      </c>
      <c r="J2" s="199">
        <v>42735</v>
      </c>
      <c r="K2" s="199">
        <v>43100</v>
      </c>
      <c r="L2" s="199">
        <v>43465</v>
      </c>
      <c r="M2" s="200">
        <v>43830</v>
      </c>
      <c r="N2" s="200">
        <v>44196</v>
      </c>
      <c r="O2" s="200">
        <v>44561</v>
      </c>
      <c r="P2" s="200">
        <v>44926</v>
      </c>
      <c r="Q2" s="200">
        <v>45291</v>
      </c>
      <c r="R2" s="298"/>
      <c r="S2" s="199">
        <v>40633</v>
      </c>
      <c r="T2" s="199">
        <v>40724</v>
      </c>
      <c r="U2" s="199">
        <v>40816</v>
      </c>
      <c r="V2" s="199">
        <v>40908</v>
      </c>
      <c r="W2" s="199">
        <v>40999</v>
      </c>
      <c r="X2" s="199">
        <v>41090</v>
      </c>
      <c r="Y2" s="199">
        <v>41182</v>
      </c>
      <c r="Z2" s="199">
        <v>41274</v>
      </c>
      <c r="AA2" s="199">
        <v>41364</v>
      </c>
      <c r="AB2" s="199">
        <v>41455</v>
      </c>
      <c r="AC2" s="199">
        <v>41547</v>
      </c>
      <c r="AD2" s="199">
        <v>41639</v>
      </c>
      <c r="AE2" s="199">
        <v>41729</v>
      </c>
      <c r="AF2" s="199">
        <v>41820</v>
      </c>
      <c r="AG2" s="199">
        <v>41912</v>
      </c>
      <c r="AH2" s="199">
        <v>42004</v>
      </c>
      <c r="AI2" s="199">
        <v>42094</v>
      </c>
      <c r="AJ2" s="199">
        <v>42185</v>
      </c>
      <c r="AK2" s="199">
        <v>42277</v>
      </c>
      <c r="AL2" s="199">
        <v>42369</v>
      </c>
      <c r="AM2" s="199">
        <v>42460</v>
      </c>
      <c r="AN2" s="199">
        <v>42551</v>
      </c>
      <c r="AO2" s="199">
        <v>42643</v>
      </c>
      <c r="AP2" s="199">
        <v>42735</v>
      </c>
      <c r="AQ2" s="199">
        <v>42825</v>
      </c>
      <c r="AR2" s="199">
        <v>42916</v>
      </c>
      <c r="AS2" s="199">
        <v>43008</v>
      </c>
      <c r="AT2" s="199">
        <v>43100</v>
      </c>
      <c r="AU2" s="199">
        <v>43190</v>
      </c>
      <c r="AV2" s="199">
        <v>43281</v>
      </c>
      <c r="AW2" s="199">
        <v>43373</v>
      </c>
      <c r="AX2" s="199">
        <v>43465</v>
      </c>
      <c r="AY2" s="199">
        <v>43555</v>
      </c>
      <c r="AZ2" s="199">
        <v>43646</v>
      </c>
      <c r="BA2" s="199">
        <v>43738</v>
      </c>
      <c r="BB2" s="200">
        <v>43830</v>
      </c>
      <c r="BC2" s="200">
        <v>43921</v>
      </c>
      <c r="BD2" s="200">
        <v>44012</v>
      </c>
      <c r="BE2" s="200">
        <v>44104</v>
      </c>
      <c r="BF2" s="200">
        <v>44196</v>
      </c>
      <c r="BG2" s="200">
        <v>44286</v>
      </c>
      <c r="BH2" s="200">
        <v>44377</v>
      </c>
      <c r="BI2" s="200">
        <v>44469</v>
      </c>
      <c r="BJ2" s="200">
        <v>44561</v>
      </c>
      <c r="BK2" s="200">
        <v>44651</v>
      </c>
      <c r="BL2" s="200">
        <v>44742</v>
      </c>
      <c r="BM2" s="200">
        <v>44834</v>
      </c>
      <c r="BN2" s="200">
        <v>44926</v>
      </c>
      <c r="BO2" s="200">
        <v>45016</v>
      </c>
      <c r="BP2" s="200">
        <v>45107</v>
      </c>
      <c r="BQ2" s="200">
        <v>45199</v>
      </c>
      <c r="BR2" s="200">
        <v>45291</v>
      </c>
    </row>
    <row r="3" spans="1:70" x14ac:dyDescent="0.2">
      <c r="A3" s="292"/>
      <c r="B3" s="9"/>
      <c r="C3" s="293"/>
      <c r="D3" s="293"/>
      <c r="E3" s="293"/>
      <c r="F3" s="293"/>
      <c r="G3" s="293"/>
      <c r="H3" s="293"/>
      <c r="I3" s="293"/>
      <c r="J3" s="293"/>
      <c r="K3" s="293"/>
      <c r="L3" s="294"/>
      <c r="M3" s="295"/>
      <c r="N3" s="293"/>
      <c r="O3" s="293"/>
      <c r="P3" s="293"/>
      <c r="Q3" s="293"/>
      <c r="R3" s="46"/>
      <c r="S3" s="293"/>
      <c r="T3" s="293"/>
      <c r="U3" s="293"/>
      <c r="V3" s="293"/>
      <c r="W3" s="293"/>
      <c r="X3" s="293"/>
      <c r="Y3" s="293"/>
      <c r="Z3" s="293"/>
      <c r="AA3" s="293"/>
      <c r="AB3" s="293"/>
      <c r="AC3" s="293"/>
      <c r="AD3" s="293"/>
      <c r="AE3" s="293"/>
      <c r="AF3" s="293"/>
      <c r="AG3" s="293"/>
      <c r="AH3" s="293"/>
      <c r="AI3" s="293"/>
      <c r="AJ3" s="293"/>
      <c r="AK3" s="293"/>
      <c r="AL3" s="293"/>
      <c r="AM3" s="293"/>
      <c r="AN3" s="293"/>
      <c r="AO3" s="293"/>
      <c r="AP3" s="293"/>
      <c r="AQ3" s="293"/>
      <c r="AR3" s="293"/>
      <c r="AS3" s="293"/>
      <c r="AT3" s="293"/>
      <c r="AU3" s="293"/>
      <c r="AV3" s="293"/>
      <c r="AW3" s="293"/>
      <c r="AX3" s="293"/>
      <c r="AY3" s="293"/>
      <c r="AZ3" s="293"/>
      <c r="BA3" s="294"/>
      <c r="BB3" s="295"/>
      <c r="BC3" s="293"/>
      <c r="BD3" s="293"/>
      <c r="BE3" s="293"/>
      <c r="BF3" s="293"/>
      <c r="BG3" s="293"/>
      <c r="BH3" s="293"/>
      <c r="BI3" s="293"/>
      <c r="BJ3" s="293"/>
      <c r="BK3" s="293"/>
      <c r="BL3" s="293"/>
      <c r="BM3" s="293"/>
      <c r="BN3" s="293"/>
      <c r="BO3" s="296"/>
      <c r="BP3" s="296"/>
      <c r="BQ3" s="296"/>
      <c r="BR3" s="296"/>
    </row>
    <row r="4" spans="1:70" x14ac:dyDescent="0.2">
      <c r="A4" s="274" t="s">
        <v>3</v>
      </c>
      <c r="B4" s="10"/>
      <c r="C4" s="138"/>
      <c r="D4" s="138"/>
      <c r="E4" s="138"/>
      <c r="F4" s="138"/>
      <c r="G4" s="138"/>
      <c r="H4" s="138"/>
      <c r="I4" s="138"/>
      <c r="J4" s="138"/>
      <c r="K4" s="138"/>
      <c r="L4" s="107"/>
      <c r="M4" s="77"/>
      <c r="N4" s="74"/>
      <c r="O4" s="74"/>
      <c r="P4" s="74"/>
      <c r="Q4" s="74"/>
      <c r="R4" s="51"/>
      <c r="S4" s="138"/>
      <c r="T4" s="138"/>
      <c r="U4" s="67"/>
      <c r="V4" s="138"/>
      <c r="W4" s="138"/>
      <c r="X4" s="138"/>
      <c r="Y4" s="67"/>
      <c r="Z4" s="138"/>
      <c r="AA4" s="138"/>
      <c r="AB4" s="138"/>
      <c r="AC4" s="67"/>
      <c r="AD4" s="138"/>
      <c r="AE4" s="138"/>
      <c r="AF4" s="138"/>
      <c r="AG4" s="67"/>
      <c r="AH4" s="138"/>
      <c r="AI4" s="138"/>
      <c r="AJ4" s="138"/>
      <c r="AK4" s="67"/>
      <c r="AL4" s="138"/>
      <c r="AM4" s="138"/>
      <c r="AN4" s="138"/>
      <c r="AO4" s="67"/>
      <c r="AP4" s="138"/>
      <c r="AQ4" s="138"/>
      <c r="AR4" s="138"/>
      <c r="AS4" s="67"/>
      <c r="AT4" s="138"/>
      <c r="AU4" s="138"/>
      <c r="AV4" s="138"/>
      <c r="AW4" s="138"/>
      <c r="AX4" s="138"/>
      <c r="AY4" s="138"/>
      <c r="AZ4" s="138"/>
      <c r="BA4" s="265"/>
      <c r="BB4" s="108"/>
      <c r="BC4" s="138"/>
      <c r="BD4" s="138"/>
      <c r="BE4" s="138"/>
      <c r="BF4" s="138"/>
      <c r="BG4" s="138"/>
      <c r="BH4" s="138"/>
      <c r="BI4" s="138"/>
      <c r="BJ4" s="138"/>
      <c r="BK4" s="138"/>
      <c r="BL4" s="138"/>
      <c r="BM4" s="138"/>
      <c r="BN4" s="138"/>
      <c r="BO4" s="138"/>
      <c r="BP4" s="138"/>
      <c r="BQ4" s="138"/>
      <c r="BR4" s="138"/>
    </row>
    <row r="5" spans="1:70" x14ac:dyDescent="0.2">
      <c r="A5" s="168" t="s">
        <v>11</v>
      </c>
      <c r="B5" s="10" t="s">
        <v>150</v>
      </c>
      <c r="C5" s="80">
        <v>84.768000000000001</v>
      </c>
      <c r="D5" s="80">
        <v>60.636000000000003</v>
      </c>
      <c r="E5" s="76">
        <f>V5</f>
        <v>55.534999999999997</v>
      </c>
      <c r="F5" s="76">
        <f>Z5</f>
        <v>153.02000000000001</v>
      </c>
      <c r="G5" s="76">
        <f>AD5</f>
        <v>114.254</v>
      </c>
      <c r="H5" s="76">
        <f>AH5</f>
        <v>89.094999999999999</v>
      </c>
      <c r="I5" s="76">
        <f>AL5</f>
        <v>102.03</v>
      </c>
      <c r="J5" s="76">
        <f>AP5</f>
        <v>119.051</v>
      </c>
      <c r="K5" s="76">
        <f>AT5</f>
        <v>128.58600000000001</v>
      </c>
      <c r="L5" s="76">
        <f>AX5</f>
        <v>297.53199999999998</v>
      </c>
      <c r="M5" s="77">
        <f>BB5</f>
        <v>272.8922804730509</v>
      </c>
      <c r="N5" s="76">
        <f>BF5</f>
        <v>344.22331184987468</v>
      </c>
      <c r="O5" s="76">
        <f>BJ5</f>
        <v>458.20905837497492</v>
      </c>
      <c r="P5" s="76">
        <f>BN5</f>
        <v>624.07012411002358</v>
      </c>
      <c r="Q5" s="76">
        <f>BR5</f>
        <v>860.95701617948862</v>
      </c>
      <c r="R5" s="51"/>
      <c r="S5" s="80">
        <v>40.530999999999999</v>
      </c>
      <c r="T5" s="80">
        <v>25.256</v>
      </c>
      <c r="U5" s="80">
        <v>38.345999999999997</v>
      </c>
      <c r="V5" s="80">
        <v>55.534999999999997</v>
      </c>
      <c r="W5" s="80">
        <v>40.566000000000003</v>
      </c>
      <c r="X5" s="80">
        <v>39.960999999999999</v>
      </c>
      <c r="Y5" s="80">
        <v>46.94</v>
      </c>
      <c r="Z5" s="80">
        <v>153.02000000000001</v>
      </c>
      <c r="AA5" s="80">
        <v>70.701999999999998</v>
      </c>
      <c r="AB5" s="80">
        <v>65.447999999999993</v>
      </c>
      <c r="AC5" s="80">
        <v>142.99</v>
      </c>
      <c r="AD5" s="80">
        <v>114.254</v>
      </c>
      <c r="AE5" s="80">
        <v>194.566</v>
      </c>
      <c r="AF5" s="80">
        <v>161.99799999999999</v>
      </c>
      <c r="AG5" s="142">
        <v>106.499</v>
      </c>
      <c r="AH5" s="80">
        <v>89.094999999999999</v>
      </c>
      <c r="AI5" s="80">
        <v>145.01300000000001</v>
      </c>
      <c r="AJ5" s="80">
        <v>165.017</v>
      </c>
      <c r="AK5" s="80">
        <v>111.473</v>
      </c>
      <c r="AL5" s="80">
        <v>102.03</v>
      </c>
      <c r="AM5" s="142">
        <v>99.334000000000003</v>
      </c>
      <c r="AN5" s="142">
        <v>85.103999999999999</v>
      </c>
      <c r="AO5" s="142">
        <v>90.488</v>
      </c>
      <c r="AP5" s="142">
        <v>119.051</v>
      </c>
      <c r="AQ5" s="142">
        <v>127.861</v>
      </c>
      <c r="AR5" s="142">
        <v>148.63300000000001</v>
      </c>
      <c r="AS5" s="142">
        <v>108.471</v>
      </c>
      <c r="AT5" s="142">
        <v>128.58600000000001</v>
      </c>
      <c r="AU5" s="142">
        <v>132.64500000000001</v>
      </c>
      <c r="AV5" s="142">
        <v>110.164</v>
      </c>
      <c r="AW5" s="142">
        <v>128.72200000000001</v>
      </c>
      <c r="AX5" s="142">
        <v>297.53199999999998</v>
      </c>
      <c r="AY5" s="142">
        <v>139.857</v>
      </c>
      <c r="AZ5" s="142">
        <v>123.845</v>
      </c>
      <c r="BA5" s="153">
        <v>275.70600000000002</v>
      </c>
      <c r="BB5" s="77">
        <f>CF!BB61</f>
        <v>272.8922804730509</v>
      </c>
      <c r="BC5" s="76">
        <f>CF!BC61</f>
        <v>289.09678086807537</v>
      </c>
      <c r="BD5" s="76">
        <f>CF!BD61</f>
        <v>309.17702924738836</v>
      </c>
      <c r="BE5" s="76">
        <f>CF!BE61</f>
        <v>329.75746768375637</v>
      </c>
      <c r="BF5" s="76">
        <f>CF!BF61</f>
        <v>344.22331184987468</v>
      </c>
      <c r="BG5" s="76">
        <f>CF!BG61</f>
        <v>371.4315967278792</v>
      </c>
      <c r="BH5" s="76">
        <f>CF!BH61</f>
        <v>407.38798991841526</v>
      </c>
      <c r="BI5" s="76">
        <f>CF!BI61</f>
        <v>436.17989077045638</v>
      </c>
      <c r="BJ5" s="76">
        <f>CF!BJ61</f>
        <v>458.20905837497492</v>
      </c>
      <c r="BK5" s="76">
        <f>CF!BK61</f>
        <v>495.2435103368789</v>
      </c>
      <c r="BL5" s="76">
        <f>CF!BL61</f>
        <v>551.72132874721603</v>
      </c>
      <c r="BM5" s="76">
        <f>CF!BM61</f>
        <v>592.39801658907254</v>
      </c>
      <c r="BN5" s="76">
        <f>CF!BN61</f>
        <v>624.07012411002358</v>
      </c>
      <c r="BO5" s="76">
        <f>CF!BO61</f>
        <v>678.68579433982723</v>
      </c>
      <c r="BP5" s="76">
        <f>CF!BP61</f>
        <v>763.90734748341595</v>
      </c>
      <c r="BQ5" s="76">
        <f>CF!BQ61</f>
        <v>818.86179903845448</v>
      </c>
      <c r="BR5" s="76">
        <f>CF!BR61</f>
        <v>860.95701617948862</v>
      </c>
    </row>
    <row r="6" spans="1:70" x14ac:dyDescent="0.2">
      <c r="A6" s="168" t="s">
        <v>279</v>
      </c>
      <c r="B6" s="10"/>
      <c r="C6" s="80">
        <v>0.36899999999999999</v>
      </c>
      <c r="D6" s="80">
        <v>0.45500000000000002</v>
      </c>
      <c r="E6" s="76">
        <f>V6</f>
        <v>0.45500000000000002</v>
      </c>
      <c r="F6" s="76">
        <f>Z6</f>
        <v>0.2</v>
      </c>
      <c r="G6" s="76">
        <f>AD6</f>
        <v>0</v>
      </c>
      <c r="H6" s="76">
        <f>AH6</f>
        <v>0</v>
      </c>
      <c r="I6" s="76">
        <f>AL6</f>
        <v>0</v>
      </c>
      <c r="J6" s="76">
        <f>AP6</f>
        <v>0</v>
      </c>
      <c r="K6" s="76">
        <f>AT6</f>
        <v>0</v>
      </c>
      <c r="L6" s="76">
        <f>AX6</f>
        <v>0</v>
      </c>
      <c r="M6" s="77">
        <f>BB6</f>
        <v>0</v>
      </c>
      <c r="N6" s="76">
        <f>BF6</f>
        <v>0</v>
      </c>
      <c r="O6" s="76">
        <f>BJ6</f>
        <v>0</v>
      </c>
      <c r="P6" s="76">
        <f>BN6</f>
        <v>0</v>
      </c>
      <c r="Q6" s="76">
        <f>BR6</f>
        <v>0</v>
      </c>
      <c r="R6" s="51"/>
      <c r="S6" s="80">
        <v>0.45500000000000002</v>
      </c>
      <c r="T6" s="80">
        <v>0.45500000000000002</v>
      </c>
      <c r="U6" s="80">
        <v>0.45500000000000002</v>
      </c>
      <c r="V6" s="80">
        <v>0.45500000000000002</v>
      </c>
      <c r="W6" s="80">
        <v>0.2</v>
      </c>
      <c r="X6" s="80">
        <v>0.2</v>
      </c>
      <c r="Y6" s="80">
        <v>0.2</v>
      </c>
      <c r="Z6" s="80">
        <v>0.2</v>
      </c>
      <c r="AA6" s="80">
        <v>0.2</v>
      </c>
      <c r="AB6" s="80">
        <v>0.2</v>
      </c>
      <c r="AC6" s="80">
        <v>0.29099999999999998</v>
      </c>
      <c r="AD6" s="80">
        <v>0</v>
      </c>
      <c r="AE6" s="80">
        <v>0.33600000000000002</v>
      </c>
      <c r="AF6" s="80">
        <v>0.33500000000000002</v>
      </c>
      <c r="AG6" s="142">
        <v>0.36699999999999999</v>
      </c>
      <c r="AH6" s="80">
        <v>0</v>
      </c>
      <c r="AI6" s="80">
        <v>0</v>
      </c>
      <c r="AJ6" s="80">
        <v>0</v>
      </c>
      <c r="AK6" s="80">
        <v>0</v>
      </c>
      <c r="AL6" s="80">
        <v>0</v>
      </c>
      <c r="AM6" s="142">
        <v>0</v>
      </c>
      <c r="AN6" s="142">
        <v>0</v>
      </c>
      <c r="AO6" s="142">
        <v>0</v>
      </c>
      <c r="AP6" s="142">
        <v>0</v>
      </c>
      <c r="AQ6" s="142">
        <v>0</v>
      </c>
      <c r="AR6" s="142">
        <v>0</v>
      </c>
      <c r="AS6" s="142">
        <v>0</v>
      </c>
      <c r="AT6" s="142">
        <v>0</v>
      </c>
      <c r="AU6" s="142">
        <v>0</v>
      </c>
      <c r="AV6" s="142">
        <v>0</v>
      </c>
      <c r="AW6" s="142">
        <v>0</v>
      </c>
      <c r="AX6" s="142">
        <v>0</v>
      </c>
      <c r="AY6" s="142">
        <v>0</v>
      </c>
      <c r="AZ6" s="142">
        <v>0</v>
      </c>
      <c r="BA6" s="153">
        <v>0</v>
      </c>
      <c r="BB6" s="172">
        <f>BA6</f>
        <v>0</v>
      </c>
      <c r="BC6" s="188">
        <f>BB6</f>
        <v>0</v>
      </c>
      <c r="BD6" s="188">
        <f>BC6</f>
        <v>0</v>
      </c>
      <c r="BE6" s="188">
        <f>BD6</f>
        <v>0</v>
      </c>
      <c r="BF6" s="188">
        <f>BE6</f>
        <v>0</v>
      </c>
      <c r="BG6" s="188">
        <f>BF6</f>
        <v>0</v>
      </c>
      <c r="BH6" s="188">
        <f>BG6</f>
        <v>0</v>
      </c>
      <c r="BI6" s="188">
        <f>BH6</f>
        <v>0</v>
      </c>
      <c r="BJ6" s="188">
        <f>BI6</f>
        <v>0</v>
      </c>
      <c r="BK6" s="188">
        <f>BJ6</f>
        <v>0</v>
      </c>
      <c r="BL6" s="188">
        <f>BK6</f>
        <v>0</v>
      </c>
      <c r="BM6" s="188">
        <f>BL6</f>
        <v>0</v>
      </c>
      <c r="BN6" s="188">
        <f>BM6</f>
        <v>0</v>
      </c>
      <c r="BO6" s="188">
        <f>BN6</f>
        <v>0</v>
      </c>
      <c r="BP6" s="188">
        <f>BO6</f>
        <v>0</v>
      </c>
      <c r="BQ6" s="188">
        <f>BP6</f>
        <v>0</v>
      </c>
      <c r="BR6" s="188">
        <f>BQ6</f>
        <v>0</v>
      </c>
    </row>
    <row r="7" spans="1:70" x14ac:dyDescent="0.2">
      <c r="A7" s="168" t="s">
        <v>259</v>
      </c>
      <c r="B7" s="10"/>
      <c r="C7" s="80">
        <v>11.000999999999999</v>
      </c>
      <c r="D7" s="80">
        <v>10.374000000000001</v>
      </c>
      <c r="E7" s="76">
        <f>V7</f>
        <v>80.245999999999995</v>
      </c>
      <c r="F7" s="76">
        <f>Z7</f>
        <v>29.484000000000002</v>
      </c>
      <c r="G7" s="76">
        <f>AD7</f>
        <v>38.265000000000001</v>
      </c>
      <c r="H7" s="76">
        <f>AH7</f>
        <v>43.287999999999997</v>
      </c>
      <c r="I7" s="76">
        <f>AL7</f>
        <v>44.933</v>
      </c>
      <c r="J7" s="76">
        <f>AP7</f>
        <v>128.821</v>
      </c>
      <c r="K7" s="76">
        <f>AT7</f>
        <v>227.40299999999999</v>
      </c>
      <c r="L7" s="76">
        <f>AX7</f>
        <v>82.358999999999995</v>
      </c>
      <c r="M7" s="77">
        <f>BB7</f>
        <v>54.965370354656251</v>
      </c>
      <c r="N7" s="76">
        <f>BF7</f>
        <v>65.312227481622969</v>
      </c>
      <c r="O7" s="76">
        <f>BJ7</f>
        <v>78.751501183781926</v>
      </c>
      <c r="P7" s="76">
        <f>BN7</f>
        <v>95.751075054569768</v>
      </c>
      <c r="Q7" s="76">
        <f>BR7</f>
        <v>117.92151880243094</v>
      </c>
      <c r="R7" s="51"/>
      <c r="S7" s="80">
        <v>5.9249999999999998</v>
      </c>
      <c r="T7" s="80">
        <v>7.101</v>
      </c>
      <c r="U7" s="80">
        <v>10.412000000000001</v>
      </c>
      <c r="V7" s="80">
        <v>80.245999999999995</v>
      </c>
      <c r="W7" s="80">
        <v>73.197000000000003</v>
      </c>
      <c r="X7" s="80">
        <v>67.388000000000005</v>
      </c>
      <c r="Y7" s="80">
        <v>113.989</v>
      </c>
      <c r="Z7" s="80">
        <v>29.484000000000002</v>
      </c>
      <c r="AA7" s="80">
        <v>118.886</v>
      </c>
      <c r="AB7" s="80">
        <v>123.283</v>
      </c>
      <c r="AC7" s="80">
        <v>24.417999999999999</v>
      </c>
      <c r="AD7" s="80">
        <v>38.265000000000001</v>
      </c>
      <c r="AE7" s="80">
        <v>29.963000000000001</v>
      </c>
      <c r="AF7" s="80">
        <v>25.033000000000001</v>
      </c>
      <c r="AG7" s="142">
        <v>27.372</v>
      </c>
      <c r="AH7" s="80">
        <v>43.287999999999997</v>
      </c>
      <c r="AI7" s="80">
        <v>29.786999999999999</v>
      </c>
      <c r="AJ7" s="80">
        <v>23.716000000000001</v>
      </c>
      <c r="AK7" s="80">
        <v>25.481999999999999</v>
      </c>
      <c r="AL7" s="80">
        <v>44.933</v>
      </c>
      <c r="AM7" s="142">
        <v>28.321000000000002</v>
      </c>
      <c r="AN7" s="142">
        <v>26.873000000000001</v>
      </c>
      <c r="AO7" s="142">
        <v>35.719000000000001</v>
      </c>
      <c r="AP7" s="142">
        <v>128.821</v>
      </c>
      <c r="AQ7" s="142">
        <v>42.442999999999998</v>
      </c>
      <c r="AR7" s="142">
        <v>47.329000000000001</v>
      </c>
      <c r="AS7" s="142">
        <v>127.443</v>
      </c>
      <c r="AT7" s="142">
        <v>227.40299999999999</v>
      </c>
      <c r="AU7" s="142">
        <v>153.44300000000001</v>
      </c>
      <c r="AV7" s="142">
        <v>139.31399999999999</v>
      </c>
      <c r="AW7" s="142">
        <v>225.21</v>
      </c>
      <c r="AX7" s="142">
        <v>82.358999999999995</v>
      </c>
      <c r="AY7" s="142">
        <v>259.28800000000001</v>
      </c>
      <c r="AZ7" s="142">
        <v>244.18299999999999</v>
      </c>
      <c r="BA7" s="153">
        <v>56.034999999999997</v>
      </c>
      <c r="BB7" s="77">
        <f>BB59*IS!BB4*4</f>
        <v>54.965370354656251</v>
      </c>
      <c r="BC7" s="76">
        <f>BC59*IS!BC4*4</f>
        <v>57.708214273995289</v>
      </c>
      <c r="BD7" s="76">
        <f>BD59*IS!BD4*4</f>
        <v>60.909672100638012</v>
      </c>
      <c r="BE7" s="76">
        <f>BE59*IS!BE4*4</f>
        <v>63.864168681382658</v>
      </c>
      <c r="BF7" s="76">
        <f>BF59*IS!BF4*4</f>
        <v>65.312227481622969</v>
      </c>
      <c r="BG7" s="76">
        <f>BG59*IS!BG4*4</f>
        <v>69.081948636310116</v>
      </c>
      <c r="BH7" s="76">
        <f>BH59*IS!BH4*4</f>
        <v>74.147149618169735</v>
      </c>
      <c r="BI7" s="76">
        <f>BI59*IS!BI4*4</f>
        <v>77.274860650776588</v>
      </c>
      <c r="BJ7" s="76">
        <f>BJ59*IS!BJ4*4</f>
        <v>78.751501183781926</v>
      </c>
      <c r="BK7" s="76">
        <f>BK59*IS!BK4*4</f>
        <v>82.986667117106407</v>
      </c>
      <c r="BL7" s="76">
        <f>BL59*IS!BL4*4</f>
        <v>90.546613851324764</v>
      </c>
      <c r="BM7" s="76">
        <f>BM59*IS!BM4*4</f>
        <v>94.221734207276299</v>
      </c>
      <c r="BN7" s="76">
        <f>BN59*IS!BN4*4</f>
        <v>95.751075054569768</v>
      </c>
      <c r="BO7" s="76">
        <f>BO59*IS!BO4*4</f>
        <v>101.57661411015393</v>
      </c>
      <c r="BP7" s="76">
        <f>BP59*IS!BP4*4</f>
        <v>112.72613064162122</v>
      </c>
      <c r="BQ7" s="76">
        <f>BQ59*IS!BQ4*4</f>
        <v>116.7924502891309</v>
      </c>
      <c r="BR7" s="76">
        <f>BR59*IS!BR4*4</f>
        <v>117.92151880243094</v>
      </c>
    </row>
    <row r="8" spans="1:70" x14ac:dyDescent="0.2">
      <c r="A8" s="168" t="s">
        <v>280</v>
      </c>
      <c r="B8" s="10" t="s">
        <v>151</v>
      </c>
      <c r="C8" s="80">
        <v>24.523</v>
      </c>
      <c r="D8" s="80">
        <v>15.211</v>
      </c>
      <c r="E8" s="76">
        <f>V8</f>
        <v>16.885000000000002</v>
      </c>
      <c r="F8" s="76">
        <f>Z8</f>
        <v>11.571</v>
      </c>
      <c r="G8" s="76">
        <f>AD8</f>
        <v>16.262999999999998</v>
      </c>
      <c r="H8" s="76">
        <f>AH8</f>
        <v>58.25</v>
      </c>
      <c r="I8" s="76">
        <f>AL8</f>
        <v>57.309999999999995</v>
      </c>
      <c r="J8" s="76">
        <f>AP8</f>
        <v>56.651000000000003</v>
      </c>
      <c r="K8" s="76">
        <f>AT8</f>
        <v>47.781999999999996</v>
      </c>
      <c r="L8" s="76">
        <f>AX8</f>
        <v>64.387</v>
      </c>
      <c r="M8" s="77">
        <f>BB8</f>
        <v>73.689007176815238</v>
      </c>
      <c r="N8" s="76">
        <f>BF8</f>
        <v>87.560461588328053</v>
      </c>
      <c r="O8" s="76">
        <f>BJ8</f>
        <v>105.57774646969304</v>
      </c>
      <c r="P8" s="76">
        <f>BN8</f>
        <v>128.36812726553842</v>
      </c>
      <c r="Q8" s="76">
        <f>BR8</f>
        <v>158.09080497894209</v>
      </c>
      <c r="R8" s="51"/>
      <c r="S8" s="80">
        <v>16.323</v>
      </c>
      <c r="T8" s="80">
        <v>16.006</v>
      </c>
      <c r="U8" s="80">
        <v>16.885000000000002</v>
      </c>
      <c r="V8" s="80">
        <v>16.885000000000002</v>
      </c>
      <c r="W8" s="80">
        <v>11.922000000000001</v>
      </c>
      <c r="X8" s="80">
        <v>11.613</v>
      </c>
      <c r="Y8" s="80">
        <v>10.076000000000001</v>
      </c>
      <c r="Z8" s="80">
        <v>11.571</v>
      </c>
      <c r="AA8" s="80">
        <v>11.122999999999999</v>
      </c>
      <c r="AB8" s="80">
        <v>14.102</v>
      </c>
      <c r="AC8" s="80">
        <v>13.929</v>
      </c>
      <c r="AD8" s="80">
        <v>16.262999999999998</v>
      </c>
      <c r="AE8" s="80">
        <v>15.85</v>
      </c>
      <c r="AF8" s="80">
        <v>16.760999999999999</v>
      </c>
      <c r="AG8" s="142">
        <v>17.222999999999999</v>
      </c>
      <c r="AH8" s="80">
        <v>58.25</v>
      </c>
      <c r="AI8" s="80">
        <v>59.611999999999995</v>
      </c>
      <c r="AJ8" s="80">
        <v>53.206000000000003</v>
      </c>
      <c r="AK8" s="80">
        <v>53.033000000000001</v>
      </c>
      <c r="AL8" s="80">
        <v>57.309999999999995</v>
      </c>
      <c r="AM8" s="142">
        <v>50.131</v>
      </c>
      <c r="AN8" s="142">
        <v>51.761999999999993</v>
      </c>
      <c r="AO8" s="142">
        <v>52.862000000000002</v>
      </c>
      <c r="AP8" s="142">
        <v>56.651000000000003</v>
      </c>
      <c r="AQ8" s="142">
        <v>47.874000000000002</v>
      </c>
      <c r="AR8" s="142">
        <v>45.423000000000002</v>
      </c>
      <c r="AS8" s="142">
        <v>44.970999999999997</v>
      </c>
      <c r="AT8" s="142">
        <v>47.781999999999996</v>
      </c>
      <c r="AU8" s="142">
        <v>56.115000000000002</v>
      </c>
      <c r="AV8" s="142">
        <v>61.582999999999998</v>
      </c>
      <c r="AW8" s="142">
        <v>61.652000000000001</v>
      </c>
      <c r="AX8" s="142">
        <v>64.387</v>
      </c>
      <c r="AY8" s="142">
        <v>72.332999999999998</v>
      </c>
      <c r="AZ8" s="142">
        <v>71.706999999999994</v>
      </c>
      <c r="BA8" s="153">
        <v>75.123000000000005</v>
      </c>
      <c r="BB8" s="77">
        <f>BB60*IS!BB4*4</f>
        <v>73.689007176815238</v>
      </c>
      <c r="BC8" s="76">
        <f>BC60*IS!BC4*4</f>
        <v>77.366185079063953</v>
      </c>
      <c r="BD8" s="76">
        <f>BD60*IS!BD4*4</f>
        <v>81.658201074618177</v>
      </c>
      <c r="BE8" s="76">
        <f>BE60*IS!BE4*4</f>
        <v>85.619129898304806</v>
      </c>
      <c r="BF8" s="76">
        <f>BF60*IS!BF4*4</f>
        <v>87.560461588328053</v>
      </c>
      <c r="BG8" s="76">
        <f>BG60*IS!BG4*4</f>
        <v>92.614316541545918</v>
      </c>
      <c r="BH8" s="76">
        <f>BH60*IS!BH4*4</f>
        <v>99.404949063366914</v>
      </c>
      <c r="BI8" s="76">
        <f>BI60*IS!BI4*4</f>
        <v>103.59809684426322</v>
      </c>
      <c r="BJ8" s="76">
        <f>BJ60*IS!BJ4*4</f>
        <v>105.57774646969304</v>
      </c>
      <c r="BK8" s="76">
        <f>BK60*IS!BK4*4</f>
        <v>111.25559728452546</v>
      </c>
      <c r="BL8" s="76">
        <f>BL60*IS!BL4*4</f>
        <v>121.39079633002713</v>
      </c>
      <c r="BM8" s="76">
        <f>BM60*IS!BM4*4</f>
        <v>126.31782526730112</v>
      </c>
      <c r="BN8" s="76">
        <f>BN60*IS!BN4*4</f>
        <v>128.36812726553842</v>
      </c>
      <c r="BO8" s="76">
        <f>BO60*IS!BO4*4</f>
        <v>136.17810264650831</v>
      </c>
      <c r="BP8" s="76">
        <f>BP60*IS!BP4*4</f>
        <v>151.12563776551283</v>
      </c>
      <c r="BQ8" s="76">
        <f>BQ60*IS!BQ4*4</f>
        <v>156.57712577978728</v>
      </c>
      <c r="BR8" s="76">
        <f>BR60*IS!BR4*4</f>
        <v>158.09080497894209</v>
      </c>
    </row>
    <row r="9" spans="1:70" x14ac:dyDescent="0.2">
      <c r="A9" s="168" t="s">
        <v>261</v>
      </c>
      <c r="B9" s="10" t="s">
        <v>339</v>
      </c>
      <c r="C9" s="80">
        <v>0</v>
      </c>
      <c r="D9" s="80">
        <v>3.8450000000000002</v>
      </c>
      <c r="E9" s="76">
        <f>V9</f>
        <v>7.0869999999999997</v>
      </c>
      <c r="F9" s="76">
        <f>Z9</f>
        <v>7.1260000000000003</v>
      </c>
      <c r="G9" s="76">
        <f>AD9</f>
        <v>9.4130000000000003</v>
      </c>
      <c r="H9" s="76">
        <f>AH9</f>
        <v>27.163</v>
      </c>
      <c r="I9" s="76">
        <f>AL9</f>
        <v>28.738</v>
      </c>
      <c r="J9" s="76">
        <f>AP9</f>
        <v>19.068000000000001</v>
      </c>
      <c r="K9" s="76">
        <f>AT9</f>
        <v>23.966999999999999</v>
      </c>
      <c r="L9" s="76">
        <f>AX9</f>
        <v>24.402999999999999</v>
      </c>
      <c r="M9" s="77">
        <f>BB9</f>
        <v>25.944125644870226</v>
      </c>
      <c r="N9" s="76">
        <f>BF9</f>
        <v>30.827930840750348</v>
      </c>
      <c r="O9" s="76">
        <f>BJ9</f>
        <v>37.171383149992828</v>
      </c>
      <c r="P9" s="76">
        <f>BN9</f>
        <v>45.195327636625606</v>
      </c>
      <c r="Q9" s="76">
        <f>BR9</f>
        <v>55.659966999295015</v>
      </c>
      <c r="R9" s="51"/>
      <c r="S9" s="80">
        <v>4.2409999999999997</v>
      </c>
      <c r="T9" s="80">
        <v>5.2169999999999996</v>
      </c>
      <c r="U9" s="80">
        <v>6.516</v>
      </c>
      <c r="V9" s="80">
        <v>7.0869999999999997</v>
      </c>
      <c r="W9" s="80">
        <v>7.93</v>
      </c>
      <c r="X9" s="80">
        <v>7.9240000000000004</v>
      </c>
      <c r="Y9" s="80">
        <v>7.266</v>
      </c>
      <c r="Z9" s="80">
        <v>7.1260000000000003</v>
      </c>
      <c r="AA9" s="80">
        <v>7.0289999999999999</v>
      </c>
      <c r="AB9" s="80">
        <v>7.5670000000000002</v>
      </c>
      <c r="AC9" s="80">
        <v>8.9740000000000002</v>
      </c>
      <c r="AD9" s="80">
        <v>9.4130000000000003</v>
      </c>
      <c r="AE9" s="80">
        <v>11.247</v>
      </c>
      <c r="AF9" s="80">
        <v>11.744</v>
      </c>
      <c r="AG9" s="142">
        <v>10.904999999999999</v>
      </c>
      <c r="AH9" s="80">
        <v>27.163</v>
      </c>
      <c r="AI9" s="80">
        <v>23.05</v>
      </c>
      <c r="AJ9" s="80">
        <v>23.452999999999999</v>
      </c>
      <c r="AK9" s="80">
        <v>25.481000000000002</v>
      </c>
      <c r="AL9" s="80">
        <v>28.738</v>
      </c>
      <c r="AM9" s="142">
        <v>29.1</v>
      </c>
      <c r="AN9" s="142">
        <v>25.992999999999999</v>
      </c>
      <c r="AO9" s="142">
        <v>20.777000000000001</v>
      </c>
      <c r="AP9" s="142">
        <v>19.068000000000001</v>
      </c>
      <c r="AQ9" s="142">
        <v>22.385999999999999</v>
      </c>
      <c r="AR9" s="142">
        <v>21.263000000000002</v>
      </c>
      <c r="AS9" s="142">
        <v>23.79</v>
      </c>
      <c r="AT9" s="142">
        <v>23.966999999999999</v>
      </c>
      <c r="AU9" s="142">
        <v>24.709</v>
      </c>
      <c r="AV9" s="142">
        <v>23.527000000000001</v>
      </c>
      <c r="AW9" s="142">
        <v>25.896999999999998</v>
      </c>
      <c r="AX9" s="142">
        <v>24.402999999999999</v>
      </c>
      <c r="AY9" s="142">
        <v>24.797000000000001</v>
      </c>
      <c r="AZ9" s="142">
        <v>28.588000000000001</v>
      </c>
      <c r="BA9" s="153">
        <v>26.449000000000002</v>
      </c>
      <c r="BB9" s="77">
        <f>BB61*IS!BB8*4</f>
        <v>25.944125644870226</v>
      </c>
      <c r="BC9" s="76">
        <f>BC61*IS!BC8*4</f>
        <v>27.238771470204362</v>
      </c>
      <c r="BD9" s="76">
        <f>BD61*IS!BD8*4</f>
        <v>28.749886988306859</v>
      </c>
      <c r="BE9" s="76">
        <f>BE61*IS!BE8*4</f>
        <v>30.144434682856961</v>
      </c>
      <c r="BF9" s="76">
        <f>BF61*IS!BF8*4</f>
        <v>30.827930840750348</v>
      </c>
      <c r="BG9" s="76">
        <f>BG61*IS!BG8*4</f>
        <v>32.607271517475972</v>
      </c>
      <c r="BH9" s="76">
        <f>BH61*IS!BH8*4</f>
        <v>34.998089769804075</v>
      </c>
      <c r="BI9" s="76">
        <f>BI61*IS!BI8*4</f>
        <v>36.474396169401082</v>
      </c>
      <c r="BJ9" s="76">
        <f>BJ61*IS!BJ8*4</f>
        <v>37.171383149992828</v>
      </c>
      <c r="BK9" s="76">
        <f>BK61*IS!BK8*4</f>
        <v>39.170417749270051</v>
      </c>
      <c r="BL9" s="76">
        <f>BL61*IS!BL8*4</f>
        <v>42.738777366890133</v>
      </c>
      <c r="BM9" s="76">
        <f>BM61*IS!BM8*4</f>
        <v>44.473465656255037</v>
      </c>
      <c r="BN9" s="76">
        <f>BN61*IS!BN8*4</f>
        <v>45.195327636625606</v>
      </c>
      <c r="BO9" s="76">
        <f>BO61*IS!BO8*4</f>
        <v>47.945031972864477</v>
      </c>
      <c r="BP9" s="76">
        <f>BP61*IS!BP8*4</f>
        <v>53.20769928330936</v>
      </c>
      <c r="BQ9" s="76">
        <f>BQ61*IS!BQ8*4</f>
        <v>55.127036989332083</v>
      </c>
      <c r="BR9" s="76">
        <f>BR61*IS!BR8*4</f>
        <v>55.659966999295015</v>
      </c>
    </row>
    <row r="10" spans="1:70" x14ac:dyDescent="0.2">
      <c r="A10" s="168" t="s">
        <v>137</v>
      </c>
      <c r="B10" s="10"/>
      <c r="C10" s="80">
        <v>10.414999999999999</v>
      </c>
      <c r="D10" s="80">
        <v>8.1999999999999993</v>
      </c>
      <c r="E10" s="76">
        <f>V10</f>
        <v>15.406000000000001</v>
      </c>
      <c r="F10" s="76">
        <f>Z10</f>
        <v>18.254000000000001</v>
      </c>
      <c r="G10" s="76">
        <f>AD10</f>
        <v>16.673999999999999</v>
      </c>
      <c r="H10" s="76">
        <f>AH10</f>
        <v>18.988</v>
      </c>
      <c r="I10" s="76">
        <f>AL10</f>
        <v>20.771999999999998</v>
      </c>
      <c r="J10" s="76">
        <f>AP10</f>
        <v>18.047999999999998</v>
      </c>
      <c r="K10" s="76">
        <f>AT10</f>
        <v>20.67</v>
      </c>
      <c r="L10" s="76">
        <f>AX10</f>
        <v>20.259</v>
      </c>
      <c r="M10" s="77">
        <f>BB10</f>
        <v>30.434738038617279</v>
      </c>
      <c r="N10" s="76">
        <f>BF10</f>
        <v>36.163870475101554</v>
      </c>
      <c r="O10" s="76">
        <f>BJ10</f>
        <v>43.605297175501057</v>
      </c>
      <c r="P10" s="76">
        <f>BN10</f>
        <v>53.018088796611693</v>
      </c>
      <c r="Q10" s="76">
        <f>BR10</f>
        <v>65.294029872098236</v>
      </c>
      <c r="R10" s="51"/>
      <c r="S10" s="80">
        <v>15.503</v>
      </c>
      <c r="T10" s="80">
        <v>16.041</v>
      </c>
      <c r="U10" s="80">
        <v>16.882000000000001</v>
      </c>
      <c r="V10" s="80">
        <v>15.406000000000001</v>
      </c>
      <c r="W10" s="80">
        <v>14.43</v>
      </c>
      <c r="X10" s="80">
        <v>16.155999999999999</v>
      </c>
      <c r="Y10" s="80">
        <v>16.564</v>
      </c>
      <c r="Z10" s="80">
        <v>18.254000000000001</v>
      </c>
      <c r="AA10" s="80">
        <v>18.143000000000001</v>
      </c>
      <c r="AB10" s="80">
        <v>19.157</v>
      </c>
      <c r="AC10" s="80">
        <v>19.413</v>
      </c>
      <c r="AD10" s="80">
        <v>16.673999999999999</v>
      </c>
      <c r="AE10" s="80">
        <v>27.706</v>
      </c>
      <c r="AF10" s="80">
        <v>26.373000000000001</v>
      </c>
      <c r="AG10" s="142">
        <v>28.404</v>
      </c>
      <c r="AH10" s="80">
        <v>18.988</v>
      </c>
      <c r="AI10" s="80">
        <v>18.888999999999999</v>
      </c>
      <c r="AJ10" s="80">
        <v>21.09</v>
      </c>
      <c r="AK10" s="80">
        <v>19.262</v>
      </c>
      <c r="AL10" s="80">
        <v>20.771999999999998</v>
      </c>
      <c r="AM10" s="142">
        <v>20.114999999999998</v>
      </c>
      <c r="AN10" s="142">
        <v>19.196000000000002</v>
      </c>
      <c r="AO10" s="142">
        <v>18.762</v>
      </c>
      <c r="AP10" s="142">
        <v>18.047999999999998</v>
      </c>
      <c r="AQ10" s="142">
        <v>21.555</v>
      </c>
      <c r="AR10" s="142">
        <v>20.495000000000001</v>
      </c>
      <c r="AS10" s="142">
        <v>22.538</v>
      </c>
      <c r="AT10" s="142">
        <v>20.67</v>
      </c>
      <c r="AU10" s="142">
        <v>20.504000000000001</v>
      </c>
      <c r="AV10" s="142">
        <v>19.763000000000002</v>
      </c>
      <c r="AW10" s="142">
        <v>22.72</v>
      </c>
      <c r="AX10" s="142">
        <v>20.259</v>
      </c>
      <c r="AY10" s="142">
        <v>22.292999999999999</v>
      </c>
      <c r="AZ10" s="142">
        <v>24.204999999999998</v>
      </c>
      <c r="BA10" s="153">
        <v>31.027000000000001</v>
      </c>
      <c r="BB10" s="77">
        <f>BB62*IS!BB8*4</f>
        <v>30.434738038617279</v>
      </c>
      <c r="BC10" s="76">
        <f>BC62*IS!BC8*4</f>
        <v>31.953471299710035</v>
      </c>
      <c r="BD10" s="76">
        <f>BD62*IS!BD8*4</f>
        <v>33.726142522824944</v>
      </c>
      <c r="BE10" s="76">
        <f>BE62*IS!BE8*4</f>
        <v>35.362069450830013</v>
      </c>
      <c r="BF10" s="76">
        <f>BF62*IS!BF8*4</f>
        <v>36.163870475101554</v>
      </c>
      <c r="BG10" s="76">
        <f>BG62*IS!BG8*4</f>
        <v>38.251193367338161</v>
      </c>
      <c r="BH10" s="76">
        <f>BH62*IS!BH8*4</f>
        <v>41.055833161469657</v>
      </c>
      <c r="BI10" s="76">
        <f>BI62*IS!BI8*4</f>
        <v>42.787670231313371</v>
      </c>
      <c r="BJ10" s="76">
        <f>BJ62*IS!BJ8*4</f>
        <v>43.605297175501057</v>
      </c>
      <c r="BK10" s="76">
        <f>BK62*IS!BK8*4</f>
        <v>45.950340334477744</v>
      </c>
      <c r="BL10" s="76">
        <f>BL62*IS!BL8*4</f>
        <v>50.136339572857203</v>
      </c>
      <c r="BM10" s="76">
        <f>BM62*IS!BM8*4</f>
        <v>52.171281292926956</v>
      </c>
      <c r="BN10" s="76">
        <f>BN62*IS!BN8*4</f>
        <v>53.018088796611693</v>
      </c>
      <c r="BO10" s="76">
        <f>BO62*IS!BO8*4</f>
        <v>56.243733487922647</v>
      </c>
      <c r="BP10" s="76">
        <f>BP62*IS!BP8*4</f>
        <v>62.417304460026443</v>
      </c>
      <c r="BQ10" s="76">
        <f>BQ62*IS!BQ8*4</f>
        <v>64.668856163484691</v>
      </c>
      <c r="BR10" s="76">
        <f>BR62*IS!BR8*4</f>
        <v>65.294029872098236</v>
      </c>
    </row>
    <row r="11" spans="1:70" x14ac:dyDescent="0.2">
      <c r="A11" s="201" t="s">
        <v>281</v>
      </c>
      <c r="B11" s="14"/>
      <c r="C11" s="87">
        <v>0</v>
      </c>
      <c r="D11" s="87">
        <v>0</v>
      </c>
      <c r="E11" s="84">
        <f>V11</f>
        <v>0</v>
      </c>
      <c r="F11" s="84">
        <f>Z11</f>
        <v>0</v>
      </c>
      <c r="G11" s="84">
        <f>AD11</f>
        <v>3.1019999999999999</v>
      </c>
      <c r="H11" s="84">
        <f>AH11</f>
        <v>9.5909999999999993</v>
      </c>
      <c r="I11" s="84">
        <f>AL11</f>
        <v>0</v>
      </c>
      <c r="J11" s="84">
        <f>AP11</f>
        <v>0</v>
      </c>
      <c r="K11" s="84">
        <f>AT11</f>
        <v>0</v>
      </c>
      <c r="L11" s="84">
        <f>AX11</f>
        <v>0</v>
      </c>
      <c r="M11" s="83">
        <f>BB11</f>
        <v>0</v>
      </c>
      <c r="N11" s="84">
        <f>BF11</f>
        <v>0</v>
      </c>
      <c r="O11" s="84">
        <f>BJ11</f>
        <v>0</v>
      </c>
      <c r="P11" s="84">
        <f>BN11</f>
        <v>0</v>
      </c>
      <c r="Q11" s="84">
        <f>BR11</f>
        <v>0</v>
      </c>
      <c r="R11" s="54"/>
      <c r="S11" s="87">
        <v>0</v>
      </c>
      <c r="T11" s="87">
        <v>0</v>
      </c>
      <c r="U11" s="87">
        <v>0</v>
      </c>
      <c r="V11" s="87">
        <v>0</v>
      </c>
      <c r="W11" s="87">
        <v>0</v>
      </c>
      <c r="X11" s="87">
        <v>0</v>
      </c>
      <c r="Y11" s="87">
        <v>0</v>
      </c>
      <c r="Z11" s="87">
        <v>0</v>
      </c>
      <c r="AA11" s="87">
        <v>0</v>
      </c>
      <c r="AB11" s="87">
        <v>0</v>
      </c>
      <c r="AC11" s="87">
        <v>0</v>
      </c>
      <c r="AD11" s="87">
        <v>3.1019999999999999</v>
      </c>
      <c r="AE11" s="87">
        <v>0</v>
      </c>
      <c r="AF11" s="87">
        <v>0</v>
      </c>
      <c r="AG11" s="143">
        <v>0</v>
      </c>
      <c r="AH11" s="87">
        <v>9.5909999999999993</v>
      </c>
      <c r="AI11" s="87">
        <v>9.59</v>
      </c>
      <c r="AJ11" s="87">
        <v>9.5909999999999993</v>
      </c>
      <c r="AK11" s="84">
        <f>AK12-AK10-AK9-AK8-AK7-AK5</f>
        <v>9.590999999999994</v>
      </c>
      <c r="AL11" s="87">
        <v>0</v>
      </c>
      <c r="AM11" s="143">
        <v>0</v>
      </c>
      <c r="AN11" s="143">
        <v>0</v>
      </c>
      <c r="AO11" s="143">
        <v>0</v>
      </c>
      <c r="AP11" s="143">
        <v>0</v>
      </c>
      <c r="AQ11" s="143">
        <v>0</v>
      </c>
      <c r="AR11" s="143">
        <v>0</v>
      </c>
      <c r="AS11" s="143">
        <v>0</v>
      </c>
      <c r="AT11" s="143">
        <v>0</v>
      </c>
      <c r="AU11" s="143">
        <v>0</v>
      </c>
      <c r="AV11" s="143">
        <v>0</v>
      </c>
      <c r="AW11" s="143">
        <v>0</v>
      </c>
      <c r="AX11" s="143">
        <v>0</v>
      </c>
      <c r="AY11" s="143">
        <v>0</v>
      </c>
      <c r="AZ11" s="143">
        <v>0</v>
      </c>
      <c r="BA11" s="213">
        <v>0</v>
      </c>
      <c r="BB11" s="253">
        <f>BA11</f>
        <v>0</v>
      </c>
      <c r="BC11" s="194">
        <f>BB11</f>
        <v>0</v>
      </c>
      <c r="BD11" s="194">
        <f>BC11</f>
        <v>0</v>
      </c>
      <c r="BE11" s="194">
        <f>BD11</f>
        <v>0</v>
      </c>
      <c r="BF11" s="194">
        <f>BE11</f>
        <v>0</v>
      </c>
      <c r="BG11" s="194">
        <f>BF11</f>
        <v>0</v>
      </c>
      <c r="BH11" s="194">
        <f>BG11</f>
        <v>0</v>
      </c>
      <c r="BI11" s="194">
        <f>BH11</f>
        <v>0</v>
      </c>
      <c r="BJ11" s="194">
        <f>BI11</f>
        <v>0</v>
      </c>
      <c r="BK11" s="194">
        <f>BJ11</f>
        <v>0</v>
      </c>
      <c r="BL11" s="194">
        <f>BK11</f>
        <v>0</v>
      </c>
      <c r="BM11" s="194">
        <f>BL11</f>
        <v>0</v>
      </c>
      <c r="BN11" s="194">
        <f>BM11</f>
        <v>0</v>
      </c>
      <c r="BO11" s="194">
        <f>BN11</f>
        <v>0</v>
      </c>
      <c r="BP11" s="194">
        <f>BO11</f>
        <v>0</v>
      </c>
      <c r="BQ11" s="194">
        <f>BP11</f>
        <v>0</v>
      </c>
      <c r="BR11" s="194">
        <f>BQ11</f>
        <v>0</v>
      </c>
    </row>
    <row r="12" spans="1:70" x14ac:dyDescent="0.2">
      <c r="A12" s="274" t="s">
        <v>8</v>
      </c>
      <c r="B12" s="44" t="s">
        <v>152</v>
      </c>
      <c r="C12" s="144">
        <f>SUM(C5:C11)</f>
        <v>131.07599999999999</v>
      </c>
      <c r="D12" s="144">
        <f>SUM(D5:D11)</f>
        <v>98.721000000000004</v>
      </c>
      <c r="E12" s="72">
        <f>V12</f>
        <v>175.61399999999998</v>
      </c>
      <c r="F12" s="72">
        <f>Z12</f>
        <v>219.655</v>
      </c>
      <c r="G12" s="72">
        <f>AD12</f>
        <v>197.971</v>
      </c>
      <c r="H12" s="72">
        <f>AH12</f>
        <v>246.375</v>
      </c>
      <c r="I12" s="72">
        <f>AL12</f>
        <v>253.78299999999999</v>
      </c>
      <c r="J12" s="72">
        <f>AP12</f>
        <v>341.63900000000001</v>
      </c>
      <c r="K12" s="72">
        <f>AT12</f>
        <v>448.40800000000002</v>
      </c>
      <c r="L12" s="72">
        <f>AX12</f>
        <v>488.94</v>
      </c>
      <c r="M12" s="86">
        <f>BB12</f>
        <v>457.92552168800995</v>
      </c>
      <c r="N12" s="72">
        <f>BF12</f>
        <v>564.0878022356776</v>
      </c>
      <c r="O12" s="72">
        <f>BJ12</f>
        <v>723.31498635394371</v>
      </c>
      <c r="P12" s="72">
        <f>BN12</f>
        <v>946.4027428633691</v>
      </c>
      <c r="Q12" s="72">
        <f>BR12</f>
        <v>1257.9233368322548</v>
      </c>
      <c r="R12" s="51"/>
      <c r="S12" s="144">
        <f>SUM(S5:S11)</f>
        <v>82.977999999999994</v>
      </c>
      <c r="T12" s="144">
        <f>SUM(T5:T11)</f>
        <v>70.075999999999993</v>
      </c>
      <c r="U12" s="144">
        <f>SUM(U5:U11)</f>
        <v>89.496000000000009</v>
      </c>
      <c r="V12" s="144">
        <f>SUM(V5:V11)</f>
        <v>175.61399999999998</v>
      </c>
      <c r="W12" s="144">
        <f>SUM(W5:W11)</f>
        <v>148.245</v>
      </c>
      <c r="X12" s="144">
        <f>SUM(X5:X11)</f>
        <v>143.24200000000002</v>
      </c>
      <c r="Y12" s="144">
        <f>SUM(Y5:Y11)</f>
        <v>195.035</v>
      </c>
      <c r="Z12" s="144">
        <f>SUM(Z5:Z11)</f>
        <v>219.655</v>
      </c>
      <c r="AA12" s="144">
        <f>SUM(AA5:AA11)</f>
        <v>226.083</v>
      </c>
      <c r="AB12" s="144">
        <f>SUM(AB5:AB11)</f>
        <v>229.75700000000001</v>
      </c>
      <c r="AC12" s="144">
        <f>SUM(AC5:AC11)</f>
        <v>210.01500000000001</v>
      </c>
      <c r="AD12" s="97">
        <v>197.971</v>
      </c>
      <c r="AE12" s="144">
        <f>SUM(AE5:AE11)</f>
        <v>279.66800000000001</v>
      </c>
      <c r="AF12" s="144">
        <f>SUM(AF5:AF11)</f>
        <v>242.24399999999997</v>
      </c>
      <c r="AG12" s="144">
        <f>SUM(AG5:AG11)</f>
        <v>190.77</v>
      </c>
      <c r="AH12" s="97">
        <v>246.375</v>
      </c>
      <c r="AI12" s="97">
        <v>285.94099999999997</v>
      </c>
      <c r="AJ12" s="97">
        <v>296.07299999999998</v>
      </c>
      <c r="AK12" s="97">
        <v>244.322</v>
      </c>
      <c r="AL12" s="97">
        <v>253.78299999999999</v>
      </c>
      <c r="AM12" s="145">
        <v>227.001</v>
      </c>
      <c r="AN12" s="145">
        <v>208.928</v>
      </c>
      <c r="AO12" s="145">
        <v>218.608</v>
      </c>
      <c r="AP12" s="145">
        <v>341.63900000000001</v>
      </c>
      <c r="AQ12" s="145">
        <v>262.11900000000003</v>
      </c>
      <c r="AR12" s="145">
        <v>283.14299999999997</v>
      </c>
      <c r="AS12" s="145">
        <v>327.21300000000002</v>
      </c>
      <c r="AT12" s="145">
        <v>448.40800000000002</v>
      </c>
      <c r="AU12" s="145">
        <v>387.416</v>
      </c>
      <c r="AV12" s="145">
        <v>354.351</v>
      </c>
      <c r="AW12" s="145">
        <v>464.20100000000002</v>
      </c>
      <c r="AX12" s="145">
        <v>488.94</v>
      </c>
      <c r="AY12" s="145">
        <v>518.56799999999998</v>
      </c>
      <c r="AZ12" s="145">
        <v>492.52800000000002</v>
      </c>
      <c r="BA12" s="155">
        <v>464.34</v>
      </c>
      <c r="BB12" s="86">
        <f>SUM(BB5:BB11)</f>
        <v>457.92552168800995</v>
      </c>
      <c r="BC12" s="72">
        <f>SUM(BC5:BC11)</f>
        <v>483.36342299104899</v>
      </c>
      <c r="BD12" s="72">
        <f>SUM(BD5:BD11)</f>
        <v>514.22093193377646</v>
      </c>
      <c r="BE12" s="72">
        <f>SUM(BE5:BE11)</f>
        <v>544.74727039713082</v>
      </c>
      <c r="BF12" s="72">
        <f>SUM(BF5:BF11)</f>
        <v>564.0878022356776</v>
      </c>
      <c r="BG12" s="72">
        <f>SUM(BG5:BG11)</f>
        <v>603.98632679054936</v>
      </c>
      <c r="BH12" s="72">
        <f>SUM(BH5:BH11)</f>
        <v>656.99401153122562</v>
      </c>
      <c r="BI12" s="72">
        <f>SUM(BI5:BI11)</f>
        <v>696.3149146662106</v>
      </c>
      <c r="BJ12" s="72">
        <f>SUM(BJ5:BJ11)</f>
        <v>723.31498635394371</v>
      </c>
      <c r="BK12" s="72">
        <f>SUM(BK5:BK11)</f>
        <v>774.60653282225871</v>
      </c>
      <c r="BL12" s="72">
        <f>SUM(BL5:BL11)</f>
        <v>856.53385586831519</v>
      </c>
      <c r="BM12" s="72">
        <f>SUM(BM5:BM11)</f>
        <v>909.58232301283203</v>
      </c>
      <c r="BN12" s="72">
        <f>SUM(BN5:BN11)</f>
        <v>946.4027428633691</v>
      </c>
      <c r="BO12" s="72">
        <f>SUM(BO5:BO11)</f>
        <v>1020.6292765572766</v>
      </c>
      <c r="BP12" s="72">
        <f>SUM(BP5:BP11)</f>
        <v>1143.3841196338858</v>
      </c>
      <c r="BQ12" s="72">
        <f>SUM(BQ5:BQ11)</f>
        <v>1212.0272682601894</v>
      </c>
      <c r="BR12" s="72">
        <f>SUM(BR5:BR11)</f>
        <v>1257.9233368322548</v>
      </c>
    </row>
    <row r="13" spans="1:70" x14ac:dyDescent="0.2">
      <c r="A13" s="65" t="s">
        <v>7</v>
      </c>
      <c r="B13" s="13"/>
      <c r="C13" s="159">
        <f>SUM(C5:C11)-C12</f>
        <v>0</v>
      </c>
      <c r="D13" s="159">
        <f>SUM(D5:D11)-D12</f>
        <v>0</v>
      </c>
      <c r="E13" s="159">
        <f>SUM(E5:E11)-E12</f>
        <v>0</v>
      </c>
      <c r="F13" s="159">
        <f>SUM(F5:F11)-F12</f>
        <v>0</v>
      </c>
      <c r="G13" s="159">
        <f>SUM(G5:G11)-G12</f>
        <v>0</v>
      </c>
      <c r="H13" s="159">
        <f>SUM(H5:H11)-H12</f>
        <v>0</v>
      </c>
      <c r="I13" s="159">
        <f>SUM(I5:I11)-I12</f>
        <v>0</v>
      </c>
      <c r="J13" s="159">
        <f>SUM(J5:J11)-J12</f>
        <v>0</v>
      </c>
      <c r="K13" s="159">
        <f>SUM(K5:K11)-K12</f>
        <v>0</v>
      </c>
      <c r="L13" s="160">
        <f>SUM(L5:L11)-L12</f>
        <v>0</v>
      </c>
      <c r="M13" s="167">
        <f>BB13</f>
        <v>0</v>
      </c>
      <c r="N13" s="159">
        <f>BF13</f>
        <v>0</v>
      </c>
      <c r="O13" s="159">
        <f>BJ13</f>
        <v>0</v>
      </c>
      <c r="P13" s="159">
        <f>BN13</f>
        <v>0</v>
      </c>
      <c r="Q13" s="159">
        <f>BR13</f>
        <v>0</v>
      </c>
      <c r="R13" s="50"/>
      <c r="S13" s="159">
        <f>SUM(S5:S11)-S12</f>
        <v>0</v>
      </c>
      <c r="T13" s="159">
        <f>SUM(T5:T11)-T12</f>
        <v>0</v>
      </c>
      <c r="U13" s="159">
        <f>SUM(U5:U11)-U12</f>
        <v>0</v>
      </c>
      <c r="V13" s="159">
        <f>SUM(V5:V11)-V12</f>
        <v>0</v>
      </c>
      <c r="W13" s="159">
        <f>SUM(W5:W11)-W12</f>
        <v>0</v>
      </c>
      <c r="X13" s="159">
        <f>SUM(X5:X11)-X12</f>
        <v>0</v>
      </c>
      <c r="Y13" s="159">
        <f>SUM(Y5:Y11)-Y12</f>
        <v>0</v>
      </c>
      <c r="Z13" s="159">
        <f>SUM(Z5:Z11)-Z12</f>
        <v>0</v>
      </c>
      <c r="AA13" s="159">
        <f>SUM(AA5:AA11)-AA12</f>
        <v>0</v>
      </c>
      <c r="AB13" s="159">
        <f>SUM(AB5:AB11)-AB12</f>
        <v>0</v>
      </c>
      <c r="AC13" s="159">
        <f>SUM(AC5:AC11)-AC12</f>
        <v>0</v>
      </c>
      <c r="AD13" s="159">
        <f>SUM(AD5:AD11)-AD12</f>
        <v>0</v>
      </c>
      <c r="AE13" s="159">
        <f>SUM(AE5:AE11)-AE12</f>
        <v>0</v>
      </c>
      <c r="AF13" s="159">
        <f>SUM(AF5:AF11)-AF12</f>
        <v>0</v>
      </c>
      <c r="AG13" s="159">
        <f>SUM(AG5:AG11)-AG12</f>
        <v>0</v>
      </c>
      <c r="AH13" s="159">
        <f>SUM(AH5:AH11)-AH12</f>
        <v>0</v>
      </c>
      <c r="AI13" s="159">
        <f>SUM(AI5:AI11)-AI12</f>
        <v>0</v>
      </c>
      <c r="AJ13" s="159">
        <f>SUM(AJ5:AJ11)-AJ12</f>
        <v>0</v>
      </c>
      <c r="AK13" s="159">
        <f>SUM(AK5:AK11)-AK12</f>
        <v>0</v>
      </c>
      <c r="AL13" s="159">
        <f>SUM(AL5:AL11)-AL12</f>
        <v>0</v>
      </c>
      <c r="AM13" s="159">
        <f>SUM(AM5:AM11)-AM12</f>
        <v>0</v>
      </c>
      <c r="AN13" s="159">
        <f>SUM(AN5:AN11)-AN12</f>
        <v>0</v>
      </c>
      <c r="AO13" s="159">
        <f>SUM(AO5:AO11)-AO12</f>
        <v>0</v>
      </c>
      <c r="AP13" s="159">
        <f>SUM(AP5:AP11)-AP12</f>
        <v>0</v>
      </c>
      <c r="AQ13" s="159">
        <f>SUM(AQ5:AQ11)-AQ12</f>
        <v>0</v>
      </c>
      <c r="AR13" s="159">
        <f>SUM(AR5:AR11)-AR12</f>
        <v>0</v>
      </c>
      <c r="AS13" s="159">
        <f>SUM(AS5:AS11)-AS12</f>
        <v>0</v>
      </c>
      <c r="AT13" s="159">
        <f>SUM(AT5:AT11)-AT12</f>
        <v>0</v>
      </c>
      <c r="AU13" s="159">
        <f>SUM(AU5:AU11)-AU12</f>
        <v>0</v>
      </c>
      <c r="AV13" s="159">
        <f>SUM(AV5:AV11)-AV12</f>
        <v>0</v>
      </c>
      <c r="AW13" s="159">
        <f>SUM(AW5:AW11)-AW12</f>
        <v>0</v>
      </c>
      <c r="AX13" s="159">
        <f>SUM(AX5:AX11)-AX12</f>
        <v>0</v>
      </c>
      <c r="AY13" s="159">
        <f>SUM(AY5:AY11)-AY12</f>
        <v>0</v>
      </c>
      <c r="AZ13" s="159">
        <f>SUM(AZ5:AZ11)-AZ12</f>
        <v>0</v>
      </c>
      <c r="BA13" s="160">
        <f>SUM(BA5:BA11)-BA12</f>
        <v>0</v>
      </c>
      <c r="BB13" s="170">
        <f>SUM(BB5:BB11)-BB12</f>
        <v>0</v>
      </c>
      <c r="BC13" s="159">
        <f>SUM(BC5:BC11)-BC12</f>
        <v>0</v>
      </c>
      <c r="BD13" s="159">
        <f>SUM(BD5:BD11)-BD12</f>
        <v>0</v>
      </c>
      <c r="BE13" s="159">
        <f>SUM(BE5:BE11)-BE12</f>
        <v>0</v>
      </c>
      <c r="BF13" s="159">
        <f>SUM(BF5:BF11)-BF12</f>
        <v>0</v>
      </c>
      <c r="BG13" s="159">
        <f>SUM(BG5:BG11)-BG12</f>
        <v>0</v>
      </c>
      <c r="BH13" s="159">
        <f>SUM(BH5:BH11)-BH12</f>
        <v>0</v>
      </c>
      <c r="BI13" s="159">
        <f>SUM(BI5:BI11)-BI12</f>
        <v>0</v>
      </c>
      <c r="BJ13" s="159">
        <f>SUM(BJ5:BJ11)-BJ12</f>
        <v>0</v>
      </c>
      <c r="BK13" s="159">
        <f>SUM(BK5:BK11)-BK12</f>
        <v>0</v>
      </c>
      <c r="BL13" s="159">
        <f>SUM(BL5:BL11)-BL12</f>
        <v>0</v>
      </c>
      <c r="BM13" s="159">
        <f>SUM(BM5:BM11)-BM12</f>
        <v>0</v>
      </c>
      <c r="BN13" s="159">
        <f>SUM(BN5:BN11)-BN12</f>
        <v>0</v>
      </c>
      <c r="BO13" s="159">
        <f>SUM(BO5:BO11)-BO12</f>
        <v>0</v>
      </c>
      <c r="BP13" s="159">
        <f>SUM(BP5:BP11)-BP12</f>
        <v>0</v>
      </c>
      <c r="BQ13" s="159">
        <f>SUM(BQ5:BQ11)-BQ12</f>
        <v>0</v>
      </c>
      <c r="BR13" s="159">
        <f>SUM(BR5:BR11)-BR12</f>
        <v>0</v>
      </c>
    </row>
    <row r="14" spans="1:70" x14ac:dyDescent="0.2">
      <c r="A14" s="275" t="s">
        <v>282</v>
      </c>
      <c r="B14" s="10" t="s">
        <v>340</v>
      </c>
      <c r="C14" s="80">
        <v>77.186000000000007</v>
      </c>
      <c r="D14" s="80">
        <v>81.727999999999994</v>
      </c>
      <c r="E14" s="76">
        <f>V14</f>
        <v>73.965000000000003</v>
      </c>
      <c r="F14" s="76">
        <f>Z14</f>
        <v>45.843000000000004</v>
      </c>
      <c r="G14" s="76">
        <f>AD14</f>
        <v>49.662999999999997</v>
      </c>
      <c r="H14" s="76">
        <f>AH14</f>
        <v>135.495</v>
      </c>
      <c r="I14" s="76">
        <f>AL14</f>
        <v>171.833</v>
      </c>
      <c r="J14" s="76">
        <f>AP14</f>
        <v>202.84200000000001</v>
      </c>
      <c r="K14" s="76">
        <f>AT14</f>
        <v>251.74</v>
      </c>
      <c r="L14" s="76">
        <f>AX14</f>
        <v>292.59800000000001</v>
      </c>
      <c r="M14" s="77"/>
      <c r="N14" s="76"/>
      <c r="O14" s="76"/>
      <c r="P14" s="76"/>
      <c r="Q14" s="76"/>
      <c r="R14" s="306"/>
      <c r="S14" s="141" t="s">
        <v>100</v>
      </c>
      <c r="T14" s="141" t="s">
        <v>100</v>
      </c>
      <c r="U14" s="141" t="s">
        <v>100</v>
      </c>
      <c r="V14" s="80">
        <v>73.965000000000003</v>
      </c>
      <c r="W14" s="141" t="s">
        <v>100</v>
      </c>
      <c r="X14" s="141" t="s">
        <v>100</v>
      </c>
      <c r="Y14" s="141" t="s">
        <v>100</v>
      </c>
      <c r="Z14" s="80">
        <v>45.843000000000004</v>
      </c>
      <c r="AA14" s="141" t="s">
        <v>100</v>
      </c>
      <c r="AB14" s="141" t="s">
        <v>100</v>
      </c>
      <c r="AC14" s="141" t="s">
        <v>100</v>
      </c>
      <c r="AD14" s="80">
        <v>49.662999999999997</v>
      </c>
      <c r="AE14" s="141" t="s">
        <v>100</v>
      </c>
      <c r="AF14" s="141" t="s">
        <v>100</v>
      </c>
      <c r="AG14" s="141" t="s">
        <v>100</v>
      </c>
      <c r="AH14" s="128">
        <v>135.495</v>
      </c>
      <c r="AI14" s="141" t="s">
        <v>100</v>
      </c>
      <c r="AJ14" s="141" t="s">
        <v>100</v>
      </c>
      <c r="AK14" s="141" t="s">
        <v>100</v>
      </c>
      <c r="AL14" s="128">
        <v>171.833</v>
      </c>
      <c r="AM14" s="141" t="s">
        <v>100</v>
      </c>
      <c r="AN14" s="141" t="s">
        <v>100</v>
      </c>
      <c r="AO14" s="141" t="s">
        <v>100</v>
      </c>
      <c r="AP14" s="142">
        <v>202.84200000000001</v>
      </c>
      <c r="AQ14" s="141" t="s">
        <v>100</v>
      </c>
      <c r="AR14" s="141" t="s">
        <v>100</v>
      </c>
      <c r="AS14" s="141" t="s">
        <v>100</v>
      </c>
      <c r="AT14" s="142">
        <v>251.74</v>
      </c>
      <c r="AU14" s="141" t="s">
        <v>100</v>
      </c>
      <c r="AV14" s="141" t="s">
        <v>100</v>
      </c>
      <c r="AW14" s="141" t="s">
        <v>100</v>
      </c>
      <c r="AX14" s="142">
        <v>292.59800000000001</v>
      </c>
      <c r="AY14" s="141" t="s">
        <v>100</v>
      </c>
      <c r="AZ14" s="141" t="s">
        <v>100</v>
      </c>
      <c r="BA14" s="263" t="s">
        <v>100</v>
      </c>
      <c r="BB14" s="77"/>
      <c r="BC14" s="76"/>
      <c r="BD14" s="76"/>
      <c r="BE14" s="76"/>
      <c r="BF14" s="76"/>
      <c r="BG14" s="76"/>
      <c r="BH14" s="76"/>
      <c r="BI14" s="76"/>
      <c r="BJ14" s="76"/>
      <c r="BK14" s="76"/>
      <c r="BL14" s="76"/>
      <c r="BM14" s="76"/>
      <c r="BN14" s="76"/>
      <c r="BO14" s="76"/>
      <c r="BP14" s="76"/>
      <c r="BQ14" s="76"/>
      <c r="BR14" s="76"/>
    </row>
    <row r="15" spans="1:70" x14ac:dyDescent="0.2">
      <c r="A15" s="273" t="s">
        <v>283</v>
      </c>
      <c r="B15" s="14" t="s">
        <v>341</v>
      </c>
      <c r="C15" s="87">
        <v>-57.767000000000003</v>
      </c>
      <c r="D15" s="87">
        <v>-65.08</v>
      </c>
      <c r="E15" s="84">
        <f>V15</f>
        <v>-58.387999999999998</v>
      </c>
      <c r="F15" s="84">
        <f>Z15</f>
        <v>-30.402000000000001</v>
      </c>
      <c r="G15" s="84">
        <f>AD15</f>
        <v>-30.952999999999999</v>
      </c>
      <c r="H15" s="84">
        <f>AH15</f>
        <v>-29.41</v>
      </c>
      <c r="I15" s="84">
        <f>AL15</f>
        <v>-65.525000000000006</v>
      </c>
      <c r="J15" s="84">
        <f>AP15</f>
        <v>-104.40300000000001</v>
      </c>
      <c r="K15" s="84">
        <f>AT15</f>
        <v>-138.221</v>
      </c>
      <c r="L15" s="84">
        <f>AX15</f>
        <v>-176.31</v>
      </c>
      <c r="M15" s="83"/>
      <c r="N15" s="84"/>
      <c r="O15" s="84"/>
      <c r="P15" s="84"/>
      <c r="Q15" s="84"/>
      <c r="R15" s="312"/>
      <c r="S15" s="87"/>
      <c r="T15" s="87"/>
      <c r="U15" s="87"/>
      <c r="V15" s="206">
        <v>-58.387999999999998</v>
      </c>
      <c r="W15" s="87"/>
      <c r="X15" s="87"/>
      <c r="Y15" s="87"/>
      <c r="Z15" s="206">
        <v>-30.402000000000001</v>
      </c>
      <c r="AA15" s="87"/>
      <c r="AB15" s="87"/>
      <c r="AC15" s="87"/>
      <c r="AD15" s="206">
        <v>-30.952999999999999</v>
      </c>
      <c r="AE15" s="87"/>
      <c r="AF15" s="87"/>
      <c r="AG15" s="143"/>
      <c r="AH15" s="206">
        <v>-29.41</v>
      </c>
      <c r="AI15" s="206"/>
      <c r="AJ15" s="206"/>
      <c r="AK15" s="206"/>
      <c r="AL15" s="206">
        <v>-65.525000000000006</v>
      </c>
      <c r="AM15" s="143"/>
      <c r="AN15" s="143"/>
      <c r="AO15" s="143"/>
      <c r="AP15" s="143">
        <v>-104.40300000000001</v>
      </c>
      <c r="AQ15" s="143"/>
      <c r="AR15" s="143"/>
      <c r="AS15" s="143"/>
      <c r="AT15" s="206">
        <v>-138.221</v>
      </c>
      <c r="AU15" s="143"/>
      <c r="AV15" s="143"/>
      <c r="AW15" s="143"/>
      <c r="AX15" s="206">
        <v>-176.31</v>
      </c>
      <c r="AY15" s="143"/>
      <c r="AZ15" s="143"/>
      <c r="BA15" s="213"/>
      <c r="BB15" s="83"/>
      <c r="BC15" s="84"/>
      <c r="BD15" s="84"/>
      <c r="BE15" s="84"/>
      <c r="BF15" s="84"/>
      <c r="BG15" s="84"/>
      <c r="BH15" s="84"/>
      <c r="BI15" s="84"/>
      <c r="BJ15" s="84"/>
      <c r="BK15" s="84"/>
      <c r="BL15" s="84"/>
      <c r="BM15" s="84"/>
      <c r="BN15" s="84"/>
      <c r="BO15" s="84"/>
      <c r="BP15" s="84"/>
      <c r="BQ15" s="84"/>
      <c r="BR15" s="84"/>
    </row>
    <row r="16" spans="1:70" x14ac:dyDescent="0.2">
      <c r="A16" s="275" t="s">
        <v>284</v>
      </c>
      <c r="B16" s="10" t="s">
        <v>153</v>
      </c>
      <c r="C16" s="80">
        <v>19.419</v>
      </c>
      <c r="D16" s="80">
        <v>16.648</v>
      </c>
      <c r="E16" s="76">
        <f>V16</f>
        <v>15.577</v>
      </c>
      <c r="F16" s="76">
        <f>Z16</f>
        <v>15.441000000000001</v>
      </c>
      <c r="G16" s="76">
        <f>AD16</f>
        <v>18.71</v>
      </c>
      <c r="H16" s="76">
        <f>AH16</f>
        <v>106.08499999999999</v>
      </c>
      <c r="I16" s="76">
        <f>AL16</f>
        <v>106.30800000000001</v>
      </c>
      <c r="J16" s="76">
        <f>AP16</f>
        <v>98.438999999999993</v>
      </c>
      <c r="K16" s="76">
        <f>AT16</f>
        <v>113.51900000000001</v>
      </c>
      <c r="L16" s="76">
        <f>AX16</f>
        <v>116.288</v>
      </c>
      <c r="M16" s="77">
        <f>BB16</f>
        <v>124.82978098596914</v>
      </c>
      <c r="N16" s="76">
        <f>BF16</f>
        <v>137.15869076940692</v>
      </c>
      <c r="O16" s="76">
        <f>BJ16</f>
        <v>152.04803176571704</v>
      </c>
      <c r="P16" s="76">
        <f>BN16</f>
        <v>170.13413829845567</v>
      </c>
      <c r="Q16" s="76">
        <f>BR16</f>
        <v>192.47479321404808</v>
      </c>
      <c r="R16" s="306"/>
      <c r="S16" s="80">
        <v>15.989000000000001</v>
      </c>
      <c r="T16" s="80">
        <v>16.936</v>
      </c>
      <c r="U16" s="80">
        <v>15.619</v>
      </c>
      <c r="V16" s="80">
        <v>15.577</v>
      </c>
      <c r="W16" s="80">
        <v>14.942</v>
      </c>
      <c r="X16" s="80">
        <v>14.882</v>
      </c>
      <c r="Y16" s="80">
        <v>14.356999999999999</v>
      </c>
      <c r="Z16" s="80">
        <v>15.441000000000001</v>
      </c>
      <c r="AA16" s="80">
        <v>15.459</v>
      </c>
      <c r="AB16" s="80">
        <v>19.491</v>
      </c>
      <c r="AC16" s="80">
        <v>19.132000000000001</v>
      </c>
      <c r="AD16" s="80">
        <v>18.71</v>
      </c>
      <c r="AE16" s="80">
        <v>18.745999999999999</v>
      </c>
      <c r="AF16" s="80">
        <v>18.716000000000001</v>
      </c>
      <c r="AG16" s="142">
        <v>19.707000000000001</v>
      </c>
      <c r="AH16" s="128">
        <v>106.08499999999999</v>
      </c>
      <c r="AI16" s="128">
        <v>102.759</v>
      </c>
      <c r="AJ16" s="128">
        <v>104.521</v>
      </c>
      <c r="AK16" s="128">
        <v>102.101</v>
      </c>
      <c r="AL16" s="128">
        <v>106.30800000000001</v>
      </c>
      <c r="AM16" s="142">
        <v>107.485</v>
      </c>
      <c r="AN16" s="142">
        <v>102.943</v>
      </c>
      <c r="AO16" s="142">
        <v>102.50700000000001</v>
      </c>
      <c r="AP16" s="142">
        <v>98.438999999999993</v>
      </c>
      <c r="AQ16" s="142">
        <v>97.302999999999997</v>
      </c>
      <c r="AR16" s="142">
        <v>103.858</v>
      </c>
      <c r="AS16" s="142">
        <v>109.399</v>
      </c>
      <c r="AT16" s="142">
        <v>113.51900000000001</v>
      </c>
      <c r="AU16" s="142">
        <v>118.03100000000001</v>
      </c>
      <c r="AV16" s="142">
        <v>123.348</v>
      </c>
      <c r="AW16" s="142">
        <v>118.001</v>
      </c>
      <c r="AX16" s="142">
        <v>116.288</v>
      </c>
      <c r="AY16" s="142">
        <v>113.06699999999999</v>
      </c>
      <c r="AZ16" s="142">
        <v>111.093</v>
      </c>
      <c r="BA16" s="153">
        <v>122.095</v>
      </c>
      <c r="BB16" s="77">
        <f>BA16-CF!BB34-CF!BB9</f>
        <v>124.82978098596914</v>
      </c>
      <c r="BC16" s="76">
        <f>BB16-CF!BC34-CF!BC9</f>
        <v>127.70103112241776</v>
      </c>
      <c r="BD16" s="76">
        <f>BC16-CF!BD34-CF!BD9</f>
        <v>130.73156856895258</v>
      </c>
      <c r="BE16" s="76">
        <f>BD16-CF!BE34-CF!BE9</f>
        <v>133.90910586320965</v>
      </c>
      <c r="BF16" s="76">
        <f>BE16-CF!BF34-CF!BF9</f>
        <v>137.15869076940692</v>
      </c>
      <c r="BG16" s="76">
        <f>BF16-CF!BG34-CF!BG9</f>
        <v>140.59583671030157</v>
      </c>
      <c r="BH16" s="76">
        <f>BG16-CF!BH34-CF!BH9</f>
        <v>144.28499978936748</v>
      </c>
      <c r="BI16" s="76">
        <f>BH16-CF!BI34-CF!BI9</f>
        <v>148.12978093497941</v>
      </c>
      <c r="BJ16" s="76">
        <f>BI16-CF!BJ34-CF!BJ9</f>
        <v>152.04803176571704</v>
      </c>
      <c r="BK16" s="76">
        <f>BJ16-CF!BK34-CF!BK9</f>
        <v>156.1770016581502</v>
      </c>
      <c r="BL16" s="76">
        <f>BK16-CF!BL34-CF!BL9</f>
        <v>160.68211380979636</v>
      </c>
      <c r="BM16" s="76">
        <f>BL16-CF!BM34-CF!BM9</f>
        <v>165.37008016956946</v>
      </c>
      <c r="BN16" s="76">
        <f>BM16-CF!BN34-CF!BN9</f>
        <v>170.13413829845567</v>
      </c>
      <c r="BO16" s="76">
        <f>BN16-CF!BO34-CF!BO9</f>
        <v>175.18804389565577</v>
      </c>
      <c r="BP16" s="76">
        <f>BO16-CF!BP34-CF!BP9</f>
        <v>180.79668942485785</v>
      </c>
      <c r="BQ16" s="76">
        <f>BP16-CF!BQ34-CF!BQ9</f>
        <v>186.60765313336319</v>
      </c>
      <c r="BR16" s="76">
        <f>BQ16-CF!BR34-CF!BR9</f>
        <v>192.47479321404808</v>
      </c>
    </row>
    <row r="17" spans="1:70" x14ac:dyDescent="0.2">
      <c r="A17" s="168" t="s">
        <v>142</v>
      </c>
      <c r="B17" s="10"/>
      <c r="C17" s="80">
        <v>174.35400000000001</v>
      </c>
      <c r="D17" s="80">
        <v>185.11</v>
      </c>
      <c r="E17" s="76">
        <f>V17</f>
        <v>180.12200000000001</v>
      </c>
      <c r="F17" s="76">
        <f>Z17</f>
        <v>180.14099999999999</v>
      </c>
      <c r="G17" s="76">
        <f>AD17</f>
        <v>180.084</v>
      </c>
      <c r="H17" s="76">
        <f>AH17</f>
        <v>857.91300000000001</v>
      </c>
      <c r="I17" s="76">
        <f>AL17</f>
        <v>789.803</v>
      </c>
      <c r="J17" s="76">
        <f>AP17</f>
        <v>640.54600000000005</v>
      </c>
      <c r="K17" s="76">
        <f>AT17</f>
        <v>640.58900000000006</v>
      </c>
      <c r="L17" s="76">
        <f>AX17</f>
        <v>640.53700000000003</v>
      </c>
      <c r="M17" s="77">
        <f>BB17</f>
        <v>673.58199999999999</v>
      </c>
      <c r="N17" s="76">
        <f>BF17</f>
        <v>673.58199999999999</v>
      </c>
      <c r="O17" s="76">
        <f>BJ17</f>
        <v>673.58199999999999</v>
      </c>
      <c r="P17" s="76">
        <f>BN17</f>
        <v>673.58199999999999</v>
      </c>
      <c r="Q17" s="76">
        <f>BR17</f>
        <v>673.58199999999999</v>
      </c>
      <c r="R17" s="51"/>
      <c r="S17" s="80">
        <v>185.15299999999999</v>
      </c>
      <c r="T17" s="80">
        <v>180.15799999999999</v>
      </c>
      <c r="U17" s="80">
        <v>180.11199999999999</v>
      </c>
      <c r="V17" s="80">
        <v>180.12200000000001</v>
      </c>
      <c r="W17" s="80">
        <v>180.14099999999999</v>
      </c>
      <c r="X17" s="80">
        <v>180.11799999999999</v>
      </c>
      <c r="Y17" s="80">
        <v>180.15199999999999</v>
      </c>
      <c r="Z17" s="80">
        <v>180.14099999999999</v>
      </c>
      <c r="AA17" s="80">
        <v>180.124</v>
      </c>
      <c r="AB17" s="80">
        <v>180.09700000000001</v>
      </c>
      <c r="AC17" s="80">
        <v>180.113</v>
      </c>
      <c r="AD17" s="80">
        <v>180.084</v>
      </c>
      <c r="AE17" s="80">
        <v>180.059</v>
      </c>
      <c r="AF17" s="80">
        <v>188.52500000000001</v>
      </c>
      <c r="AG17" s="142">
        <v>188.49100000000001</v>
      </c>
      <c r="AH17" s="128">
        <v>857.91300000000001</v>
      </c>
      <c r="AI17" s="128">
        <v>857.85599999999999</v>
      </c>
      <c r="AJ17" s="128">
        <v>857.67</v>
      </c>
      <c r="AK17" s="128">
        <v>863.90700000000004</v>
      </c>
      <c r="AL17" s="128">
        <v>789.803</v>
      </c>
      <c r="AM17" s="142">
        <v>789.84500000000003</v>
      </c>
      <c r="AN17" s="142">
        <v>789.84500000000003</v>
      </c>
      <c r="AO17" s="142">
        <v>786.85900000000004</v>
      </c>
      <c r="AP17" s="142">
        <v>640.54600000000005</v>
      </c>
      <c r="AQ17" s="142">
        <v>640.55100000000004</v>
      </c>
      <c r="AR17" s="142">
        <v>640.56700000000001</v>
      </c>
      <c r="AS17" s="142">
        <v>640.59299999999996</v>
      </c>
      <c r="AT17" s="142">
        <v>640.58900000000006</v>
      </c>
      <c r="AU17" s="142">
        <v>640.57100000000003</v>
      </c>
      <c r="AV17" s="142">
        <v>640.55999999999995</v>
      </c>
      <c r="AW17" s="142">
        <v>640.57100000000003</v>
      </c>
      <c r="AX17" s="142">
        <v>640.53700000000003</v>
      </c>
      <c r="AY17" s="142">
        <v>673.447</v>
      </c>
      <c r="AZ17" s="142">
        <v>673.35199999999998</v>
      </c>
      <c r="BA17" s="153">
        <v>673.58199999999999</v>
      </c>
      <c r="BB17" s="172">
        <f>BA17</f>
        <v>673.58199999999999</v>
      </c>
      <c r="BC17" s="188">
        <f>BB17</f>
        <v>673.58199999999999</v>
      </c>
      <c r="BD17" s="188">
        <f>BC17</f>
        <v>673.58199999999999</v>
      </c>
      <c r="BE17" s="188">
        <f>BD17</f>
        <v>673.58199999999999</v>
      </c>
      <c r="BF17" s="188">
        <f>BE17</f>
        <v>673.58199999999999</v>
      </c>
      <c r="BG17" s="188">
        <f>BF17</f>
        <v>673.58199999999999</v>
      </c>
      <c r="BH17" s="188">
        <f>BG17</f>
        <v>673.58199999999999</v>
      </c>
      <c r="BI17" s="188">
        <f>BH17</f>
        <v>673.58199999999999</v>
      </c>
      <c r="BJ17" s="188">
        <f>BI17</f>
        <v>673.58199999999999</v>
      </c>
      <c r="BK17" s="188">
        <f>BJ17</f>
        <v>673.58199999999999</v>
      </c>
      <c r="BL17" s="188">
        <f>BK17</f>
        <v>673.58199999999999</v>
      </c>
      <c r="BM17" s="188">
        <f>BL17</f>
        <v>673.58199999999999</v>
      </c>
      <c r="BN17" s="188">
        <f>BM17</f>
        <v>673.58199999999999</v>
      </c>
      <c r="BO17" s="188">
        <f>BN17</f>
        <v>673.58199999999999</v>
      </c>
      <c r="BP17" s="188">
        <f>BO17</f>
        <v>673.58199999999999</v>
      </c>
      <c r="BQ17" s="188">
        <f>BP17</f>
        <v>673.58199999999999</v>
      </c>
      <c r="BR17" s="188">
        <f>BQ17</f>
        <v>673.58199999999999</v>
      </c>
    </row>
    <row r="18" spans="1:70" x14ac:dyDescent="0.2">
      <c r="A18" s="273" t="s">
        <v>143</v>
      </c>
      <c r="B18" s="14"/>
      <c r="C18" s="87">
        <v>28.154</v>
      </c>
      <c r="D18" s="87">
        <v>26.367999999999999</v>
      </c>
      <c r="E18" s="84">
        <f>V18</f>
        <v>38.216000000000001</v>
      </c>
      <c r="F18" s="84">
        <f>Z18</f>
        <v>33.994</v>
      </c>
      <c r="G18" s="84">
        <f>AD18</f>
        <v>31.535</v>
      </c>
      <c r="H18" s="84">
        <f>AH18</f>
        <v>436.78500000000003</v>
      </c>
      <c r="I18" s="84">
        <f>AL18</f>
        <v>382.46199999999999</v>
      </c>
      <c r="J18" s="84">
        <f>AP18</f>
        <v>317.99700000000001</v>
      </c>
      <c r="K18" s="84">
        <f>AT18</f>
        <v>324.31099999999998</v>
      </c>
      <c r="L18" s="84">
        <f>AX18</f>
        <v>287.39699999999999</v>
      </c>
      <c r="M18" s="83">
        <f>BB18</f>
        <v>271.87099999999998</v>
      </c>
      <c r="N18" s="84">
        <f>BF18</f>
        <v>262.98699999999997</v>
      </c>
      <c r="O18" s="84">
        <f>BJ18</f>
        <v>254.10299999999995</v>
      </c>
      <c r="P18" s="84">
        <f>BN18</f>
        <v>245.21899999999994</v>
      </c>
      <c r="Q18" s="84">
        <f>BR18</f>
        <v>236.33499999999992</v>
      </c>
      <c r="R18" s="54"/>
      <c r="S18" s="87">
        <v>25.184999999999999</v>
      </c>
      <c r="T18" s="87">
        <v>29.111000000000001</v>
      </c>
      <c r="U18" s="87">
        <v>28.571999999999999</v>
      </c>
      <c r="V18" s="87">
        <v>38.216000000000001</v>
      </c>
      <c r="W18" s="87">
        <v>36.648000000000003</v>
      </c>
      <c r="X18" s="87">
        <v>35.503999999999998</v>
      </c>
      <c r="Y18" s="87">
        <v>33.326999999999998</v>
      </c>
      <c r="Z18" s="87">
        <v>33.994</v>
      </c>
      <c r="AA18" s="87">
        <v>33.021999999999998</v>
      </c>
      <c r="AB18" s="87">
        <v>31.821000000000002</v>
      </c>
      <c r="AC18" s="87">
        <v>32.094000000000001</v>
      </c>
      <c r="AD18" s="87">
        <v>31.535</v>
      </c>
      <c r="AE18" s="87">
        <v>32.161000000000001</v>
      </c>
      <c r="AF18" s="87">
        <v>41.149000000000001</v>
      </c>
      <c r="AG18" s="143">
        <v>39.314</v>
      </c>
      <c r="AH18" s="206">
        <v>436.78500000000003</v>
      </c>
      <c r="AI18" s="206">
        <v>420.10300000000001</v>
      </c>
      <c r="AJ18" s="206">
        <v>404.13200000000001</v>
      </c>
      <c r="AK18" s="206">
        <v>397.161</v>
      </c>
      <c r="AL18" s="206">
        <v>382.46199999999999</v>
      </c>
      <c r="AM18" s="143">
        <v>375.851</v>
      </c>
      <c r="AN18" s="143">
        <v>357.81900000000002</v>
      </c>
      <c r="AO18" s="143">
        <v>337.798</v>
      </c>
      <c r="AP18" s="143">
        <v>317.99700000000001</v>
      </c>
      <c r="AQ18" s="143">
        <v>309.45</v>
      </c>
      <c r="AR18" s="143">
        <v>299.14800000000002</v>
      </c>
      <c r="AS18" s="143">
        <v>338.07400000000001</v>
      </c>
      <c r="AT18" s="143">
        <v>324.31099999999998</v>
      </c>
      <c r="AU18" s="143">
        <v>315.41899999999998</v>
      </c>
      <c r="AV18" s="143">
        <v>306.64699999999999</v>
      </c>
      <c r="AW18" s="143">
        <v>296.315</v>
      </c>
      <c r="AX18" s="143">
        <v>287.39699999999999</v>
      </c>
      <c r="AY18" s="143">
        <v>292.95499999999998</v>
      </c>
      <c r="AZ18" s="143">
        <v>284.34699999999998</v>
      </c>
      <c r="BA18" s="213">
        <v>274.09199999999998</v>
      </c>
      <c r="BB18" s="253">
        <f>BA18-CF!BB12</f>
        <v>271.87099999999998</v>
      </c>
      <c r="BC18" s="194">
        <f>BB18-CF!BC12</f>
        <v>269.64999999999998</v>
      </c>
      <c r="BD18" s="194">
        <f>BC18-CF!BD12</f>
        <v>267.42899999999997</v>
      </c>
      <c r="BE18" s="194">
        <f>BD18-CF!BE12</f>
        <v>265.20799999999997</v>
      </c>
      <c r="BF18" s="194">
        <f>BE18-CF!BF12</f>
        <v>262.98699999999997</v>
      </c>
      <c r="BG18" s="194">
        <f>BF18-CF!BG12</f>
        <v>260.76599999999996</v>
      </c>
      <c r="BH18" s="194">
        <f>BG18-CF!BH12</f>
        <v>258.54499999999996</v>
      </c>
      <c r="BI18" s="194">
        <f>BH18-CF!BI12</f>
        <v>256.32399999999996</v>
      </c>
      <c r="BJ18" s="194">
        <f>BI18-CF!BJ12</f>
        <v>254.10299999999995</v>
      </c>
      <c r="BK18" s="194">
        <f>BJ18-CF!BK12</f>
        <v>251.88199999999995</v>
      </c>
      <c r="BL18" s="194">
        <f>BK18-CF!BL12</f>
        <v>249.66099999999994</v>
      </c>
      <c r="BM18" s="194">
        <f>BL18-CF!BM12</f>
        <v>247.43999999999994</v>
      </c>
      <c r="BN18" s="194">
        <f>BM18-CF!BN12</f>
        <v>245.21899999999994</v>
      </c>
      <c r="BO18" s="194">
        <f>BN18-CF!BO12</f>
        <v>242.99799999999993</v>
      </c>
      <c r="BP18" s="194">
        <f>BO18-CF!BP12</f>
        <v>240.77699999999993</v>
      </c>
      <c r="BQ18" s="194">
        <f>BP18-CF!BQ12</f>
        <v>238.55599999999993</v>
      </c>
      <c r="BR18" s="194">
        <f>BQ18-CF!BR12</f>
        <v>236.33499999999992</v>
      </c>
    </row>
    <row r="19" spans="1:70" x14ac:dyDescent="0.2">
      <c r="A19" s="275" t="s">
        <v>82</v>
      </c>
      <c r="B19" s="10" t="s">
        <v>154</v>
      </c>
      <c r="C19" s="76">
        <f>SUM(C17:C18)</f>
        <v>202.50800000000001</v>
      </c>
      <c r="D19" s="76">
        <f>SUM(D17:D18)</f>
        <v>211.47800000000001</v>
      </c>
      <c r="E19" s="76">
        <f>V19</f>
        <v>218.33800000000002</v>
      </c>
      <c r="F19" s="76">
        <f>Z19</f>
        <v>214.13499999999999</v>
      </c>
      <c r="G19" s="76">
        <f>AD19</f>
        <v>211.619</v>
      </c>
      <c r="H19" s="76">
        <f>AH19</f>
        <v>1294.6980000000001</v>
      </c>
      <c r="I19" s="76">
        <f>AL19</f>
        <v>1172.2649999999999</v>
      </c>
      <c r="J19" s="76">
        <f>AP19</f>
        <v>958.54300000000012</v>
      </c>
      <c r="K19" s="76">
        <f>AT19</f>
        <v>964.90000000000009</v>
      </c>
      <c r="L19" s="76">
        <f>AX19</f>
        <v>927.93399999999997</v>
      </c>
      <c r="M19" s="77">
        <f>BB19</f>
        <v>945.45299999999997</v>
      </c>
      <c r="N19" s="76">
        <f>BF19</f>
        <v>936.56899999999996</v>
      </c>
      <c r="O19" s="76">
        <f>BJ19</f>
        <v>927.68499999999995</v>
      </c>
      <c r="P19" s="76">
        <f>BN19</f>
        <v>918.80099999999993</v>
      </c>
      <c r="Q19" s="76">
        <f>BR19</f>
        <v>909.91699999999992</v>
      </c>
      <c r="R19" s="51"/>
      <c r="S19" s="76">
        <f>SUM(S17:S18)</f>
        <v>210.33799999999999</v>
      </c>
      <c r="T19" s="76">
        <f>SUM(T17:T18)</f>
        <v>209.26899999999998</v>
      </c>
      <c r="U19" s="76">
        <f>SUM(U17:U18)</f>
        <v>208.684</v>
      </c>
      <c r="V19" s="76">
        <f>SUM(V17:V18)</f>
        <v>218.33800000000002</v>
      </c>
      <c r="W19" s="76">
        <f>SUM(W17:W18)</f>
        <v>216.78899999999999</v>
      </c>
      <c r="X19" s="76">
        <f>SUM(X17:X18)</f>
        <v>215.62199999999999</v>
      </c>
      <c r="Y19" s="76">
        <f>SUM(Y17:Y18)</f>
        <v>213.47899999999998</v>
      </c>
      <c r="Z19" s="76">
        <f>SUM(Z17:Z18)</f>
        <v>214.13499999999999</v>
      </c>
      <c r="AA19" s="76">
        <f>SUM(AA17:AA18)</f>
        <v>213.14599999999999</v>
      </c>
      <c r="AB19" s="76">
        <f>SUM(AB17:AB18)</f>
        <v>211.91800000000001</v>
      </c>
      <c r="AC19" s="76">
        <f>SUM(AC17:AC18)</f>
        <v>212.20699999999999</v>
      </c>
      <c r="AD19" s="76">
        <f>SUM(AD17:AD18)</f>
        <v>211.619</v>
      </c>
      <c r="AE19" s="76">
        <f>SUM(AE17:AE18)</f>
        <v>212.22</v>
      </c>
      <c r="AF19" s="76">
        <f>SUM(AF17:AF18)</f>
        <v>229.67400000000001</v>
      </c>
      <c r="AG19" s="76">
        <f>SUM(AG17:AG18)</f>
        <v>227.80500000000001</v>
      </c>
      <c r="AH19" s="76">
        <f>SUM(AH17:AH18)</f>
        <v>1294.6980000000001</v>
      </c>
      <c r="AI19" s="76">
        <f>SUM(AI17:AI18)</f>
        <v>1277.9590000000001</v>
      </c>
      <c r="AJ19" s="76">
        <f>SUM(AJ17:AJ18)</f>
        <v>1261.8019999999999</v>
      </c>
      <c r="AK19" s="76">
        <f>SUM(AK17:AK18)</f>
        <v>1261.068</v>
      </c>
      <c r="AL19" s="76">
        <f>SUM(AL17:AL18)</f>
        <v>1172.2649999999999</v>
      </c>
      <c r="AM19" s="76">
        <f>SUM(AM17:AM18)</f>
        <v>1165.6959999999999</v>
      </c>
      <c r="AN19" s="76">
        <f>SUM(AN17:AN18)</f>
        <v>1147.664</v>
      </c>
      <c r="AO19" s="76">
        <f>SUM(AO17:AO18)</f>
        <v>1124.6570000000002</v>
      </c>
      <c r="AP19" s="76">
        <f>SUM(AP17:AP18)</f>
        <v>958.54300000000012</v>
      </c>
      <c r="AQ19" s="76">
        <f>SUM(AQ17:AQ18)</f>
        <v>950.00099999999998</v>
      </c>
      <c r="AR19" s="76">
        <f>SUM(AR17:AR18)</f>
        <v>939.71500000000003</v>
      </c>
      <c r="AS19" s="76">
        <f>SUM(AS17:AS18)</f>
        <v>978.66699999999992</v>
      </c>
      <c r="AT19" s="76">
        <f>SUM(AT17:AT18)</f>
        <v>964.90000000000009</v>
      </c>
      <c r="AU19" s="76">
        <f>SUM(AU17:AU18)</f>
        <v>955.99</v>
      </c>
      <c r="AV19" s="76">
        <f>SUM(AV17:AV18)</f>
        <v>947.20699999999988</v>
      </c>
      <c r="AW19" s="76">
        <f>SUM(AW17:AW18)</f>
        <v>936.88599999999997</v>
      </c>
      <c r="AX19" s="76">
        <f>SUM(AX17:AX18)</f>
        <v>927.93399999999997</v>
      </c>
      <c r="AY19" s="76">
        <f>SUM(AY17:AY18)</f>
        <v>966.40200000000004</v>
      </c>
      <c r="AZ19" s="76">
        <f>SUM(AZ17:AZ18)</f>
        <v>957.69899999999996</v>
      </c>
      <c r="BA19" s="78">
        <f>SUM(BA17:BA18)</f>
        <v>947.67399999999998</v>
      </c>
      <c r="BB19" s="77">
        <f>SUM(BB17:BB18)</f>
        <v>945.45299999999997</v>
      </c>
      <c r="BC19" s="76">
        <f>SUM(BC17:BC18)</f>
        <v>943.23199999999997</v>
      </c>
      <c r="BD19" s="76">
        <f>SUM(BD17:BD18)</f>
        <v>941.01099999999997</v>
      </c>
      <c r="BE19" s="76">
        <f>SUM(BE17:BE18)</f>
        <v>938.79</v>
      </c>
      <c r="BF19" s="76">
        <f>SUM(BF17:BF18)</f>
        <v>936.56899999999996</v>
      </c>
      <c r="BG19" s="76">
        <f>SUM(BG17:BG18)</f>
        <v>934.34799999999996</v>
      </c>
      <c r="BH19" s="76">
        <f>SUM(BH17:BH18)</f>
        <v>932.12699999999995</v>
      </c>
      <c r="BI19" s="76">
        <f>SUM(BI17:BI18)</f>
        <v>929.90599999999995</v>
      </c>
      <c r="BJ19" s="76">
        <f>SUM(BJ17:BJ18)</f>
        <v>927.68499999999995</v>
      </c>
      <c r="BK19" s="76">
        <f>SUM(BK17:BK18)</f>
        <v>925.46399999999994</v>
      </c>
      <c r="BL19" s="76">
        <f>SUM(BL17:BL18)</f>
        <v>923.24299999999994</v>
      </c>
      <c r="BM19" s="76">
        <f>SUM(BM17:BM18)</f>
        <v>921.02199999999993</v>
      </c>
      <c r="BN19" s="76">
        <f>SUM(BN17:BN18)</f>
        <v>918.80099999999993</v>
      </c>
      <c r="BO19" s="76">
        <f>SUM(BO17:BO18)</f>
        <v>916.57999999999993</v>
      </c>
      <c r="BP19" s="76">
        <f>SUM(BP17:BP18)</f>
        <v>914.35899999999992</v>
      </c>
      <c r="BQ19" s="76">
        <f>SUM(BQ17:BQ18)</f>
        <v>912.13799999999992</v>
      </c>
      <c r="BR19" s="76">
        <f>SUM(BR17:BR18)</f>
        <v>909.91699999999992</v>
      </c>
    </row>
    <row r="20" spans="1:70" x14ac:dyDescent="0.2">
      <c r="A20" s="168" t="s">
        <v>285</v>
      </c>
      <c r="B20" s="10"/>
      <c r="C20" s="80">
        <v>148.76400000000001</v>
      </c>
      <c r="D20" s="80">
        <v>131.547</v>
      </c>
      <c r="E20" s="76">
        <f>V20</f>
        <v>119.538</v>
      </c>
      <c r="F20" s="76">
        <f>Z20</f>
        <v>104.664</v>
      </c>
      <c r="G20" s="76">
        <f>AD20</f>
        <v>87.941999999999993</v>
      </c>
      <c r="H20" s="76">
        <f>AH20</f>
        <v>0</v>
      </c>
      <c r="I20" s="76">
        <f>AL20</f>
        <v>0</v>
      </c>
      <c r="J20" s="76">
        <f>AP20</f>
        <v>0</v>
      </c>
      <c r="K20" s="76">
        <f>AT20</f>
        <v>0</v>
      </c>
      <c r="L20" s="76">
        <f>AX20</f>
        <v>0</v>
      </c>
      <c r="M20" s="77">
        <f>BB20</f>
        <v>0</v>
      </c>
      <c r="N20" s="76">
        <f>BF20</f>
        <v>0</v>
      </c>
      <c r="O20" s="76">
        <f>BJ20</f>
        <v>0</v>
      </c>
      <c r="P20" s="76">
        <f>BN20</f>
        <v>0</v>
      </c>
      <c r="Q20" s="76">
        <f>BR20</f>
        <v>0</v>
      </c>
      <c r="R20" s="306"/>
      <c r="S20" s="80">
        <v>130.23099999999999</v>
      </c>
      <c r="T20" s="80">
        <v>126.051</v>
      </c>
      <c r="U20" s="80">
        <v>124.758</v>
      </c>
      <c r="V20" s="80">
        <v>119.538</v>
      </c>
      <c r="W20" s="80">
        <v>115.60599999999999</v>
      </c>
      <c r="X20" s="80">
        <v>110.861</v>
      </c>
      <c r="Y20" s="80">
        <v>106.48399999999999</v>
      </c>
      <c r="Z20" s="80">
        <v>104.664</v>
      </c>
      <c r="AA20" s="80">
        <v>101.265</v>
      </c>
      <c r="AB20" s="80">
        <v>97.453000000000003</v>
      </c>
      <c r="AC20" s="80">
        <v>94.328000000000003</v>
      </c>
      <c r="AD20" s="80">
        <v>87.941999999999993</v>
      </c>
      <c r="AE20" s="80">
        <v>88.010999999999996</v>
      </c>
      <c r="AF20" s="80">
        <v>82.771000000000001</v>
      </c>
      <c r="AG20" s="142">
        <v>79.828000000000003</v>
      </c>
      <c r="AH20" s="80">
        <v>0</v>
      </c>
      <c r="AI20" s="80">
        <v>0</v>
      </c>
      <c r="AJ20" s="80">
        <v>0</v>
      </c>
      <c r="AK20" s="80">
        <v>0</v>
      </c>
      <c r="AL20" s="80">
        <v>0</v>
      </c>
      <c r="AM20" s="142">
        <v>0</v>
      </c>
      <c r="AN20" s="142">
        <v>0</v>
      </c>
      <c r="AO20" s="142">
        <v>0</v>
      </c>
      <c r="AP20" s="142">
        <v>0</v>
      </c>
      <c r="AQ20" s="142">
        <v>0</v>
      </c>
      <c r="AR20" s="142">
        <v>0</v>
      </c>
      <c r="AS20" s="142">
        <v>0</v>
      </c>
      <c r="AT20" s="142">
        <v>0</v>
      </c>
      <c r="AU20" s="142">
        <v>0</v>
      </c>
      <c r="AV20" s="142">
        <v>0</v>
      </c>
      <c r="AW20" s="142">
        <v>0</v>
      </c>
      <c r="AX20" s="142">
        <v>0</v>
      </c>
      <c r="AY20" s="142">
        <v>0</v>
      </c>
      <c r="AZ20" s="142">
        <v>0</v>
      </c>
      <c r="BA20" s="153">
        <v>0</v>
      </c>
      <c r="BB20" s="172">
        <f>BA20</f>
        <v>0</v>
      </c>
      <c r="BC20" s="188">
        <f>BB20</f>
        <v>0</v>
      </c>
      <c r="BD20" s="188">
        <f>BC20</f>
        <v>0</v>
      </c>
      <c r="BE20" s="188">
        <f>BD20</f>
        <v>0</v>
      </c>
      <c r="BF20" s="188">
        <f>BE20</f>
        <v>0</v>
      </c>
      <c r="BG20" s="188">
        <f>BF20</f>
        <v>0</v>
      </c>
      <c r="BH20" s="188">
        <f>BG20</f>
        <v>0</v>
      </c>
      <c r="BI20" s="188">
        <f>BH20</f>
        <v>0</v>
      </c>
      <c r="BJ20" s="188">
        <f>BI20</f>
        <v>0</v>
      </c>
      <c r="BK20" s="188">
        <f>BJ20</f>
        <v>0</v>
      </c>
      <c r="BL20" s="188">
        <f>BK20</f>
        <v>0</v>
      </c>
      <c r="BM20" s="188">
        <f>BL20</f>
        <v>0</v>
      </c>
      <c r="BN20" s="188">
        <f>BM20</f>
        <v>0</v>
      </c>
      <c r="BO20" s="188">
        <f>BN20</f>
        <v>0</v>
      </c>
      <c r="BP20" s="188">
        <f>BO20</f>
        <v>0</v>
      </c>
      <c r="BQ20" s="188">
        <f>BP20</f>
        <v>0</v>
      </c>
      <c r="BR20" s="188">
        <f>BQ20</f>
        <v>0</v>
      </c>
    </row>
    <row r="21" spans="1:70" x14ac:dyDescent="0.2">
      <c r="A21" s="168" t="s">
        <v>286</v>
      </c>
      <c r="B21" s="10"/>
      <c r="C21" s="80">
        <v>0</v>
      </c>
      <c r="D21" s="80">
        <v>0</v>
      </c>
      <c r="E21" s="76">
        <f>V21</f>
        <v>0</v>
      </c>
      <c r="F21" s="76">
        <f>Z21</f>
        <v>0</v>
      </c>
      <c r="G21" s="76">
        <f>AD21</f>
        <v>0.69899999999999995</v>
      </c>
      <c r="H21" s="76">
        <f>AH21</f>
        <v>9.1839999999999993</v>
      </c>
      <c r="I21" s="76">
        <f>AL21</f>
        <v>6.6550000000000002</v>
      </c>
      <c r="J21" s="76">
        <f>AP21</f>
        <v>2.02</v>
      </c>
      <c r="K21" s="76">
        <f>AT21</f>
        <v>2.6379999999999999</v>
      </c>
      <c r="L21" s="76">
        <f>AX21</f>
        <v>8.8469999999999995</v>
      </c>
      <c r="M21" s="77">
        <f>BB21</f>
        <v>13.599</v>
      </c>
      <c r="N21" s="76">
        <f>BF21</f>
        <v>13.599</v>
      </c>
      <c r="O21" s="76">
        <f>BJ21</f>
        <v>13.599</v>
      </c>
      <c r="P21" s="76">
        <f>BN21</f>
        <v>13.599</v>
      </c>
      <c r="Q21" s="76">
        <f>BR21</f>
        <v>13.599</v>
      </c>
      <c r="R21" s="306"/>
      <c r="S21" s="80">
        <v>0</v>
      </c>
      <c r="T21" s="80">
        <v>0</v>
      </c>
      <c r="U21" s="80">
        <v>0</v>
      </c>
      <c r="V21" s="80">
        <v>0</v>
      </c>
      <c r="W21" s="80">
        <v>0</v>
      </c>
      <c r="X21" s="80">
        <v>0</v>
      </c>
      <c r="Y21" s="80">
        <v>0</v>
      </c>
      <c r="Z21" s="80">
        <v>0</v>
      </c>
      <c r="AA21" s="80">
        <v>0</v>
      </c>
      <c r="AB21" s="80">
        <v>0</v>
      </c>
      <c r="AC21" s="80">
        <v>0</v>
      </c>
      <c r="AD21" s="80">
        <v>0.69899999999999995</v>
      </c>
      <c r="AE21" s="80">
        <v>0</v>
      </c>
      <c r="AF21" s="80">
        <v>0</v>
      </c>
      <c r="AG21" s="142">
        <v>0</v>
      </c>
      <c r="AH21" s="80">
        <v>9.1839999999999993</v>
      </c>
      <c r="AI21" s="80">
        <v>8.593</v>
      </c>
      <c r="AJ21" s="80">
        <v>7.8079999999999998</v>
      </c>
      <c r="AK21" s="80">
        <v>7.0759999999999996</v>
      </c>
      <c r="AL21" s="80">
        <v>6.6550000000000002</v>
      </c>
      <c r="AM21" s="142">
        <v>5.718</v>
      </c>
      <c r="AN21" s="142">
        <v>2.097</v>
      </c>
      <c r="AO21" s="142">
        <v>1.7929999999999999</v>
      </c>
      <c r="AP21" s="142">
        <v>2.02</v>
      </c>
      <c r="AQ21" s="142">
        <v>3.4529999999999998</v>
      </c>
      <c r="AR21" s="142">
        <v>2.7480000000000002</v>
      </c>
      <c r="AS21" s="142">
        <v>2.8759999999999999</v>
      </c>
      <c r="AT21" s="142">
        <v>2.6379999999999999</v>
      </c>
      <c r="AU21" s="142">
        <v>6.5640000000000001</v>
      </c>
      <c r="AV21" s="142">
        <v>8.673</v>
      </c>
      <c r="AW21" s="142">
        <v>8.8339999999999996</v>
      </c>
      <c r="AX21" s="142">
        <v>8.8469999999999995</v>
      </c>
      <c r="AY21" s="142">
        <v>12.297000000000001</v>
      </c>
      <c r="AZ21" s="142">
        <v>13.755000000000001</v>
      </c>
      <c r="BA21" s="153">
        <v>13.599</v>
      </c>
      <c r="BB21" s="172">
        <f>BA21</f>
        <v>13.599</v>
      </c>
      <c r="BC21" s="188">
        <f>BB21</f>
        <v>13.599</v>
      </c>
      <c r="BD21" s="188">
        <f>BC21</f>
        <v>13.599</v>
      </c>
      <c r="BE21" s="188">
        <f>BD21</f>
        <v>13.599</v>
      </c>
      <c r="BF21" s="188">
        <f>BE21</f>
        <v>13.599</v>
      </c>
      <c r="BG21" s="188">
        <f>BF21</f>
        <v>13.599</v>
      </c>
      <c r="BH21" s="188">
        <f>BG21</f>
        <v>13.599</v>
      </c>
      <c r="BI21" s="188">
        <f>BH21</f>
        <v>13.599</v>
      </c>
      <c r="BJ21" s="188">
        <f>BI21</f>
        <v>13.599</v>
      </c>
      <c r="BK21" s="188">
        <f>BJ21</f>
        <v>13.599</v>
      </c>
      <c r="BL21" s="188">
        <f>BK21</f>
        <v>13.599</v>
      </c>
      <c r="BM21" s="188">
        <f>BL21</f>
        <v>13.599</v>
      </c>
      <c r="BN21" s="188">
        <f>BM21</f>
        <v>13.599</v>
      </c>
      <c r="BO21" s="188">
        <f>BN21</f>
        <v>13.599</v>
      </c>
      <c r="BP21" s="188">
        <f>BO21</f>
        <v>13.599</v>
      </c>
      <c r="BQ21" s="188">
        <f>BP21</f>
        <v>13.599</v>
      </c>
      <c r="BR21" s="188">
        <f>BQ21</f>
        <v>13.599</v>
      </c>
    </row>
    <row r="22" spans="1:70" x14ac:dyDescent="0.2">
      <c r="A22" s="201" t="s">
        <v>287</v>
      </c>
      <c r="B22" s="14"/>
      <c r="C22" s="87">
        <v>0</v>
      </c>
      <c r="D22" s="87">
        <v>0</v>
      </c>
      <c r="E22" s="84">
        <f>V22</f>
        <v>0</v>
      </c>
      <c r="F22" s="84">
        <f>Z22</f>
        <v>0</v>
      </c>
      <c r="G22" s="84">
        <f>AD22</f>
        <v>10.385999999999999</v>
      </c>
      <c r="H22" s="84">
        <f>AH22</f>
        <v>50.942999999999998</v>
      </c>
      <c r="I22" s="84">
        <f>AL22</f>
        <v>11.374000000000001</v>
      </c>
      <c r="J22" s="84">
        <f>AP22</f>
        <v>7.5220000000000002</v>
      </c>
      <c r="K22" s="84">
        <f>AT22</f>
        <v>7.609</v>
      </c>
      <c r="L22" s="84">
        <f>AX22</f>
        <v>6.2519999999999998</v>
      </c>
      <c r="M22" s="83">
        <f>BB22</f>
        <v>19.864000000000001</v>
      </c>
      <c r="N22" s="84">
        <f>BF22</f>
        <v>19.864000000000001</v>
      </c>
      <c r="O22" s="84">
        <f>BJ22</f>
        <v>19.864000000000001</v>
      </c>
      <c r="P22" s="84">
        <f>BN22</f>
        <v>19.864000000000001</v>
      </c>
      <c r="Q22" s="84">
        <f>BR22</f>
        <v>19.864000000000001</v>
      </c>
      <c r="R22" s="54"/>
      <c r="S22" s="87">
        <v>0</v>
      </c>
      <c r="T22" s="87">
        <v>0</v>
      </c>
      <c r="U22" s="87">
        <v>0</v>
      </c>
      <c r="V22" s="87">
        <v>0</v>
      </c>
      <c r="W22" s="87">
        <v>0</v>
      </c>
      <c r="X22" s="87">
        <v>0</v>
      </c>
      <c r="Y22" s="87">
        <v>0</v>
      </c>
      <c r="Z22" s="87">
        <v>0</v>
      </c>
      <c r="AA22" s="87">
        <v>0</v>
      </c>
      <c r="AB22" s="87">
        <v>0</v>
      </c>
      <c r="AC22" s="87">
        <v>0</v>
      </c>
      <c r="AD22" s="87">
        <v>10.385999999999999</v>
      </c>
      <c r="AE22" s="87">
        <v>0</v>
      </c>
      <c r="AF22" s="87">
        <v>0</v>
      </c>
      <c r="AG22" s="87">
        <v>0</v>
      </c>
      <c r="AH22" s="87">
        <v>50.942999999999998</v>
      </c>
      <c r="AI22" s="87">
        <v>50.012</v>
      </c>
      <c r="AJ22" s="87">
        <v>36.914999999999999</v>
      </c>
      <c r="AK22" s="87">
        <v>36.279000000000003</v>
      </c>
      <c r="AL22" s="87">
        <v>11.374000000000001</v>
      </c>
      <c r="AM22" s="87">
        <v>10.016</v>
      </c>
      <c r="AN22" s="87">
        <v>8.7279999999999998</v>
      </c>
      <c r="AO22" s="87">
        <v>8.6479999999999997</v>
      </c>
      <c r="AP22" s="87">
        <v>7.5220000000000002</v>
      </c>
      <c r="AQ22" s="87">
        <v>7.5979999999999999</v>
      </c>
      <c r="AR22" s="87">
        <v>7.9340000000000002</v>
      </c>
      <c r="AS22" s="87">
        <v>7.45</v>
      </c>
      <c r="AT22" s="87">
        <v>7.609</v>
      </c>
      <c r="AU22" s="87">
        <v>6.7480000000000002</v>
      </c>
      <c r="AV22" s="87">
        <v>6.2370000000000001</v>
      </c>
      <c r="AW22" s="87">
        <v>6.319</v>
      </c>
      <c r="AX22" s="143">
        <v>6.2519999999999998</v>
      </c>
      <c r="AY22" s="143">
        <v>21.67</v>
      </c>
      <c r="AZ22" s="143">
        <v>21.228000000000002</v>
      </c>
      <c r="BA22" s="213">
        <v>19.864000000000001</v>
      </c>
      <c r="BB22" s="253">
        <f>BA22</f>
        <v>19.864000000000001</v>
      </c>
      <c r="BC22" s="194">
        <f>BB22</f>
        <v>19.864000000000001</v>
      </c>
      <c r="BD22" s="194">
        <f>BC22</f>
        <v>19.864000000000001</v>
      </c>
      <c r="BE22" s="194">
        <f>BD22</f>
        <v>19.864000000000001</v>
      </c>
      <c r="BF22" s="194">
        <f>BE22</f>
        <v>19.864000000000001</v>
      </c>
      <c r="BG22" s="194">
        <f>BF22</f>
        <v>19.864000000000001</v>
      </c>
      <c r="BH22" s="194">
        <f>BG22</f>
        <v>19.864000000000001</v>
      </c>
      <c r="BI22" s="194">
        <f>BH22</f>
        <v>19.864000000000001</v>
      </c>
      <c r="BJ22" s="194">
        <f>BI22</f>
        <v>19.864000000000001</v>
      </c>
      <c r="BK22" s="194">
        <f>BJ22</f>
        <v>19.864000000000001</v>
      </c>
      <c r="BL22" s="194">
        <f>BK22</f>
        <v>19.864000000000001</v>
      </c>
      <c r="BM22" s="194">
        <f>BL22</f>
        <v>19.864000000000001</v>
      </c>
      <c r="BN22" s="194">
        <f>BM22</f>
        <v>19.864000000000001</v>
      </c>
      <c r="BO22" s="194">
        <f>BN22</f>
        <v>19.864000000000001</v>
      </c>
      <c r="BP22" s="194">
        <f>BO22</f>
        <v>19.864000000000001</v>
      </c>
      <c r="BQ22" s="194">
        <f>BP22</f>
        <v>19.864000000000001</v>
      </c>
      <c r="BR22" s="194">
        <f>BQ22</f>
        <v>19.864000000000001</v>
      </c>
    </row>
    <row r="23" spans="1:70" x14ac:dyDescent="0.2">
      <c r="A23" s="288" t="s">
        <v>1</v>
      </c>
      <c r="B23" s="19" t="s">
        <v>155</v>
      </c>
      <c r="C23" s="97">
        <v>501.767</v>
      </c>
      <c r="D23" s="97">
        <v>458.39400000000001</v>
      </c>
      <c r="E23" s="72">
        <f>V23</f>
        <v>529.06700000000001</v>
      </c>
      <c r="F23" s="72">
        <f>Z23</f>
        <v>553.89499999999998</v>
      </c>
      <c r="G23" s="72">
        <f>AD23</f>
        <v>527.327</v>
      </c>
      <c r="H23" s="72">
        <f>AH23</f>
        <v>1707.2850000000001</v>
      </c>
      <c r="I23" s="72">
        <f>AL23</f>
        <v>1550.385</v>
      </c>
      <c r="J23" s="72">
        <f>AP23</f>
        <v>1408.163</v>
      </c>
      <c r="K23" s="72">
        <f>AT23</f>
        <v>1537.0740000000001</v>
      </c>
      <c r="L23" s="72">
        <f>AX23</f>
        <v>1548.261</v>
      </c>
      <c r="M23" s="86">
        <f>BB23</f>
        <v>1561.6713026739792</v>
      </c>
      <c r="N23" s="72">
        <f>BF23</f>
        <v>1671.2784930050846</v>
      </c>
      <c r="O23" s="72">
        <f>BJ23</f>
        <v>1836.511018119661</v>
      </c>
      <c r="P23" s="72">
        <f>BN23</f>
        <v>2068.8008811618247</v>
      </c>
      <c r="Q23" s="72">
        <f>BR23</f>
        <v>2393.778130046303</v>
      </c>
      <c r="R23" s="63"/>
      <c r="S23" s="97">
        <v>439.536</v>
      </c>
      <c r="T23" s="97">
        <v>422.33199999999999</v>
      </c>
      <c r="U23" s="97">
        <v>438.55700000000002</v>
      </c>
      <c r="V23" s="97">
        <v>529.06700000000001</v>
      </c>
      <c r="W23" s="97">
        <v>495.58199999999999</v>
      </c>
      <c r="X23" s="97">
        <v>484.60700000000003</v>
      </c>
      <c r="Y23" s="97">
        <v>529.35500000000002</v>
      </c>
      <c r="Z23" s="97">
        <v>553.89499999999998</v>
      </c>
      <c r="AA23" s="97">
        <v>555.95299999999997</v>
      </c>
      <c r="AB23" s="97">
        <v>558.61900000000003</v>
      </c>
      <c r="AC23" s="97">
        <v>535.68200000000002</v>
      </c>
      <c r="AD23" s="97">
        <v>527.327</v>
      </c>
      <c r="AE23" s="97">
        <v>598.64499999999998</v>
      </c>
      <c r="AF23" s="97">
        <v>573.40499999999997</v>
      </c>
      <c r="AG23" s="145">
        <v>518.11</v>
      </c>
      <c r="AH23" s="97">
        <v>1707.2850000000001</v>
      </c>
      <c r="AI23" s="97">
        <v>1725.2639999999999</v>
      </c>
      <c r="AJ23" s="97">
        <v>1707.1189999999999</v>
      </c>
      <c r="AK23" s="97">
        <v>1650.846</v>
      </c>
      <c r="AL23" s="97">
        <v>1550.385</v>
      </c>
      <c r="AM23" s="145">
        <v>1515.9159999999999</v>
      </c>
      <c r="AN23" s="145">
        <v>1470.36</v>
      </c>
      <c r="AO23" s="145">
        <v>1456.213</v>
      </c>
      <c r="AP23" s="145">
        <v>1408.163</v>
      </c>
      <c r="AQ23" s="145">
        <v>1320.4739999999999</v>
      </c>
      <c r="AR23" s="145">
        <v>1337.3979999999999</v>
      </c>
      <c r="AS23" s="145">
        <v>1425.605</v>
      </c>
      <c r="AT23" s="145">
        <v>1537.0740000000001</v>
      </c>
      <c r="AU23" s="145">
        <v>1474.749</v>
      </c>
      <c r="AV23" s="145">
        <v>1439.816</v>
      </c>
      <c r="AW23" s="145">
        <v>1534.241</v>
      </c>
      <c r="AX23" s="145">
        <v>1548.261</v>
      </c>
      <c r="AY23" s="145">
        <v>1632.0039999999999</v>
      </c>
      <c r="AZ23" s="145">
        <v>1596.3030000000001</v>
      </c>
      <c r="BA23" s="155">
        <v>1567.5719999999999</v>
      </c>
      <c r="BB23" s="136">
        <f>SUM(BB19:BB22,BB16,BB12)</f>
        <v>1561.6713026739792</v>
      </c>
      <c r="BC23" s="111">
        <f>SUM(BC19:BC22,BC16,BC12)</f>
        <v>1587.7594541134667</v>
      </c>
      <c r="BD23" s="111">
        <f>SUM(BD19:BD22,BD16,BD12)</f>
        <v>1619.4265005027291</v>
      </c>
      <c r="BE23" s="111">
        <f>SUM(BE19:BE22,BE16,BE12)</f>
        <v>1650.9093762603407</v>
      </c>
      <c r="BF23" s="111">
        <f>SUM(BF19:BF22,BF16,BF12)</f>
        <v>1671.2784930050846</v>
      </c>
      <c r="BG23" s="111">
        <f>SUM(BG19:BG22,BG16,BG12)</f>
        <v>1712.393163500851</v>
      </c>
      <c r="BH23" s="111">
        <f>SUM(BH19:BH22,BH16,BH12)</f>
        <v>1766.869011320593</v>
      </c>
      <c r="BI23" s="111">
        <f>SUM(BI19:BI22,BI16,BI12)</f>
        <v>1807.8136956011901</v>
      </c>
      <c r="BJ23" s="111">
        <f>SUM(BJ19:BJ22,BJ16,BJ12)</f>
        <v>1836.511018119661</v>
      </c>
      <c r="BK23" s="111">
        <f>SUM(BK19:BK22,BK16,BK12)</f>
        <v>1889.710534480409</v>
      </c>
      <c r="BL23" s="111">
        <f>SUM(BL19:BL22,BL16,BL12)</f>
        <v>1973.9219696781115</v>
      </c>
      <c r="BM23" s="111">
        <f>SUM(BM19:BM22,BM16,BM12)</f>
        <v>2029.4374031824013</v>
      </c>
      <c r="BN23" s="111">
        <f>SUM(BN19:BN22,BN16,BN12)</f>
        <v>2068.8008811618247</v>
      </c>
      <c r="BO23" s="111">
        <f>SUM(BO19:BO22,BO16,BO12)</f>
        <v>2145.8603204529327</v>
      </c>
      <c r="BP23" s="111">
        <f>SUM(BP19:BP22,BP16,BP12)</f>
        <v>2272.0028090587439</v>
      </c>
      <c r="BQ23" s="111">
        <f>SUM(BQ19:BQ22,BQ16,BQ12)</f>
        <v>2344.2359213935524</v>
      </c>
      <c r="BR23" s="111">
        <f>SUM(BR19:BR22,BR16,BR12)</f>
        <v>2393.778130046303</v>
      </c>
    </row>
    <row r="24" spans="1:70" x14ac:dyDescent="0.2">
      <c r="A24" s="65" t="s">
        <v>7</v>
      </c>
      <c r="B24" s="13"/>
      <c r="C24" s="159">
        <f>SUM(C19:C22,C16,C12)-C23</f>
        <v>0</v>
      </c>
      <c r="D24" s="159">
        <f>SUM(D19:D22,D16,D12)-D23</f>
        <v>0</v>
      </c>
      <c r="E24" s="159">
        <f>SUM(E19:E22,E16,E12)-E23</f>
        <v>0</v>
      </c>
      <c r="F24" s="159">
        <f>SUM(F19:F22,F16,F12)-F23</f>
        <v>0</v>
      </c>
      <c r="G24" s="159">
        <f>SUM(G19:G22,G16,G12)-G23</f>
        <v>0</v>
      </c>
      <c r="H24" s="159">
        <f>SUM(H19:H22,H16,H12)-H23</f>
        <v>0</v>
      </c>
      <c r="I24" s="159">
        <f>SUM(I19:I22,I16,I12)-I23</f>
        <v>0</v>
      </c>
      <c r="J24" s="159">
        <f>SUM(J19:J22,J16,J12)-J23</f>
        <v>0</v>
      </c>
      <c r="K24" s="159">
        <f>SUM(K19:K22,K16,K12)-K23</f>
        <v>0</v>
      </c>
      <c r="L24" s="160">
        <f>SUM(L19:L22,L16,L12)-L23</f>
        <v>0</v>
      </c>
      <c r="M24" s="167">
        <f>SUM(M19:M22,M16,M12)-M23</f>
        <v>0</v>
      </c>
      <c r="N24" s="159">
        <f>SUM(N19:N22,N16,N12)-N23</f>
        <v>0</v>
      </c>
      <c r="O24" s="159">
        <f>SUM(O19:O22,O16,O12)-O23</f>
        <v>0</v>
      </c>
      <c r="P24" s="159">
        <f>SUM(P19:P22,P16,P12)-P23</f>
        <v>0</v>
      </c>
      <c r="Q24" s="159">
        <f>SUM(Q19:Q22,Q16,Q12)-Q23</f>
        <v>0</v>
      </c>
      <c r="R24" s="50"/>
      <c r="S24" s="159">
        <f>SUM(S19:S22,S16,S12)-S23</f>
        <v>0</v>
      </c>
      <c r="T24" s="159">
        <f>SUM(T19:T22,T16,T12)-T23</f>
        <v>0</v>
      </c>
      <c r="U24" s="159">
        <f>SUM(U19:U22,U16,U12)-U23</f>
        <v>0</v>
      </c>
      <c r="V24" s="159">
        <f>SUM(V19:V22,V16,V12)-V23</f>
        <v>0</v>
      </c>
      <c r="W24" s="159">
        <f>SUM(W19:W22,W16,W12)-W23</f>
        <v>0</v>
      </c>
      <c r="X24" s="159">
        <f>SUM(X19:X22,X16,X12)-X23</f>
        <v>0</v>
      </c>
      <c r="Y24" s="159">
        <f>SUM(Y19:Y22,Y16,Y12)-Y23</f>
        <v>0</v>
      </c>
      <c r="Z24" s="159">
        <f>SUM(Z19:Z22,Z16,Z12)-Z23</f>
        <v>0</v>
      </c>
      <c r="AA24" s="159">
        <f>SUM(AA19:AA22,AA16,AA12)-AA23</f>
        <v>0</v>
      </c>
      <c r="AB24" s="159">
        <f>SUM(AB19:AB22,AB16,AB12)-AB23</f>
        <v>0</v>
      </c>
      <c r="AC24" s="159">
        <f>SUM(AC19:AC22,AC16,AC12)-AC23</f>
        <v>0</v>
      </c>
      <c r="AD24" s="159">
        <f>SUM(AD19:AD22,AD16,AD12)-AD23</f>
        <v>0</v>
      </c>
      <c r="AE24" s="159">
        <f>SUM(AE19:AE22,AE16,AE12)-AE23</f>
        <v>0</v>
      </c>
      <c r="AF24" s="159">
        <f>SUM(AF19:AF22,AF16,AF12)-AF23</f>
        <v>0</v>
      </c>
      <c r="AG24" s="159">
        <f>SUM(AG19:AG22,AG16,AG12)-AG23</f>
        <v>0</v>
      </c>
      <c r="AH24" s="159">
        <f>SUM(AH19:AH22,AH16,AH12)-AH23</f>
        <v>0</v>
      </c>
      <c r="AI24" s="159">
        <f>SUM(AI19:AI22,AI16,AI12)-AI23</f>
        <v>0</v>
      </c>
      <c r="AJ24" s="159">
        <f>SUM(AJ19:AJ22,AJ16,AJ12)-AJ23</f>
        <v>0</v>
      </c>
      <c r="AK24" s="159">
        <f>SUM(AK19:AK22,AK16,AK12)-AK23</f>
        <v>0</v>
      </c>
      <c r="AL24" s="159">
        <f>SUM(AL19:AL22,AL16,AL12)-AL23</f>
        <v>0</v>
      </c>
      <c r="AM24" s="159">
        <f>SUM(AM19:AM22,AM16,AM12)-AM23</f>
        <v>0</v>
      </c>
      <c r="AN24" s="159">
        <f>SUM(AN19:AN22,AN16,AN12)-AN23</f>
        <v>0</v>
      </c>
      <c r="AO24" s="159">
        <f>SUM(AO19:AO22,AO16,AO12)-AO23</f>
        <v>0</v>
      </c>
      <c r="AP24" s="159">
        <f>SUM(AP19:AP22,AP16,AP12)-AP23</f>
        <v>0</v>
      </c>
      <c r="AQ24" s="159">
        <f>SUM(AQ19:AQ22,AQ16,AQ12)-AQ23</f>
        <v>0</v>
      </c>
      <c r="AR24" s="159">
        <f>SUM(AR19:AR22,AR16,AR12)-AR23</f>
        <v>0</v>
      </c>
      <c r="AS24" s="159">
        <f>SUM(AS19:AS22,AS16,AS12)-AS23</f>
        <v>0</v>
      </c>
      <c r="AT24" s="159">
        <f>SUM(AT19:AT22,AT16,AT12)-AT23</f>
        <v>0</v>
      </c>
      <c r="AU24" s="159">
        <f>SUM(AU19:AU22,AU16,AU12)-AU23</f>
        <v>0</v>
      </c>
      <c r="AV24" s="159">
        <f>SUM(AV19:AV22,AV16,AV12)-AV23</f>
        <v>0</v>
      </c>
      <c r="AW24" s="159">
        <f>SUM(AW19:AW22,AW16,AW12)-AW23</f>
        <v>0</v>
      </c>
      <c r="AX24" s="159">
        <f>SUM(AX19:AX22,AX16,AX12)-AX23</f>
        <v>0</v>
      </c>
      <c r="AY24" s="159">
        <f>SUM(AY19:AY22,AY16,AY12)-AY23</f>
        <v>0</v>
      </c>
      <c r="AZ24" s="159">
        <f>SUM(AZ19:AZ22,AZ16,AZ12)-AZ23</f>
        <v>0</v>
      </c>
      <c r="BA24" s="160">
        <f>SUM(BA19:BA22,BA16,BA12)-BA23</f>
        <v>0</v>
      </c>
      <c r="BB24" s="170">
        <f>SUM(BB19:BB22,BB16,BB12)-BB23</f>
        <v>0</v>
      </c>
      <c r="BC24" s="159">
        <f>SUM(BC19:BC22,BC16,BC12)-BC23</f>
        <v>0</v>
      </c>
      <c r="BD24" s="159">
        <f>SUM(BD19:BD22,BD16,BD12)-BD23</f>
        <v>0</v>
      </c>
      <c r="BE24" s="159">
        <f>SUM(BE19:BE22,BE16,BE12)-BE23</f>
        <v>0</v>
      </c>
      <c r="BF24" s="159">
        <f>SUM(BF19:BF22,BF16,BF12)-BF23</f>
        <v>0</v>
      </c>
      <c r="BG24" s="159">
        <f>SUM(BG19:BG22,BG16,BG12)-BG23</f>
        <v>0</v>
      </c>
      <c r="BH24" s="159">
        <f>SUM(BH19:BH22,BH16,BH12)-BH23</f>
        <v>0</v>
      </c>
      <c r="BI24" s="159">
        <f>SUM(BI19:BI22,BI16,BI12)-BI23</f>
        <v>0</v>
      </c>
      <c r="BJ24" s="159">
        <f>SUM(BJ19:BJ22,BJ16,BJ12)-BJ23</f>
        <v>0</v>
      </c>
      <c r="BK24" s="159">
        <f>SUM(BK19:BK22,BK16,BK12)-BK23</f>
        <v>0</v>
      </c>
      <c r="BL24" s="159">
        <f>SUM(BL19:BL22,BL16,BL12)-BL23</f>
        <v>0</v>
      </c>
      <c r="BM24" s="159">
        <f>SUM(BM19:BM22,BM16,BM12)-BM23</f>
        <v>0</v>
      </c>
      <c r="BN24" s="159">
        <f>SUM(BN19:BN22,BN16,BN12)-BN23</f>
        <v>0</v>
      </c>
      <c r="BO24" s="159">
        <f>SUM(BO19:BO22,BO16,BO12)-BO23</f>
        <v>0</v>
      </c>
      <c r="BP24" s="159">
        <f>SUM(BP19:BP22,BP16,BP12)-BP23</f>
        <v>0</v>
      </c>
      <c r="BQ24" s="159">
        <f>SUM(BQ19:BQ22,BQ16,BQ12)-BQ23</f>
        <v>0</v>
      </c>
      <c r="BR24" s="159">
        <f>SUM(BR19:BR22,BR16,BR12)-BR23</f>
        <v>0</v>
      </c>
    </row>
    <row r="25" spans="1:70" x14ac:dyDescent="0.2">
      <c r="A25" s="266"/>
      <c r="B25" s="9"/>
      <c r="C25" s="66"/>
      <c r="D25" s="66"/>
      <c r="E25" s="66"/>
      <c r="F25" s="66"/>
      <c r="G25" s="66"/>
      <c r="H25" s="66"/>
      <c r="I25" s="66"/>
      <c r="J25" s="66"/>
      <c r="K25" s="66"/>
      <c r="L25" s="99"/>
      <c r="M25" s="180"/>
      <c r="N25" s="66"/>
      <c r="O25" s="66"/>
      <c r="P25" s="66"/>
      <c r="Q25" s="66"/>
      <c r="R25" s="46"/>
      <c r="S25" s="69"/>
      <c r="T25" s="69"/>
      <c r="U25" s="69"/>
      <c r="V25" s="69"/>
      <c r="W25" s="69"/>
      <c r="X25" s="69"/>
      <c r="Y25" s="69"/>
      <c r="Z25" s="69"/>
      <c r="AA25" s="69"/>
      <c r="AB25" s="69"/>
      <c r="AC25" s="69"/>
      <c r="AD25" s="69"/>
      <c r="AE25" s="69"/>
      <c r="AF25" s="69"/>
      <c r="AG25" s="69"/>
      <c r="AH25" s="69"/>
      <c r="AI25" s="69"/>
      <c r="AJ25" s="69"/>
      <c r="AK25" s="69"/>
      <c r="AL25" s="69"/>
      <c r="AM25" s="69"/>
      <c r="AN25" s="69"/>
      <c r="AO25" s="69"/>
      <c r="AP25" s="69"/>
      <c r="AQ25" s="69"/>
      <c r="AR25" s="69"/>
      <c r="AS25" s="69"/>
      <c r="AT25" s="69"/>
      <c r="AU25" s="69"/>
      <c r="AV25" s="69"/>
      <c r="AW25" s="69"/>
      <c r="AX25" s="69"/>
      <c r="AY25" s="69"/>
      <c r="AZ25" s="69"/>
      <c r="BA25" s="120"/>
      <c r="BB25" s="121"/>
      <c r="BC25" s="192"/>
      <c r="BD25" s="192"/>
      <c r="BE25" s="192"/>
      <c r="BF25" s="192"/>
      <c r="BG25" s="192"/>
      <c r="BH25" s="192"/>
      <c r="BI25" s="192"/>
      <c r="BJ25" s="192"/>
      <c r="BK25" s="192"/>
      <c r="BL25" s="192"/>
      <c r="BM25" s="192"/>
      <c r="BN25" s="192"/>
      <c r="BO25" s="192"/>
      <c r="BP25" s="192"/>
      <c r="BQ25" s="192"/>
      <c r="BR25" s="192"/>
    </row>
    <row r="26" spans="1:70" x14ac:dyDescent="0.2">
      <c r="A26" s="266" t="s">
        <v>125</v>
      </c>
      <c r="B26" s="9"/>
      <c r="C26" s="71"/>
      <c r="D26" s="71"/>
      <c r="E26" s="71"/>
      <c r="F26" s="71"/>
      <c r="G26" s="71"/>
      <c r="H26" s="71"/>
      <c r="I26" s="71"/>
      <c r="J26" s="71"/>
      <c r="K26" s="71"/>
      <c r="L26" s="124"/>
      <c r="M26" s="125"/>
      <c r="N26" s="71"/>
      <c r="O26" s="71"/>
      <c r="P26" s="71"/>
      <c r="Q26" s="71"/>
      <c r="R26" s="46"/>
      <c r="S26" s="70"/>
      <c r="T26" s="70"/>
      <c r="U26" s="70"/>
      <c r="V26" s="70"/>
      <c r="W26" s="70"/>
      <c r="X26" s="70"/>
      <c r="Y26" s="70"/>
      <c r="Z26" s="70"/>
      <c r="AA26" s="70"/>
      <c r="AB26" s="70"/>
      <c r="AC26" s="70"/>
      <c r="AD26" s="70"/>
      <c r="AE26" s="70"/>
      <c r="AF26" s="70"/>
      <c r="AG26" s="70"/>
      <c r="AH26" s="70"/>
      <c r="AI26" s="70"/>
      <c r="AJ26" s="70"/>
      <c r="AK26" s="70"/>
      <c r="AL26" s="70"/>
      <c r="AM26" s="70"/>
      <c r="AN26" s="70"/>
      <c r="AO26" s="70"/>
      <c r="AP26" s="70"/>
      <c r="AQ26" s="70"/>
      <c r="AR26" s="70"/>
      <c r="AS26" s="70"/>
      <c r="AT26" s="70"/>
      <c r="AU26" s="70"/>
      <c r="AV26" s="70"/>
      <c r="AW26" s="71"/>
      <c r="AX26" s="71"/>
      <c r="AY26" s="71"/>
      <c r="AZ26" s="71"/>
      <c r="BA26" s="124"/>
      <c r="BB26" s="139"/>
      <c r="BC26" s="193"/>
      <c r="BD26" s="193"/>
      <c r="BE26" s="193"/>
      <c r="BF26" s="193"/>
      <c r="BG26" s="193"/>
      <c r="BH26" s="193"/>
      <c r="BI26" s="193"/>
      <c r="BJ26" s="193"/>
      <c r="BK26" s="193"/>
      <c r="BL26" s="193"/>
      <c r="BM26" s="193"/>
      <c r="BN26" s="193"/>
      <c r="BO26" s="193"/>
      <c r="BP26" s="193"/>
      <c r="BQ26" s="193"/>
      <c r="BR26" s="193"/>
    </row>
    <row r="27" spans="1:70" x14ac:dyDescent="0.2">
      <c r="A27" s="168" t="s">
        <v>263</v>
      </c>
      <c r="B27" s="10"/>
      <c r="C27" s="80">
        <v>61.313000000000002</v>
      </c>
      <c r="D27" s="80">
        <v>59.741</v>
      </c>
      <c r="E27" s="76">
        <f>V27</f>
        <v>141.827</v>
      </c>
      <c r="F27" s="76">
        <f>Z27</f>
        <v>182.446</v>
      </c>
      <c r="G27" s="76">
        <f>AD27</f>
        <v>145.02199999999999</v>
      </c>
      <c r="H27" s="76">
        <f>AH27</f>
        <v>119.157</v>
      </c>
      <c r="I27" s="76">
        <f>AL27</f>
        <v>139.81899999999999</v>
      </c>
      <c r="J27" s="76">
        <f>AP27</f>
        <v>239.12299999999999</v>
      </c>
      <c r="K27" s="76">
        <f>AT27</f>
        <v>317.74400000000003</v>
      </c>
      <c r="L27" s="76">
        <f>AX27</f>
        <v>334.19799999999998</v>
      </c>
      <c r="M27" s="77">
        <f>BB27</f>
        <v>292.79224408247251</v>
      </c>
      <c r="N27" s="76">
        <f>BF27</f>
        <v>347.90839262942171</v>
      </c>
      <c r="O27" s="76">
        <f>BJ27</f>
        <v>419.49737821624109</v>
      </c>
      <c r="P27" s="76">
        <f>BN27</f>
        <v>510.05154623072247</v>
      </c>
      <c r="Q27" s="76">
        <f>BR27</f>
        <v>628.15015878179031</v>
      </c>
      <c r="R27" s="59"/>
      <c r="S27" s="80">
        <v>44.369</v>
      </c>
      <c r="T27" s="80">
        <v>41.029000000000003</v>
      </c>
      <c r="U27" s="80">
        <v>57.767000000000003</v>
      </c>
      <c r="V27" s="80">
        <v>141.827</v>
      </c>
      <c r="W27" s="80">
        <v>124.676</v>
      </c>
      <c r="X27" s="80">
        <v>116.608</v>
      </c>
      <c r="Y27" s="80">
        <v>158.43799999999999</v>
      </c>
      <c r="Z27" s="80">
        <v>182.446</v>
      </c>
      <c r="AA27" s="80">
        <v>180.90299999999999</v>
      </c>
      <c r="AB27" s="80">
        <v>186.55699999999999</v>
      </c>
      <c r="AC27" s="80">
        <v>162.197</v>
      </c>
      <c r="AD27" s="80">
        <v>145.02199999999999</v>
      </c>
      <c r="AE27" s="80">
        <v>199.80500000000001</v>
      </c>
      <c r="AF27" s="80">
        <v>174.58500000000001</v>
      </c>
      <c r="AG27" s="142">
        <v>116.711</v>
      </c>
      <c r="AH27" s="80">
        <v>119.157</v>
      </c>
      <c r="AI27" s="80">
        <v>141.649</v>
      </c>
      <c r="AJ27" s="80">
        <v>141.21100000000001</v>
      </c>
      <c r="AK27" s="80">
        <v>106.57899999999999</v>
      </c>
      <c r="AL27" s="80">
        <v>139.81899999999999</v>
      </c>
      <c r="AM27" s="142">
        <v>110.361</v>
      </c>
      <c r="AN27" s="142">
        <v>101.462</v>
      </c>
      <c r="AO27" s="142">
        <v>117.934</v>
      </c>
      <c r="AP27" s="142">
        <v>239.12299999999999</v>
      </c>
      <c r="AQ27" s="142">
        <v>127.63500000000001</v>
      </c>
      <c r="AR27" s="142">
        <v>145.702</v>
      </c>
      <c r="AS27" s="142">
        <v>197.494</v>
      </c>
      <c r="AT27" s="142">
        <v>317.74400000000003</v>
      </c>
      <c r="AU27" s="142">
        <v>242.90100000000001</v>
      </c>
      <c r="AV27" s="142">
        <v>217.47300000000001</v>
      </c>
      <c r="AW27" s="142">
        <v>304.59399999999999</v>
      </c>
      <c r="AX27" s="142">
        <v>334.19799999999998</v>
      </c>
      <c r="AY27" s="142">
        <v>354.40199999999999</v>
      </c>
      <c r="AZ27" s="142">
        <v>331.291</v>
      </c>
      <c r="BA27" s="153">
        <v>298.49</v>
      </c>
      <c r="BB27" s="77">
        <f>BB63*IS!BB25*4</f>
        <v>292.79224408247251</v>
      </c>
      <c r="BC27" s="76">
        <f>BC63*IS!BC25*4</f>
        <v>307.4029602684904</v>
      </c>
      <c r="BD27" s="76">
        <f>BD63*IS!BD25*4</f>
        <v>324.45664362129816</v>
      </c>
      <c r="BE27" s="76">
        <f>BE63*IS!BE25*4</f>
        <v>340.19480163658272</v>
      </c>
      <c r="BF27" s="76">
        <f>BF63*IS!BF25*4</f>
        <v>347.90839262942171</v>
      </c>
      <c r="BG27" s="76">
        <f>BG63*IS!BG25*4</f>
        <v>367.98912908810939</v>
      </c>
      <c r="BH27" s="76">
        <f>BH63*IS!BH25*4</f>
        <v>394.9706913451858</v>
      </c>
      <c r="BI27" s="76">
        <f>BI63*IS!BI25*4</f>
        <v>411.63153664049798</v>
      </c>
      <c r="BJ27" s="76">
        <f>BJ63*IS!BJ25*4</f>
        <v>419.49737821624109</v>
      </c>
      <c r="BK27" s="76">
        <f>BK63*IS!BK25*4</f>
        <v>442.05746886383679</v>
      </c>
      <c r="BL27" s="76">
        <f>BL63*IS!BL25*4</f>
        <v>482.32816576214742</v>
      </c>
      <c r="BM27" s="76">
        <f>BM63*IS!BM25*4</f>
        <v>501.90497802319817</v>
      </c>
      <c r="BN27" s="76">
        <f>BN63*IS!BN25*4</f>
        <v>510.05154623072247</v>
      </c>
      <c r="BO27" s="76">
        <f>BO63*IS!BO25*4</f>
        <v>541.08331481645132</v>
      </c>
      <c r="BP27" s="76">
        <f>BP63*IS!BP25*4</f>
        <v>600.47510904287537</v>
      </c>
      <c r="BQ27" s="76">
        <f>BQ63*IS!BQ25*4</f>
        <v>622.1357809726544</v>
      </c>
      <c r="BR27" s="76">
        <f>BR63*IS!BR25*4</f>
        <v>628.15015878179031</v>
      </c>
    </row>
    <row r="28" spans="1:70" x14ac:dyDescent="0.2">
      <c r="A28" s="168" t="s">
        <v>288</v>
      </c>
      <c r="B28" s="10" t="s">
        <v>342</v>
      </c>
      <c r="C28" s="80">
        <v>45.295000000000002</v>
      </c>
      <c r="D28" s="80">
        <v>46.424999999999997</v>
      </c>
      <c r="E28" s="76">
        <f>V28</f>
        <v>53.381999999999998</v>
      </c>
      <c r="F28" s="76">
        <f>Z28</f>
        <v>51.19</v>
      </c>
      <c r="G28" s="76">
        <f>AD28</f>
        <v>53.600999999999999</v>
      </c>
      <c r="H28" s="76">
        <f>AH28</f>
        <v>104.66800000000001</v>
      </c>
      <c r="I28" s="76">
        <f>AL28</f>
        <v>101.512</v>
      </c>
      <c r="J28" s="76">
        <f>AP28</f>
        <v>94.391000000000005</v>
      </c>
      <c r="K28" s="76">
        <f>AT28</f>
        <v>134.50399999999999</v>
      </c>
      <c r="L28" s="76">
        <f>AX28</f>
        <v>129.238</v>
      </c>
      <c r="M28" s="77">
        <f>BB28</f>
        <v>144.5627986327799</v>
      </c>
      <c r="N28" s="76">
        <f>BF28</f>
        <v>171.77576224380599</v>
      </c>
      <c r="O28" s="76">
        <f>BJ28</f>
        <v>207.12199943715618</v>
      </c>
      <c r="P28" s="76">
        <f>BN28</f>
        <v>251.83207704545868</v>
      </c>
      <c r="Q28" s="76">
        <f>BR28</f>
        <v>310.14190693364981</v>
      </c>
      <c r="R28" s="59"/>
      <c r="S28" s="80">
        <v>48.793999999999997</v>
      </c>
      <c r="T28" s="80">
        <v>44.467999999999996</v>
      </c>
      <c r="U28" s="80">
        <v>48.239000000000004</v>
      </c>
      <c r="V28" s="80">
        <v>53.381999999999998</v>
      </c>
      <c r="W28" s="80">
        <v>59.534000000000006</v>
      </c>
      <c r="X28" s="80">
        <v>54.429999999999993</v>
      </c>
      <c r="Y28" s="80">
        <v>53.417000000000002</v>
      </c>
      <c r="Z28" s="80">
        <v>51.19</v>
      </c>
      <c r="AA28" s="80">
        <v>55.697000000000003</v>
      </c>
      <c r="AB28" s="80">
        <v>55.87</v>
      </c>
      <c r="AC28" s="80">
        <v>56.634999999999998</v>
      </c>
      <c r="AD28" s="80">
        <v>53.600999999999999</v>
      </c>
      <c r="AE28" s="80">
        <v>71.066999999999993</v>
      </c>
      <c r="AF28" s="80">
        <v>68.233000000000004</v>
      </c>
      <c r="AG28" s="142">
        <v>69.004999999999995</v>
      </c>
      <c r="AH28" s="80">
        <v>104.66800000000001</v>
      </c>
      <c r="AI28" s="80">
        <v>113.54300000000001</v>
      </c>
      <c r="AJ28" s="80">
        <v>116.69499999999999</v>
      </c>
      <c r="AK28" s="80">
        <v>106.602</v>
      </c>
      <c r="AL28" s="80">
        <v>101.512</v>
      </c>
      <c r="AM28" s="142">
        <v>118.44</v>
      </c>
      <c r="AN28" s="142">
        <v>115.658</v>
      </c>
      <c r="AO28" s="142">
        <v>98.819000000000003</v>
      </c>
      <c r="AP28" s="142">
        <v>94.391000000000005</v>
      </c>
      <c r="AQ28" s="142">
        <v>120.348</v>
      </c>
      <c r="AR28" s="142">
        <v>112.81100000000001</v>
      </c>
      <c r="AS28" s="142">
        <v>126.625</v>
      </c>
      <c r="AT28" s="142">
        <v>134.50399999999999</v>
      </c>
      <c r="AU28" s="142">
        <v>138.18700000000001</v>
      </c>
      <c r="AV28" s="142">
        <v>132.49600000000001</v>
      </c>
      <c r="AW28" s="142">
        <v>139.922</v>
      </c>
      <c r="AX28" s="142">
        <v>129.238</v>
      </c>
      <c r="AY28" s="142">
        <v>152.71600000000001</v>
      </c>
      <c r="AZ28" s="142">
        <v>146.387</v>
      </c>
      <c r="BA28" s="153">
        <v>147.376</v>
      </c>
      <c r="BB28" s="77">
        <f>BB64*IS!BB25*4</f>
        <v>144.5627986327799</v>
      </c>
      <c r="BC28" s="76">
        <f>BC64*IS!BC25*4</f>
        <v>151.77667148825435</v>
      </c>
      <c r="BD28" s="76">
        <f>BD64*IS!BD25*4</f>
        <v>160.1967312483917</v>
      </c>
      <c r="BE28" s="76">
        <f>BE64*IS!BE25*4</f>
        <v>167.96726552310969</v>
      </c>
      <c r="BF28" s="76">
        <f>BF64*IS!BF25*4</f>
        <v>171.77576224380599</v>
      </c>
      <c r="BG28" s="76">
        <f>BG64*IS!BG25*4</f>
        <v>181.69039461452383</v>
      </c>
      <c r="BH28" s="76">
        <f>BH64*IS!BH25*4</f>
        <v>195.01223025122485</v>
      </c>
      <c r="BI28" s="76">
        <f>BI64*IS!BI25*4</f>
        <v>203.23833074451417</v>
      </c>
      <c r="BJ28" s="76">
        <f>BJ64*IS!BJ25*4</f>
        <v>207.12199943715618</v>
      </c>
      <c r="BK28" s="76">
        <f>BK64*IS!BK25*4</f>
        <v>218.26078438566387</v>
      </c>
      <c r="BL28" s="76">
        <f>BL64*IS!BL25*4</f>
        <v>238.1439772098303</v>
      </c>
      <c r="BM28" s="76">
        <f>BM64*IS!BM25*4</f>
        <v>247.80980281130641</v>
      </c>
      <c r="BN28" s="76">
        <f>BN64*IS!BN25*4</f>
        <v>251.83207704545868</v>
      </c>
      <c r="BO28" s="76">
        <f>BO64*IS!BO25*4</f>
        <v>267.15365541354595</v>
      </c>
      <c r="BP28" s="76">
        <f>BP64*IS!BP25*4</f>
        <v>296.47766983920002</v>
      </c>
      <c r="BQ28" s="76">
        <f>BQ64*IS!BQ25*4</f>
        <v>307.17237715376035</v>
      </c>
      <c r="BR28" s="76">
        <f>BR64*IS!BR25*4</f>
        <v>310.14190693364981</v>
      </c>
    </row>
    <row r="29" spans="1:70" x14ac:dyDescent="0.2">
      <c r="A29" s="201" t="s">
        <v>289</v>
      </c>
      <c r="B29" s="14"/>
      <c r="C29" s="87">
        <v>249.75</v>
      </c>
      <c r="D29" s="87">
        <v>208.75</v>
      </c>
      <c r="E29" s="84">
        <f>V29</f>
        <v>174</v>
      </c>
      <c r="F29" s="84">
        <f>Z29</f>
        <v>121.5</v>
      </c>
      <c r="G29" s="84">
        <f>AD29</f>
        <v>1.03</v>
      </c>
      <c r="H29" s="84">
        <f>AH29</f>
        <v>10</v>
      </c>
      <c r="I29" s="84">
        <f>AL29</f>
        <v>10</v>
      </c>
      <c r="J29" s="84">
        <f>AP29</f>
        <v>10</v>
      </c>
      <c r="K29" s="84">
        <f>AT29</f>
        <v>8.1999999999999993</v>
      </c>
      <c r="L29" s="84">
        <f>AX29</f>
        <v>8.1999999999999993</v>
      </c>
      <c r="M29" s="83">
        <f>BB29</f>
        <v>8.1999999999999993</v>
      </c>
      <c r="N29" s="84">
        <f>BF29</f>
        <v>8.1999999999999993</v>
      </c>
      <c r="O29" s="84">
        <f>BJ29</f>
        <v>8.1999999999999993</v>
      </c>
      <c r="P29" s="84">
        <f>BN29</f>
        <v>8.1999999999999993</v>
      </c>
      <c r="Q29" s="84">
        <f>BR29</f>
        <v>8.1999999999999993</v>
      </c>
      <c r="R29" s="313"/>
      <c r="S29" s="87">
        <v>200</v>
      </c>
      <c r="T29" s="87">
        <v>187</v>
      </c>
      <c r="U29" s="87">
        <v>179</v>
      </c>
      <c r="V29" s="87">
        <v>174</v>
      </c>
      <c r="W29" s="87">
        <v>142</v>
      </c>
      <c r="X29" s="87">
        <v>134</v>
      </c>
      <c r="Y29" s="87">
        <v>126.5</v>
      </c>
      <c r="Z29" s="87">
        <v>121.5</v>
      </c>
      <c r="AA29" s="87">
        <v>117.5</v>
      </c>
      <c r="AB29" s="87">
        <v>112</v>
      </c>
      <c r="AC29" s="87">
        <v>106.5</v>
      </c>
      <c r="AD29" s="87">
        <v>1.03</v>
      </c>
      <c r="AE29" s="87">
        <v>100</v>
      </c>
      <c r="AF29" s="87">
        <v>96</v>
      </c>
      <c r="AG29" s="143">
        <v>95.742999999999995</v>
      </c>
      <c r="AH29" s="87">
        <v>10</v>
      </c>
      <c r="AI29" s="87">
        <v>10</v>
      </c>
      <c r="AJ29" s="87">
        <v>10</v>
      </c>
      <c r="AK29" s="87">
        <v>10</v>
      </c>
      <c r="AL29" s="87">
        <v>10</v>
      </c>
      <c r="AM29" s="143">
        <v>10</v>
      </c>
      <c r="AN29" s="143">
        <v>10</v>
      </c>
      <c r="AO29" s="143">
        <v>10</v>
      </c>
      <c r="AP29" s="143">
        <v>10</v>
      </c>
      <c r="AQ29" s="143">
        <v>10</v>
      </c>
      <c r="AR29" s="143">
        <v>8.1999999999999993</v>
      </c>
      <c r="AS29" s="143">
        <v>8.1999999999999993</v>
      </c>
      <c r="AT29" s="143">
        <v>8.1999999999999993</v>
      </c>
      <c r="AU29" s="143">
        <v>8.1999999999999993</v>
      </c>
      <c r="AV29" s="143">
        <v>8.1999999999999993</v>
      </c>
      <c r="AW29" s="143">
        <v>8.1999999999999993</v>
      </c>
      <c r="AX29" s="143">
        <v>8.1999999999999993</v>
      </c>
      <c r="AY29" s="143">
        <v>8.1999999999999993</v>
      </c>
      <c r="AZ29" s="143">
        <v>8.1999999999999993</v>
      </c>
      <c r="BA29" s="213">
        <v>8.1999999999999993</v>
      </c>
      <c r="BB29" s="253">
        <f>BA29</f>
        <v>8.1999999999999993</v>
      </c>
      <c r="BC29" s="194">
        <f>BB29</f>
        <v>8.1999999999999993</v>
      </c>
      <c r="BD29" s="194">
        <f>BC29</f>
        <v>8.1999999999999993</v>
      </c>
      <c r="BE29" s="194">
        <f>BD29</f>
        <v>8.1999999999999993</v>
      </c>
      <c r="BF29" s="194">
        <f>BE29</f>
        <v>8.1999999999999993</v>
      </c>
      <c r="BG29" s="194">
        <f>BF29</f>
        <v>8.1999999999999993</v>
      </c>
      <c r="BH29" s="194">
        <f>BG29</f>
        <v>8.1999999999999993</v>
      </c>
      <c r="BI29" s="194">
        <f>BH29</f>
        <v>8.1999999999999993</v>
      </c>
      <c r="BJ29" s="194">
        <f>BI29</f>
        <v>8.1999999999999993</v>
      </c>
      <c r="BK29" s="194">
        <f>BJ29</f>
        <v>8.1999999999999993</v>
      </c>
      <c r="BL29" s="194">
        <f>BK29</f>
        <v>8.1999999999999993</v>
      </c>
      <c r="BM29" s="194">
        <f>BL29</f>
        <v>8.1999999999999993</v>
      </c>
      <c r="BN29" s="194">
        <f>BM29</f>
        <v>8.1999999999999993</v>
      </c>
      <c r="BO29" s="194">
        <f>BN29</f>
        <v>8.1999999999999993</v>
      </c>
      <c r="BP29" s="194">
        <f>BO29</f>
        <v>8.1999999999999993</v>
      </c>
      <c r="BQ29" s="194">
        <f>BP29</f>
        <v>8.1999999999999993</v>
      </c>
      <c r="BR29" s="194">
        <f>BQ29</f>
        <v>8.1999999999999993</v>
      </c>
    </row>
    <row r="30" spans="1:70" x14ac:dyDescent="0.2">
      <c r="A30" s="288" t="s">
        <v>9</v>
      </c>
      <c r="B30" s="19" t="s">
        <v>156</v>
      </c>
      <c r="C30" s="72">
        <f>SUM(C27:C29)</f>
        <v>356.358</v>
      </c>
      <c r="D30" s="72">
        <f>SUM(D27:D29)</f>
        <v>314.916</v>
      </c>
      <c r="E30" s="72">
        <f>V30</f>
        <v>369.209</v>
      </c>
      <c r="F30" s="72">
        <f>Z30</f>
        <v>355.13599999999997</v>
      </c>
      <c r="G30" s="72">
        <f>AD30</f>
        <v>199.65299999999999</v>
      </c>
      <c r="H30" s="72">
        <f>AH30</f>
        <v>233.82499999999999</v>
      </c>
      <c r="I30" s="72">
        <f>AL30</f>
        <v>251.33099999999999</v>
      </c>
      <c r="J30" s="72">
        <f>AP30</f>
        <v>343.51400000000001</v>
      </c>
      <c r="K30" s="72">
        <f>AT30</f>
        <v>460.44799999999998</v>
      </c>
      <c r="L30" s="72">
        <f>AX30</f>
        <v>471.63600000000002</v>
      </c>
      <c r="M30" s="86">
        <f>BB30</f>
        <v>445.5550427152524</v>
      </c>
      <c r="N30" s="72">
        <f>BF30</f>
        <v>527.88415487322777</v>
      </c>
      <c r="O30" s="72">
        <f>BJ30</f>
        <v>634.81937765339728</v>
      </c>
      <c r="P30" s="72">
        <f>BN30</f>
        <v>770.08362327618124</v>
      </c>
      <c r="Q30" s="72">
        <f>BR30</f>
        <v>946.49206571544016</v>
      </c>
      <c r="R30" s="63"/>
      <c r="S30" s="72">
        <f>SUM(S27:S29)</f>
        <v>293.16300000000001</v>
      </c>
      <c r="T30" s="72">
        <f>SUM(T27:T29)</f>
        <v>272.49700000000001</v>
      </c>
      <c r="U30" s="72">
        <f>SUM(U27:U29)</f>
        <v>285.00599999999997</v>
      </c>
      <c r="V30" s="72">
        <f>SUM(V27:V29)</f>
        <v>369.209</v>
      </c>
      <c r="W30" s="72">
        <f>SUM(W27:W29)</f>
        <v>326.21000000000004</v>
      </c>
      <c r="X30" s="72">
        <f>SUM(X27:X29)</f>
        <v>305.03800000000001</v>
      </c>
      <c r="Y30" s="72">
        <f>SUM(Y27:Y29)</f>
        <v>338.35500000000002</v>
      </c>
      <c r="Z30" s="72">
        <f>SUM(Z27:Z29)</f>
        <v>355.13599999999997</v>
      </c>
      <c r="AA30" s="72">
        <f>SUM(AA27:AA29)</f>
        <v>354.1</v>
      </c>
      <c r="AB30" s="72">
        <f>SUM(AB27:AB29)</f>
        <v>354.42700000000002</v>
      </c>
      <c r="AC30" s="72">
        <f>SUM(AC27:AC29)</f>
        <v>325.33199999999999</v>
      </c>
      <c r="AD30" s="97">
        <v>199.65299999999999</v>
      </c>
      <c r="AE30" s="72">
        <f>SUM(AE27:AE29)</f>
        <v>370.87200000000001</v>
      </c>
      <c r="AF30" s="72">
        <f>SUM(AF27:AF29)</f>
        <v>338.81799999999998</v>
      </c>
      <c r="AG30" s="72">
        <f>SUM(AG27:AG29)</f>
        <v>281.459</v>
      </c>
      <c r="AH30" s="97">
        <v>233.82499999999999</v>
      </c>
      <c r="AI30" s="97">
        <v>265.19200000000001</v>
      </c>
      <c r="AJ30" s="97">
        <v>267.90600000000001</v>
      </c>
      <c r="AK30" s="97">
        <v>223.18100000000001</v>
      </c>
      <c r="AL30" s="97">
        <v>251.33099999999999</v>
      </c>
      <c r="AM30" s="145">
        <v>238.80099999999999</v>
      </c>
      <c r="AN30" s="145">
        <v>227.12</v>
      </c>
      <c r="AO30" s="145">
        <v>226.75299999999999</v>
      </c>
      <c r="AP30" s="145">
        <v>343.51400000000001</v>
      </c>
      <c r="AQ30" s="145">
        <v>257.983</v>
      </c>
      <c r="AR30" s="145">
        <v>266.71300000000002</v>
      </c>
      <c r="AS30" s="145">
        <v>332.31900000000002</v>
      </c>
      <c r="AT30" s="145">
        <v>460.44799999999998</v>
      </c>
      <c r="AU30" s="145">
        <v>389.28800000000001</v>
      </c>
      <c r="AV30" s="145">
        <v>358.16899999999998</v>
      </c>
      <c r="AW30" s="145">
        <v>452.71600000000001</v>
      </c>
      <c r="AX30" s="145">
        <v>471.63600000000002</v>
      </c>
      <c r="AY30" s="145">
        <v>515.31799999999998</v>
      </c>
      <c r="AZ30" s="145">
        <v>485.87799999999999</v>
      </c>
      <c r="BA30" s="155">
        <v>454.06599999999997</v>
      </c>
      <c r="BB30" s="136">
        <f>SUM(BB27:BB29)</f>
        <v>445.5550427152524</v>
      </c>
      <c r="BC30" s="137">
        <f>SUM(BC27:BC29)</f>
        <v>467.37963175674474</v>
      </c>
      <c r="BD30" s="137">
        <f>SUM(BD27:BD29)</f>
        <v>492.85337486968984</v>
      </c>
      <c r="BE30" s="137">
        <f>SUM(BE27:BE29)</f>
        <v>516.3620671596924</v>
      </c>
      <c r="BF30" s="137">
        <f>SUM(BF27:BF29)</f>
        <v>527.88415487322777</v>
      </c>
      <c r="BG30" s="137">
        <f>SUM(BG27:BG29)</f>
        <v>557.87952370263326</v>
      </c>
      <c r="BH30" s="137">
        <f>SUM(BH27:BH29)</f>
        <v>598.18292159641067</v>
      </c>
      <c r="BI30" s="137">
        <f>SUM(BI27:BI29)</f>
        <v>623.06986738501223</v>
      </c>
      <c r="BJ30" s="137">
        <f>SUM(BJ27:BJ29)</f>
        <v>634.81937765339728</v>
      </c>
      <c r="BK30" s="137">
        <f>SUM(BK27:BK29)</f>
        <v>668.51825324950073</v>
      </c>
      <c r="BL30" s="137">
        <f>SUM(BL27:BL29)</f>
        <v>728.67214297197779</v>
      </c>
      <c r="BM30" s="137">
        <f>SUM(BM27:BM29)</f>
        <v>757.91478083450465</v>
      </c>
      <c r="BN30" s="137">
        <f>SUM(BN27:BN29)</f>
        <v>770.08362327618124</v>
      </c>
      <c r="BO30" s="137">
        <f>SUM(BO27:BO29)</f>
        <v>816.43697022999731</v>
      </c>
      <c r="BP30" s="137">
        <f>SUM(BP27:BP29)</f>
        <v>905.15277888207538</v>
      </c>
      <c r="BQ30" s="137">
        <f>SUM(BQ27:BQ29)</f>
        <v>937.50815812641486</v>
      </c>
      <c r="BR30" s="137">
        <f>SUM(BR27:BR29)</f>
        <v>946.49206571544016</v>
      </c>
    </row>
    <row r="31" spans="1:70" x14ac:dyDescent="0.2">
      <c r="A31" s="65" t="s">
        <v>7</v>
      </c>
      <c r="B31" s="13"/>
      <c r="C31" s="159">
        <f>SUM(C27:C29)-C30</f>
        <v>0</v>
      </c>
      <c r="D31" s="159">
        <f>SUM(D27:D29)-D30</f>
        <v>0</v>
      </c>
      <c r="E31" s="159">
        <f>SUM(E27:E29)-E30</f>
        <v>0</v>
      </c>
      <c r="F31" s="159">
        <f>SUM(F27:F29)-F30</f>
        <v>0</v>
      </c>
      <c r="G31" s="159">
        <f>SUM(G27:G29)-G30</f>
        <v>0</v>
      </c>
      <c r="H31" s="159">
        <f>SUM(H27:H29)-H30</f>
        <v>0</v>
      </c>
      <c r="I31" s="159">
        <f>SUM(I27:I29)-I30</f>
        <v>0</v>
      </c>
      <c r="J31" s="159">
        <f>SUM(J27:J29)-J30</f>
        <v>0</v>
      </c>
      <c r="K31" s="159">
        <f>SUM(K27:K29)-K30</f>
        <v>0</v>
      </c>
      <c r="L31" s="160">
        <f>SUM(L27:L29)-L30</f>
        <v>0</v>
      </c>
      <c r="M31" s="167">
        <f>SUM(M27:M29)-M30</f>
        <v>0</v>
      </c>
      <c r="N31" s="159">
        <f>SUM(N27:N29)-N30</f>
        <v>0</v>
      </c>
      <c r="O31" s="159">
        <f>SUM(O27:O29)-O30</f>
        <v>0</v>
      </c>
      <c r="P31" s="159">
        <f>SUM(P27:P29)-P30</f>
        <v>0</v>
      </c>
      <c r="Q31" s="159">
        <f>SUM(Q27:Q29)-Q30</f>
        <v>0</v>
      </c>
      <c r="R31" s="50"/>
      <c r="S31" s="159">
        <f>SUM(S27:S29)-S30</f>
        <v>0</v>
      </c>
      <c r="T31" s="159">
        <f>SUM(T27:T29)-T30</f>
        <v>0</v>
      </c>
      <c r="U31" s="159">
        <f>SUM(U27:U29)-U30</f>
        <v>0</v>
      </c>
      <c r="V31" s="159">
        <f>SUM(V27:V29)-V30</f>
        <v>0</v>
      </c>
      <c r="W31" s="159">
        <f>SUM(W27:W29)-W30</f>
        <v>0</v>
      </c>
      <c r="X31" s="159">
        <f>SUM(X27:X29)-X30</f>
        <v>0</v>
      </c>
      <c r="Y31" s="159">
        <f>SUM(Y27:Y29)-Y30</f>
        <v>0</v>
      </c>
      <c r="Z31" s="159">
        <f>SUM(Z27:Z29)-Z30</f>
        <v>0</v>
      </c>
      <c r="AA31" s="159">
        <f>SUM(AA27:AA29)-AA30</f>
        <v>0</v>
      </c>
      <c r="AB31" s="159">
        <f>SUM(AB27:AB29)-AB30</f>
        <v>0</v>
      </c>
      <c r="AC31" s="159">
        <f>SUM(AC27:AC29)-AC30</f>
        <v>0</v>
      </c>
      <c r="AD31" s="159">
        <f>SUM(AD27:AD29)-AD30</f>
        <v>0</v>
      </c>
      <c r="AE31" s="159">
        <f>SUM(AE27:AE29)-AE30</f>
        <v>0</v>
      </c>
      <c r="AF31" s="159">
        <f>SUM(AF27:AF29)-AF30</f>
        <v>0</v>
      </c>
      <c r="AG31" s="159">
        <f>SUM(AG27:AG29)-AG30</f>
        <v>0</v>
      </c>
      <c r="AH31" s="159">
        <f>SUM(AH27:AH29)-AH30</f>
        <v>0</v>
      </c>
      <c r="AI31" s="159">
        <f>SUM(AI27:AI29)-AI30</f>
        <v>0</v>
      </c>
      <c r="AJ31" s="159">
        <f>SUM(AJ27:AJ29)-AJ30</f>
        <v>0</v>
      </c>
      <c r="AK31" s="159">
        <f>SUM(AK27:AK29)-AK30</f>
        <v>0</v>
      </c>
      <c r="AL31" s="159">
        <f>SUM(AL27:AL29)-AL30</f>
        <v>0</v>
      </c>
      <c r="AM31" s="159">
        <f>SUM(AM27:AM29)-AM30</f>
        <v>0</v>
      </c>
      <c r="AN31" s="159">
        <f>SUM(AN27:AN29)-AN30</f>
        <v>0</v>
      </c>
      <c r="AO31" s="159">
        <f>SUM(AO27:AO29)-AO30</f>
        <v>0</v>
      </c>
      <c r="AP31" s="159">
        <f>SUM(AP27:AP29)-AP30</f>
        <v>0</v>
      </c>
      <c r="AQ31" s="159">
        <f>SUM(AQ27:AQ29)-AQ30</f>
        <v>0</v>
      </c>
      <c r="AR31" s="159">
        <f>SUM(AR27:AR29)-AR30</f>
        <v>0</v>
      </c>
      <c r="AS31" s="159">
        <f>SUM(AS27:AS29)-AS30</f>
        <v>0</v>
      </c>
      <c r="AT31" s="159">
        <f>SUM(AT27:AT29)-AT30</f>
        <v>0</v>
      </c>
      <c r="AU31" s="159">
        <f>SUM(AU27:AU29)-AU30</f>
        <v>0</v>
      </c>
      <c r="AV31" s="159">
        <f>SUM(AV27:AV29)-AV30</f>
        <v>0</v>
      </c>
      <c r="AW31" s="159">
        <f>SUM(AW27:AW29)-AW30</f>
        <v>0</v>
      </c>
      <c r="AX31" s="159">
        <f>SUM(AX27:AX29)-AX30</f>
        <v>0</v>
      </c>
      <c r="AY31" s="159">
        <f>SUM(AY27:AY29)-AY30</f>
        <v>0</v>
      </c>
      <c r="AZ31" s="159">
        <f>SUM(AZ27:AZ29)-AZ30</f>
        <v>0</v>
      </c>
      <c r="BA31" s="160">
        <f>SUM(BA27:BA29)-BA30</f>
        <v>0</v>
      </c>
      <c r="BB31" s="170">
        <f>SUM(BB27:BB29)-BB30</f>
        <v>0</v>
      </c>
      <c r="BC31" s="159">
        <f>SUM(BC27:BC29)-BC30</f>
        <v>0</v>
      </c>
      <c r="BD31" s="159">
        <f>SUM(BD27:BD29)-BD30</f>
        <v>0</v>
      </c>
      <c r="BE31" s="159">
        <f>SUM(BE27:BE29)-BE30</f>
        <v>0</v>
      </c>
      <c r="BF31" s="159">
        <f>SUM(BF27:BF29)-BF30</f>
        <v>0</v>
      </c>
      <c r="BG31" s="159">
        <f>SUM(BG27:BG29)-BG30</f>
        <v>0</v>
      </c>
      <c r="BH31" s="159">
        <f>SUM(BH27:BH29)-BH30</f>
        <v>0</v>
      </c>
      <c r="BI31" s="159">
        <f>SUM(BI27:BI29)-BI30</f>
        <v>0</v>
      </c>
      <c r="BJ31" s="159">
        <f>SUM(BJ27:BJ29)-BJ30</f>
        <v>0</v>
      </c>
      <c r="BK31" s="159">
        <f>SUM(BK27:BK29)-BK30</f>
        <v>0</v>
      </c>
      <c r="BL31" s="159">
        <f>SUM(BL27:BL29)-BL30</f>
        <v>0</v>
      </c>
      <c r="BM31" s="159">
        <f>SUM(BM27:BM29)-BM30</f>
        <v>0</v>
      </c>
      <c r="BN31" s="159">
        <f>SUM(BN27:BN29)-BN30</f>
        <v>0</v>
      </c>
      <c r="BO31" s="159">
        <f>SUM(BO27:BO29)-BO30</f>
        <v>0</v>
      </c>
      <c r="BP31" s="159">
        <f>SUM(BP27:BP29)-BP30</f>
        <v>0</v>
      </c>
      <c r="BQ31" s="159">
        <f>SUM(BQ27:BQ29)-BQ30</f>
        <v>0</v>
      </c>
      <c r="BR31" s="159">
        <f>SUM(BR27:BR29)-BR30</f>
        <v>0</v>
      </c>
    </row>
    <row r="32" spans="1:70" x14ac:dyDescent="0.2">
      <c r="A32" s="168" t="s">
        <v>290</v>
      </c>
      <c r="B32" s="10"/>
      <c r="C32" s="80">
        <v>0</v>
      </c>
      <c r="D32" s="80">
        <v>0</v>
      </c>
      <c r="E32" s="76">
        <f>V32</f>
        <v>0</v>
      </c>
      <c r="F32" s="76">
        <f>Z32</f>
        <v>0</v>
      </c>
      <c r="G32" s="76">
        <f>AD32</f>
        <v>0</v>
      </c>
      <c r="H32" s="76">
        <f>AH32</f>
        <v>57.332999999999998</v>
      </c>
      <c r="I32" s="76">
        <f>AL32</f>
        <v>27.643999999999998</v>
      </c>
      <c r="J32" s="76">
        <f>AP32</f>
        <v>57.610999999999997</v>
      </c>
      <c r="K32" s="76">
        <f>AT32</f>
        <v>38.207000000000001</v>
      </c>
      <c r="L32" s="76">
        <f>AX32</f>
        <v>27.867000000000001</v>
      </c>
      <c r="M32" s="77">
        <f>BB32</f>
        <v>24.695</v>
      </c>
      <c r="N32" s="76">
        <f>BF32</f>
        <v>24.695</v>
      </c>
      <c r="O32" s="76">
        <f>BJ32</f>
        <v>24.695</v>
      </c>
      <c r="P32" s="76">
        <f>BN32</f>
        <v>24.695</v>
      </c>
      <c r="Q32" s="76">
        <f>BR32</f>
        <v>24.695</v>
      </c>
      <c r="R32" s="59"/>
      <c r="S32" s="142">
        <v>0</v>
      </c>
      <c r="T32" s="142">
        <v>0</v>
      </c>
      <c r="U32" s="142">
        <v>0</v>
      </c>
      <c r="V32" s="142">
        <v>0</v>
      </c>
      <c r="W32" s="142">
        <v>0</v>
      </c>
      <c r="X32" s="142">
        <v>0</v>
      </c>
      <c r="Y32" s="142">
        <v>0</v>
      </c>
      <c r="Z32" s="142">
        <v>0</v>
      </c>
      <c r="AA32" s="142">
        <v>0</v>
      </c>
      <c r="AB32" s="142">
        <v>0</v>
      </c>
      <c r="AC32" s="142">
        <v>0</v>
      </c>
      <c r="AD32" s="142">
        <v>0</v>
      </c>
      <c r="AE32" s="142">
        <v>0</v>
      </c>
      <c r="AF32" s="142">
        <v>0</v>
      </c>
      <c r="AG32" s="142">
        <v>0</v>
      </c>
      <c r="AH32" s="80">
        <v>57.332999999999998</v>
      </c>
      <c r="AI32" s="80">
        <v>59.100999999999999</v>
      </c>
      <c r="AJ32" s="80">
        <v>49.808</v>
      </c>
      <c r="AK32" s="80">
        <v>45.433999999999997</v>
      </c>
      <c r="AL32" s="80">
        <v>27.643999999999998</v>
      </c>
      <c r="AM32" s="142">
        <v>19.3</v>
      </c>
      <c r="AN32" s="142">
        <v>10.86</v>
      </c>
      <c r="AO32" s="142">
        <v>5.3849999999999998</v>
      </c>
      <c r="AP32" s="142">
        <v>57.610999999999997</v>
      </c>
      <c r="AQ32" s="142">
        <v>58.238</v>
      </c>
      <c r="AR32" s="142">
        <v>60.176000000000002</v>
      </c>
      <c r="AS32" s="142">
        <v>60.784999999999997</v>
      </c>
      <c r="AT32" s="142">
        <v>38.207000000000001</v>
      </c>
      <c r="AU32" s="142">
        <v>37.645000000000003</v>
      </c>
      <c r="AV32" s="142">
        <v>36.296999999999997</v>
      </c>
      <c r="AW32" s="142">
        <v>35.402999999999999</v>
      </c>
      <c r="AX32" s="142">
        <v>27.867000000000001</v>
      </c>
      <c r="AY32" s="142">
        <v>27.353999999999999</v>
      </c>
      <c r="AZ32" s="142">
        <v>26.119</v>
      </c>
      <c r="BA32" s="153">
        <v>24.695</v>
      </c>
      <c r="BB32" s="172">
        <f>BA32</f>
        <v>24.695</v>
      </c>
      <c r="BC32" s="157">
        <f>BB32</f>
        <v>24.695</v>
      </c>
      <c r="BD32" s="157">
        <f>BC32</f>
        <v>24.695</v>
      </c>
      <c r="BE32" s="157">
        <f>BD32</f>
        <v>24.695</v>
      </c>
      <c r="BF32" s="157">
        <f>BE32</f>
        <v>24.695</v>
      </c>
      <c r="BG32" s="157">
        <f>BF32</f>
        <v>24.695</v>
      </c>
      <c r="BH32" s="157">
        <f>BG32</f>
        <v>24.695</v>
      </c>
      <c r="BI32" s="157">
        <f>BH32</f>
        <v>24.695</v>
      </c>
      <c r="BJ32" s="157">
        <f>BI32</f>
        <v>24.695</v>
      </c>
      <c r="BK32" s="157">
        <f>BJ32</f>
        <v>24.695</v>
      </c>
      <c r="BL32" s="157">
        <f>BK32</f>
        <v>24.695</v>
      </c>
      <c r="BM32" s="157">
        <f>BL32</f>
        <v>24.695</v>
      </c>
      <c r="BN32" s="157">
        <f>BM32</f>
        <v>24.695</v>
      </c>
      <c r="BO32" s="157">
        <f>BN32</f>
        <v>24.695</v>
      </c>
      <c r="BP32" s="157">
        <f>BO32</f>
        <v>24.695</v>
      </c>
      <c r="BQ32" s="157">
        <f>BP32</f>
        <v>24.695</v>
      </c>
      <c r="BR32" s="157">
        <f>BQ32</f>
        <v>24.695</v>
      </c>
    </row>
    <row r="33" spans="1:70" x14ac:dyDescent="0.2">
      <c r="A33" s="168" t="s">
        <v>291</v>
      </c>
      <c r="B33" s="10"/>
      <c r="C33" s="80">
        <v>0</v>
      </c>
      <c r="D33" s="80">
        <v>0</v>
      </c>
      <c r="E33" s="76">
        <f>V33</f>
        <v>0</v>
      </c>
      <c r="F33" s="76">
        <f>Z33</f>
        <v>0</v>
      </c>
      <c r="G33" s="76">
        <f>AD33</f>
        <v>101.97</v>
      </c>
      <c r="H33" s="76">
        <f>AH33</f>
        <v>1178.787</v>
      </c>
      <c r="I33" s="76">
        <f>AL33</f>
        <v>1129.8989999999999</v>
      </c>
      <c r="J33" s="76">
        <f>AP33</f>
        <v>1111.8800000000001</v>
      </c>
      <c r="K33" s="76">
        <f>AT33</f>
        <v>1159.643</v>
      </c>
      <c r="L33" s="76">
        <f>AX33</f>
        <v>1155.0160000000001</v>
      </c>
      <c r="M33" s="77">
        <f>BB33</f>
        <v>1123.867</v>
      </c>
      <c r="N33" s="76">
        <f>BF33</f>
        <v>1091.867</v>
      </c>
      <c r="O33" s="76">
        <f>BJ33</f>
        <v>1059.867</v>
      </c>
      <c r="P33" s="76">
        <f>BN33</f>
        <v>1027.867</v>
      </c>
      <c r="Q33" s="76">
        <f>BR33</f>
        <v>995.86699999999996</v>
      </c>
      <c r="R33" s="59"/>
      <c r="S33" s="142">
        <v>0</v>
      </c>
      <c r="T33" s="142">
        <v>0</v>
      </c>
      <c r="U33" s="142">
        <v>0</v>
      </c>
      <c r="V33" s="142">
        <v>0</v>
      </c>
      <c r="W33" s="142">
        <v>0</v>
      </c>
      <c r="X33" s="142">
        <v>0</v>
      </c>
      <c r="Y33" s="142">
        <v>0</v>
      </c>
      <c r="Z33" s="142">
        <v>0</v>
      </c>
      <c r="AA33" s="142">
        <v>0</v>
      </c>
      <c r="AB33" s="142">
        <v>0</v>
      </c>
      <c r="AC33" s="142">
        <v>0</v>
      </c>
      <c r="AD33" s="142">
        <v>101.97</v>
      </c>
      <c r="AE33" s="142">
        <v>0</v>
      </c>
      <c r="AF33" s="142">
        <v>0</v>
      </c>
      <c r="AG33" s="142">
        <v>0</v>
      </c>
      <c r="AH33" s="142">
        <v>1178.787</v>
      </c>
      <c r="AI33" s="142">
        <v>1161.731</v>
      </c>
      <c r="AJ33" s="142">
        <v>1157.5060000000001</v>
      </c>
      <c r="AK33" s="142">
        <v>1155.5419999999999</v>
      </c>
      <c r="AL33" s="142">
        <v>1129.8989999999999</v>
      </c>
      <c r="AM33" s="142">
        <v>1128.93</v>
      </c>
      <c r="AN33" s="142">
        <v>1113.5450000000001</v>
      </c>
      <c r="AO33" s="142">
        <v>1112.7650000000001</v>
      </c>
      <c r="AP33" s="142">
        <v>1111.8800000000001</v>
      </c>
      <c r="AQ33" s="142">
        <v>1110.9949999999999</v>
      </c>
      <c r="AR33" s="142">
        <v>1131.473</v>
      </c>
      <c r="AS33" s="142">
        <v>1130.671</v>
      </c>
      <c r="AT33" s="142">
        <v>1159.643</v>
      </c>
      <c r="AU33" s="142">
        <v>1158.45</v>
      </c>
      <c r="AV33" s="142">
        <v>1157.3969999999999</v>
      </c>
      <c r="AW33" s="142">
        <v>1156.2070000000001</v>
      </c>
      <c r="AX33" s="142">
        <v>1155.0160000000001</v>
      </c>
      <c r="AY33" s="142">
        <v>1153.807</v>
      </c>
      <c r="AZ33" s="142">
        <v>1139.0070000000001</v>
      </c>
      <c r="BA33" s="153">
        <v>1131.867</v>
      </c>
      <c r="BB33" s="77">
        <f>BA33+CF!BB45</f>
        <v>1123.867</v>
      </c>
      <c r="BC33" s="76">
        <f>BB33+CF!BC45</f>
        <v>1115.867</v>
      </c>
      <c r="BD33" s="76">
        <f>BC33+CF!BD45</f>
        <v>1107.867</v>
      </c>
      <c r="BE33" s="76">
        <f>BD33+CF!BE45</f>
        <v>1099.867</v>
      </c>
      <c r="BF33" s="76">
        <f>BE33+CF!BF45</f>
        <v>1091.867</v>
      </c>
      <c r="BG33" s="76">
        <f>BF33+CF!BG45</f>
        <v>1083.867</v>
      </c>
      <c r="BH33" s="76">
        <f>BG33+CF!BH45</f>
        <v>1075.867</v>
      </c>
      <c r="BI33" s="76">
        <f>BH33+CF!BI45</f>
        <v>1067.867</v>
      </c>
      <c r="BJ33" s="76">
        <f>BI33+CF!BJ45</f>
        <v>1059.867</v>
      </c>
      <c r="BK33" s="76">
        <f>BJ33+CF!BK45</f>
        <v>1051.867</v>
      </c>
      <c r="BL33" s="76">
        <f>BK33+CF!BL45</f>
        <v>1043.867</v>
      </c>
      <c r="BM33" s="76">
        <f>BL33+CF!BM45</f>
        <v>1035.867</v>
      </c>
      <c r="BN33" s="76">
        <f>BM33+CF!BN45</f>
        <v>1027.867</v>
      </c>
      <c r="BO33" s="76">
        <f>BN33+CF!BO45</f>
        <v>1019.867</v>
      </c>
      <c r="BP33" s="76">
        <f>BO33+CF!BP45</f>
        <v>1011.867</v>
      </c>
      <c r="BQ33" s="76">
        <f>BP33+CF!BQ45</f>
        <v>1003.867</v>
      </c>
      <c r="BR33" s="76">
        <f>BQ33+CF!BR45</f>
        <v>995.86699999999996</v>
      </c>
    </row>
    <row r="34" spans="1:70" x14ac:dyDescent="0.2">
      <c r="A34" s="201" t="s">
        <v>292</v>
      </c>
      <c r="B34" s="10"/>
      <c r="C34" s="87">
        <v>0</v>
      </c>
      <c r="D34" s="87">
        <v>0</v>
      </c>
      <c r="E34" s="84">
        <f>V34</f>
        <v>0</v>
      </c>
      <c r="F34" s="84">
        <f>Z34</f>
        <v>0</v>
      </c>
      <c r="G34" s="84">
        <f>AD34</f>
        <v>7.1</v>
      </c>
      <c r="H34" s="84">
        <f>AH34</f>
        <v>5.867</v>
      </c>
      <c r="I34" s="84">
        <f>AL34</f>
        <v>4.0910000000000002</v>
      </c>
      <c r="J34" s="84">
        <f>AP34</f>
        <v>2.9510000000000001</v>
      </c>
      <c r="K34" s="84">
        <f>AT34</f>
        <v>19.408999999999999</v>
      </c>
      <c r="L34" s="84">
        <f>AX34</f>
        <v>2.637</v>
      </c>
      <c r="M34" s="83">
        <f>BB34</f>
        <v>28.959</v>
      </c>
      <c r="N34" s="84">
        <f>BF34</f>
        <v>28.959</v>
      </c>
      <c r="O34" s="84">
        <f>BJ34</f>
        <v>28.959</v>
      </c>
      <c r="P34" s="84">
        <f>BN34</f>
        <v>28.959</v>
      </c>
      <c r="Q34" s="84">
        <f>BR34</f>
        <v>28.959</v>
      </c>
      <c r="R34" s="59"/>
      <c r="S34" s="143">
        <v>0</v>
      </c>
      <c r="T34" s="143">
        <v>0</v>
      </c>
      <c r="U34" s="143">
        <v>0</v>
      </c>
      <c r="V34" s="143">
        <v>0</v>
      </c>
      <c r="W34" s="143">
        <v>0</v>
      </c>
      <c r="X34" s="143">
        <v>0</v>
      </c>
      <c r="Y34" s="143">
        <v>0</v>
      </c>
      <c r="Z34" s="143">
        <v>0</v>
      </c>
      <c r="AA34" s="143">
        <v>0</v>
      </c>
      <c r="AB34" s="143">
        <v>0</v>
      </c>
      <c r="AC34" s="143">
        <v>0</v>
      </c>
      <c r="AD34" s="143">
        <v>7.1</v>
      </c>
      <c r="AE34" s="143">
        <v>0</v>
      </c>
      <c r="AF34" s="143">
        <v>0</v>
      </c>
      <c r="AG34" s="143">
        <v>0</v>
      </c>
      <c r="AH34" s="143">
        <v>5.867</v>
      </c>
      <c r="AI34" s="143">
        <v>5.3810000000000002</v>
      </c>
      <c r="AJ34" s="143">
        <v>4.9269999999999996</v>
      </c>
      <c r="AK34" s="143">
        <v>4.3659999999999997</v>
      </c>
      <c r="AL34" s="143">
        <v>4.0910000000000002</v>
      </c>
      <c r="AM34" s="143">
        <v>3.601</v>
      </c>
      <c r="AN34" s="143">
        <v>3.528</v>
      </c>
      <c r="AO34" s="143">
        <v>3.2770000000000001</v>
      </c>
      <c r="AP34" s="143">
        <v>2.9510000000000001</v>
      </c>
      <c r="AQ34" s="143">
        <v>2.8740000000000001</v>
      </c>
      <c r="AR34" s="143">
        <v>2.9550000000000001</v>
      </c>
      <c r="AS34" s="143">
        <v>25.634</v>
      </c>
      <c r="AT34" s="143">
        <v>19.408999999999999</v>
      </c>
      <c r="AU34" s="143">
        <v>14.048999999999999</v>
      </c>
      <c r="AV34" s="143">
        <v>8.2270000000000003</v>
      </c>
      <c r="AW34" s="143">
        <v>3.13</v>
      </c>
      <c r="AX34" s="143">
        <v>2.637</v>
      </c>
      <c r="AY34" s="143">
        <v>31.327000000000002</v>
      </c>
      <c r="AZ34" s="143">
        <v>29.736000000000001</v>
      </c>
      <c r="BA34" s="213">
        <v>28.959</v>
      </c>
      <c r="BB34" s="253">
        <f>BA34</f>
        <v>28.959</v>
      </c>
      <c r="BC34" s="158">
        <f>BB34</f>
        <v>28.959</v>
      </c>
      <c r="BD34" s="158">
        <f>BC34</f>
        <v>28.959</v>
      </c>
      <c r="BE34" s="158">
        <f>BD34</f>
        <v>28.959</v>
      </c>
      <c r="BF34" s="158">
        <f>BE34</f>
        <v>28.959</v>
      </c>
      <c r="BG34" s="158">
        <f>BF34</f>
        <v>28.959</v>
      </c>
      <c r="BH34" s="158">
        <f>BG34</f>
        <v>28.959</v>
      </c>
      <c r="BI34" s="158">
        <f>BH34</f>
        <v>28.959</v>
      </c>
      <c r="BJ34" s="158">
        <f>BI34</f>
        <v>28.959</v>
      </c>
      <c r="BK34" s="158">
        <f>BJ34</f>
        <v>28.959</v>
      </c>
      <c r="BL34" s="158">
        <f>BK34</f>
        <v>28.959</v>
      </c>
      <c r="BM34" s="158">
        <f>BL34</f>
        <v>28.959</v>
      </c>
      <c r="BN34" s="158">
        <f>BM34</f>
        <v>28.959</v>
      </c>
      <c r="BO34" s="158">
        <f>BN34</f>
        <v>28.959</v>
      </c>
      <c r="BP34" s="158">
        <f>BO34</f>
        <v>28.959</v>
      </c>
      <c r="BQ34" s="158">
        <f>BP34</f>
        <v>28.959</v>
      </c>
      <c r="BR34" s="158">
        <f>BQ34</f>
        <v>28.959</v>
      </c>
    </row>
    <row r="35" spans="1:70" x14ac:dyDescent="0.2">
      <c r="A35" s="288" t="s">
        <v>2</v>
      </c>
      <c r="B35" s="19" t="s">
        <v>157</v>
      </c>
      <c r="C35" s="97">
        <v>356.358</v>
      </c>
      <c r="D35" s="97">
        <v>314.916</v>
      </c>
      <c r="E35" s="72">
        <f>V35</f>
        <v>369.209</v>
      </c>
      <c r="F35" s="72">
        <f>Z35</f>
        <v>355.13600000000002</v>
      </c>
      <c r="G35" s="72">
        <f>AD35</f>
        <v>308.72300000000001</v>
      </c>
      <c r="H35" s="72">
        <f>AH35</f>
        <v>1475.8119999999999</v>
      </c>
      <c r="I35" s="72">
        <f>AL35</f>
        <v>1412.9649999999999</v>
      </c>
      <c r="J35" s="72">
        <f>AP35</f>
        <v>1515.9559999999999</v>
      </c>
      <c r="K35" s="72">
        <f>AT35</f>
        <v>1677.7070000000001</v>
      </c>
      <c r="L35" s="72">
        <f>AX35</f>
        <v>1657.1559999999999</v>
      </c>
      <c r="M35" s="86">
        <f>BB35</f>
        <v>1623.0760427152522</v>
      </c>
      <c r="N35" s="72">
        <f>BF35</f>
        <v>1673.4051548732275</v>
      </c>
      <c r="O35" s="72">
        <f>BJ35</f>
        <v>1748.3403776533971</v>
      </c>
      <c r="P35" s="72">
        <f>BN35</f>
        <v>1851.6046232761812</v>
      </c>
      <c r="Q35" s="72">
        <f>BR35</f>
        <v>1996.01306571544</v>
      </c>
      <c r="R35" s="62"/>
      <c r="S35" s="97">
        <v>293.16300000000001</v>
      </c>
      <c r="T35" s="97">
        <v>272.49700000000001</v>
      </c>
      <c r="U35" s="97">
        <v>285.00599999999997</v>
      </c>
      <c r="V35" s="97">
        <v>369.209</v>
      </c>
      <c r="W35" s="97">
        <v>326.20999999999998</v>
      </c>
      <c r="X35" s="97">
        <v>305.03800000000001</v>
      </c>
      <c r="Y35" s="97">
        <v>338.35500000000002</v>
      </c>
      <c r="Z35" s="97">
        <v>355.13600000000002</v>
      </c>
      <c r="AA35" s="97">
        <v>354.1</v>
      </c>
      <c r="AB35" s="97">
        <v>354.42700000000002</v>
      </c>
      <c r="AC35" s="97">
        <v>325.33199999999999</v>
      </c>
      <c r="AD35" s="97">
        <v>308.72300000000001</v>
      </c>
      <c r="AE35" s="97">
        <v>370.87200000000001</v>
      </c>
      <c r="AF35" s="97">
        <v>338.81799999999998</v>
      </c>
      <c r="AG35" s="145">
        <v>281.459</v>
      </c>
      <c r="AH35" s="97">
        <v>1475.8119999999999</v>
      </c>
      <c r="AI35" s="97">
        <v>1491.405</v>
      </c>
      <c r="AJ35" s="97">
        <v>1480.1469999999999</v>
      </c>
      <c r="AK35" s="97">
        <v>1428.5229999999999</v>
      </c>
      <c r="AL35" s="97">
        <v>1412.9649999999999</v>
      </c>
      <c r="AM35" s="145">
        <v>1390.6320000000001</v>
      </c>
      <c r="AN35" s="145">
        <v>1355.0530000000001</v>
      </c>
      <c r="AO35" s="145">
        <v>1348.18</v>
      </c>
      <c r="AP35" s="145">
        <v>1515.9559999999999</v>
      </c>
      <c r="AQ35" s="145">
        <v>1430.09</v>
      </c>
      <c r="AR35" s="145">
        <v>1461.317</v>
      </c>
      <c r="AS35" s="145">
        <v>1549.4090000000001</v>
      </c>
      <c r="AT35" s="145">
        <v>1677.7070000000001</v>
      </c>
      <c r="AU35" s="145">
        <v>1599.432</v>
      </c>
      <c r="AV35" s="145">
        <v>1560.09</v>
      </c>
      <c r="AW35" s="145">
        <v>1647.4559999999999</v>
      </c>
      <c r="AX35" s="145">
        <v>1657.1559999999999</v>
      </c>
      <c r="AY35" s="145">
        <v>1727.806</v>
      </c>
      <c r="AZ35" s="145">
        <v>1680.74</v>
      </c>
      <c r="BA35" s="155">
        <v>1639.587</v>
      </c>
      <c r="BB35" s="136">
        <f>SUM(BB30,BB34,BB33,BB32)</f>
        <v>1623.0760427152522</v>
      </c>
      <c r="BC35" s="137">
        <f>SUM(BC30,BC34,BC33,BC32)</f>
        <v>1636.9006317567446</v>
      </c>
      <c r="BD35" s="137">
        <f>SUM(BD30,BD34,BD33,BD32)</f>
        <v>1654.3743748696897</v>
      </c>
      <c r="BE35" s="137">
        <f>SUM(BE30,BE34,BE33,BE32)</f>
        <v>1669.8830671596922</v>
      </c>
      <c r="BF35" s="137">
        <f>SUM(BF30,BF34,BF33,BF32)</f>
        <v>1673.4051548732275</v>
      </c>
      <c r="BG35" s="137">
        <f>SUM(BG30,BG34,BG33,BG32)</f>
        <v>1695.4005237026331</v>
      </c>
      <c r="BH35" s="137">
        <f>SUM(BH30,BH34,BH33,BH32)</f>
        <v>1727.7039215964105</v>
      </c>
      <c r="BI35" s="137">
        <f>SUM(BI30,BI34,BI33,BI32)</f>
        <v>1744.590867385012</v>
      </c>
      <c r="BJ35" s="137">
        <f>SUM(BJ30,BJ34,BJ33,BJ32)</f>
        <v>1748.3403776533971</v>
      </c>
      <c r="BK35" s="137">
        <f>SUM(BK30,BK34,BK33,BK32)</f>
        <v>1774.0392532495005</v>
      </c>
      <c r="BL35" s="137">
        <f>SUM(BL30,BL34,BL33,BL32)</f>
        <v>1826.1931429719777</v>
      </c>
      <c r="BM35" s="137">
        <f>SUM(BM30,BM34,BM33,BM32)</f>
        <v>1847.4357808345046</v>
      </c>
      <c r="BN35" s="137">
        <f>SUM(BN30,BN34,BN33,BN32)</f>
        <v>1851.6046232761812</v>
      </c>
      <c r="BO35" s="137">
        <f>SUM(BO30,BO34,BO33,BO32)</f>
        <v>1889.9579702299973</v>
      </c>
      <c r="BP35" s="137">
        <f>SUM(BP30,BP34,BP33,BP32)</f>
        <v>1970.6737788820753</v>
      </c>
      <c r="BQ35" s="137">
        <f>SUM(BQ30,BQ34,BQ33,BQ32)</f>
        <v>1995.0291581264148</v>
      </c>
      <c r="BR35" s="137">
        <f>SUM(BR30,BR34,BR33,BR32)</f>
        <v>1996.01306571544</v>
      </c>
    </row>
    <row r="36" spans="1:70" x14ac:dyDescent="0.2">
      <c r="A36" s="65" t="s">
        <v>7</v>
      </c>
      <c r="B36" s="13"/>
      <c r="C36" s="159">
        <f>SUM(C30,C34,C33,C32)-C35</f>
        <v>0</v>
      </c>
      <c r="D36" s="159">
        <f>SUM(D30,D34,D33,D32)-D35</f>
        <v>0</v>
      </c>
      <c r="E36" s="159">
        <f>SUM(E30,E34,E33,E32)-E35</f>
        <v>0</v>
      </c>
      <c r="F36" s="159">
        <f>SUM(F30,F34,F33,F32)-F35</f>
        <v>0</v>
      </c>
      <c r="G36" s="159">
        <f>SUM(G30,G34,G33,G32)-G35</f>
        <v>0</v>
      </c>
      <c r="H36" s="159">
        <f>SUM(H30,H34,H33,H32)-H35</f>
        <v>0</v>
      </c>
      <c r="I36" s="159">
        <f>SUM(I30,I34,I33,I32)-I35</f>
        <v>0</v>
      </c>
      <c r="J36" s="159">
        <f>SUM(J30,J34,J33,J32)-J35</f>
        <v>0</v>
      </c>
      <c r="K36" s="159">
        <f>SUM(K30,K34,K33,K32)-K35</f>
        <v>0</v>
      </c>
      <c r="L36" s="160">
        <f>SUM(L30,L34,L33,L32)-L35</f>
        <v>0</v>
      </c>
      <c r="M36" s="167">
        <f>SUM(M30,M34,M33,M32)-M35</f>
        <v>0</v>
      </c>
      <c r="N36" s="159">
        <f>SUM(N30,N34,N33,N32)-N35</f>
        <v>0</v>
      </c>
      <c r="O36" s="159">
        <f>SUM(O30,O34,O33,O32)-O35</f>
        <v>0</v>
      </c>
      <c r="P36" s="159">
        <f>SUM(P30,P34,P33,P32)-P35</f>
        <v>0</v>
      </c>
      <c r="Q36" s="159">
        <f>SUM(Q30,Q34,Q33,Q32)-Q35</f>
        <v>0</v>
      </c>
      <c r="R36" s="50"/>
      <c r="S36" s="159">
        <f>SUM(S30,S34,S33,S32)-S35</f>
        <v>0</v>
      </c>
      <c r="T36" s="159">
        <f>SUM(T30,T34,T33,T32)-T35</f>
        <v>0</v>
      </c>
      <c r="U36" s="159">
        <f>SUM(U30,U34,U33,U32)-U35</f>
        <v>0</v>
      </c>
      <c r="V36" s="159">
        <f>SUM(V30,V34,V33,V32)-V35</f>
        <v>0</v>
      </c>
      <c r="W36" s="159">
        <f>SUM(W30,W34,W33,W32)-W35</f>
        <v>0</v>
      </c>
      <c r="X36" s="159">
        <f>SUM(X30,X34,X33,X32)-X35</f>
        <v>0</v>
      </c>
      <c r="Y36" s="159">
        <f>SUM(Y30,Y34,Y33,Y32)-Y35</f>
        <v>0</v>
      </c>
      <c r="Z36" s="159">
        <f>SUM(Z30,Z34,Z33,Z32)-Z35</f>
        <v>0</v>
      </c>
      <c r="AA36" s="159">
        <f>SUM(AA30,AA34,AA33,AA32)-AA35</f>
        <v>0</v>
      </c>
      <c r="AB36" s="159">
        <f>SUM(AB30,AB34,AB33,AB32)-AB35</f>
        <v>0</v>
      </c>
      <c r="AC36" s="159">
        <f>SUM(AC30,AC34,AC33,AC32)-AC35</f>
        <v>0</v>
      </c>
      <c r="AD36" s="159">
        <f>SUM(AD30,AD34,AD33,AD32)-AD35</f>
        <v>0</v>
      </c>
      <c r="AE36" s="159">
        <f>SUM(AE30,AE34,AE33,AE32)-AE35</f>
        <v>0</v>
      </c>
      <c r="AF36" s="159">
        <f>SUM(AF30,AF34,AF33,AF32)-AF35</f>
        <v>0</v>
      </c>
      <c r="AG36" s="159">
        <f>SUM(AG30,AG34,AG33,AG32)-AG35</f>
        <v>0</v>
      </c>
      <c r="AH36" s="159">
        <f>SUM(AH30,AH34,AH33,AH32)-AH35</f>
        <v>0</v>
      </c>
      <c r="AI36" s="159">
        <f>SUM(AI30,AI34,AI33,AI32)-AI35</f>
        <v>0</v>
      </c>
      <c r="AJ36" s="159">
        <f>SUM(AJ30,AJ34,AJ33,AJ32)-AJ35</f>
        <v>0</v>
      </c>
      <c r="AK36" s="159">
        <f>SUM(AK30,AK34,AK33,AK32)-AK35</f>
        <v>0</v>
      </c>
      <c r="AL36" s="159">
        <f>SUM(AL30,AL34,AL33,AL32)-AL35</f>
        <v>0</v>
      </c>
      <c r="AM36" s="159">
        <f>SUM(AM30,AM34,AM33,AM32)-AM35</f>
        <v>0</v>
      </c>
      <c r="AN36" s="159">
        <f>SUM(AN30,AN34,AN33,AN32)-AN35</f>
        <v>0</v>
      </c>
      <c r="AO36" s="159">
        <f>SUM(AO30,AO34,AO33,AO32)-AO35</f>
        <v>0</v>
      </c>
      <c r="AP36" s="159">
        <f>SUM(AP30,AP34,AP33,AP32)-AP35</f>
        <v>0</v>
      </c>
      <c r="AQ36" s="159">
        <f>SUM(AQ30,AQ34,AQ33,AQ32)-AQ35</f>
        <v>0</v>
      </c>
      <c r="AR36" s="159">
        <f>SUM(AR30,AR34,AR33,AR32)-AR35</f>
        <v>0</v>
      </c>
      <c r="AS36" s="159">
        <f>SUM(AS30,AS34,AS33,AS32)-AS35</f>
        <v>0</v>
      </c>
      <c r="AT36" s="159">
        <f>SUM(AT30,AT34,AT33,AT32)-AT35</f>
        <v>0</v>
      </c>
      <c r="AU36" s="159">
        <f>SUM(AU30,AU34,AU33,AU32)-AU35</f>
        <v>0</v>
      </c>
      <c r="AV36" s="159">
        <f>SUM(AV30,AV34,AV33,AV32)-AV35</f>
        <v>0</v>
      </c>
      <c r="AW36" s="159">
        <f>SUM(AW30,AW34,AW33,AW32)-AW35</f>
        <v>0</v>
      </c>
      <c r="AX36" s="159">
        <f>SUM(AX30,AX34,AX33,AX32)-AX35</f>
        <v>0</v>
      </c>
      <c r="AY36" s="159">
        <f>SUM(AY30,AY34,AY33,AY32)-AY35</f>
        <v>0</v>
      </c>
      <c r="AZ36" s="159">
        <f>SUM(AZ30,AZ34,AZ33,AZ32)-AZ35</f>
        <v>0</v>
      </c>
      <c r="BA36" s="160">
        <f>SUM(BA30,BA34,BA33,BA32)-BA35</f>
        <v>0</v>
      </c>
      <c r="BB36" s="170">
        <f>SUM(BB30,BB34,BB33,BB32)-BB35</f>
        <v>0</v>
      </c>
      <c r="BC36" s="171">
        <f>SUM(BC30,BC34,BC33,BC32)-BC35</f>
        <v>0</v>
      </c>
      <c r="BD36" s="171">
        <f>SUM(BD30,BD34,BD33,BD32)-BD35</f>
        <v>0</v>
      </c>
      <c r="BE36" s="171">
        <f>SUM(BE30,BE34,BE33,BE32)-BE35</f>
        <v>0</v>
      </c>
      <c r="BF36" s="171">
        <f>SUM(BF30,BF34,BF33,BF32)-BF35</f>
        <v>0</v>
      </c>
      <c r="BG36" s="171">
        <f>SUM(BG30,BG34,BG33,BG32)-BG35</f>
        <v>0</v>
      </c>
      <c r="BH36" s="171">
        <f>SUM(BH30,BH34,BH33,BH32)-BH35</f>
        <v>0</v>
      </c>
      <c r="BI36" s="171">
        <f>SUM(BI30,BI34,BI33,BI32)-BI35</f>
        <v>0</v>
      </c>
      <c r="BJ36" s="171">
        <f>SUM(BJ30,BJ34,BJ33,BJ32)-BJ35</f>
        <v>0</v>
      </c>
      <c r="BK36" s="171">
        <f>SUM(BK30,BK34,BK33,BK32)-BK35</f>
        <v>0</v>
      </c>
      <c r="BL36" s="171">
        <f>SUM(BL30,BL34,BL33,BL32)-BL35</f>
        <v>0</v>
      </c>
      <c r="BM36" s="171">
        <f>SUM(BM30,BM34,BM33,BM32)-BM35</f>
        <v>0</v>
      </c>
      <c r="BN36" s="171">
        <f>SUM(BN30,BN34,BN33,BN32)-BN35</f>
        <v>0</v>
      </c>
      <c r="BO36" s="171">
        <f>SUM(BO30,BO34,BO33,BO32)-BO35</f>
        <v>0</v>
      </c>
      <c r="BP36" s="171">
        <f>SUM(BP30,BP34,BP33,BP32)-BP35</f>
        <v>0</v>
      </c>
      <c r="BQ36" s="171">
        <f>SUM(BQ30,BQ34,BQ33,BQ32)-BQ35</f>
        <v>0</v>
      </c>
      <c r="BR36" s="171">
        <f>SUM(BR30,BR34,BR33,BR32)-BR35</f>
        <v>0</v>
      </c>
    </row>
    <row r="37" spans="1:70" x14ac:dyDescent="0.2">
      <c r="A37" s="267"/>
      <c r="B37" s="9"/>
      <c r="C37" s="71"/>
      <c r="D37" s="71"/>
      <c r="E37" s="71"/>
      <c r="F37" s="71"/>
      <c r="G37" s="71"/>
      <c r="H37" s="71"/>
      <c r="I37" s="71"/>
      <c r="J37" s="71"/>
      <c r="K37" s="71"/>
      <c r="L37" s="124"/>
      <c r="M37" s="125"/>
      <c r="N37" s="71"/>
      <c r="O37" s="71"/>
      <c r="P37" s="71"/>
      <c r="Q37" s="71"/>
      <c r="R37" s="46"/>
      <c r="S37" s="70"/>
      <c r="T37" s="70"/>
      <c r="U37" s="70"/>
      <c r="V37" s="70"/>
      <c r="W37" s="70"/>
      <c r="X37" s="70"/>
      <c r="Y37" s="70"/>
      <c r="Z37" s="70"/>
      <c r="AA37" s="70"/>
      <c r="AB37" s="70"/>
      <c r="AC37" s="70"/>
      <c r="AD37" s="70"/>
      <c r="AE37" s="70"/>
      <c r="AF37" s="70"/>
      <c r="AG37" s="70"/>
      <c r="AH37" s="70"/>
      <c r="AI37" s="70"/>
      <c r="AJ37" s="70"/>
      <c r="AK37" s="70"/>
      <c r="AL37" s="70"/>
      <c r="AM37" s="70"/>
      <c r="AN37" s="70"/>
      <c r="AO37" s="70"/>
      <c r="AP37" s="70"/>
      <c r="AQ37" s="70"/>
      <c r="AR37" s="70"/>
      <c r="AS37" s="70"/>
      <c r="AT37" s="70"/>
      <c r="AU37" s="70"/>
      <c r="AV37" s="70"/>
      <c r="AW37" s="70"/>
      <c r="AX37" s="70"/>
      <c r="AY37" s="70"/>
      <c r="AZ37" s="70"/>
      <c r="BA37" s="140"/>
      <c r="BB37" s="139"/>
      <c r="BC37" s="70"/>
      <c r="BD37" s="70"/>
      <c r="BE37" s="70"/>
      <c r="BF37" s="70"/>
      <c r="BG37" s="70"/>
      <c r="BH37" s="70"/>
      <c r="BI37" s="70"/>
      <c r="BJ37" s="70"/>
      <c r="BK37" s="70"/>
      <c r="BL37" s="70"/>
      <c r="BM37" s="70"/>
      <c r="BN37" s="70"/>
      <c r="BO37" s="70"/>
      <c r="BP37" s="70"/>
      <c r="BQ37" s="70"/>
      <c r="BR37" s="70"/>
    </row>
    <row r="38" spans="1:70" x14ac:dyDescent="0.2">
      <c r="A38" s="266" t="s">
        <v>42</v>
      </c>
      <c r="B38" s="9"/>
      <c r="C38" s="66"/>
      <c r="D38" s="66"/>
      <c r="E38" s="66"/>
      <c r="F38" s="66"/>
      <c r="G38" s="66"/>
      <c r="H38" s="66"/>
      <c r="I38" s="66"/>
      <c r="J38" s="66"/>
      <c r="K38" s="66"/>
      <c r="L38" s="99"/>
      <c r="M38" s="180"/>
      <c r="N38" s="66"/>
      <c r="O38" s="66"/>
      <c r="P38" s="66"/>
      <c r="Q38" s="66"/>
      <c r="R38" s="46"/>
      <c r="S38" s="69"/>
      <c r="T38" s="69"/>
      <c r="U38" s="69"/>
      <c r="V38" s="69"/>
      <c r="W38" s="69"/>
      <c r="X38" s="69"/>
      <c r="Y38" s="69"/>
      <c r="Z38" s="69"/>
      <c r="AA38" s="69"/>
      <c r="AB38" s="69"/>
      <c r="AC38" s="69"/>
      <c r="AD38" s="69"/>
      <c r="AE38" s="69"/>
      <c r="AF38" s="69"/>
      <c r="AG38" s="69"/>
      <c r="AH38" s="69"/>
      <c r="AI38" s="69"/>
      <c r="AJ38" s="69"/>
      <c r="AK38" s="69"/>
      <c r="AL38" s="69"/>
      <c r="AM38" s="69"/>
      <c r="AN38" s="69"/>
      <c r="AO38" s="69"/>
      <c r="AP38" s="69"/>
      <c r="AQ38" s="69"/>
      <c r="AR38" s="69"/>
      <c r="AS38" s="69"/>
      <c r="AT38" s="69"/>
      <c r="AU38" s="69"/>
      <c r="AV38" s="66"/>
      <c r="AW38" s="66"/>
      <c r="AX38" s="66"/>
      <c r="AY38" s="66"/>
      <c r="AZ38" s="66"/>
      <c r="BA38" s="99"/>
      <c r="BB38" s="121"/>
      <c r="BC38" s="69"/>
      <c r="BD38" s="69"/>
      <c r="BE38" s="69"/>
      <c r="BF38" s="69"/>
      <c r="BG38" s="69"/>
      <c r="BH38" s="69"/>
      <c r="BI38" s="69"/>
      <c r="BJ38" s="69"/>
      <c r="BK38" s="69"/>
      <c r="BL38" s="69"/>
      <c r="BM38" s="69"/>
      <c r="BN38" s="69"/>
      <c r="BO38" s="69"/>
      <c r="BP38" s="69"/>
      <c r="BQ38" s="69"/>
      <c r="BR38" s="69"/>
    </row>
    <row r="39" spans="1:70" x14ac:dyDescent="0.2">
      <c r="A39" s="168" t="s">
        <v>293</v>
      </c>
      <c r="B39" s="10" t="s">
        <v>158</v>
      </c>
      <c r="C39" s="80">
        <v>8.3000000000000004E-2</v>
      </c>
      <c r="D39" s="80">
        <v>8.5000000000000006E-2</v>
      </c>
      <c r="E39" s="76">
        <f>V39</f>
        <v>8.5999999999999993E-2</v>
      </c>
      <c r="F39" s="76">
        <f>Z39</f>
        <v>8.6999999999999994E-2</v>
      </c>
      <c r="G39" s="76">
        <f>AD39</f>
        <v>8.8999999999999996E-2</v>
      </c>
      <c r="H39" s="76">
        <f>AH39</f>
        <v>0.09</v>
      </c>
      <c r="I39" s="76">
        <f>AL39</f>
        <v>9.0999999999999998E-2</v>
      </c>
      <c r="J39" s="76">
        <f>AP39</f>
        <v>9.0999999999999998E-2</v>
      </c>
      <c r="K39" s="76">
        <f>AT39</f>
        <v>9.2999999999999999E-2</v>
      </c>
      <c r="L39" s="76">
        <f>AX39</f>
        <v>9.5000000000000001E-2</v>
      </c>
      <c r="M39" s="77">
        <f>BB39</f>
        <v>9.7000000000000003E-2</v>
      </c>
      <c r="N39" s="76">
        <f>BF39</f>
        <v>9.7000000000000003E-2</v>
      </c>
      <c r="O39" s="76">
        <f>BJ39</f>
        <v>9.7000000000000003E-2</v>
      </c>
      <c r="P39" s="76">
        <f>BN39</f>
        <v>9.7000000000000003E-2</v>
      </c>
      <c r="Q39" s="76">
        <f>BR39</f>
        <v>9.7000000000000003E-2</v>
      </c>
      <c r="R39" s="59"/>
      <c r="S39" s="80">
        <v>8.5000000000000006E-2</v>
      </c>
      <c r="T39" s="80">
        <v>8.5000000000000006E-2</v>
      </c>
      <c r="U39" s="80">
        <v>8.5000000000000006E-2</v>
      </c>
      <c r="V39" s="80">
        <v>8.5999999999999993E-2</v>
      </c>
      <c r="W39" s="80">
        <v>8.5999999999999993E-2</v>
      </c>
      <c r="X39" s="80">
        <v>8.6999999999999994E-2</v>
      </c>
      <c r="Y39" s="80">
        <v>8.6999999999999994E-2</v>
      </c>
      <c r="Z39" s="80">
        <v>8.6999999999999994E-2</v>
      </c>
      <c r="AA39" s="80">
        <v>8.7999999999999995E-2</v>
      </c>
      <c r="AB39" s="80">
        <v>8.7999999999999995E-2</v>
      </c>
      <c r="AC39" s="80">
        <v>8.7999999999999995E-2</v>
      </c>
      <c r="AD39" s="80">
        <v>8.8999999999999996E-2</v>
      </c>
      <c r="AE39" s="80">
        <v>0.09</v>
      </c>
      <c r="AF39" s="80">
        <v>0.09</v>
      </c>
      <c r="AG39" s="142">
        <v>0.09</v>
      </c>
      <c r="AH39" s="80">
        <v>0.09</v>
      </c>
      <c r="AI39" s="80">
        <v>9.0999999999999998E-2</v>
      </c>
      <c r="AJ39" s="80">
        <v>9.0999999999999998E-2</v>
      </c>
      <c r="AK39" s="80">
        <v>9.0999999999999998E-2</v>
      </c>
      <c r="AL39" s="80">
        <v>9.0999999999999998E-2</v>
      </c>
      <c r="AM39" s="142">
        <v>9.0999999999999998E-2</v>
      </c>
      <c r="AN39" s="142">
        <v>9.0999999999999998E-2</v>
      </c>
      <c r="AO39" s="142">
        <v>9.0999999999999998E-2</v>
      </c>
      <c r="AP39" s="142">
        <v>9.0999999999999998E-2</v>
      </c>
      <c r="AQ39" s="142">
        <v>9.0999999999999998E-2</v>
      </c>
      <c r="AR39" s="142">
        <v>9.1999999999999998E-2</v>
      </c>
      <c r="AS39" s="142">
        <v>9.1999999999999998E-2</v>
      </c>
      <c r="AT39" s="142">
        <v>9.2999999999999999E-2</v>
      </c>
      <c r="AU39" s="142">
        <v>9.4E-2</v>
      </c>
      <c r="AV39" s="142">
        <v>9.4E-2</v>
      </c>
      <c r="AW39" s="142">
        <v>9.5000000000000001E-2</v>
      </c>
      <c r="AX39" s="142">
        <v>9.5000000000000001E-2</v>
      </c>
      <c r="AY39" s="142">
        <v>9.6000000000000002E-2</v>
      </c>
      <c r="AZ39" s="142">
        <v>9.7000000000000003E-2</v>
      </c>
      <c r="BA39" s="153">
        <v>9.7000000000000003E-2</v>
      </c>
      <c r="BB39" s="172">
        <f>BA39</f>
        <v>9.7000000000000003E-2</v>
      </c>
      <c r="BC39" s="157">
        <f>BB39</f>
        <v>9.7000000000000003E-2</v>
      </c>
      <c r="BD39" s="157">
        <f>BC39</f>
        <v>9.7000000000000003E-2</v>
      </c>
      <c r="BE39" s="157">
        <f>BD39</f>
        <v>9.7000000000000003E-2</v>
      </c>
      <c r="BF39" s="157">
        <f>BE39</f>
        <v>9.7000000000000003E-2</v>
      </c>
      <c r="BG39" s="157">
        <f>BF39</f>
        <v>9.7000000000000003E-2</v>
      </c>
      <c r="BH39" s="157">
        <f>BG39</f>
        <v>9.7000000000000003E-2</v>
      </c>
      <c r="BI39" s="157">
        <f>BH39</f>
        <v>9.7000000000000003E-2</v>
      </c>
      <c r="BJ39" s="157">
        <f>BI39</f>
        <v>9.7000000000000003E-2</v>
      </c>
      <c r="BK39" s="157">
        <f>BJ39</f>
        <v>9.7000000000000003E-2</v>
      </c>
      <c r="BL39" s="157">
        <f>BK39</f>
        <v>9.7000000000000003E-2</v>
      </c>
      <c r="BM39" s="157">
        <f>BL39</f>
        <v>9.7000000000000003E-2</v>
      </c>
      <c r="BN39" s="157">
        <f>BM39</f>
        <v>9.7000000000000003E-2</v>
      </c>
      <c r="BO39" s="157">
        <f>BN39</f>
        <v>9.7000000000000003E-2</v>
      </c>
      <c r="BP39" s="157">
        <f>BO39</f>
        <v>9.7000000000000003E-2</v>
      </c>
      <c r="BQ39" s="157">
        <f>BP39</f>
        <v>9.7000000000000003E-2</v>
      </c>
      <c r="BR39" s="157">
        <f>BQ39</f>
        <v>9.7000000000000003E-2</v>
      </c>
    </row>
    <row r="40" spans="1:70" x14ac:dyDescent="0.2">
      <c r="A40" s="168" t="s">
        <v>131</v>
      </c>
      <c r="B40" s="10" t="s">
        <v>159</v>
      </c>
      <c r="C40" s="80">
        <v>183.48599999999999</v>
      </c>
      <c r="D40" s="80">
        <v>197.048</v>
      </c>
      <c r="E40" s="76">
        <f>V40</f>
        <v>204.73500000000001</v>
      </c>
      <c r="F40" s="76">
        <f>Z40</f>
        <v>217.99</v>
      </c>
      <c r="G40" s="76">
        <f>AD40</f>
        <v>231.51599999999999</v>
      </c>
      <c r="H40" s="76">
        <f>AH40</f>
        <v>245.68199999999999</v>
      </c>
      <c r="I40" s="76">
        <f>AL40</f>
        <v>258.02</v>
      </c>
      <c r="J40" s="76">
        <f>AP40</f>
        <v>264.755</v>
      </c>
      <c r="K40" s="76">
        <f>AT40</f>
        <v>282.07</v>
      </c>
      <c r="L40" s="76">
        <f>AX40</f>
        <v>298.92899999999997</v>
      </c>
      <c r="M40" s="77">
        <f>BB40</f>
        <v>316.35599999999999</v>
      </c>
      <c r="N40" s="76">
        <f>BF40</f>
        <v>316.35599999999999</v>
      </c>
      <c r="O40" s="76">
        <f>BJ40</f>
        <v>316.35599999999999</v>
      </c>
      <c r="P40" s="76">
        <f>BN40</f>
        <v>316.35599999999999</v>
      </c>
      <c r="Q40" s="76">
        <f>BR40</f>
        <v>316.35599999999999</v>
      </c>
      <c r="R40" s="59"/>
      <c r="S40" s="80">
        <v>198.232</v>
      </c>
      <c r="T40" s="80">
        <v>200.73500000000001</v>
      </c>
      <c r="U40" s="80">
        <v>202.876</v>
      </c>
      <c r="V40" s="80">
        <v>204.73500000000001</v>
      </c>
      <c r="W40" s="80">
        <v>207.03</v>
      </c>
      <c r="X40" s="80">
        <v>210.428</v>
      </c>
      <c r="Y40" s="80">
        <v>214.61199999999999</v>
      </c>
      <c r="Z40" s="80">
        <v>217.99</v>
      </c>
      <c r="AA40" s="80">
        <v>220.09</v>
      </c>
      <c r="AB40" s="80">
        <v>222.797</v>
      </c>
      <c r="AC40" s="80">
        <v>225.43799999999999</v>
      </c>
      <c r="AD40" s="80">
        <v>231.51599999999999</v>
      </c>
      <c r="AE40" s="80">
        <v>235.96100000000001</v>
      </c>
      <c r="AF40" s="80">
        <v>241.50700000000001</v>
      </c>
      <c r="AG40" s="142">
        <v>244.24700000000001</v>
      </c>
      <c r="AH40" s="80">
        <v>245.68199999999999</v>
      </c>
      <c r="AI40" s="80">
        <v>248.49100000000001</v>
      </c>
      <c r="AJ40" s="80">
        <v>253.55500000000001</v>
      </c>
      <c r="AK40" s="80">
        <v>255.81700000000001</v>
      </c>
      <c r="AL40" s="80">
        <v>258.02</v>
      </c>
      <c r="AM40" s="142">
        <v>259.08100000000002</v>
      </c>
      <c r="AN40" s="142">
        <v>260.78800000000001</v>
      </c>
      <c r="AO40" s="142">
        <v>262.166</v>
      </c>
      <c r="AP40" s="142">
        <v>264.755</v>
      </c>
      <c r="AQ40" s="142">
        <v>266.17500000000001</v>
      </c>
      <c r="AR40" s="142">
        <v>270.08300000000003</v>
      </c>
      <c r="AS40" s="142">
        <v>273.90600000000001</v>
      </c>
      <c r="AT40" s="142">
        <v>282.07</v>
      </c>
      <c r="AU40" s="142">
        <v>288.71800000000002</v>
      </c>
      <c r="AV40" s="142">
        <v>292.75</v>
      </c>
      <c r="AW40" s="142">
        <v>297.745</v>
      </c>
      <c r="AX40" s="142">
        <v>298.92899999999997</v>
      </c>
      <c r="AY40" s="142">
        <v>305.67200000000003</v>
      </c>
      <c r="AZ40" s="142">
        <v>312.55</v>
      </c>
      <c r="BA40" s="153">
        <v>316.35599999999999</v>
      </c>
      <c r="BB40" s="172">
        <f>BA40</f>
        <v>316.35599999999999</v>
      </c>
      <c r="BC40" s="157">
        <f>BB40</f>
        <v>316.35599999999999</v>
      </c>
      <c r="BD40" s="157">
        <f>BC40</f>
        <v>316.35599999999999</v>
      </c>
      <c r="BE40" s="157">
        <f>BD40</f>
        <v>316.35599999999999</v>
      </c>
      <c r="BF40" s="157">
        <f>BE40</f>
        <v>316.35599999999999</v>
      </c>
      <c r="BG40" s="157">
        <f>BF40</f>
        <v>316.35599999999999</v>
      </c>
      <c r="BH40" s="157">
        <f>BG40</f>
        <v>316.35599999999999</v>
      </c>
      <c r="BI40" s="157">
        <f>BH40</f>
        <v>316.35599999999999</v>
      </c>
      <c r="BJ40" s="157">
        <f>BI40</f>
        <v>316.35599999999999</v>
      </c>
      <c r="BK40" s="157">
        <f>BJ40</f>
        <v>316.35599999999999</v>
      </c>
      <c r="BL40" s="157">
        <f>BK40</f>
        <v>316.35599999999999</v>
      </c>
      <c r="BM40" s="157">
        <f>BL40</f>
        <v>316.35599999999999</v>
      </c>
      <c r="BN40" s="157">
        <f>BM40</f>
        <v>316.35599999999999</v>
      </c>
      <c r="BO40" s="157">
        <f>BN40</f>
        <v>316.35599999999999</v>
      </c>
      <c r="BP40" s="157">
        <f>BO40</f>
        <v>316.35599999999999</v>
      </c>
      <c r="BQ40" s="157">
        <f>BP40</f>
        <v>316.35599999999999</v>
      </c>
      <c r="BR40" s="157">
        <f>BQ40</f>
        <v>316.35599999999999</v>
      </c>
    </row>
    <row r="41" spans="1:70" x14ac:dyDescent="0.2">
      <c r="A41" s="168" t="s">
        <v>294</v>
      </c>
      <c r="B41" s="10" t="s">
        <v>160</v>
      </c>
      <c r="C41" s="80">
        <v>71.302000000000007</v>
      </c>
      <c r="D41" s="80">
        <v>88.796000000000006</v>
      </c>
      <c r="E41" s="76">
        <f>V41</f>
        <v>97.924999999999997</v>
      </c>
      <c r="F41" s="76">
        <f>Z41</f>
        <v>123.614</v>
      </c>
      <c r="G41" s="76">
        <f>AD41</f>
        <v>148.012</v>
      </c>
      <c r="H41" s="76">
        <f>AH41</f>
        <v>160.15199999999999</v>
      </c>
      <c r="I41" s="76">
        <f>AL41</f>
        <v>55.18</v>
      </c>
      <c r="J41" s="76">
        <f>AP41</f>
        <v>-194.29900000000001</v>
      </c>
      <c r="K41" s="76">
        <f>AT41</f>
        <v>-246.202</v>
      </c>
      <c r="L41" s="76">
        <f>AX41</f>
        <v>-229.45699999999999</v>
      </c>
      <c r="M41" s="77">
        <f>BB41</f>
        <v>-198.14474004127334</v>
      </c>
      <c r="N41" s="76">
        <f>BF41</f>
        <v>-138.70266186814314</v>
      </c>
      <c r="O41" s="76">
        <f>BJ41</f>
        <v>-48.241359533736436</v>
      </c>
      <c r="P41" s="76">
        <f>BN41</f>
        <v>80.94825788564367</v>
      </c>
      <c r="Q41" s="76">
        <f>BR41</f>
        <v>261.68106433086285</v>
      </c>
      <c r="R41" s="59"/>
      <c r="S41" s="80">
        <v>90.537999999999997</v>
      </c>
      <c r="T41" s="80">
        <v>91.546999999999997</v>
      </c>
      <c r="U41" s="80">
        <v>93.387</v>
      </c>
      <c r="V41" s="80">
        <v>97.924999999999997</v>
      </c>
      <c r="W41" s="80">
        <v>105.054</v>
      </c>
      <c r="X41" s="80">
        <v>112.137</v>
      </c>
      <c r="Y41" s="80">
        <v>119.21599999999999</v>
      </c>
      <c r="Z41" s="80">
        <v>123.614</v>
      </c>
      <c r="AA41" s="80">
        <v>129.75</v>
      </c>
      <c r="AB41" s="80">
        <v>136.52600000000001</v>
      </c>
      <c r="AC41" s="80">
        <v>142.30799999999999</v>
      </c>
      <c r="AD41" s="80">
        <v>148.012</v>
      </c>
      <c r="AE41" s="80">
        <v>155.501</v>
      </c>
      <c r="AF41" s="80">
        <v>160.22499999999999</v>
      </c>
      <c r="AG41" s="142">
        <v>165.90100000000001</v>
      </c>
      <c r="AH41" s="80">
        <v>160.15199999999999</v>
      </c>
      <c r="AI41" s="80">
        <v>160.62100000000001</v>
      </c>
      <c r="AJ41" s="80">
        <v>147.87899999999999</v>
      </c>
      <c r="AK41" s="80">
        <v>141.77000000000001</v>
      </c>
      <c r="AL41" s="80">
        <v>55.18</v>
      </c>
      <c r="AM41" s="142">
        <v>42.029000000000003</v>
      </c>
      <c r="AN41" s="142">
        <v>31.231999999999999</v>
      </c>
      <c r="AO41" s="142">
        <v>22.978000000000002</v>
      </c>
      <c r="AP41" s="142">
        <v>-194.29900000000001</v>
      </c>
      <c r="AQ41" s="142">
        <v>-197.80600000000001</v>
      </c>
      <c r="AR41" s="142">
        <v>-216.864</v>
      </c>
      <c r="AS41" s="142">
        <v>-221.15199999999999</v>
      </c>
      <c r="AT41" s="142">
        <v>-246.202</v>
      </c>
      <c r="AU41" s="142">
        <v>-237.18600000000001</v>
      </c>
      <c r="AV41" s="142">
        <v>-235.74100000000001</v>
      </c>
      <c r="AW41" s="142">
        <v>-233.66</v>
      </c>
      <c r="AX41" s="142">
        <v>-229.45699999999999</v>
      </c>
      <c r="AY41" s="142">
        <v>-223.59700000000001</v>
      </c>
      <c r="AZ41" s="142">
        <v>-218.11099999999999</v>
      </c>
      <c r="BA41" s="153">
        <v>-208.79599999999999</v>
      </c>
      <c r="BB41" s="77">
        <f>BA41+CF!BB5+CF!BB19</f>
        <v>-198.14474004127334</v>
      </c>
      <c r="BC41" s="76">
        <f>BB41+CF!BC5+CF!BC19</f>
        <v>-185.84017764327794</v>
      </c>
      <c r="BD41" s="76">
        <f>BC41+CF!BD5+CF!BD19</f>
        <v>-171.60587436696088</v>
      </c>
      <c r="BE41" s="76">
        <f>BD41+CF!BE5+CF!BE19</f>
        <v>-155.59069089935193</v>
      </c>
      <c r="BF41" s="76">
        <f>BE41+CF!BF5+CF!BF19</f>
        <v>-138.70266186814314</v>
      </c>
      <c r="BG41" s="76">
        <f>BF41+CF!BG5+CF!BG19</f>
        <v>-119.54236020178226</v>
      </c>
      <c r="BH41" s="76">
        <f>BG41+CF!BH5+CF!BH19</f>
        <v>-97.32891027581752</v>
      </c>
      <c r="BI41" s="76">
        <f>BH41+CF!BI5+CF!BI19</f>
        <v>-73.230171783822058</v>
      </c>
      <c r="BJ41" s="76">
        <f>BI41+CF!BJ5+CF!BJ19</f>
        <v>-48.241359533736436</v>
      </c>
      <c r="BK41" s="76">
        <f>BJ41+CF!BK5+CF!BK19</f>
        <v>-20.699718769091852</v>
      </c>
      <c r="BL41" s="76">
        <f>BK41+CF!BL5+CF!BL19</f>
        <v>11.398826706133963</v>
      </c>
      <c r="BM41" s="76">
        <f>BL41+CF!BM5+CF!BM19</f>
        <v>45.712622347896854</v>
      </c>
      <c r="BN41" s="76">
        <f>BM41+CF!BN5+CF!BN19</f>
        <v>80.94825788564367</v>
      </c>
      <c r="BO41" s="76">
        <f>BN41+CF!BO5+CF!BO19</f>
        <v>119.69535022293515</v>
      </c>
      <c r="BP41" s="76">
        <f>BO41+CF!BP5+CF!BP19</f>
        <v>165.16303017666834</v>
      </c>
      <c r="BQ41" s="76">
        <f>BP41+CF!BQ5+CF!BQ19</f>
        <v>213.08176326713789</v>
      </c>
      <c r="BR41" s="76">
        <f>BQ41+CF!BR5+CF!BR19</f>
        <v>261.68106433086285</v>
      </c>
    </row>
    <row r="42" spans="1:70" x14ac:dyDescent="0.2">
      <c r="A42" s="168" t="s">
        <v>144</v>
      </c>
      <c r="B42" s="10"/>
      <c r="C42" s="80">
        <v>2.19</v>
      </c>
      <c r="D42" s="80">
        <v>2.5870000000000002</v>
      </c>
      <c r="E42" s="76">
        <f>V42</f>
        <v>2.34</v>
      </c>
      <c r="F42" s="76">
        <f>Z42</f>
        <v>2.5579999999999998</v>
      </c>
      <c r="G42" s="76">
        <f>AD42</f>
        <v>2.827</v>
      </c>
      <c r="H42" s="76">
        <f>AH42</f>
        <v>1.569</v>
      </c>
      <c r="I42" s="76">
        <f>AL42</f>
        <v>0.318</v>
      </c>
      <c r="J42" s="76">
        <f>AP42</f>
        <v>-2.109</v>
      </c>
      <c r="K42" s="76">
        <f>AT42</f>
        <v>-0.253</v>
      </c>
      <c r="L42" s="76">
        <f>AX42</f>
        <v>-1.998</v>
      </c>
      <c r="M42" s="77">
        <f>BB42</f>
        <v>-2.1869999999999998</v>
      </c>
      <c r="N42" s="76">
        <f>BF42</f>
        <v>-2.1869999999999998</v>
      </c>
      <c r="O42" s="76">
        <f>BJ42</f>
        <v>-2.1869999999999998</v>
      </c>
      <c r="P42" s="76">
        <f>BN42</f>
        <v>-2.1869999999999998</v>
      </c>
      <c r="Q42" s="76">
        <f>BR42</f>
        <v>-2.1869999999999998</v>
      </c>
      <c r="R42" s="59"/>
      <c r="S42" s="80">
        <v>2.6080000000000001</v>
      </c>
      <c r="T42" s="80">
        <v>2.6150000000000002</v>
      </c>
      <c r="U42" s="80">
        <v>2.3969999999999998</v>
      </c>
      <c r="V42" s="80">
        <v>2.34</v>
      </c>
      <c r="W42" s="80">
        <v>2.4849999999999999</v>
      </c>
      <c r="X42" s="80">
        <v>2.2679999999999998</v>
      </c>
      <c r="Y42" s="80">
        <v>2.504</v>
      </c>
      <c r="Z42" s="80">
        <v>2.5579999999999998</v>
      </c>
      <c r="AA42" s="80">
        <v>2.1429999999999998</v>
      </c>
      <c r="AB42" s="80">
        <v>2.0459999999999998</v>
      </c>
      <c r="AC42" s="80">
        <v>2.637</v>
      </c>
      <c r="AD42" s="80">
        <v>2.827</v>
      </c>
      <c r="AE42" s="80">
        <v>2.8279999999999998</v>
      </c>
      <c r="AF42" s="80">
        <v>3.2090000000000001</v>
      </c>
      <c r="AG42" s="142">
        <v>2.37</v>
      </c>
      <c r="AH42" s="80">
        <v>1.569</v>
      </c>
      <c r="AI42" s="80">
        <v>0.69599999999999995</v>
      </c>
      <c r="AJ42" s="80">
        <v>1.5069999999999999</v>
      </c>
      <c r="AK42" s="80">
        <v>0.71899999999999997</v>
      </c>
      <c r="AL42" s="80">
        <v>0.318</v>
      </c>
      <c r="AM42" s="142">
        <v>0.28100000000000003</v>
      </c>
      <c r="AN42" s="142">
        <v>-0.60199999999999998</v>
      </c>
      <c r="AO42" s="142">
        <v>-0.996</v>
      </c>
      <c r="AP42" s="142">
        <v>-2.109</v>
      </c>
      <c r="AQ42" s="142">
        <v>-1.8380000000000001</v>
      </c>
      <c r="AR42" s="142">
        <v>-0.98799999999999999</v>
      </c>
      <c r="AS42" s="142">
        <v>-0.39900000000000002</v>
      </c>
      <c r="AT42" s="142">
        <v>-0.253</v>
      </c>
      <c r="AU42" s="142">
        <v>7.0999999999999994E-2</v>
      </c>
      <c r="AV42" s="142">
        <v>-0.98799999999999999</v>
      </c>
      <c r="AW42" s="142">
        <v>-0.997</v>
      </c>
      <c r="AX42" s="142">
        <v>-1.998</v>
      </c>
      <c r="AY42" s="142">
        <v>-1.494</v>
      </c>
      <c r="AZ42" s="142">
        <v>-1.5289999999999999</v>
      </c>
      <c r="BA42" s="153">
        <v>-2.1869999999999998</v>
      </c>
      <c r="BB42" s="172">
        <f>BA42</f>
        <v>-2.1869999999999998</v>
      </c>
      <c r="BC42" s="157">
        <f>BB42</f>
        <v>-2.1869999999999998</v>
      </c>
      <c r="BD42" s="157">
        <f>BC42</f>
        <v>-2.1869999999999998</v>
      </c>
      <c r="BE42" s="157">
        <f>BD42</f>
        <v>-2.1869999999999998</v>
      </c>
      <c r="BF42" s="157">
        <f>BE42</f>
        <v>-2.1869999999999998</v>
      </c>
      <c r="BG42" s="157">
        <f>BF42</f>
        <v>-2.1869999999999998</v>
      </c>
      <c r="BH42" s="157">
        <f>BG42</f>
        <v>-2.1869999999999998</v>
      </c>
      <c r="BI42" s="157">
        <f>BH42</f>
        <v>-2.1869999999999998</v>
      </c>
      <c r="BJ42" s="157">
        <f>BI42</f>
        <v>-2.1869999999999998</v>
      </c>
      <c r="BK42" s="157">
        <f>BJ42</f>
        <v>-2.1869999999999998</v>
      </c>
      <c r="BL42" s="157">
        <f>BK42</f>
        <v>-2.1869999999999998</v>
      </c>
      <c r="BM42" s="157">
        <f>BL42</f>
        <v>-2.1869999999999998</v>
      </c>
      <c r="BN42" s="157">
        <f>BM42</f>
        <v>-2.1869999999999998</v>
      </c>
      <c r="BO42" s="157">
        <f>BN42</f>
        <v>-2.1869999999999998</v>
      </c>
      <c r="BP42" s="157">
        <f>BO42</f>
        <v>-2.1869999999999998</v>
      </c>
      <c r="BQ42" s="157">
        <f>BP42</f>
        <v>-2.1869999999999998</v>
      </c>
      <c r="BR42" s="157">
        <f>BQ42</f>
        <v>-2.1869999999999998</v>
      </c>
    </row>
    <row r="43" spans="1:70" x14ac:dyDescent="0.2">
      <c r="A43" s="168" t="s">
        <v>295</v>
      </c>
      <c r="B43" s="10"/>
      <c r="C43" s="80">
        <v>-111.56399999999999</v>
      </c>
      <c r="D43" s="80">
        <v>-145.03800000000001</v>
      </c>
      <c r="E43" s="76">
        <f>V43</f>
        <v>-145.22800000000001</v>
      </c>
      <c r="F43" s="76">
        <f>Z43</f>
        <v>-145.49</v>
      </c>
      <c r="G43" s="76">
        <f>AD43</f>
        <v>-163.84</v>
      </c>
      <c r="H43" s="76">
        <f>AH43</f>
        <v>-176.02</v>
      </c>
      <c r="I43" s="76">
        <f>AL43</f>
        <v>-176.18899999999999</v>
      </c>
      <c r="J43" s="76">
        <f>AP43</f>
        <v>-176.23099999999999</v>
      </c>
      <c r="K43" s="76">
        <f>AT43</f>
        <v>-176.34100000000001</v>
      </c>
      <c r="L43" s="76">
        <f>AX43</f>
        <v>-176.464</v>
      </c>
      <c r="M43" s="77">
        <f>BB43</f>
        <v>-177.52600000000001</v>
      </c>
      <c r="N43" s="76">
        <f>BF43</f>
        <v>-177.69</v>
      </c>
      <c r="O43" s="76">
        <f>BJ43</f>
        <v>-177.85399999999998</v>
      </c>
      <c r="P43" s="76">
        <f>BN43</f>
        <v>-178.01799999999997</v>
      </c>
      <c r="Q43" s="76">
        <f>BR43</f>
        <v>-178.18199999999996</v>
      </c>
      <c r="R43" s="59"/>
      <c r="S43" s="80">
        <v>-145.09</v>
      </c>
      <c r="T43" s="80">
        <v>-145.14699999999999</v>
      </c>
      <c r="U43" s="80">
        <v>-145.19399999999999</v>
      </c>
      <c r="V43" s="80">
        <v>-145.22800000000001</v>
      </c>
      <c r="W43" s="80">
        <v>-145.28299999999999</v>
      </c>
      <c r="X43" s="80">
        <v>-145.351</v>
      </c>
      <c r="Y43" s="80">
        <v>-145.41900000000001</v>
      </c>
      <c r="Z43" s="80">
        <v>-145.49</v>
      </c>
      <c r="AA43" s="80">
        <v>-150.21799999999999</v>
      </c>
      <c r="AB43" s="80">
        <v>-157.26499999999999</v>
      </c>
      <c r="AC43" s="80">
        <v>-160.12100000000001</v>
      </c>
      <c r="AD43" s="80">
        <v>-163.84</v>
      </c>
      <c r="AE43" s="80">
        <v>-166.607</v>
      </c>
      <c r="AF43" s="80">
        <v>-170.44399999999999</v>
      </c>
      <c r="AG43" s="142">
        <v>-175.95699999999999</v>
      </c>
      <c r="AH43" s="80">
        <v>-176.02</v>
      </c>
      <c r="AI43" s="80">
        <v>-176.04</v>
      </c>
      <c r="AJ43" s="80">
        <v>-176.06</v>
      </c>
      <c r="AK43" s="80">
        <v>-176.07400000000001</v>
      </c>
      <c r="AL43" s="80">
        <v>-176.18899999999999</v>
      </c>
      <c r="AM43" s="142">
        <v>-176.19800000000001</v>
      </c>
      <c r="AN43" s="142">
        <v>-176.202</v>
      </c>
      <c r="AO43" s="142">
        <v>-176.20599999999999</v>
      </c>
      <c r="AP43" s="142">
        <v>-176.23099999999999</v>
      </c>
      <c r="AQ43" s="142">
        <v>-176.238</v>
      </c>
      <c r="AR43" s="142">
        <v>-176.24199999999999</v>
      </c>
      <c r="AS43" s="142">
        <v>-176.251</v>
      </c>
      <c r="AT43" s="142">
        <v>-176.34100000000001</v>
      </c>
      <c r="AU43" s="142">
        <v>-176.38</v>
      </c>
      <c r="AV43" s="142">
        <v>-176.38900000000001</v>
      </c>
      <c r="AW43" s="142">
        <v>-176.398</v>
      </c>
      <c r="AX43" s="142">
        <v>-176.464</v>
      </c>
      <c r="AY43" s="142">
        <v>-176.47900000000001</v>
      </c>
      <c r="AZ43" s="142">
        <v>-177.44399999999999</v>
      </c>
      <c r="BA43" s="153">
        <v>-177.48500000000001</v>
      </c>
      <c r="BB43" s="77">
        <f>BA43+CF!BB53</f>
        <v>-177.52600000000001</v>
      </c>
      <c r="BC43" s="76">
        <f>BB43+CF!BC53</f>
        <v>-177.56700000000001</v>
      </c>
      <c r="BD43" s="76">
        <f>BC43+CF!BD53</f>
        <v>-177.608</v>
      </c>
      <c r="BE43" s="76">
        <f>BD43+CF!BE53</f>
        <v>-177.649</v>
      </c>
      <c r="BF43" s="76">
        <f>BE43+CF!BF53</f>
        <v>-177.69</v>
      </c>
      <c r="BG43" s="76">
        <f>BF43+CF!BG53</f>
        <v>-177.73099999999999</v>
      </c>
      <c r="BH43" s="76">
        <f>BG43+CF!BH53</f>
        <v>-177.77199999999999</v>
      </c>
      <c r="BI43" s="76">
        <f>BH43+CF!BI53</f>
        <v>-177.81299999999999</v>
      </c>
      <c r="BJ43" s="76">
        <f>BI43+CF!BJ53</f>
        <v>-177.85399999999998</v>
      </c>
      <c r="BK43" s="76">
        <f>BJ43+CF!BK53</f>
        <v>-177.89499999999998</v>
      </c>
      <c r="BL43" s="76">
        <f>BK43+CF!BL53</f>
        <v>-177.93599999999998</v>
      </c>
      <c r="BM43" s="76">
        <f>BL43+CF!BM53</f>
        <v>-177.97699999999998</v>
      </c>
      <c r="BN43" s="76">
        <f>BM43+CF!BN53</f>
        <v>-178.01799999999997</v>
      </c>
      <c r="BO43" s="76">
        <f>BN43+CF!BO53</f>
        <v>-178.05899999999997</v>
      </c>
      <c r="BP43" s="76">
        <f>BO43+CF!BP53</f>
        <v>-178.09999999999997</v>
      </c>
      <c r="BQ43" s="76">
        <f>BP43+CF!BQ53</f>
        <v>-178.14099999999996</v>
      </c>
      <c r="BR43" s="76">
        <f>BQ43+CF!BR53</f>
        <v>-178.18199999999996</v>
      </c>
    </row>
    <row r="44" spans="1:70" x14ac:dyDescent="0.2">
      <c r="A44" s="201" t="s">
        <v>135</v>
      </c>
      <c r="B44" s="10" t="s">
        <v>343</v>
      </c>
      <c r="C44" s="87">
        <v>-8.7999999999999995E-2</v>
      </c>
      <c r="D44" s="87">
        <v>0</v>
      </c>
      <c r="E44" s="84">
        <f>V44</f>
        <v>0</v>
      </c>
      <c r="F44" s="84">
        <f>Z44</f>
        <v>0</v>
      </c>
      <c r="G44" s="84">
        <f>AD44</f>
        <v>0</v>
      </c>
      <c r="H44" s="84">
        <f>AH44</f>
        <v>0</v>
      </c>
      <c r="I44" s="84">
        <f>AL44</f>
        <v>0</v>
      </c>
      <c r="J44" s="84">
        <f>AP44</f>
        <v>0</v>
      </c>
      <c r="K44" s="84">
        <f>AT44</f>
        <v>0</v>
      </c>
      <c r="L44" s="84">
        <f>AX44</f>
        <v>0</v>
      </c>
      <c r="M44" s="83">
        <f>BB44</f>
        <v>0</v>
      </c>
      <c r="N44" s="84">
        <f>BF44</f>
        <v>0</v>
      </c>
      <c r="O44" s="84">
        <f>BJ44</f>
        <v>0</v>
      </c>
      <c r="P44" s="84">
        <f>BN44</f>
        <v>0</v>
      </c>
      <c r="Q44" s="84">
        <f>BR44</f>
        <v>0</v>
      </c>
      <c r="R44" s="59"/>
      <c r="S44" s="87">
        <v>0</v>
      </c>
      <c r="T44" s="87">
        <v>0</v>
      </c>
      <c r="U44" s="87">
        <v>0</v>
      </c>
      <c r="V44" s="87">
        <v>0</v>
      </c>
      <c r="W44" s="87">
        <v>0</v>
      </c>
      <c r="X44" s="87">
        <v>0</v>
      </c>
      <c r="Y44" s="87">
        <v>0</v>
      </c>
      <c r="Z44" s="87">
        <v>0</v>
      </c>
      <c r="AA44" s="87">
        <v>0</v>
      </c>
      <c r="AB44" s="87">
        <v>0</v>
      </c>
      <c r="AC44" s="87">
        <v>0</v>
      </c>
      <c r="AD44" s="87">
        <v>0</v>
      </c>
      <c r="AE44" s="87">
        <v>0</v>
      </c>
      <c r="AF44" s="87">
        <v>0</v>
      </c>
      <c r="AG44" s="143">
        <v>0</v>
      </c>
      <c r="AH44" s="87">
        <v>0</v>
      </c>
      <c r="AI44" s="87">
        <v>0</v>
      </c>
      <c r="AJ44" s="87">
        <v>0</v>
      </c>
      <c r="AK44" s="87">
        <v>0</v>
      </c>
      <c r="AL44" s="87">
        <v>0</v>
      </c>
      <c r="AM44" s="143">
        <v>0</v>
      </c>
      <c r="AN44" s="143">
        <v>0</v>
      </c>
      <c r="AO44" s="143">
        <v>0</v>
      </c>
      <c r="AP44" s="143">
        <v>0</v>
      </c>
      <c r="AQ44" s="143">
        <v>0</v>
      </c>
      <c r="AR44" s="143">
        <v>0</v>
      </c>
      <c r="AS44" s="143">
        <v>0</v>
      </c>
      <c r="AT44" s="143">
        <v>0</v>
      </c>
      <c r="AU44" s="143">
        <v>0</v>
      </c>
      <c r="AV44" s="143">
        <v>0</v>
      </c>
      <c r="AW44" s="143">
        <v>0</v>
      </c>
      <c r="AX44" s="143">
        <v>0</v>
      </c>
      <c r="AY44" s="143">
        <v>0</v>
      </c>
      <c r="AZ44" s="143">
        <v>0</v>
      </c>
      <c r="BA44" s="213">
        <v>0</v>
      </c>
      <c r="BB44" s="253">
        <f>BA44</f>
        <v>0</v>
      </c>
      <c r="BC44" s="158">
        <f>BB44</f>
        <v>0</v>
      </c>
      <c r="BD44" s="158">
        <f>BC44</f>
        <v>0</v>
      </c>
      <c r="BE44" s="158">
        <f>BD44</f>
        <v>0</v>
      </c>
      <c r="BF44" s="158">
        <f>BE44</f>
        <v>0</v>
      </c>
      <c r="BG44" s="158">
        <f>BF44</f>
        <v>0</v>
      </c>
      <c r="BH44" s="158">
        <f>BG44</f>
        <v>0</v>
      </c>
      <c r="BI44" s="158">
        <f>BH44</f>
        <v>0</v>
      </c>
      <c r="BJ44" s="158">
        <f>BI44</f>
        <v>0</v>
      </c>
      <c r="BK44" s="158">
        <f>BJ44</f>
        <v>0</v>
      </c>
      <c r="BL44" s="158">
        <f>BK44</f>
        <v>0</v>
      </c>
      <c r="BM44" s="158">
        <f>BL44</f>
        <v>0</v>
      </c>
      <c r="BN44" s="158">
        <f>BM44</f>
        <v>0</v>
      </c>
      <c r="BO44" s="158">
        <f>BN44</f>
        <v>0</v>
      </c>
      <c r="BP44" s="158">
        <f>BO44</f>
        <v>0</v>
      </c>
      <c r="BQ44" s="158">
        <f>BP44</f>
        <v>0</v>
      </c>
      <c r="BR44" s="158">
        <f>BQ44</f>
        <v>0</v>
      </c>
    </row>
    <row r="45" spans="1:70" x14ac:dyDescent="0.2">
      <c r="A45" s="288" t="s">
        <v>126</v>
      </c>
      <c r="B45" s="19" t="s">
        <v>344</v>
      </c>
      <c r="C45" s="97">
        <v>145.40899999999999</v>
      </c>
      <c r="D45" s="97">
        <v>143.47800000000001</v>
      </c>
      <c r="E45" s="72">
        <f>V45</f>
        <v>159.858</v>
      </c>
      <c r="F45" s="72">
        <f>Z45</f>
        <v>198.75899999999999</v>
      </c>
      <c r="G45" s="72">
        <f>AD45</f>
        <v>218.60400000000001</v>
      </c>
      <c r="H45" s="72">
        <f>AH45</f>
        <v>231.47300000000001</v>
      </c>
      <c r="I45" s="72">
        <f>AL45</f>
        <v>137.41999999999999</v>
      </c>
      <c r="J45" s="72">
        <f>AP45</f>
        <v>-107.79300000000001</v>
      </c>
      <c r="K45" s="72">
        <f>AT45</f>
        <v>-140.63300000000001</v>
      </c>
      <c r="L45" s="72">
        <f>AX45</f>
        <v>-108.895</v>
      </c>
      <c r="M45" s="86">
        <f>BB45</f>
        <v>-61.404740041273371</v>
      </c>
      <c r="N45" s="72">
        <f>BF45</f>
        <v>-2.1266618681431737</v>
      </c>
      <c r="O45" s="72">
        <f>BJ45</f>
        <v>88.170640466263535</v>
      </c>
      <c r="P45" s="72">
        <f>BN45</f>
        <v>217.19625788564366</v>
      </c>
      <c r="Q45" s="72">
        <f>BR45</f>
        <v>397.76506433086291</v>
      </c>
      <c r="R45" s="63"/>
      <c r="S45" s="97">
        <v>146.37299999999999</v>
      </c>
      <c r="T45" s="97">
        <v>149.83500000000001</v>
      </c>
      <c r="U45" s="97">
        <v>153.55099999999999</v>
      </c>
      <c r="V45" s="97">
        <v>159.858</v>
      </c>
      <c r="W45" s="97">
        <v>169.37200000000001</v>
      </c>
      <c r="X45" s="97">
        <v>179.56899999999999</v>
      </c>
      <c r="Y45" s="97">
        <v>191</v>
      </c>
      <c r="Z45" s="97">
        <v>198.75899999999999</v>
      </c>
      <c r="AA45" s="97">
        <v>201.85300000000001</v>
      </c>
      <c r="AB45" s="97">
        <v>204.19200000000001</v>
      </c>
      <c r="AC45" s="97">
        <v>210.35</v>
      </c>
      <c r="AD45" s="97">
        <v>218.60400000000001</v>
      </c>
      <c r="AE45" s="97">
        <v>227.773</v>
      </c>
      <c r="AF45" s="97">
        <v>234.58699999999999</v>
      </c>
      <c r="AG45" s="145">
        <v>236.65100000000001</v>
      </c>
      <c r="AH45" s="97">
        <v>231.47300000000001</v>
      </c>
      <c r="AI45" s="97">
        <v>233.85900000000001</v>
      </c>
      <c r="AJ45" s="97">
        <v>226.97200000000001</v>
      </c>
      <c r="AK45" s="97">
        <v>222.32300000000001</v>
      </c>
      <c r="AL45" s="97">
        <v>137.41999999999999</v>
      </c>
      <c r="AM45" s="145">
        <v>125.28400000000001</v>
      </c>
      <c r="AN45" s="145">
        <v>115.307</v>
      </c>
      <c r="AO45" s="145">
        <v>108.033</v>
      </c>
      <c r="AP45" s="145">
        <v>-107.79300000000001</v>
      </c>
      <c r="AQ45" s="145">
        <v>-109.616</v>
      </c>
      <c r="AR45" s="145">
        <v>-123.919</v>
      </c>
      <c r="AS45" s="145">
        <v>-123.804</v>
      </c>
      <c r="AT45" s="145">
        <v>-140.63300000000001</v>
      </c>
      <c r="AU45" s="145">
        <v>-124.68300000000001</v>
      </c>
      <c r="AV45" s="145">
        <v>-120.274</v>
      </c>
      <c r="AW45" s="145">
        <v>-113.215</v>
      </c>
      <c r="AX45" s="145">
        <v>-108.895</v>
      </c>
      <c r="AY45" s="145">
        <v>-95.802000000000007</v>
      </c>
      <c r="AZ45" s="145">
        <v>-84.436999999999998</v>
      </c>
      <c r="BA45" s="155">
        <v>-72.015000000000001</v>
      </c>
      <c r="BB45" s="136">
        <f>SUM(BB39:BB44)</f>
        <v>-61.404740041273371</v>
      </c>
      <c r="BC45" s="137">
        <f>SUM(BC39:BC44)</f>
        <v>-49.141177643277985</v>
      </c>
      <c r="BD45" s="137">
        <f>SUM(BD39:BD44)</f>
        <v>-34.947874366960917</v>
      </c>
      <c r="BE45" s="137">
        <f>SUM(BE39:BE44)</f>
        <v>-18.973690899351965</v>
      </c>
      <c r="BF45" s="137">
        <f>SUM(BF39:BF44)</f>
        <v>-2.1266618681431737</v>
      </c>
      <c r="BG45" s="137">
        <f>SUM(BG39:BG44)</f>
        <v>16.992639798217709</v>
      </c>
      <c r="BH45" s="137">
        <f>SUM(BH39:BH44)</f>
        <v>39.165089724182451</v>
      </c>
      <c r="BI45" s="137">
        <f>SUM(BI39:BI44)</f>
        <v>63.222828216177902</v>
      </c>
      <c r="BJ45" s="137">
        <f>SUM(BJ39:BJ44)</f>
        <v>88.170640466263535</v>
      </c>
      <c r="BK45" s="137">
        <f>SUM(BK39:BK44)</f>
        <v>115.67128123090811</v>
      </c>
      <c r="BL45" s="137">
        <f>SUM(BL39:BL44)</f>
        <v>147.72882670613393</v>
      </c>
      <c r="BM45" s="137">
        <f>SUM(BM39:BM44)</f>
        <v>182.00162234789684</v>
      </c>
      <c r="BN45" s="137">
        <f>SUM(BN39:BN44)</f>
        <v>217.19625788564366</v>
      </c>
      <c r="BO45" s="137">
        <f>SUM(BO39:BO44)</f>
        <v>255.90235022293513</v>
      </c>
      <c r="BP45" s="137">
        <f>SUM(BP39:BP44)</f>
        <v>301.32903017666837</v>
      </c>
      <c r="BQ45" s="137">
        <f>SUM(BQ39:BQ44)</f>
        <v>349.20676326713783</v>
      </c>
      <c r="BR45" s="137">
        <f>SUM(BR39:BR44)</f>
        <v>397.76506433086291</v>
      </c>
    </row>
    <row r="46" spans="1:70" x14ac:dyDescent="0.2">
      <c r="A46" s="65" t="s">
        <v>7</v>
      </c>
      <c r="B46" s="13"/>
      <c r="C46" s="159">
        <f>SUM(C39:C44)-C45</f>
        <v>0</v>
      </c>
      <c r="D46" s="159">
        <f>SUM(D39:D44)-D45</f>
        <v>0</v>
      </c>
      <c r="E46" s="159">
        <f>SUM(E39:E44)-E45</f>
        <v>0</v>
      </c>
      <c r="F46" s="159">
        <f>SUM(F39:F44)-F45</f>
        <v>0</v>
      </c>
      <c r="G46" s="159">
        <f>SUM(G39:G44)-G45</f>
        <v>0</v>
      </c>
      <c r="H46" s="159">
        <f>SUM(H39:H44)-H45</f>
        <v>0</v>
      </c>
      <c r="I46" s="159">
        <f>SUM(I39:I44)-I45</f>
        <v>0</v>
      </c>
      <c r="J46" s="159">
        <f>SUM(J39:J44)-J45</f>
        <v>0</v>
      </c>
      <c r="K46" s="159">
        <f>SUM(K39:K44)-K45</f>
        <v>0</v>
      </c>
      <c r="L46" s="160">
        <f>SUM(L39:L44)-L45</f>
        <v>0</v>
      </c>
      <c r="M46" s="167">
        <f>SUM(M39:M44)-M45</f>
        <v>0</v>
      </c>
      <c r="N46" s="159">
        <f>SUM(N39:N44)-N45</f>
        <v>0</v>
      </c>
      <c r="O46" s="159">
        <f>SUM(O39:O44)-O45</f>
        <v>0</v>
      </c>
      <c r="P46" s="159">
        <f>SUM(P39:P44)-P45</f>
        <v>0</v>
      </c>
      <c r="Q46" s="159">
        <f>SUM(Q39:Q44)-Q45</f>
        <v>0</v>
      </c>
      <c r="R46" s="50"/>
      <c r="S46" s="159">
        <f>SUM(S39:S44)-S45</f>
        <v>0</v>
      </c>
      <c r="T46" s="159">
        <f>SUM(T39:T44)-T45</f>
        <v>0</v>
      </c>
      <c r="U46" s="159">
        <f>SUM(U39:U44)-U45</f>
        <v>0</v>
      </c>
      <c r="V46" s="159">
        <f>SUM(V39:V44)-V45</f>
        <v>0</v>
      </c>
      <c r="W46" s="159">
        <f>SUM(W39:W44)-W45</f>
        <v>0</v>
      </c>
      <c r="X46" s="159">
        <f>SUM(X39:X44)-X45</f>
        <v>0</v>
      </c>
      <c r="Y46" s="159">
        <f>SUM(Y39:Y44)-Y45</f>
        <v>0</v>
      </c>
      <c r="Z46" s="159">
        <f>SUM(Z39:Z44)-Z45</f>
        <v>0</v>
      </c>
      <c r="AA46" s="159">
        <f>SUM(AA39:AA44)-AA45</f>
        <v>0</v>
      </c>
      <c r="AB46" s="159">
        <f>SUM(AB39:AB44)-AB45</f>
        <v>0</v>
      </c>
      <c r="AC46" s="159">
        <f>SUM(AC39:AC44)-AC45</f>
        <v>0</v>
      </c>
      <c r="AD46" s="159">
        <f>SUM(AD39:AD44)-AD45</f>
        <v>0</v>
      </c>
      <c r="AE46" s="159">
        <f>SUM(AE39:AE44)-AE45</f>
        <v>0</v>
      </c>
      <c r="AF46" s="159">
        <f>SUM(AF39:AF44)-AF45</f>
        <v>0</v>
      </c>
      <c r="AG46" s="159">
        <f>SUM(AG39:AG44)-AG45</f>
        <v>0</v>
      </c>
      <c r="AH46" s="159">
        <f>SUM(AH39:AH44)-AH45</f>
        <v>0</v>
      </c>
      <c r="AI46" s="159">
        <f>SUM(AI39:AI44)-AI45</f>
        <v>0</v>
      </c>
      <c r="AJ46" s="159">
        <f>SUM(AJ39:AJ44)-AJ45</f>
        <v>0</v>
      </c>
      <c r="AK46" s="159">
        <f>SUM(AK39:AK44)-AK45</f>
        <v>0</v>
      </c>
      <c r="AL46" s="159">
        <f>SUM(AL39:AL44)-AL45</f>
        <v>0</v>
      </c>
      <c r="AM46" s="159">
        <f>SUM(AM39:AM44)-AM45</f>
        <v>0</v>
      </c>
      <c r="AN46" s="159">
        <f>SUM(AN39:AN44)-AN45</f>
        <v>0</v>
      </c>
      <c r="AO46" s="159">
        <f>SUM(AO39:AO44)-AO45</f>
        <v>0</v>
      </c>
      <c r="AP46" s="159">
        <f>SUM(AP39:AP44)-AP45</f>
        <v>0</v>
      </c>
      <c r="AQ46" s="159">
        <f>SUM(AQ39:AQ44)-AQ45</f>
        <v>0</v>
      </c>
      <c r="AR46" s="159">
        <f>SUM(AR39:AR44)-AR45</f>
        <v>0</v>
      </c>
      <c r="AS46" s="159">
        <f>SUM(AS39:AS44)-AS45</f>
        <v>0</v>
      </c>
      <c r="AT46" s="159">
        <f>SUM(AT39:AT44)-AT45</f>
        <v>0</v>
      </c>
      <c r="AU46" s="159">
        <f>SUM(AU39:AU44)-AU45</f>
        <v>0</v>
      </c>
      <c r="AV46" s="159">
        <f>SUM(AV39:AV44)-AV45</f>
        <v>0</v>
      </c>
      <c r="AW46" s="159">
        <f>SUM(AW39:AW44)-AW45</f>
        <v>0</v>
      </c>
      <c r="AX46" s="159">
        <f>SUM(AX39:AX44)-AX45</f>
        <v>0</v>
      </c>
      <c r="AY46" s="159">
        <f>SUM(AY39:AY44)-AY45</f>
        <v>0</v>
      </c>
      <c r="AZ46" s="159">
        <f>SUM(AZ39:AZ44)-AZ45</f>
        <v>0</v>
      </c>
      <c r="BA46" s="160">
        <f>SUM(BA39:BA44)-BA45</f>
        <v>0</v>
      </c>
      <c r="BB46" s="170">
        <f>SUM(BB39:BB44)-BB45</f>
        <v>0</v>
      </c>
      <c r="BC46" s="171">
        <f>SUM(BC39:BC44)-BC45</f>
        <v>0</v>
      </c>
      <c r="BD46" s="171">
        <f>SUM(BD39:BD44)-BD45</f>
        <v>0</v>
      </c>
      <c r="BE46" s="171">
        <f>SUM(BE39:BE44)-BE45</f>
        <v>0</v>
      </c>
      <c r="BF46" s="171">
        <f>SUM(BF39:BF44)-BF45</f>
        <v>0</v>
      </c>
      <c r="BG46" s="171">
        <f>SUM(BG39:BG44)-BG45</f>
        <v>0</v>
      </c>
      <c r="BH46" s="171">
        <f>SUM(BH39:BH44)-BH45</f>
        <v>0</v>
      </c>
      <c r="BI46" s="171">
        <f>SUM(BI39:BI44)-BI45</f>
        <v>0</v>
      </c>
      <c r="BJ46" s="171">
        <f>SUM(BJ39:BJ44)-BJ45</f>
        <v>0</v>
      </c>
      <c r="BK46" s="171">
        <f>SUM(BK39:BK44)-BK45</f>
        <v>0</v>
      </c>
      <c r="BL46" s="171">
        <f>SUM(BL39:BL44)-BL45</f>
        <v>0</v>
      </c>
      <c r="BM46" s="171">
        <f>SUM(BM39:BM44)-BM45</f>
        <v>0</v>
      </c>
      <c r="BN46" s="171">
        <f>SUM(BN39:BN44)-BN45</f>
        <v>0</v>
      </c>
      <c r="BO46" s="171">
        <f>SUM(BO39:BO44)-BO45</f>
        <v>0</v>
      </c>
      <c r="BP46" s="171">
        <f>SUM(BP39:BP44)-BP45</f>
        <v>0</v>
      </c>
      <c r="BQ46" s="171">
        <f>SUM(BQ39:BQ44)-BQ45</f>
        <v>0</v>
      </c>
      <c r="BR46" s="171">
        <f>SUM(BR39:BR44)-BR45</f>
        <v>0</v>
      </c>
    </row>
    <row r="47" spans="1:70" x14ac:dyDescent="0.2">
      <c r="A47" s="267"/>
      <c r="B47" s="9"/>
      <c r="C47" s="71"/>
      <c r="D47" s="71"/>
      <c r="E47" s="71"/>
      <c r="F47" s="71"/>
      <c r="G47" s="71"/>
      <c r="H47" s="71"/>
      <c r="I47" s="71"/>
      <c r="J47" s="71"/>
      <c r="K47" s="71"/>
      <c r="L47" s="124"/>
      <c r="M47" s="125"/>
      <c r="N47" s="71"/>
      <c r="O47" s="71"/>
      <c r="P47" s="71"/>
      <c r="Q47" s="71"/>
      <c r="R47" s="46"/>
      <c r="S47" s="70"/>
      <c r="T47" s="70"/>
      <c r="U47" s="70"/>
      <c r="V47" s="70"/>
      <c r="W47" s="70"/>
      <c r="X47" s="70"/>
      <c r="Y47" s="70"/>
      <c r="Z47" s="70"/>
      <c r="AA47" s="70"/>
      <c r="AB47" s="70"/>
      <c r="AC47" s="70"/>
      <c r="AD47" s="70"/>
      <c r="AE47" s="70"/>
      <c r="AF47" s="70"/>
      <c r="AG47" s="70"/>
      <c r="AH47" s="70"/>
      <c r="AI47" s="70"/>
      <c r="AJ47" s="70"/>
      <c r="AK47" s="70"/>
      <c r="AL47" s="70"/>
      <c r="AM47" s="70"/>
      <c r="AN47" s="70"/>
      <c r="AO47" s="70"/>
      <c r="AP47" s="70"/>
      <c r="AQ47" s="70"/>
      <c r="AR47" s="70"/>
      <c r="AS47" s="70"/>
      <c r="AT47" s="70"/>
      <c r="AU47" s="70"/>
      <c r="AV47" s="70"/>
      <c r="AW47" s="70"/>
      <c r="AX47" s="70"/>
      <c r="AY47" s="70"/>
      <c r="AZ47" s="70"/>
      <c r="BA47" s="140"/>
      <c r="BB47" s="139"/>
      <c r="BC47" s="70"/>
      <c r="BD47" s="70"/>
      <c r="BE47" s="70"/>
      <c r="BF47" s="70"/>
      <c r="BG47" s="70"/>
      <c r="BH47" s="70"/>
      <c r="BI47" s="70"/>
      <c r="BJ47" s="70"/>
      <c r="BK47" s="70"/>
      <c r="BL47" s="70"/>
      <c r="BM47" s="70"/>
      <c r="BN47" s="70"/>
      <c r="BO47" s="70"/>
      <c r="BP47" s="70"/>
      <c r="BQ47" s="70"/>
      <c r="BR47" s="70"/>
    </row>
    <row r="48" spans="1:70" x14ac:dyDescent="0.2">
      <c r="A48" s="288" t="s">
        <v>296</v>
      </c>
      <c r="B48" s="19" t="s">
        <v>161</v>
      </c>
      <c r="C48" s="97">
        <v>501.767</v>
      </c>
      <c r="D48" s="97">
        <v>458.39400000000001</v>
      </c>
      <c r="E48" s="72">
        <f>V48</f>
        <v>529.06700000000001</v>
      </c>
      <c r="F48" s="72">
        <f>Z48</f>
        <v>553.89499999999998</v>
      </c>
      <c r="G48" s="72">
        <f>AD48</f>
        <v>527.327</v>
      </c>
      <c r="H48" s="72">
        <f>AH48</f>
        <v>1707.2850000000001</v>
      </c>
      <c r="I48" s="72">
        <f>AL48</f>
        <v>1550.385</v>
      </c>
      <c r="J48" s="72">
        <f>AP48</f>
        <v>1408.163</v>
      </c>
      <c r="K48" s="72">
        <f>AT48</f>
        <v>1537.0740000000001</v>
      </c>
      <c r="L48" s="72">
        <f>AX48</f>
        <v>1548.261</v>
      </c>
      <c r="M48" s="86">
        <f>BB48</f>
        <v>1561.671302673979</v>
      </c>
      <c r="N48" s="72">
        <f>BF48</f>
        <v>1671.2784930050843</v>
      </c>
      <c r="O48" s="72">
        <f>BJ48</f>
        <v>1836.5110181196605</v>
      </c>
      <c r="P48" s="72">
        <f>BN48</f>
        <v>2068.8008811618247</v>
      </c>
      <c r="Q48" s="72">
        <f>BR48</f>
        <v>2393.778130046303</v>
      </c>
      <c r="R48" s="63"/>
      <c r="S48" s="97">
        <v>439.536</v>
      </c>
      <c r="T48" s="97">
        <v>422.33199999999999</v>
      </c>
      <c r="U48" s="97">
        <v>438.55700000000002</v>
      </c>
      <c r="V48" s="97">
        <v>529.06700000000001</v>
      </c>
      <c r="W48" s="97">
        <v>495.58199999999999</v>
      </c>
      <c r="X48" s="97">
        <v>484.60700000000003</v>
      </c>
      <c r="Y48" s="97">
        <v>529.35500000000002</v>
      </c>
      <c r="Z48" s="97">
        <v>553.89499999999998</v>
      </c>
      <c r="AA48" s="97">
        <v>555.95299999999997</v>
      </c>
      <c r="AB48" s="97">
        <v>558.61900000000003</v>
      </c>
      <c r="AC48" s="97">
        <v>535.68200000000002</v>
      </c>
      <c r="AD48" s="97">
        <v>527.327</v>
      </c>
      <c r="AE48" s="97">
        <v>598.64499999999998</v>
      </c>
      <c r="AF48" s="97">
        <v>573.40499999999997</v>
      </c>
      <c r="AG48" s="145">
        <v>518.11</v>
      </c>
      <c r="AH48" s="97">
        <v>1707.2850000000001</v>
      </c>
      <c r="AI48" s="97">
        <v>1725.2639999999999</v>
      </c>
      <c r="AJ48" s="97">
        <v>1707.1189999999999</v>
      </c>
      <c r="AK48" s="97">
        <v>1650.846</v>
      </c>
      <c r="AL48" s="97">
        <v>1550.385</v>
      </c>
      <c r="AM48" s="145">
        <v>1515.9159999999999</v>
      </c>
      <c r="AN48" s="145">
        <v>1470.36</v>
      </c>
      <c r="AO48" s="145">
        <v>1456.213</v>
      </c>
      <c r="AP48" s="145">
        <v>1408.163</v>
      </c>
      <c r="AQ48" s="145">
        <v>1320.4739999999999</v>
      </c>
      <c r="AR48" s="145">
        <v>1337.3979999999999</v>
      </c>
      <c r="AS48" s="145">
        <v>1425.605</v>
      </c>
      <c r="AT48" s="145">
        <v>1537.0740000000001</v>
      </c>
      <c r="AU48" s="145">
        <v>1474.749</v>
      </c>
      <c r="AV48" s="145">
        <v>1439.816</v>
      </c>
      <c r="AW48" s="145">
        <v>1534.241</v>
      </c>
      <c r="AX48" s="145">
        <v>1548.261</v>
      </c>
      <c r="AY48" s="145">
        <v>1632.0039999999999</v>
      </c>
      <c r="AZ48" s="145">
        <v>1596.3030000000001</v>
      </c>
      <c r="BA48" s="155">
        <v>1567.5719999999999</v>
      </c>
      <c r="BB48" s="136">
        <f>BB45+BB35</f>
        <v>1561.671302673979</v>
      </c>
      <c r="BC48" s="137">
        <f>BC45+BC35</f>
        <v>1587.7594541134665</v>
      </c>
      <c r="BD48" s="137">
        <f>BD45+BD35</f>
        <v>1619.4265005027289</v>
      </c>
      <c r="BE48" s="137">
        <f>BE45+BE35</f>
        <v>1650.9093762603402</v>
      </c>
      <c r="BF48" s="137">
        <f>BF45+BF35</f>
        <v>1671.2784930050843</v>
      </c>
      <c r="BG48" s="137">
        <f>BG45+BG35</f>
        <v>1712.3931635008507</v>
      </c>
      <c r="BH48" s="137">
        <f>BH45+BH35</f>
        <v>1766.869011320593</v>
      </c>
      <c r="BI48" s="137">
        <f>BI45+BI35</f>
        <v>1807.8136956011899</v>
      </c>
      <c r="BJ48" s="137">
        <f>BJ45+BJ35</f>
        <v>1836.5110181196605</v>
      </c>
      <c r="BK48" s="137">
        <f>BK45+BK35</f>
        <v>1889.7105344804086</v>
      </c>
      <c r="BL48" s="137">
        <f>BL45+BL35</f>
        <v>1973.9219696781117</v>
      </c>
      <c r="BM48" s="137">
        <f>BM45+BM35</f>
        <v>2029.4374031824013</v>
      </c>
      <c r="BN48" s="137">
        <f>BN45+BN35</f>
        <v>2068.8008811618247</v>
      </c>
      <c r="BO48" s="137">
        <f>BO45+BO35</f>
        <v>2145.8603204529322</v>
      </c>
      <c r="BP48" s="137">
        <f>BP45+BP35</f>
        <v>2272.0028090587439</v>
      </c>
      <c r="BQ48" s="137">
        <f>BQ45+BQ35</f>
        <v>2344.2359213935524</v>
      </c>
      <c r="BR48" s="137">
        <f>BR45+BR35</f>
        <v>2393.778130046303</v>
      </c>
    </row>
    <row r="49" spans="1:70" x14ac:dyDescent="0.2">
      <c r="A49" s="65" t="s">
        <v>7</v>
      </c>
      <c r="B49" s="13"/>
      <c r="C49" s="88">
        <f>C45+C35-C48</f>
        <v>0</v>
      </c>
      <c r="D49" s="88">
        <f>D45+D35-D48</f>
        <v>0</v>
      </c>
      <c r="E49" s="88">
        <f>E45+E35-E48</f>
        <v>0</v>
      </c>
      <c r="F49" s="88">
        <f>F45+F35-F48</f>
        <v>0</v>
      </c>
      <c r="G49" s="88">
        <f>G45+G35-G48</f>
        <v>0</v>
      </c>
      <c r="H49" s="88">
        <f>H45+H35-H48</f>
        <v>0</v>
      </c>
      <c r="I49" s="88">
        <f>I45+I35-I48</f>
        <v>0</v>
      </c>
      <c r="J49" s="88">
        <f>J45+J35-J48</f>
        <v>0</v>
      </c>
      <c r="K49" s="88">
        <f>K45+K35-K48</f>
        <v>0</v>
      </c>
      <c r="L49" s="90">
        <f>L45+L35-L48</f>
        <v>0</v>
      </c>
      <c r="M49" s="89">
        <f>M45+M35-M48</f>
        <v>0</v>
      </c>
      <c r="N49" s="88">
        <f>N45+N35-N48</f>
        <v>0</v>
      </c>
      <c r="O49" s="88">
        <f>O45+O35-O48</f>
        <v>0</v>
      </c>
      <c r="P49" s="88">
        <f>P45+P35-P48</f>
        <v>0</v>
      </c>
      <c r="Q49" s="88">
        <f>Q45+Q35-Q48</f>
        <v>0</v>
      </c>
      <c r="R49" s="50"/>
      <c r="S49" s="88">
        <f>S45+S35-S48</f>
        <v>0</v>
      </c>
      <c r="T49" s="88">
        <f>T45+T35-T48</f>
        <v>0</v>
      </c>
      <c r="U49" s="88">
        <f>U45+U35-U48</f>
        <v>0</v>
      </c>
      <c r="V49" s="88">
        <f>V45+V35-V48</f>
        <v>0</v>
      </c>
      <c r="W49" s="88">
        <f>W45+W35-W48</f>
        <v>0</v>
      </c>
      <c r="X49" s="88">
        <f>X45+X35-X48</f>
        <v>0</v>
      </c>
      <c r="Y49" s="88">
        <f>Y45+Y35-Y48</f>
        <v>0</v>
      </c>
      <c r="Z49" s="88">
        <f>Z45+Z35-Z48</f>
        <v>0</v>
      </c>
      <c r="AA49" s="88">
        <f>AA45+AA35-AA48</f>
        <v>0</v>
      </c>
      <c r="AB49" s="88">
        <f>AB45+AB35-AB48</f>
        <v>0</v>
      </c>
      <c r="AC49" s="88">
        <f>AC45+AC35-AC48</f>
        <v>0</v>
      </c>
      <c r="AD49" s="88">
        <f>AD45+AD35-AD48</f>
        <v>0</v>
      </c>
      <c r="AE49" s="88">
        <f>AE45+AE35-AE48</f>
        <v>0</v>
      </c>
      <c r="AF49" s="88">
        <f>AF45+AF35-AF48</f>
        <v>0</v>
      </c>
      <c r="AG49" s="88">
        <f>AG45+AG35-AG48</f>
        <v>0</v>
      </c>
      <c r="AH49" s="88">
        <f>AH45+AH35-AH48</f>
        <v>0</v>
      </c>
      <c r="AI49" s="88">
        <f>AI45+AI35-AI48</f>
        <v>0</v>
      </c>
      <c r="AJ49" s="88">
        <f>AJ45+AJ35-AJ48</f>
        <v>0</v>
      </c>
      <c r="AK49" s="88">
        <f>AK45+AK35-AK48</f>
        <v>0</v>
      </c>
      <c r="AL49" s="88">
        <f>AL45+AL35-AL48</f>
        <v>0</v>
      </c>
      <c r="AM49" s="88">
        <f>AM45+AM35-AM48</f>
        <v>0</v>
      </c>
      <c r="AN49" s="88">
        <f>AN45+AN35-AN48</f>
        <v>0</v>
      </c>
      <c r="AO49" s="88">
        <f>AO45+AO35-AO48</f>
        <v>0</v>
      </c>
      <c r="AP49" s="88">
        <f>AP45+AP35-AP48</f>
        <v>0</v>
      </c>
      <c r="AQ49" s="88">
        <f>AQ45+AQ35-AQ48</f>
        <v>0</v>
      </c>
      <c r="AR49" s="88">
        <f>AR45+AR35-AR48</f>
        <v>0</v>
      </c>
      <c r="AS49" s="88">
        <f>AS45+AS35-AS48</f>
        <v>0</v>
      </c>
      <c r="AT49" s="88">
        <f>AT45+AT35-AT48</f>
        <v>0</v>
      </c>
      <c r="AU49" s="88">
        <f>AU45+AU35-AU48</f>
        <v>0</v>
      </c>
      <c r="AV49" s="88">
        <f>AV45+AV35-AV48</f>
        <v>0</v>
      </c>
      <c r="AW49" s="88">
        <f>AW45+AW35-AW48</f>
        <v>0</v>
      </c>
      <c r="AX49" s="88">
        <f>AX45+AX35-AX48</f>
        <v>0</v>
      </c>
      <c r="AY49" s="88">
        <f>AY45+AY35-AY48</f>
        <v>0</v>
      </c>
      <c r="AZ49" s="88">
        <f>AZ45+AZ35-AZ48</f>
        <v>0</v>
      </c>
      <c r="BA49" s="90">
        <f>BA45+BA35-BA48</f>
        <v>0</v>
      </c>
      <c r="BB49" s="89">
        <f>BB45+BB35-BB48</f>
        <v>0</v>
      </c>
      <c r="BC49" s="88">
        <f>BC45+BC35-BC48</f>
        <v>0</v>
      </c>
      <c r="BD49" s="88">
        <f>BD45+BD35-BD48</f>
        <v>0</v>
      </c>
      <c r="BE49" s="88">
        <f>BE45+BE35-BE48</f>
        <v>0</v>
      </c>
      <c r="BF49" s="88">
        <f>BF45+BF35-BF48</f>
        <v>0</v>
      </c>
      <c r="BG49" s="88">
        <f>BG45+BG35-BG48</f>
        <v>0</v>
      </c>
      <c r="BH49" s="88">
        <f>BH45+BH35-BH48</f>
        <v>0</v>
      </c>
      <c r="BI49" s="88">
        <f>BI45+BI35-BI48</f>
        <v>0</v>
      </c>
      <c r="BJ49" s="88">
        <f>BJ45+BJ35-BJ48</f>
        <v>0</v>
      </c>
      <c r="BK49" s="88">
        <f>BK45+BK35-BK48</f>
        <v>0</v>
      </c>
      <c r="BL49" s="88">
        <f>BL45+BL35-BL48</f>
        <v>0</v>
      </c>
      <c r="BM49" s="88">
        <f>BM45+BM35-BM48</f>
        <v>0</v>
      </c>
      <c r="BN49" s="88">
        <f>BN45+BN35-BN48</f>
        <v>0</v>
      </c>
      <c r="BO49" s="88">
        <f>BO45+BO35-BO48</f>
        <v>0</v>
      </c>
      <c r="BP49" s="88">
        <f>BP45+BP35-BP48</f>
        <v>0</v>
      </c>
      <c r="BQ49" s="88">
        <f>BQ45+BQ35-BQ48</f>
        <v>0</v>
      </c>
      <c r="BR49" s="88">
        <f>BR45+BR35-BR48</f>
        <v>0</v>
      </c>
    </row>
    <row r="50" spans="1:70" x14ac:dyDescent="0.2">
      <c r="A50" s="65" t="s">
        <v>7</v>
      </c>
      <c r="B50" s="13"/>
      <c r="C50" s="88">
        <f>C48-C23</f>
        <v>0</v>
      </c>
      <c r="D50" s="88">
        <f>D48-D23</f>
        <v>0</v>
      </c>
      <c r="E50" s="88">
        <f>E48-E23</f>
        <v>0</v>
      </c>
      <c r="F50" s="88">
        <f>F48-F23</f>
        <v>0</v>
      </c>
      <c r="G50" s="88">
        <f>G48-G23</f>
        <v>0</v>
      </c>
      <c r="H50" s="88">
        <f>H48-H23</f>
        <v>0</v>
      </c>
      <c r="I50" s="88">
        <f>I48-I23</f>
        <v>0</v>
      </c>
      <c r="J50" s="88">
        <f>J48-J23</f>
        <v>0</v>
      </c>
      <c r="K50" s="88">
        <f>K48-K23</f>
        <v>0</v>
      </c>
      <c r="L50" s="90">
        <f>L48-L23</f>
        <v>0</v>
      </c>
      <c r="M50" s="89">
        <f>M48-M23</f>
        <v>0</v>
      </c>
      <c r="N50" s="88">
        <f>N48-N23</f>
        <v>0</v>
      </c>
      <c r="O50" s="88">
        <f>O48-O23</f>
        <v>0</v>
      </c>
      <c r="P50" s="88">
        <f>P48-P23</f>
        <v>0</v>
      </c>
      <c r="Q50" s="88">
        <f>Q48-Q23</f>
        <v>0</v>
      </c>
      <c r="R50" s="50"/>
      <c r="S50" s="88">
        <f>S48-S23</f>
        <v>0</v>
      </c>
      <c r="T50" s="88">
        <f>T48-T23</f>
        <v>0</v>
      </c>
      <c r="U50" s="88">
        <f>U48-U23</f>
        <v>0</v>
      </c>
      <c r="V50" s="88">
        <f>V48-V23</f>
        <v>0</v>
      </c>
      <c r="W50" s="88">
        <f>W48-W23</f>
        <v>0</v>
      </c>
      <c r="X50" s="88">
        <f>X48-X23</f>
        <v>0</v>
      </c>
      <c r="Y50" s="88">
        <f>Y48-Y23</f>
        <v>0</v>
      </c>
      <c r="Z50" s="88">
        <f>Z48-Z23</f>
        <v>0</v>
      </c>
      <c r="AA50" s="88">
        <f>AA48-AA23</f>
        <v>0</v>
      </c>
      <c r="AB50" s="88">
        <f>AB48-AB23</f>
        <v>0</v>
      </c>
      <c r="AC50" s="88">
        <f>AC48-AC23</f>
        <v>0</v>
      </c>
      <c r="AD50" s="88">
        <f>AD48-AD23</f>
        <v>0</v>
      </c>
      <c r="AE50" s="88">
        <f>AE48-AE23</f>
        <v>0</v>
      </c>
      <c r="AF50" s="88">
        <f>AF48-AF23</f>
        <v>0</v>
      </c>
      <c r="AG50" s="88">
        <f>AG48-AG23</f>
        <v>0</v>
      </c>
      <c r="AH50" s="88">
        <f>AH48-AH23</f>
        <v>0</v>
      </c>
      <c r="AI50" s="88">
        <f>AI48-AI23</f>
        <v>0</v>
      </c>
      <c r="AJ50" s="88">
        <f>AJ48-AJ23</f>
        <v>0</v>
      </c>
      <c r="AK50" s="88">
        <f>AK48-AK23</f>
        <v>0</v>
      </c>
      <c r="AL50" s="88">
        <f>AL48-AL23</f>
        <v>0</v>
      </c>
      <c r="AM50" s="88">
        <f>AM48-AM23</f>
        <v>0</v>
      </c>
      <c r="AN50" s="88">
        <f>AN48-AN23</f>
        <v>0</v>
      </c>
      <c r="AO50" s="88">
        <f>AO48-AO23</f>
        <v>0</v>
      </c>
      <c r="AP50" s="88">
        <f>AP48-AP23</f>
        <v>0</v>
      </c>
      <c r="AQ50" s="88">
        <f>AQ48-AQ23</f>
        <v>0</v>
      </c>
      <c r="AR50" s="88">
        <f>AR48-AR23</f>
        <v>0</v>
      </c>
      <c r="AS50" s="88">
        <f>AS48-AS23</f>
        <v>0</v>
      </c>
      <c r="AT50" s="88">
        <f>AT48-AT23</f>
        <v>0</v>
      </c>
      <c r="AU50" s="88">
        <f>AU48-AU23</f>
        <v>0</v>
      </c>
      <c r="AV50" s="88">
        <f>AV48-AV23</f>
        <v>0</v>
      </c>
      <c r="AW50" s="88">
        <f>AW48-AW23</f>
        <v>0</v>
      </c>
      <c r="AX50" s="88">
        <f>AX48-AX23</f>
        <v>0</v>
      </c>
      <c r="AY50" s="88">
        <f>AY48-AY23</f>
        <v>0</v>
      </c>
      <c r="AZ50" s="88">
        <f>AZ48-AZ23</f>
        <v>0</v>
      </c>
      <c r="BA50" s="90">
        <f>BA48-BA23</f>
        <v>0</v>
      </c>
      <c r="BB50" s="89">
        <f>BB48-BB23</f>
        <v>0</v>
      </c>
      <c r="BC50" s="88">
        <f>BC48-BC23</f>
        <v>0</v>
      </c>
      <c r="BD50" s="88">
        <f>BD48-BD23</f>
        <v>0</v>
      </c>
      <c r="BE50" s="88">
        <f>BE48-BE23</f>
        <v>0</v>
      </c>
      <c r="BF50" s="88">
        <f>BF48-BF23</f>
        <v>0</v>
      </c>
      <c r="BG50" s="88">
        <f>BG48-BG23</f>
        <v>0</v>
      </c>
      <c r="BH50" s="88">
        <f>BH48-BH23</f>
        <v>0</v>
      </c>
      <c r="BI50" s="88">
        <f>BI48-BI23</f>
        <v>0</v>
      </c>
      <c r="BJ50" s="88">
        <f>BJ48-BJ23</f>
        <v>0</v>
      </c>
      <c r="BK50" s="88">
        <f>BK48-BK23</f>
        <v>0</v>
      </c>
      <c r="BL50" s="88">
        <f>BL48-BL23</f>
        <v>0</v>
      </c>
      <c r="BM50" s="88">
        <f>BM48-BM23</f>
        <v>0</v>
      </c>
      <c r="BN50" s="88">
        <f>BN48-BN23</f>
        <v>0</v>
      </c>
      <c r="BO50" s="88">
        <f>BO48-BO23</f>
        <v>0</v>
      </c>
      <c r="BP50" s="88">
        <f>BP48-BP23</f>
        <v>0</v>
      </c>
      <c r="BQ50" s="88">
        <f>BQ48-BQ23</f>
        <v>0</v>
      </c>
      <c r="BR50" s="88">
        <f>BR48-BR23</f>
        <v>0</v>
      </c>
    </row>
    <row r="51" spans="1:70" x14ac:dyDescent="0.2">
      <c r="A51" s="267"/>
      <c r="B51" s="9"/>
      <c r="C51" s="70"/>
      <c r="D51" s="70"/>
      <c r="E51" s="70"/>
      <c r="F51" s="70"/>
      <c r="G51" s="70"/>
      <c r="H51" s="70"/>
      <c r="I51" s="70"/>
      <c r="J51" s="70"/>
      <c r="K51" s="70"/>
      <c r="L51" s="140"/>
      <c r="M51" s="139"/>
      <c r="N51" s="70"/>
      <c r="O51" s="70"/>
      <c r="P51" s="70"/>
      <c r="Q51" s="70"/>
      <c r="R51" s="46"/>
      <c r="S51" s="70"/>
      <c r="T51" s="70"/>
      <c r="U51" s="70"/>
      <c r="V51" s="70"/>
      <c r="W51" s="70"/>
      <c r="X51" s="70"/>
      <c r="Y51" s="70"/>
      <c r="Z51" s="70"/>
      <c r="AA51" s="70"/>
      <c r="AB51" s="70"/>
      <c r="AC51" s="70"/>
      <c r="AD51" s="70"/>
      <c r="AE51" s="70"/>
      <c r="AF51" s="70"/>
      <c r="AG51" s="70"/>
      <c r="AH51" s="70"/>
      <c r="AI51" s="70"/>
      <c r="AJ51" s="70"/>
      <c r="AK51" s="70"/>
      <c r="AL51" s="70"/>
      <c r="AM51" s="70"/>
      <c r="AN51" s="70"/>
      <c r="AO51" s="70"/>
      <c r="AP51" s="70"/>
      <c r="AQ51" s="70"/>
      <c r="AR51" s="70"/>
      <c r="AS51" s="70"/>
      <c r="AT51" s="70"/>
      <c r="AU51" s="70"/>
      <c r="AV51" s="70"/>
      <c r="AW51" s="70"/>
      <c r="AX51" s="70"/>
      <c r="AY51" s="70"/>
      <c r="AZ51" s="70"/>
      <c r="BA51" s="140"/>
      <c r="BB51" s="139"/>
      <c r="BC51" s="70"/>
      <c r="BD51" s="70"/>
      <c r="BE51" s="70"/>
      <c r="BF51" s="70"/>
      <c r="BG51" s="70"/>
      <c r="BH51" s="70"/>
      <c r="BI51" s="70"/>
      <c r="BJ51" s="70"/>
      <c r="BK51" s="70"/>
      <c r="BL51" s="70"/>
      <c r="BM51" s="70"/>
      <c r="BN51" s="70"/>
      <c r="BO51" s="119"/>
      <c r="BP51" s="119"/>
      <c r="BQ51" s="119"/>
      <c r="BR51" s="119"/>
    </row>
    <row r="52" spans="1:70" x14ac:dyDescent="0.2">
      <c r="A52" s="289" t="s">
        <v>101</v>
      </c>
      <c r="B52" s="20" t="s">
        <v>162</v>
      </c>
      <c r="C52" s="76">
        <f>C5</f>
        <v>84.768000000000001</v>
      </c>
      <c r="D52" s="76">
        <f>D5</f>
        <v>60.636000000000003</v>
      </c>
      <c r="E52" s="76">
        <f>E5</f>
        <v>55.534999999999997</v>
      </c>
      <c r="F52" s="76">
        <f>F5</f>
        <v>153.02000000000001</v>
      </c>
      <c r="G52" s="76">
        <f>G5</f>
        <v>114.254</v>
      </c>
      <c r="H52" s="76">
        <f>H5</f>
        <v>89.094999999999999</v>
      </c>
      <c r="I52" s="76">
        <f>I5</f>
        <v>102.03</v>
      </c>
      <c r="J52" s="76">
        <f>J5</f>
        <v>119.051</v>
      </c>
      <c r="K52" s="76">
        <f>K5</f>
        <v>128.58600000000001</v>
      </c>
      <c r="L52" s="78">
        <f>L5</f>
        <v>297.53199999999998</v>
      </c>
      <c r="M52" s="77">
        <f>M5</f>
        <v>272.8922804730509</v>
      </c>
      <c r="N52" s="76">
        <f>N5</f>
        <v>344.22331184987468</v>
      </c>
      <c r="O52" s="76">
        <f>O5</f>
        <v>458.20905837497492</v>
      </c>
      <c r="P52" s="76">
        <f>P5</f>
        <v>624.07012411002358</v>
      </c>
      <c r="Q52" s="76">
        <f>Q5</f>
        <v>860.95701617948862</v>
      </c>
      <c r="R52" s="59"/>
      <c r="S52" s="76">
        <f>S5</f>
        <v>40.530999999999999</v>
      </c>
      <c r="T52" s="76">
        <f>T5</f>
        <v>25.256</v>
      </c>
      <c r="U52" s="76">
        <f>U5</f>
        <v>38.345999999999997</v>
      </c>
      <c r="V52" s="76">
        <f>V5</f>
        <v>55.534999999999997</v>
      </c>
      <c r="W52" s="76">
        <f>W5</f>
        <v>40.566000000000003</v>
      </c>
      <c r="X52" s="76">
        <f>X5</f>
        <v>39.960999999999999</v>
      </c>
      <c r="Y52" s="76">
        <f>Y5</f>
        <v>46.94</v>
      </c>
      <c r="Z52" s="76">
        <f>Z5</f>
        <v>153.02000000000001</v>
      </c>
      <c r="AA52" s="76">
        <f>AA5</f>
        <v>70.701999999999998</v>
      </c>
      <c r="AB52" s="76">
        <f>AB5</f>
        <v>65.447999999999993</v>
      </c>
      <c r="AC52" s="76">
        <f>AC5</f>
        <v>142.99</v>
      </c>
      <c r="AD52" s="76">
        <f>AD5</f>
        <v>114.254</v>
      </c>
      <c r="AE52" s="76">
        <f>AE5</f>
        <v>194.566</v>
      </c>
      <c r="AF52" s="76">
        <f>AF5</f>
        <v>161.99799999999999</v>
      </c>
      <c r="AG52" s="76">
        <f>AG5</f>
        <v>106.499</v>
      </c>
      <c r="AH52" s="76">
        <f>AH5</f>
        <v>89.094999999999999</v>
      </c>
      <c r="AI52" s="76">
        <f>AI5</f>
        <v>145.01300000000001</v>
      </c>
      <c r="AJ52" s="76">
        <f>AJ5</f>
        <v>165.017</v>
      </c>
      <c r="AK52" s="76">
        <f>AK5</f>
        <v>111.473</v>
      </c>
      <c r="AL52" s="76">
        <f>AL5</f>
        <v>102.03</v>
      </c>
      <c r="AM52" s="76">
        <f>AM5</f>
        <v>99.334000000000003</v>
      </c>
      <c r="AN52" s="76">
        <f>AN5</f>
        <v>85.103999999999999</v>
      </c>
      <c r="AO52" s="76">
        <f>AO5</f>
        <v>90.488</v>
      </c>
      <c r="AP52" s="76">
        <f>AP5</f>
        <v>119.051</v>
      </c>
      <c r="AQ52" s="76">
        <f>AQ5</f>
        <v>127.861</v>
      </c>
      <c r="AR52" s="76">
        <f>AR5</f>
        <v>148.63300000000001</v>
      </c>
      <c r="AS52" s="76">
        <f>AS5</f>
        <v>108.471</v>
      </c>
      <c r="AT52" s="76">
        <f>AT5</f>
        <v>128.58600000000001</v>
      </c>
      <c r="AU52" s="76">
        <f>AU5</f>
        <v>132.64500000000001</v>
      </c>
      <c r="AV52" s="76">
        <f>AV5</f>
        <v>110.164</v>
      </c>
      <c r="AW52" s="76">
        <f>AW5</f>
        <v>128.72200000000001</v>
      </c>
      <c r="AX52" s="76">
        <f>AX5</f>
        <v>297.53199999999998</v>
      </c>
      <c r="AY52" s="76">
        <f>AY5</f>
        <v>139.857</v>
      </c>
      <c r="AZ52" s="76">
        <f>AZ5</f>
        <v>123.845</v>
      </c>
      <c r="BA52" s="78">
        <f>BA5</f>
        <v>275.70600000000002</v>
      </c>
      <c r="BB52" s="77">
        <f>BB5</f>
        <v>272.8922804730509</v>
      </c>
      <c r="BC52" s="76">
        <f>BC5</f>
        <v>289.09678086807537</v>
      </c>
      <c r="BD52" s="76">
        <f>BD5</f>
        <v>309.17702924738836</v>
      </c>
      <c r="BE52" s="76">
        <f>BE5</f>
        <v>329.75746768375637</v>
      </c>
      <c r="BF52" s="76">
        <f>BF5</f>
        <v>344.22331184987468</v>
      </c>
      <c r="BG52" s="76">
        <f>BG5</f>
        <v>371.4315967278792</v>
      </c>
      <c r="BH52" s="76">
        <f>BH5</f>
        <v>407.38798991841526</v>
      </c>
      <c r="BI52" s="76">
        <f>BI5</f>
        <v>436.17989077045638</v>
      </c>
      <c r="BJ52" s="76">
        <f>BJ5</f>
        <v>458.20905837497492</v>
      </c>
      <c r="BK52" s="76">
        <f>BK5</f>
        <v>495.2435103368789</v>
      </c>
      <c r="BL52" s="76">
        <f>BL5</f>
        <v>551.72132874721603</v>
      </c>
      <c r="BM52" s="76">
        <f>BM5</f>
        <v>592.39801658907254</v>
      </c>
      <c r="BN52" s="76">
        <f>BN5</f>
        <v>624.07012411002358</v>
      </c>
      <c r="BO52" s="76">
        <f>BO5</f>
        <v>678.68579433982723</v>
      </c>
      <c r="BP52" s="76">
        <f>BP5</f>
        <v>763.90734748341595</v>
      </c>
      <c r="BQ52" s="76">
        <f>BQ5</f>
        <v>818.86179903845448</v>
      </c>
      <c r="BR52" s="76">
        <f>BR5</f>
        <v>860.95701617948862</v>
      </c>
    </row>
    <row r="53" spans="1:70" x14ac:dyDescent="0.2">
      <c r="A53" s="289" t="s">
        <v>33</v>
      </c>
      <c r="B53" s="20" t="s">
        <v>163</v>
      </c>
      <c r="C53" s="76">
        <f>C29</f>
        <v>249.75</v>
      </c>
      <c r="D53" s="76">
        <f>D29</f>
        <v>208.75</v>
      </c>
      <c r="E53" s="76">
        <f>E29</f>
        <v>174</v>
      </c>
      <c r="F53" s="76">
        <f>F29</f>
        <v>121.5</v>
      </c>
      <c r="G53" s="76">
        <f>G29</f>
        <v>1.03</v>
      </c>
      <c r="H53" s="76">
        <f>H29</f>
        <v>10</v>
      </c>
      <c r="I53" s="76">
        <f>I29</f>
        <v>10</v>
      </c>
      <c r="J53" s="76">
        <f>J29</f>
        <v>10</v>
      </c>
      <c r="K53" s="76">
        <f>K29</f>
        <v>8.1999999999999993</v>
      </c>
      <c r="L53" s="78">
        <f>L29</f>
        <v>8.1999999999999993</v>
      </c>
      <c r="M53" s="77">
        <f>M29</f>
        <v>8.1999999999999993</v>
      </c>
      <c r="N53" s="76">
        <f>N29</f>
        <v>8.1999999999999993</v>
      </c>
      <c r="O53" s="76">
        <f>O29</f>
        <v>8.1999999999999993</v>
      </c>
      <c r="P53" s="76">
        <f>P29</f>
        <v>8.1999999999999993</v>
      </c>
      <c r="Q53" s="76">
        <f>Q29</f>
        <v>8.1999999999999993</v>
      </c>
      <c r="R53" s="59"/>
      <c r="S53" s="76">
        <f>S29</f>
        <v>200</v>
      </c>
      <c r="T53" s="76">
        <f>T29</f>
        <v>187</v>
      </c>
      <c r="U53" s="76">
        <f>U29</f>
        <v>179</v>
      </c>
      <c r="V53" s="76">
        <f>V29</f>
        <v>174</v>
      </c>
      <c r="W53" s="76">
        <f>W29</f>
        <v>142</v>
      </c>
      <c r="X53" s="76">
        <f>X29</f>
        <v>134</v>
      </c>
      <c r="Y53" s="76">
        <f>Y29</f>
        <v>126.5</v>
      </c>
      <c r="Z53" s="76">
        <f>Z29</f>
        <v>121.5</v>
      </c>
      <c r="AA53" s="76">
        <f>AA29</f>
        <v>117.5</v>
      </c>
      <c r="AB53" s="76">
        <f>AB29</f>
        <v>112</v>
      </c>
      <c r="AC53" s="76">
        <f>AC29</f>
        <v>106.5</v>
      </c>
      <c r="AD53" s="76">
        <f>AD29</f>
        <v>1.03</v>
      </c>
      <c r="AE53" s="76">
        <f>AE29</f>
        <v>100</v>
      </c>
      <c r="AF53" s="76">
        <f>AF29</f>
        <v>96</v>
      </c>
      <c r="AG53" s="76">
        <f>AG29</f>
        <v>95.742999999999995</v>
      </c>
      <c r="AH53" s="76">
        <f>AH29</f>
        <v>10</v>
      </c>
      <c r="AI53" s="76">
        <f>AI29</f>
        <v>10</v>
      </c>
      <c r="AJ53" s="76">
        <f>AJ29</f>
        <v>10</v>
      </c>
      <c r="AK53" s="76">
        <f>AK29</f>
        <v>10</v>
      </c>
      <c r="AL53" s="76">
        <f>AL29</f>
        <v>10</v>
      </c>
      <c r="AM53" s="76">
        <f>AM29</f>
        <v>10</v>
      </c>
      <c r="AN53" s="76">
        <f>AN29</f>
        <v>10</v>
      </c>
      <c r="AO53" s="76">
        <f>AO29</f>
        <v>10</v>
      </c>
      <c r="AP53" s="76">
        <f>AP29</f>
        <v>10</v>
      </c>
      <c r="AQ53" s="76">
        <f>AQ29</f>
        <v>10</v>
      </c>
      <c r="AR53" s="76">
        <f>AR29</f>
        <v>8.1999999999999993</v>
      </c>
      <c r="AS53" s="76">
        <f>AS29</f>
        <v>8.1999999999999993</v>
      </c>
      <c r="AT53" s="76">
        <f>AT29</f>
        <v>8.1999999999999993</v>
      </c>
      <c r="AU53" s="76">
        <f>AU29</f>
        <v>8.1999999999999993</v>
      </c>
      <c r="AV53" s="76">
        <f>AV29</f>
        <v>8.1999999999999993</v>
      </c>
      <c r="AW53" s="76">
        <f>AW29</f>
        <v>8.1999999999999993</v>
      </c>
      <c r="AX53" s="76">
        <f>AX29</f>
        <v>8.1999999999999993</v>
      </c>
      <c r="AY53" s="76">
        <f>AY29</f>
        <v>8.1999999999999993</v>
      </c>
      <c r="AZ53" s="76">
        <f>AZ29</f>
        <v>8.1999999999999993</v>
      </c>
      <c r="BA53" s="78">
        <f>BA29</f>
        <v>8.1999999999999993</v>
      </c>
      <c r="BB53" s="77">
        <f>BB29</f>
        <v>8.1999999999999993</v>
      </c>
      <c r="BC53" s="76">
        <f>BC29</f>
        <v>8.1999999999999993</v>
      </c>
      <c r="BD53" s="76">
        <f>BD29</f>
        <v>8.1999999999999993</v>
      </c>
      <c r="BE53" s="76">
        <f>BE29</f>
        <v>8.1999999999999993</v>
      </c>
      <c r="BF53" s="76">
        <f>BF29</f>
        <v>8.1999999999999993</v>
      </c>
      <c r="BG53" s="76">
        <f>BG29</f>
        <v>8.1999999999999993</v>
      </c>
      <c r="BH53" s="76">
        <f>BH29</f>
        <v>8.1999999999999993</v>
      </c>
      <c r="BI53" s="76">
        <f>BI29</f>
        <v>8.1999999999999993</v>
      </c>
      <c r="BJ53" s="76">
        <f>BJ29</f>
        <v>8.1999999999999993</v>
      </c>
      <c r="BK53" s="76">
        <f>BK29</f>
        <v>8.1999999999999993</v>
      </c>
      <c r="BL53" s="76">
        <f>BL29</f>
        <v>8.1999999999999993</v>
      </c>
      <c r="BM53" s="76">
        <f>BM29</f>
        <v>8.1999999999999993</v>
      </c>
      <c r="BN53" s="76">
        <f>BN29</f>
        <v>8.1999999999999993</v>
      </c>
      <c r="BO53" s="76">
        <f>BO29</f>
        <v>8.1999999999999993</v>
      </c>
      <c r="BP53" s="76">
        <f>BP29</f>
        <v>8.1999999999999993</v>
      </c>
      <c r="BQ53" s="76">
        <f>BQ29</f>
        <v>8.1999999999999993</v>
      </c>
      <c r="BR53" s="76">
        <f>BR29</f>
        <v>8.1999999999999993</v>
      </c>
    </row>
    <row r="54" spans="1:70" x14ac:dyDescent="0.2">
      <c r="A54" s="289" t="s">
        <v>34</v>
      </c>
      <c r="B54" s="20" t="s">
        <v>164</v>
      </c>
      <c r="C54" s="76">
        <f>C33</f>
        <v>0</v>
      </c>
      <c r="D54" s="76">
        <f>D33</f>
        <v>0</v>
      </c>
      <c r="E54" s="76">
        <f>E33</f>
        <v>0</v>
      </c>
      <c r="F54" s="76">
        <f>F33</f>
        <v>0</v>
      </c>
      <c r="G54" s="76">
        <f>G33</f>
        <v>101.97</v>
      </c>
      <c r="H54" s="76">
        <f>H33</f>
        <v>1178.787</v>
      </c>
      <c r="I54" s="76">
        <f>I33</f>
        <v>1129.8989999999999</v>
      </c>
      <c r="J54" s="76">
        <f>J33</f>
        <v>1111.8800000000001</v>
      </c>
      <c r="K54" s="76">
        <f>K33</f>
        <v>1159.643</v>
      </c>
      <c r="L54" s="78">
        <f>L33</f>
        <v>1155.0160000000001</v>
      </c>
      <c r="M54" s="77">
        <f>M33</f>
        <v>1123.867</v>
      </c>
      <c r="N54" s="76">
        <f>N33</f>
        <v>1091.867</v>
      </c>
      <c r="O54" s="76">
        <f>O33</f>
        <v>1059.867</v>
      </c>
      <c r="P54" s="76">
        <f>P33</f>
        <v>1027.867</v>
      </c>
      <c r="Q54" s="76">
        <f>Q33</f>
        <v>995.86699999999996</v>
      </c>
      <c r="R54" s="59"/>
      <c r="S54" s="76">
        <f>S33</f>
        <v>0</v>
      </c>
      <c r="T54" s="76">
        <f>T33</f>
        <v>0</v>
      </c>
      <c r="U54" s="76">
        <f>U33</f>
        <v>0</v>
      </c>
      <c r="V54" s="76">
        <f>V33</f>
        <v>0</v>
      </c>
      <c r="W54" s="76">
        <f>W33</f>
        <v>0</v>
      </c>
      <c r="X54" s="76">
        <f>X33</f>
        <v>0</v>
      </c>
      <c r="Y54" s="76">
        <f>Y33</f>
        <v>0</v>
      </c>
      <c r="Z54" s="76">
        <f>Z33</f>
        <v>0</v>
      </c>
      <c r="AA54" s="76">
        <f>AA33</f>
        <v>0</v>
      </c>
      <c r="AB54" s="76">
        <f>AB33</f>
        <v>0</v>
      </c>
      <c r="AC54" s="76">
        <f>AC33</f>
        <v>0</v>
      </c>
      <c r="AD54" s="76">
        <f>AD33</f>
        <v>101.97</v>
      </c>
      <c r="AE54" s="76">
        <f>AE33</f>
        <v>0</v>
      </c>
      <c r="AF54" s="76">
        <f>AF33</f>
        <v>0</v>
      </c>
      <c r="AG54" s="76">
        <f>AG33</f>
        <v>0</v>
      </c>
      <c r="AH54" s="76">
        <f>AH33</f>
        <v>1178.787</v>
      </c>
      <c r="AI54" s="76">
        <f>AI33</f>
        <v>1161.731</v>
      </c>
      <c r="AJ54" s="76">
        <f>AJ33</f>
        <v>1157.5060000000001</v>
      </c>
      <c r="AK54" s="76">
        <f>AK33</f>
        <v>1155.5419999999999</v>
      </c>
      <c r="AL54" s="76">
        <f>AL33</f>
        <v>1129.8989999999999</v>
      </c>
      <c r="AM54" s="76">
        <f>AM33</f>
        <v>1128.93</v>
      </c>
      <c r="AN54" s="76">
        <f>AN33</f>
        <v>1113.5450000000001</v>
      </c>
      <c r="AO54" s="76">
        <f>AO33</f>
        <v>1112.7650000000001</v>
      </c>
      <c r="AP54" s="76">
        <f>AP33</f>
        <v>1111.8800000000001</v>
      </c>
      <c r="AQ54" s="76">
        <f>AQ33</f>
        <v>1110.9949999999999</v>
      </c>
      <c r="AR54" s="76">
        <f>AR33</f>
        <v>1131.473</v>
      </c>
      <c r="AS54" s="76">
        <f>AS33</f>
        <v>1130.671</v>
      </c>
      <c r="AT54" s="76">
        <f>AT33</f>
        <v>1159.643</v>
      </c>
      <c r="AU54" s="76">
        <f>AU33</f>
        <v>1158.45</v>
      </c>
      <c r="AV54" s="76">
        <f>AV33</f>
        <v>1157.3969999999999</v>
      </c>
      <c r="AW54" s="76">
        <f>AW33</f>
        <v>1156.2070000000001</v>
      </c>
      <c r="AX54" s="76">
        <f>AX33</f>
        <v>1155.0160000000001</v>
      </c>
      <c r="AY54" s="76">
        <f>AY33</f>
        <v>1153.807</v>
      </c>
      <c r="AZ54" s="76">
        <f>AZ33</f>
        <v>1139.0070000000001</v>
      </c>
      <c r="BA54" s="78">
        <f>BA33</f>
        <v>1131.867</v>
      </c>
      <c r="BB54" s="77">
        <f>BB33</f>
        <v>1123.867</v>
      </c>
      <c r="BC54" s="76">
        <f>BC33</f>
        <v>1115.867</v>
      </c>
      <c r="BD54" s="76">
        <f>BD33</f>
        <v>1107.867</v>
      </c>
      <c r="BE54" s="76">
        <f>BE33</f>
        <v>1099.867</v>
      </c>
      <c r="BF54" s="76">
        <f>BF33</f>
        <v>1091.867</v>
      </c>
      <c r="BG54" s="76">
        <f>BG33</f>
        <v>1083.867</v>
      </c>
      <c r="BH54" s="76">
        <f>BH33</f>
        <v>1075.867</v>
      </c>
      <c r="BI54" s="76">
        <f>BI33</f>
        <v>1067.867</v>
      </c>
      <c r="BJ54" s="76">
        <f>BJ33</f>
        <v>1059.867</v>
      </c>
      <c r="BK54" s="76">
        <f>BK33</f>
        <v>1051.867</v>
      </c>
      <c r="BL54" s="76">
        <f>BL33</f>
        <v>1043.867</v>
      </c>
      <c r="BM54" s="76">
        <f>BM33</f>
        <v>1035.867</v>
      </c>
      <c r="BN54" s="76">
        <f>BN33</f>
        <v>1027.867</v>
      </c>
      <c r="BO54" s="76">
        <f>BO33</f>
        <v>1019.867</v>
      </c>
      <c r="BP54" s="76">
        <f>BP33</f>
        <v>1011.867</v>
      </c>
      <c r="BQ54" s="76">
        <f>BQ33</f>
        <v>1003.867</v>
      </c>
      <c r="BR54" s="76">
        <f>BR33</f>
        <v>995.86699999999996</v>
      </c>
    </row>
    <row r="55" spans="1:70" x14ac:dyDescent="0.2">
      <c r="A55" s="289" t="s">
        <v>30</v>
      </c>
      <c r="B55" s="20" t="s">
        <v>165</v>
      </c>
      <c r="C55" s="76">
        <f>C54+C53</f>
        <v>249.75</v>
      </c>
      <c r="D55" s="76">
        <f>D54+D53</f>
        <v>208.75</v>
      </c>
      <c r="E55" s="76">
        <f>E54+E53</f>
        <v>174</v>
      </c>
      <c r="F55" s="76">
        <f>F54+F53</f>
        <v>121.5</v>
      </c>
      <c r="G55" s="76">
        <f>G54+G53</f>
        <v>103</v>
      </c>
      <c r="H55" s="76">
        <f>H54+H53</f>
        <v>1188.787</v>
      </c>
      <c r="I55" s="76">
        <f>I54+I53</f>
        <v>1139.8989999999999</v>
      </c>
      <c r="J55" s="76">
        <f>J54+J53</f>
        <v>1121.8800000000001</v>
      </c>
      <c r="K55" s="76">
        <f>K54+K53</f>
        <v>1167.8430000000001</v>
      </c>
      <c r="L55" s="78">
        <f>L54+L53</f>
        <v>1163.2160000000001</v>
      </c>
      <c r="M55" s="77">
        <f>M54+M53</f>
        <v>1132.067</v>
      </c>
      <c r="N55" s="76">
        <f>N54+N53</f>
        <v>1100.067</v>
      </c>
      <c r="O55" s="76">
        <f>O54+O53</f>
        <v>1068.067</v>
      </c>
      <c r="P55" s="76">
        <f>P54+P53</f>
        <v>1036.067</v>
      </c>
      <c r="Q55" s="76">
        <f>Q54+Q53</f>
        <v>1004.067</v>
      </c>
      <c r="R55" s="59"/>
      <c r="S55" s="76">
        <f>S54+S53</f>
        <v>200</v>
      </c>
      <c r="T55" s="76">
        <f>T54+T53</f>
        <v>187</v>
      </c>
      <c r="U55" s="76">
        <f>U54+U53</f>
        <v>179</v>
      </c>
      <c r="V55" s="76">
        <f>V54+V53</f>
        <v>174</v>
      </c>
      <c r="W55" s="76">
        <f>W54+W53</f>
        <v>142</v>
      </c>
      <c r="X55" s="76">
        <f>X54+X53</f>
        <v>134</v>
      </c>
      <c r="Y55" s="76">
        <f>Y54+Y53</f>
        <v>126.5</v>
      </c>
      <c r="Z55" s="76">
        <f>Z54+Z53</f>
        <v>121.5</v>
      </c>
      <c r="AA55" s="76">
        <f>AA54+AA53</f>
        <v>117.5</v>
      </c>
      <c r="AB55" s="76">
        <f>AB54+AB53</f>
        <v>112</v>
      </c>
      <c r="AC55" s="76">
        <f>AC54+AC53</f>
        <v>106.5</v>
      </c>
      <c r="AD55" s="76">
        <f>AD54+AD53</f>
        <v>103</v>
      </c>
      <c r="AE55" s="76">
        <f>AE54+AE53</f>
        <v>100</v>
      </c>
      <c r="AF55" s="76">
        <f>AF54+AF53</f>
        <v>96</v>
      </c>
      <c r="AG55" s="76">
        <f>AG54+AG53</f>
        <v>95.742999999999995</v>
      </c>
      <c r="AH55" s="76">
        <f>AH54+AH53</f>
        <v>1188.787</v>
      </c>
      <c r="AI55" s="76">
        <f>AI54+AI53</f>
        <v>1171.731</v>
      </c>
      <c r="AJ55" s="76">
        <f>AJ54+AJ53</f>
        <v>1167.5060000000001</v>
      </c>
      <c r="AK55" s="76">
        <f>AK54+AK53</f>
        <v>1165.5419999999999</v>
      </c>
      <c r="AL55" s="76">
        <f>AL54+AL53</f>
        <v>1139.8989999999999</v>
      </c>
      <c r="AM55" s="76">
        <f>AM54+AM53</f>
        <v>1138.93</v>
      </c>
      <c r="AN55" s="76">
        <f>AN54+AN53</f>
        <v>1123.5450000000001</v>
      </c>
      <c r="AO55" s="76">
        <f>AO54+AO53</f>
        <v>1122.7650000000001</v>
      </c>
      <c r="AP55" s="76">
        <f>AP54+AP53</f>
        <v>1121.8800000000001</v>
      </c>
      <c r="AQ55" s="76">
        <f>AQ54+AQ53</f>
        <v>1120.9949999999999</v>
      </c>
      <c r="AR55" s="76">
        <f>AR54+AR53</f>
        <v>1139.673</v>
      </c>
      <c r="AS55" s="76">
        <f>AS54+AS53</f>
        <v>1138.8710000000001</v>
      </c>
      <c r="AT55" s="76">
        <f>AT54+AT53</f>
        <v>1167.8430000000001</v>
      </c>
      <c r="AU55" s="76">
        <f>AU54+AU53</f>
        <v>1166.6500000000001</v>
      </c>
      <c r="AV55" s="76">
        <f>AV54+AV53</f>
        <v>1165.597</v>
      </c>
      <c r="AW55" s="76">
        <f>AW54+AW53</f>
        <v>1164.4070000000002</v>
      </c>
      <c r="AX55" s="76">
        <f>AX54+AX53</f>
        <v>1163.2160000000001</v>
      </c>
      <c r="AY55" s="76">
        <f>AY54+AY53</f>
        <v>1162.0070000000001</v>
      </c>
      <c r="AZ55" s="76">
        <f>AZ54+AZ53</f>
        <v>1147.2070000000001</v>
      </c>
      <c r="BA55" s="78">
        <f>BA54+BA53</f>
        <v>1140.067</v>
      </c>
      <c r="BB55" s="77">
        <f>BB54+BB53</f>
        <v>1132.067</v>
      </c>
      <c r="BC55" s="76">
        <f>BC54+BC53</f>
        <v>1124.067</v>
      </c>
      <c r="BD55" s="76">
        <f>BD54+BD53</f>
        <v>1116.067</v>
      </c>
      <c r="BE55" s="76">
        <f>BE54+BE53</f>
        <v>1108.067</v>
      </c>
      <c r="BF55" s="76">
        <f>BF54+BF53</f>
        <v>1100.067</v>
      </c>
      <c r="BG55" s="76">
        <f>BG54+BG53</f>
        <v>1092.067</v>
      </c>
      <c r="BH55" s="76">
        <f>BH54+BH53</f>
        <v>1084.067</v>
      </c>
      <c r="BI55" s="76">
        <f>BI54+BI53</f>
        <v>1076.067</v>
      </c>
      <c r="BJ55" s="76">
        <f>BJ54+BJ53</f>
        <v>1068.067</v>
      </c>
      <c r="BK55" s="76">
        <f>BK54+BK53</f>
        <v>1060.067</v>
      </c>
      <c r="BL55" s="76">
        <f>BL54+BL53</f>
        <v>1052.067</v>
      </c>
      <c r="BM55" s="76">
        <f>BM54+BM53</f>
        <v>1044.067</v>
      </c>
      <c r="BN55" s="76">
        <f>BN54+BN53</f>
        <v>1036.067</v>
      </c>
      <c r="BO55" s="76">
        <f>BO54+BO53</f>
        <v>1028.067</v>
      </c>
      <c r="BP55" s="76">
        <f>BP54+BP53</f>
        <v>1020.067</v>
      </c>
      <c r="BQ55" s="76">
        <f>BQ54+BQ53</f>
        <v>1012.067</v>
      </c>
      <c r="BR55" s="76">
        <f>BR54+BR53</f>
        <v>1004.067</v>
      </c>
    </row>
    <row r="56" spans="1:70" x14ac:dyDescent="0.2">
      <c r="A56" s="289" t="s">
        <v>29</v>
      </c>
      <c r="B56" s="20" t="s">
        <v>166</v>
      </c>
      <c r="C56" s="76">
        <f>C55-C52</f>
        <v>164.982</v>
      </c>
      <c r="D56" s="76">
        <f>D55-D52</f>
        <v>148.114</v>
      </c>
      <c r="E56" s="76">
        <f>E55-E52</f>
        <v>118.465</v>
      </c>
      <c r="F56" s="76">
        <f>F55-F52</f>
        <v>-31.52000000000001</v>
      </c>
      <c r="G56" s="76">
        <f>G55-G52</f>
        <v>-11.254000000000005</v>
      </c>
      <c r="H56" s="76">
        <f>H55-H52</f>
        <v>1099.692</v>
      </c>
      <c r="I56" s="76">
        <f>I55-I52</f>
        <v>1037.8689999999999</v>
      </c>
      <c r="J56" s="76">
        <f>J55-J52</f>
        <v>1002.8290000000001</v>
      </c>
      <c r="K56" s="76">
        <f>K55-K52</f>
        <v>1039.2570000000001</v>
      </c>
      <c r="L56" s="78">
        <f>L55-L52</f>
        <v>865.6840000000002</v>
      </c>
      <c r="M56" s="77">
        <f>M55-M52</f>
        <v>859.17471952694905</v>
      </c>
      <c r="N56" s="76">
        <f>N55-N52</f>
        <v>755.84368815012533</v>
      </c>
      <c r="O56" s="76">
        <f>O55-O52</f>
        <v>609.85794162502509</v>
      </c>
      <c r="P56" s="76">
        <f>P55-P52</f>
        <v>411.99687588997642</v>
      </c>
      <c r="Q56" s="76">
        <f>Q55-Q52</f>
        <v>143.10998382051139</v>
      </c>
      <c r="R56" s="59"/>
      <c r="S56" s="76">
        <f>S55-S52</f>
        <v>159.46899999999999</v>
      </c>
      <c r="T56" s="76">
        <f>T55-T52</f>
        <v>161.744</v>
      </c>
      <c r="U56" s="76">
        <f>U55-U52</f>
        <v>140.654</v>
      </c>
      <c r="V56" s="76">
        <f>V55-V52</f>
        <v>118.465</v>
      </c>
      <c r="W56" s="76">
        <f>W55-W52</f>
        <v>101.434</v>
      </c>
      <c r="X56" s="76">
        <f>X55-X52</f>
        <v>94.039000000000001</v>
      </c>
      <c r="Y56" s="76">
        <f>Y55-Y52</f>
        <v>79.56</v>
      </c>
      <c r="Z56" s="76">
        <f>Z55-Z52</f>
        <v>-31.52000000000001</v>
      </c>
      <c r="AA56" s="76">
        <f>AA55-AA52</f>
        <v>46.798000000000002</v>
      </c>
      <c r="AB56" s="76">
        <f>AB55-AB52</f>
        <v>46.552000000000007</v>
      </c>
      <c r="AC56" s="76">
        <f>AC55-AC52</f>
        <v>-36.490000000000009</v>
      </c>
      <c r="AD56" s="76">
        <f>AD55-AD52</f>
        <v>-11.254000000000005</v>
      </c>
      <c r="AE56" s="76">
        <f>AE55-AE52</f>
        <v>-94.566000000000003</v>
      </c>
      <c r="AF56" s="76">
        <f>AF55-AF52</f>
        <v>-65.99799999999999</v>
      </c>
      <c r="AG56" s="76">
        <f>AG55-AG52</f>
        <v>-10.756</v>
      </c>
      <c r="AH56" s="76">
        <f>AH55-AH52</f>
        <v>1099.692</v>
      </c>
      <c r="AI56" s="76">
        <f>AI55-AI52</f>
        <v>1026.7180000000001</v>
      </c>
      <c r="AJ56" s="76">
        <f>AJ55-AJ52</f>
        <v>1002.489</v>
      </c>
      <c r="AK56" s="76">
        <f>AK55-AK52</f>
        <v>1054.069</v>
      </c>
      <c r="AL56" s="76">
        <f>AL55-AL52</f>
        <v>1037.8689999999999</v>
      </c>
      <c r="AM56" s="76">
        <f>AM55-AM52</f>
        <v>1039.596</v>
      </c>
      <c r="AN56" s="76">
        <f>AN55-AN52</f>
        <v>1038.441</v>
      </c>
      <c r="AO56" s="76">
        <f>AO55-AO52</f>
        <v>1032.277</v>
      </c>
      <c r="AP56" s="76">
        <f>AP55-AP52</f>
        <v>1002.8290000000001</v>
      </c>
      <c r="AQ56" s="76">
        <f>AQ55-AQ52</f>
        <v>993.1339999999999</v>
      </c>
      <c r="AR56" s="76">
        <f>AR55-AR52</f>
        <v>991.04</v>
      </c>
      <c r="AS56" s="76">
        <f>AS55-AS52</f>
        <v>1030.4000000000001</v>
      </c>
      <c r="AT56" s="76">
        <f>AT55-AT52</f>
        <v>1039.2570000000001</v>
      </c>
      <c r="AU56" s="76">
        <f>AU55-AU52</f>
        <v>1034.0050000000001</v>
      </c>
      <c r="AV56" s="76">
        <f>AV55-AV52</f>
        <v>1055.433</v>
      </c>
      <c r="AW56" s="76">
        <f>AW55-AW52</f>
        <v>1035.6850000000002</v>
      </c>
      <c r="AX56" s="76">
        <f>AX55-AX52</f>
        <v>865.6840000000002</v>
      </c>
      <c r="AY56" s="76">
        <f>AY55-AY52</f>
        <v>1022.1500000000001</v>
      </c>
      <c r="AZ56" s="76">
        <f>AZ55-AZ52</f>
        <v>1023.3620000000001</v>
      </c>
      <c r="BA56" s="78">
        <f>BA55-BA52</f>
        <v>864.36099999999999</v>
      </c>
      <c r="BB56" s="77">
        <f>BB55-BB52</f>
        <v>859.17471952694905</v>
      </c>
      <c r="BC56" s="76">
        <f>BC55-BC52</f>
        <v>834.97021913192464</v>
      </c>
      <c r="BD56" s="76">
        <f>BD55-BD52</f>
        <v>806.88997075261159</v>
      </c>
      <c r="BE56" s="76">
        <f>BE55-BE52</f>
        <v>778.30953231624358</v>
      </c>
      <c r="BF56" s="76">
        <f>BF55-BF52</f>
        <v>755.84368815012533</v>
      </c>
      <c r="BG56" s="76">
        <f>BG55-BG52</f>
        <v>720.63540327212081</v>
      </c>
      <c r="BH56" s="76">
        <f>BH55-BH52</f>
        <v>676.67901008158469</v>
      </c>
      <c r="BI56" s="76">
        <f>BI55-BI52</f>
        <v>639.88710922954363</v>
      </c>
      <c r="BJ56" s="76">
        <f>BJ55-BJ52</f>
        <v>609.85794162502509</v>
      </c>
      <c r="BK56" s="76">
        <f>BK55-BK52</f>
        <v>564.82348966312111</v>
      </c>
      <c r="BL56" s="76">
        <f>BL55-BL52</f>
        <v>500.34567125278397</v>
      </c>
      <c r="BM56" s="76">
        <f>BM55-BM52</f>
        <v>451.66898341092747</v>
      </c>
      <c r="BN56" s="76">
        <f>BN55-BN52</f>
        <v>411.99687588997642</v>
      </c>
      <c r="BO56" s="76">
        <f>BO55-BO52</f>
        <v>349.38120566017278</v>
      </c>
      <c r="BP56" s="76">
        <f>BP55-BP52</f>
        <v>256.15965251658406</v>
      </c>
      <c r="BQ56" s="76">
        <f>BQ55-BQ52</f>
        <v>193.20520096154553</v>
      </c>
      <c r="BR56" s="76">
        <f>BR55-BR52</f>
        <v>143.10998382051139</v>
      </c>
    </row>
    <row r="57" spans="1:70" x14ac:dyDescent="0.2">
      <c r="A57" s="289" t="s">
        <v>32</v>
      </c>
      <c r="B57" s="20" t="s">
        <v>167</v>
      </c>
      <c r="C57" s="76">
        <f>C56+C45</f>
        <v>310.39099999999996</v>
      </c>
      <c r="D57" s="76">
        <f>D56+D45</f>
        <v>291.59199999999998</v>
      </c>
      <c r="E57" s="76">
        <f>E56+E45</f>
        <v>278.32299999999998</v>
      </c>
      <c r="F57" s="76">
        <f>F56+F45</f>
        <v>167.23899999999998</v>
      </c>
      <c r="G57" s="76">
        <f>G56+G45</f>
        <v>207.35000000000002</v>
      </c>
      <c r="H57" s="76">
        <f>H56+H45</f>
        <v>1331.165</v>
      </c>
      <c r="I57" s="76">
        <f>I56+I45</f>
        <v>1175.289</v>
      </c>
      <c r="J57" s="76">
        <f>J56+J45</f>
        <v>895.03600000000006</v>
      </c>
      <c r="K57" s="76">
        <f>K56+K45</f>
        <v>898.62400000000002</v>
      </c>
      <c r="L57" s="78">
        <f>L56+L45</f>
        <v>756.78900000000021</v>
      </c>
      <c r="M57" s="77">
        <f>M56+M45</f>
        <v>797.76997948567566</v>
      </c>
      <c r="N57" s="76">
        <f>N56+N45</f>
        <v>753.71702628198216</v>
      </c>
      <c r="O57" s="76">
        <f>O56+O45</f>
        <v>698.02858209128863</v>
      </c>
      <c r="P57" s="76">
        <f>P56+P45</f>
        <v>629.19313377562003</v>
      </c>
      <c r="Q57" s="76">
        <f>Q56+Q45</f>
        <v>540.87504815137436</v>
      </c>
      <c r="R57" s="59"/>
      <c r="S57" s="76">
        <f>S56+S45</f>
        <v>305.84199999999998</v>
      </c>
      <c r="T57" s="76">
        <f>T56+T45</f>
        <v>311.57900000000001</v>
      </c>
      <c r="U57" s="76">
        <f>U56+U45</f>
        <v>294.20499999999998</v>
      </c>
      <c r="V57" s="76">
        <f>V56+V45</f>
        <v>278.32299999999998</v>
      </c>
      <c r="W57" s="76">
        <f>W56+W45</f>
        <v>270.80600000000004</v>
      </c>
      <c r="X57" s="76">
        <f>X56+X45</f>
        <v>273.608</v>
      </c>
      <c r="Y57" s="76">
        <f>Y56+Y45</f>
        <v>270.56</v>
      </c>
      <c r="Z57" s="76">
        <f>Z56+Z45</f>
        <v>167.23899999999998</v>
      </c>
      <c r="AA57" s="76">
        <f>AA56+AA45</f>
        <v>248.65100000000001</v>
      </c>
      <c r="AB57" s="76">
        <f>AB56+AB45</f>
        <v>250.74400000000003</v>
      </c>
      <c r="AC57" s="76">
        <f>AC56+AC45</f>
        <v>173.85999999999999</v>
      </c>
      <c r="AD57" s="76">
        <f>AD56+AD45</f>
        <v>207.35000000000002</v>
      </c>
      <c r="AE57" s="76">
        <f>AE56+AE45</f>
        <v>133.20699999999999</v>
      </c>
      <c r="AF57" s="76">
        <f>AF56+AF45</f>
        <v>168.589</v>
      </c>
      <c r="AG57" s="76">
        <f>AG56+AG45</f>
        <v>225.89500000000001</v>
      </c>
      <c r="AH57" s="76">
        <f>AH56+AH45</f>
        <v>1331.165</v>
      </c>
      <c r="AI57" s="76">
        <f>AI56+AI45</f>
        <v>1260.577</v>
      </c>
      <c r="AJ57" s="76">
        <f>AJ56+AJ45</f>
        <v>1229.461</v>
      </c>
      <c r="AK57" s="76">
        <f>AK56+AK45</f>
        <v>1276.3920000000001</v>
      </c>
      <c r="AL57" s="76">
        <f>AL56+AL45</f>
        <v>1175.289</v>
      </c>
      <c r="AM57" s="76">
        <f>AM56+AM45</f>
        <v>1164.8800000000001</v>
      </c>
      <c r="AN57" s="76">
        <f>AN56+AN45</f>
        <v>1153.748</v>
      </c>
      <c r="AO57" s="76">
        <f>AO56+AO45</f>
        <v>1140.31</v>
      </c>
      <c r="AP57" s="76">
        <f>AP56+AP45</f>
        <v>895.03600000000006</v>
      </c>
      <c r="AQ57" s="76">
        <f>AQ56+AQ45</f>
        <v>883.51799999999992</v>
      </c>
      <c r="AR57" s="76">
        <f>AR56+AR45</f>
        <v>867.12099999999998</v>
      </c>
      <c r="AS57" s="76">
        <f>AS56+AS45</f>
        <v>906.59600000000012</v>
      </c>
      <c r="AT57" s="76">
        <f>AT56+AT45</f>
        <v>898.62400000000002</v>
      </c>
      <c r="AU57" s="76">
        <f>AU56+AU45</f>
        <v>909.32200000000012</v>
      </c>
      <c r="AV57" s="76">
        <f>AV56+AV45</f>
        <v>935.15899999999999</v>
      </c>
      <c r="AW57" s="76">
        <f>AW56+AW45</f>
        <v>922.47000000000014</v>
      </c>
      <c r="AX57" s="76">
        <f>AX56+AX45</f>
        <v>756.78900000000021</v>
      </c>
      <c r="AY57" s="76">
        <f>AY56+AY45</f>
        <v>926.34800000000007</v>
      </c>
      <c r="AZ57" s="76">
        <f>AZ56+AZ45</f>
        <v>938.92500000000007</v>
      </c>
      <c r="BA57" s="78">
        <f>BA56+BA45</f>
        <v>792.346</v>
      </c>
      <c r="BB57" s="77">
        <f>BB56+BB45</f>
        <v>797.76997948567566</v>
      </c>
      <c r="BC57" s="76">
        <f>BC56+BC45</f>
        <v>785.82904148864668</v>
      </c>
      <c r="BD57" s="76">
        <f>BD56+BD45</f>
        <v>771.94209638565064</v>
      </c>
      <c r="BE57" s="76">
        <f>BE56+BE45</f>
        <v>759.33584141689164</v>
      </c>
      <c r="BF57" s="76">
        <f>BF56+BF45</f>
        <v>753.71702628198216</v>
      </c>
      <c r="BG57" s="76">
        <f>BG56+BG45</f>
        <v>737.62804307033855</v>
      </c>
      <c r="BH57" s="76">
        <f>BH56+BH45</f>
        <v>715.8440998057672</v>
      </c>
      <c r="BI57" s="76">
        <f>BI56+BI45</f>
        <v>703.10993744572147</v>
      </c>
      <c r="BJ57" s="76">
        <f>BJ56+BJ45</f>
        <v>698.02858209128863</v>
      </c>
      <c r="BK57" s="76">
        <f>BK56+BK45</f>
        <v>680.49477089402922</v>
      </c>
      <c r="BL57" s="76">
        <f>BL56+BL45</f>
        <v>648.07449795891785</v>
      </c>
      <c r="BM57" s="76">
        <f>BM56+BM45</f>
        <v>633.67060575882431</v>
      </c>
      <c r="BN57" s="76">
        <f>BN56+BN45</f>
        <v>629.19313377562003</v>
      </c>
      <c r="BO57" s="76">
        <f>BO56+BO45</f>
        <v>605.28355588310797</v>
      </c>
      <c r="BP57" s="76">
        <f>BP56+BP45</f>
        <v>557.48868269325249</v>
      </c>
      <c r="BQ57" s="76">
        <f>BQ56+BQ45</f>
        <v>542.41196422868336</v>
      </c>
      <c r="BR57" s="76">
        <f>BR56+BR45</f>
        <v>540.87504815137436</v>
      </c>
    </row>
    <row r="58" spans="1:70" x14ac:dyDescent="0.2">
      <c r="A58" s="267"/>
      <c r="B58" s="9"/>
      <c r="C58" s="70"/>
      <c r="D58" s="70"/>
      <c r="E58" s="70"/>
      <c r="F58" s="70"/>
      <c r="G58" s="70"/>
      <c r="H58" s="70"/>
      <c r="I58" s="70"/>
      <c r="J58" s="70"/>
      <c r="K58" s="70"/>
      <c r="L58" s="140"/>
      <c r="M58" s="139"/>
      <c r="N58" s="70"/>
      <c r="O58" s="70"/>
      <c r="P58" s="70"/>
      <c r="Q58" s="70"/>
      <c r="R58" s="46"/>
      <c r="S58" s="70"/>
      <c r="T58" s="70"/>
      <c r="U58" s="70"/>
      <c r="V58" s="70"/>
      <c r="W58" s="70"/>
      <c r="X58" s="70"/>
      <c r="Y58" s="70"/>
      <c r="Z58" s="70"/>
      <c r="AA58" s="70"/>
      <c r="AB58" s="70"/>
      <c r="AC58" s="70"/>
      <c r="AD58" s="70"/>
      <c r="AE58" s="70"/>
      <c r="AF58" s="70"/>
      <c r="AG58" s="70"/>
      <c r="AH58" s="70"/>
      <c r="AI58" s="70"/>
      <c r="AJ58" s="70"/>
      <c r="AK58" s="70"/>
      <c r="AL58" s="70"/>
      <c r="AM58" s="70"/>
      <c r="AN58" s="70"/>
      <c r="AO58" s="70"/>
      <c r="AP58" s="70"/>
      <c r="AQ58" s="70"/>
      <c r="AR58" s="70"/>
      <c r="AS58" s="70"/>
      <c r="AT58" s="70"/>
      <c r="AU58" s="70"/>
      <c r="AV58" s="70"/>
      <c r="AW58" s="70"/>
      <c r="AX58" s="70"/>
      <c r="AY58" s="70"/>
      <c r="AZ58" s="70"/>
      <c r="BA58" s="140"/>
      <c r="BB58" s="139"/>
      <c r="BC58" s="70"/>
      <c r="BD58" s="70"/>
      <c r="BE58" s="70"/>
      <c r="BF58" s="70"/>
      <c r="BG58" s="70"/>
      <c r="BH58" s="70"/>
      <c r="BI58" s="70"/>
      <c r="BJ58" s="70"/>
      <c r="BK58" s="70"/>
      <c r="BL58" s="70"/>
      <c r="BM58" s="70"/>
      <c r="BN58" s="70"/>
      <c r="BO58" s="119"/>
      <c r="BP58" s="119"/>
      <c r="BQ58" s="119"/>
      <c r="BR58" s="119"/>
    </row>
    <row r="59" spans="1:70" x14ac:dyDescent="0.2">
      <c r="A59" s="290" t="s">
        <v>317</v>
      </c>
      <c r="B59" s="232"/>
      <c r="C59" s="198">
        <f>C7/IS!C4</f>
        <v>1.647546875936021E-2</v>
      </c>
      <c r="D59" s="198">
        <f>D7/IS!D4</f>
        <v>1.7130401756964283E-2</v>
      </c>
      <c r="E59" s="198">
        <f>E7/IS!E4</f>
        <v>0.14749394831113308</v>
      </c>
      <c r="F59" s="198">
        <f>F7/IS!F4</f>
        <v>5.0444322019689097E-2</v>
      </c>
      <c r="G59" s="198">
        <f>G7/IS!G4</f>
        <v>6.5697303088365577E-2</v>
      </c>
      <c r="H59" s="198">
        <f>H7/IS!H4</f>
        <v>7.2991789941202548E-2</v>
      </c>
      <c r="I59" s="198">
        <f>I7/IS!I4</f>
        <v>5.4332592905190935E-2</v>
      </c>
      <c r="J59" s="198">
        <f>J7/IS!J4</f>
        <v>0.14988667249981383</v>
      </c>
      <c r="K59" s="198">
        <f>K7/IS!K4</f>
        <v>0.2332462859557638</v>
      </c>
      <c r="L59" s="195">
        <f>L7/IS!L4</f>
        <v>0.1754129261045973</v>
      </c>
      <c r="M59" s="197">
        <f>M7/IS!M4</f>
        <v>0.1056924184340428</v>
      </c>
      <c r="N59" s="198">
        <f>N7/IS!N4</f>
        <v>0.10975329446612465</v>
      </c>
      <c r="O59" s="198">
        <f>O7/IS!O4</f>
        <v>0.10957995284979982</v>
      </c>
      <c r="P59" s="198">
        <f>P7/IS!P4</f>
        <v>0.10968476735087064</v>
      </c>
      <c r="Q59" s="198">
        <f>Q7/IS!Q4</f>
        <v>0.10935657709363955</v>
      </c>
      <c r="R59" s="311"/>
      <c r="S59" s="198">
        <f>S7/(IS!S4*4)</f>
        <v>1.102210746415257E-2</v>
      </c>
      <c r="T59" s="198">
        <f>T7/(IS!T4*4)</f>
        <v>1.3144936765097889E-2</v>
      </c>
      <c r="U59" s="198">
        <f>U7/(IS!U4*4)</f>
        <v>1.9015545555490621E-2</v>
      </c>
      <c r="V59" s="198">
        <f>V7/(IS!V4*4)</f>
        <v>0.14565394165565518</v>
      </c>
      <c r="W59" s="198">
        <f>W7/(IS!W4*4)</f>
        <v>0.12113494191242181</v>
      </c>
      <c r="X59" s="198">
        <f>X7/(IS!X4*4)</f>
        <v>0.11424405791204693</v>
      </c>
      <c r="Y59" s="198">
        <f>Y7/(IS!Y4*4)</f>
        <v>0.19020484034600596</v>
      </c>
      <c r="Z59" s="198">
        <f>Z7/(IS!Z4*4)</f>
        <v>5.4145975964505037E-2</v>
      </c>
      <c r="AA59" s="198">
        <f>AA7/(IS!AA4*4)</f>
        <v>0.20243219680974239</v>
      </c>
      <c r="AB59" s="198">
        <f>AB7/(IS!AB4*4)</f>
        <v>0.20675908657909919</v>
      </c>
      <c r="AC59" s="198">
        <f>AC7/(IS!AC4*4)</f>
        <v>4.1782739337855319E-2</v>
      </c>
      <c r="AD59" s="198">
        <f>AD7/(IS!AD4*4)</f>
        <v>6.8109002883485856E-2</v>
      </c>
      <c r="AE59" s="198">
        <f>AE7/(IS!AE4*4)</f>
        <v>4.9748955642188737E-2</v>
      </c>
      <c r="AF59" s="198">
        <f>AF7/(IS!AF4*4)</f>
        <v>4.3176424323541185E-2</v>
      </c>
      <c r="AG59" s="198">
        <f>AG7/(IS!AG4*4)</f>
        <v>4.7037070132869584E-2</v>
      </c>
      <c r="AH59" s="198">
        <f>AH7/(IS!AH4*4)</f>
        <v>7.1171615533852886E-2</v>
      </c>
      <c r="AI59" s="198">
        <f>AI7/(IS!AI4*4)</f>
        <v>3.5892622172523647E-2</v>
      </c>
      <c r="AJ59" s="198">
        <f>AJ7/(IS!AJ4*4)</f>
        <v>2.8730786377468939E-2</v>
      </c>
      <c r="AK59" s="198">
        <f>AK7/(IS!AK4*4)</f>
        <v>3.051795004455175E-2</v>
      </c>
      <c r="AL59" s="198">
        <f>AL7/(IS!AL4*4)</f>
        <v>5.4952890184721354E-2</v>
      </c>
      <c r="AM59" s="198">
        <f>AM7/(IS!AM4*4)</f>
        <v>3.4408730178015157E-2</v>
      </c>
      <c r="AN59" s="198">
        <f>AN7/(IS!AN4*4)</f>
        <v>3.139369158878505E-2</v>
      </c>
      <c r="AO59" s="198">
        <f>AO7/(IS!AO4*4)</f>
        <v>4.0192054083005892E-2</v>
      </c>
      <c r="AP59" s="198">
        <f>AP7/(IS!AP4*4)</f>
        <v>0.14806262671772921</v>
      </c>
      <c r="AQ59" s="198">
        <f>AQ7/(IS!AQ4*4)</f>
        <v>4.4669883007699848E-2</v>
      </c>
      <c r="AR59" s="198">
        <f>AR7/(IS!AR4*4)</f>
        <v>4.8847170044998556E-2</v>
      </c>
      <c r="AS59" s="198">
        <f>AS7/(IS!AS4*4)</f>
        <v>0.12882295145599662</v>
      </c>
      <c r="AT59" s="198">
        <f>AT7/(IS!AT4*4)</f>
        <v>0.22936730157065105</v>
      </c>
      <c r="AU59" s="198">
        <f>AU7/(IS!AU4*4)</f>
        <v>0.34558922892586552</v>
      </c>
      <c r="AV59" s="198">
        <f>AV7/(IS!AV4*4)</f>
        <v>0.29346067642945012</v>
      </c>
      <c r="AW59" s="198">
        <f>AW7/(IS!AW4*4)</f>
        <v>0.46790077287459486</v>
      </c>
      <c r="AX59" s="198">
        <f>AX7/(IS!AX4*4)</f>
        <v>0.17229627956017471</v>
      </c>
      <c r="AY59" s="198">
        <f>AY7/(IS!AY4*4)</f>
        <v>0.5237083417491416</v>
      </c>
      <c r="AZ59" s="198">
        <f>AZ7/(IS!AZ4*4)</f>
        <v>0.47064707877815987</v>
      </c>
      <c r="BA59" s="195">
        <f>BA7/(IS!BA4*4)</f>
        <v>0.10410087018555537</v>
      </c>
      <c r="BB59" s="264">
        <f>BA59</f>
        <v>0.10410087018555537</v>
      </c>
      <c r="BC59" s="231">
        <f>BB59</f>
        <v>0.10410087018555537</v>
      </c>
      <c r="BD59" s="231">
        <f>BC59</f>
        <v>0.10410087018555537</v>
      </c>
      <c r="BE59" s="231">
        <f>BD59</f>
        <v>0.10410087018555537</v>
      </c>
      <c r="BF59" s="231">
        <f>BE59</f>
        <v>0.10410087018555537</v>
      </c>
      <c r="BG59" s="231">
        <f>BF59</f>
        <v>0.10410087018555537</v>
      </c>
      <c r="BH59" s="231">
        <f>BG59</f>
        <v>0.10410087018555537</v>
      </c>
      <c r="BI59" s="231">
        <f>BH59</f>
        <v>0.10410087018555537</v>
      </c>
      <c r="BJ59" s="231">
        <f>BI59</f>
        <v>0.10410087018555537</v>
      </c>
      <c r="BK59" s="231">
        <f>BJ59</f>
        <v>0.10410087018555537</v>
      </c>
      <c r="BL59" s="231">
        <f>BK59</f>
        <v>0.10410087018555537</v>
      </c>
      <c r="BM59" s="231">
        <f>BL59</f>
        <v>0.10410087018555537</v>
      </c>
      <c r="BN59" s="231">
        <f>BM59</f>
        <v>0.10410087018555537</v>
      </c>
      <c r="BO59" s="231">
        <f>BN59</f>
        <v>0.10410087018555537</v>
      </c>
      <c r="BP59" s="231">
        <f>BO59</f>
        <v>0.10410087018555537</v>
      </c>
      <c r="BQ59" s="231">
        <f>BP59</f>
        <v>0.10410087018555537</v>
      </c>
      <c r="BR59" s="231">
        <f>BQ59</f>
        <v>0.10410087018555537</v>
      </c>
    </row>
    <row r="60" spans="1:70" x14ac:dyDescent="0.2">
      <c r="A60" s="290" t="s">
        <v>318</v>
      </c>
      <c r="B60" s="232"/>
      <c r="C60" s="198">
        <f>C8/IS!C4</f>
        <v>3.672647217396513E-2</v>
      </c>
      <c r="D60" s="198">
        <f>D8/IS!D4</f>
        <v>2.5117653858220908E-2</v>
      </c>
      <c r="E60" s="198">
        <f>E8/IS!E4</f>
        <v>3.1035008813317579E-2</v>
      </c>
      <c r="F60" s="198">
        <f>F8/IS!F4</f>
        <v>1.9796881362427843E-2</v>
      </c>
      <c r="G60" s="198">
        <f>G8/IS!G4</f>
        <v>2.7921997651276346E-2</v>
      </c>
      <c r="H60" s="198">
        <f>H8/IS!H4</f>
        <v>9.8220563760743132E-2</v>
      </c>
      <c r="I60" s="198">
        <f>I8/IS!I4</f>
        <v>6.9298753686521983E-2</v>
      </c>
      <c r="J60" s="198">
        <f>J8/IS!J4</f>
        <v>6.5914950852632367E-2</v>
      </c>
      <c r="K60" s="198">
        <f>K8/IS!K4</f>
        <v>4.9009793342824438E-2</v>
      </c>
      <c r="L60" s="195">
        <f>L8/IS!L4</f>
        <v>0.13713512880312664</v>
      </c>
      <c r="M60" s="197">
        <f>M8/IS!M4</f>
        <v>0.14169593200714906</v>
      </c>
      <c r="N60" s="198">
        <f>N8/IS!N4</f>
        <v>0.1471401220697543</v>
      </c>
      <c r="O60" s="198">
        <f>O8/IS!O4</f>
        <v>0.14690773263024023</v>
      </c>
      <c r="P60" s="198">
        <f>P8/IS!P4</f>
        <v>0.14704825158739102</v>
      </c>
      <c r="Q60" s="198">
        <f>Q8/IS!Q4</f>
        <v>0.14660826520934209</v>
      </c>
      <c r="R60" s="311"/>
      <c r="S60" s="198">
        <f>S8/(IS!S4*4)</f>
        <v>3.0365208462002097E-2</v>
      </c>
      <c r="T60" s="198">
        <f>T8/(IS!T4*4)</f>
        <v>2.9629327962562572E-2</v>
      </c>
      <c r="U60" s="198">
        <f>U8/(IS!U4*4)</f>
        <v>3.0837253813336452E-2</v>
      </c>
      <c r="V60" s="198">
        <f>V8/(IS!V4*4)</f>
        <v>3.0647842943645018E-2</v>
      </c>
      <c r="W60" s="198">
        <f>W8/(IS!W4*4)</f>
        <v>1.972991758514547E-2</v>
      </c>
      <c r="X60" s="198">
        <f>X8/(IS!X4*4)</f>
        <v>1.9687722510426203E-2</v>
      </c>
      <c r="Y60" s="198">
        <f>Y8/(IS!Y4*4)</f>
        <v>1.6813060657838531E-2</v>
      </c>
      <c r="Z60" s="198">
        <f>Z8/(IS!Z4*4)</f>
        <v>2.1249595980371992E-2</v>
      </c>
      <c r="AA60" s="198">
        <f>AA8/(IS!AA4*4)</f>
        <v>1.8939600332375257E-2</v>
      </c>
      <c r="AB60" s="198">
        <f>AB8/(IS!AB4*4)</f>
        <v>2.3650597721814499E-2</v>
      </c>
      <c r="AC60" s="198">
        <f>AC8/(IS!AC4*4)</f>
        <v>2.3834539120197673E-2</v>
      </c>
      <c r="AD60" s="198">
        <f>AD8/(IS!AD4*4)</f>
        <v>2.8946993699049531E-2</v>
      </c>
      <c r="AE60" s="198">
        <f>AE8/(IS!AE4*4)</f>
        <v>2.6316488566855503E-2</v>
      </c>
      <c r="AF60" s="198">
        <f>AF8/(IS!AF4*4)</f>
        <v>2.8909041988050721E-2</v>
      </c>
      <c r="AG60" s="198">
        <f>AG8/(IS!AG4*4)</f>
        <v>2.9596648359579602E-2</v>
      </c>
      <c r="AH60" s="198">
        <f>AH8/(IS!AH4*4)</f>
        <v>9.5771266975765365E-2</v>
      </c>
      <c r="AI60" s="198">
        <f>AI8/(IS!AI4*4)</f>
        <v>7.1831033435675956E-2</v>
      </c>
      <c r="AJ60" s="198">
        <f>AJ8/(IS!AJ4*4)</f>
        <v>6.44564943497897E-2</v>
      </c>
      <c r="AK60" s="198">
        <f>AK8/(IS!AK4*4)</f>
        <v>6.3513791881042031E-2</v>
      </c>
      <c r="AL60" s="198">
        <f>AL8/(IS!AL4*4)</f>
        <v>7.008991468378209E-2</v>
      </c>
      <c r="AM60" s="198">
        <f>AM8/(IS!AM4*4)</f>
        <v>6.0906890736699887E-2</v>
      </c>
      <c r="AN60" s="198">
        <f>AN8/(IS!AN4*4)</f>
        <v>6.0469626168224294E-2</v>
      </c>
      <c r="AO60" s="198">
        <f>AO8/(IS!AO4*4)</f>
        <v>5.9481854557402437E-2</v>
      </c>
      <c r="AP60" s="198">
        <f>AP8/(IS!AP4*4)</f>
        <v>6.5112798892929563E-2</v>
      </c>
      <c r="AQ60" s="198">
        <f>AQ8/(IS!AQ4*4)</f>
        <v>5.0385834627868505E-2</v>
      </c>
      <c r="AR60" s="198">
        <f>AR8/(IS!AR4*4)</f>
        <v>4.6880031375139332E-2</v>
      </c>
      <c r="AS60" s="198">
        <f>AS8/(IS!AS4*4)</f>
        <v>4.5457945512328055E-2</v>
      </c>
      <c r="AT60" s="198">
        <f>AT8/(IS!AT4*4)</f>
        <v>4.8194739751229523E-2</v>
      </c>
      <c r="AU60" s="198">
        <f>AU8/(IS!AU4*4)</f>
        <v>0.1263839965405717</v>
      </c>
      <c r="AV60" s="198">
        <f>AV8/(IS!AV4*4)</f>
        <v>0.1297227043696601</v>
      </c>
      <c r="AW60" s="198">
        <f>AW8/(IS!AW4*4)</f>
        <v>0.12808942075957783</v>
      </c>
      <c r="AX60" s="198">
        <f>AX8/(IS!AX4*4)</f>
        <v>0.13469858245050292</v>
      </c>
      <c r="AY60" s="198">
        <f>AY8/(IS!AY4*4)</f>
        <v>0.14609775802868105</v>
      </c>
      <c r="AZ60" s="198">
        <f>AZ8/(IS!AZ4*4)</f>
        <v>0.13821064561392687</v>
      </c>
      <c r="BA60" s="195">
        <f>BA8/(IS!BA4*4)</f>
        <v>0.13956223201480283</v>
      </c>
      <c r="BB60" s="264">
        <f>BA60</f>
        <v>0.13956223201480283</v>
      </c>
      <c r="BC60" s="231">
        <f>BB60</f>
        <v>0.13956223201480283</v>
      </c>
      <c r="BD60" s="231">
        <f>BC60</f>
        <v>0.13956223201480283</v>
      </c>
      <c r="BE60" s="231">
        <f>BD60</f>
        <v>0.13956223201480283</v>
      </c>
      <c r="BF60" s="231">
        <f>BE60</f>
        <v>0.13956223201480283</v>
      </c>
      <c r="BG60" s="231">
        <f>BF60</f>
        <v>0.13956223201480283</v>
      </c>
      <c r="BH60" s="231">
        <f>BG60</f>
        <v>0.13956223201480283</v>
      </c>
      <c r="BI60" s="231">
        <f>BH60</f>
        <v>0.13956223201480283</v>
      </c>
      <c r="BJ60" s="231">
        <f>BI60</f>
        <v>0.13956223201480283</v>
      </c>
      <c r="BK60" s="231">
        <f>BJ60</f>
        <v>0.13956223201480283</v>
      </c>
      <c r="BL60" s="231">
        <f>BK60</f>
        <v>0.13956223201480283</v>
      </c>
      <c r="BM60" s="231">
        <f>BL60</f>
        <v>0.13956223201480283</v>
      </c>
      <c r="BN60" s="231">
        <f>BM60</f>
        <v>0.13956223201480283</v>
      </c>
      <c r="BO60" s="231">
        <f>BN60</f>
        <v>0.13956223201480283</v>
      </c>
      <c r="BP60" s="231">
        <f>BO60</f>
        <v>0.13956223201480283</v>
      </c>
      <c r="BQ60" s="231">
        <f>BP60</f>
        <v>0.13956223201480283</v>
      </c>
      <c r="BR60" s="231">
        <f>BQ60</f>
        <v>0.13956223201480283</v>
      </c>
    </row>
    <row r="61" spans="1:70" x14ac:dyDescent="0.2">
      <c r="A61" s="290" t="s">
        <v>319</v>
      </c>
      <c r="B61" s="232"/>
      <c r="C61" s="198">
        <f>C9/IS!C8</f>
        <v>0</v>
      </c>
      <c r="D61" s="198">
        <f>D9/IS!D8</f>
        <v>8.3037285792957483E-3</v>
      </c>
      <c r="E61" s="198">
        <f>E9/IS!E8</f>
        <v>1.6889653627450513E-2</v>
      </c>
      <c r="F61" s="198">
        <f>F9/IS!F8</f>
        <v>1.6341825303456643E-2</v>
      </c>
      <c r="G61" s="198">
        <f>G9/IS!G8</f>
        <v>2.1403202408400299E-2</v>
      </c>
      <c r="H61" s="198">
        <f>H9/IS!H8</f>
        <v>6.1724130878880908E-2</v>
      </c>
      <c r="I61" s="198">
        <f>I9/IS!I8</f>
        <v>5.6305189881601971E-2</v>
      </c>
      <c r="J61" s="198">
        <f>J9/IS!J8</f>
        <v>3.4731354755980721E-2</v>
      </c>
      <c r="K61" s="198">
        <f>K9/IS!K8</f>
        <v>3.7533768176087827E-2</v>
      </c>
      <c r="L61" s="195">
        <f>L9/IS!L8</f>
        <v>0.25840507428232579</v>
      </c>
      <c r="M61" s="197">
        <f>M9/IS!M8</f>
        <v>0.24316338265502102</v>
      </c>
      <c r="N61" s="198">
        <f>N9/IS!N8</f>
        <v>0.24652659689122369</v>
      </c>
      <c r="O61" s="198">
        <f>O9/IS!O8</f>
        <v>0.24613723893181066</v>
      </c>
      <c r="P61" s="198">
        <f>P9/IS!P8</f>
        <v>0.24637267206736743</v>
      </c>
      <c r="Q61" s="198">
        <f>Q9/IS!Q8</f>
        <v>0.24563549485877795</v>
      </c>
      <c r="R61" s="311"/>
      <c r="S61" s="198">
        <f>S9/(IS!S8*4)</f>
        <v>1.0075261562437637E-2</v>
      </c>
      <c r="T61" s="198">
        <f>T9/(IS!T8*4)</f>
        <v>1.2337533344684714E-2</v>
      </c>
      <c r="U61" s="198">
        <f>U9/(IS!U8*4)</f>
        <v>1.5230989313062746E-2</v>
      </c>
      <c r="V61" s="198">
        <f>V9/(IS!V8*4)</f>
        <v>1.7420309519595695E-2</v>
      </c>
      <c r="W61" s="198">
        <f>W9/(IS!W8*4)</f>
        <v>1.7418617932609938E-2</v>
      </c>
      <c r="X61" s="198">
        <f>X9/(IS!X8*4)</f>
        <v>1.8278617431582055E-2</v>
      </c>
      <c r="Y61" s="198">
        <f>Y9/(IS!Y8*4)</f>
        <v>1.6310057195190936E-2</v>
      </c>
      <c r="Z61" s="198">
        <f>Z9/(IS!Z8*4)</f>
        <v>1.738167484608704E-2</v>
      </c>
      <c r="AA61" s="198">
        <f>AA9/(IS!AA8*4)</f>
        <v>1.5816974050171469E-2</v>
      </c>
      <c r="AB61" s="198">
        <f>AB9/(IS!AB8*4)</f>
        <v>1.6932351151050802E-2</v>
      </c>
      <c r="AC61" s="198">
        <f>AC9/(IS!AC8*4)</f>
        <v>2.019242885172718E-2</v>
      </c>
      <c r="AD61" s="198">
        <f>AD9/(IS!AD8*4)</f>
        <v>2.2228781939262268E-2</v>
      </c>
      <c r="AE61" s="198">
        <f>AE9/(IS!AE8*4)</f>
        <v>2.4830445610130876E-2</v>
      </c>
      <c r="AF61" s="198">
        <f>AF9/(IS!AF8*4)</f>
        <v>2.684342857142857E-2</v>
      </c>
      <c r="AG61" s="198">
        <f>AG9/(IS!AG8*4)</f>
        <v>2.5110990347063589E-2</v>
      </c>
      <c r="AH61" s="198">
        <f>AH9/(IS!AH8*4)</f>
        <v>6.2363394251079049E-2</v>
      </c>
      <c r="AI61" s="198">
        <f>AI9/(IS!AI8*4)</f>
        <v>4.53657998945073E-2</v>
      </c>
      <c r="AJ61" s="198">
        <f>AJ9/(IS!AJ8*4)</f>
        <v>4.6086761723601266E-2</v>
      </c>
      <c r="AK61" s="198">
        <f>AK9/(IS!AK8*4)</f>
        <v>4.9070999946077942E-2</v>
      </c>
      <c r="AL61" s="198">
        <f>AL9/(IS!AL8*4)</f>
        <v>5.686864289389322E-2</v>
      </c>
      <c r="AM61" s="198">
        <f>AM9/(IS!AM8*4)</f>
        <v>5.5494953963979764E-2</v>
      </c>
      <c r="AN61" s="198">
        <f>AN9/(IS!AN8*4)</f>
        <v>4.7618088021924868E-2</v>
      </c>
      <c r="AO61" s="198">
        <f>AO9/(IS!AO8*4)</f>
        <v>3.6405402374577726E-2</v>
      </c>
      <c r="AP61" s="198">
        <f>AP9/(IS!AP8*4)</f>
        <v>3.4350319940047273E-2</v>
      </c>
      <c r="AQ61" s="198">
        <f>AQ9/(IS!AQ8*4)</f>
        <v>3.6520428339304245E-2</v>
      </c>
      <c r="AR61" s="198">
        <f>AR9/(IS!AR8*4)</f>
        <v>3.3494322835935633E-2</v>
      </c>
      <c r="AS61" s="198">
        <f>AS9/(IS!AS8*4)</f>
        <v>3.6341028241821359E-2</v>
      </c>
      <c r="AT61" s="198">
        <f>AT9/(IS!AT8*4)</f>
        <v>3.6773189802256065E-2</v>
      </c>
      <c r="AU61" s="198">
        <f>AU9/(IS!AU8*4)</f>
        <v>0.29578864202260102</v>
      </c>
      <c r="AV61" s="198">
        <f>AV9/(IS!AV8*4)</f>
        <v>0.24852114758947055</v>
      </c>
      <c r="AW61" s="198">
        <f>AW9/(IS!AW8*4)</f>
        <v>0.26315949922770504</v>
      </c>
      <c r="AX61" s="198">
        <f>AX9/(IS!AX8*4)</f>
        <v>0.2412889574434425</v>
      </c>
      <c r="AY61" s="198">
        <f>AY9/(IS!AY8*4)</f>
        <v>0.25161336147414559</v>
      </c>
      <c r="AZ61" s="198">
        <f>AZ9/(IS!AZ8*4)</f>
        <v>0.27446236559139786</v>
      </c>
      <c r="BA61" s="195">
        <f>BA9/(IS!BA8*4)</f>
        <v>0.23383018601032607</v>
      </c>
      <c r="BB61" s="264">
        <f>BA61</f>
        <v>0.23383018601032607</v>
      </c>
      <c r="BC61" s="231">
        <f>BB61</f>
        <v>0.23383018601032607</v>
      </c>
      <c r="BD61" s="231">
        <f>BC61</f>
        <v>0.23383018601032607</v>
      </c>
      <c r="BE61" s="231">
        <f>BD61</f>
        <v>0.23383018601032607</v>
      </c>
      <c r="BF61" s="231">
        <f>BE61</f>
        <v>0.23383018601032607</v>
      </c>
      <c r="BG61" s="231">
        <f>BF61</f>
        <v>0.23383018601032607</v>
      </c>
      <c r="BH61" s="231">
        <f>BG61</f>
        <v>0.23383018601032607</v>
      </c>
      <c r="BI61" s="231">
        <f>BH61</f>
        <v>0.23383018601032607</v>
      </c>
      <c r="BJ61" s="231">
        <f>BI61</f>
        <v>0.23383018601032607</v>
      </c>
      <c r="BK61" s="231">
        <f>BJ61</f>
        <v>0.23383018601032607</v>
      </c>
      <c r="BL61" s="231">
        <f>BK61</f>
        <v>0.23383018601032607</v>
      </c>
      <c r="BM61" s="231">
        <f>BL61</f>
        <v>0.23383018601032607</v>
      </c>
      <c r="BN61" s="231">
        <f>BM61</f>
        <v>0.23383018601032607</v>
      </c>
      <c r="BO61" s="231">
        <f>BN61</f>
        <v>0.23383018601032607</v>
      </c>
      <c r="BP61" s="231">
        <f>BO61</f>
        <v>0.23383018601032607</v>
      </c>
      <c r="BQ61" s="231">
        <f>BP61</f>
        <v>0.23383018601032607</v>
      </c>
      <c r="BR61" s="231">
        <f>BQ61</f>
        <v>0.23383018601032607</v>
      </c>
    </row>
    <row r="62" spans="1:70" x14ac:dyDescent="0.2">
      <c r="A62" s="290" t="s">
        <v>320</v>
      </c>
      <c r="B62" s="232"/>
      <c r="C62" s="198">
        <f>C10/IS!C8</f>
        <v>2.0754867380084092E-2</v>
      </c>
      <c r="D62" s="198">
        <f>D10/IS!D8</f>
        <v>1.770886198965543E-2</v>
      </c>
      <c r="E62" s="198">
        <f>E10/IS!E8</f>
        <v>3.6715394918089832E-2</v>
      </c>
      <c r="F62" s="198">
        <f>F10/IS!F8</f>
        <v>4.1861307758812458E-2</v>
      </c>
      <c r="G62" s="198">
        <f>G10/IS!G8</f>
        <v>3.7913204818619629E-2</v>
      </c>
      <c r="H62" s="198">
        <f>H10/IS!H8</f>
        <v>4.3147583003651679E-2</v>
      </c>
      <c r="I62" s="198">
        <f>I10/IS!I8</f>
        <v>4.0697731373812933E-2</v>
      </c>
      <c r="J62" s="198">
        <f>J10/IS!J8</f>
        <v>3.2873478636246067E-2</v>
      </c>
      <c r="K62" s="198">
        <f>K10/IS!K8</f>
        <v>3.2370467234102536E-2</v>
      </c>
      <c r="L62" s="195">
        <f>L10/IS!L8</f>
        <v>0.21452396835985896</v>
      </c>
      <c r="M62" s="197">
        <f>M10/IS!M8</f>
        <v>0.28525200475017343</v>
      </c>
      <c r="N62" s="198">
        <f>N10/IS!N8</f>
        <v>0.28919735043835298</v>
      </c>
      <c r="O62" s="198">
        <f>O10/IS!O8</f>
        <v>0.28874059935488261</v>
      </c>
      <c r="P62" s="198">
        <f>P10/IS!P8</f>
        <v>0.2890167831008435</v>
      </c>
      <c r="Q62" s="198">
        <f>Q10/IS!Q8</f>
        <v>0.28815200948933051</v>
      </c>
      <c r="R62" s="311"/>
      <c r="S62" s="198">
        <f>S10/(IS!S8*4)</f>
        <v>3.6830176845666279E-2</v>
      </c>
      <c r="T62" s="198">
        <f>T10/(IS!T8*4)</f>
        <v>3.7934899824053576E-2</v>
      </c>
      <c r="U62" s="198">
        <f>U10/(IS!U8*4)</f>
        <v>3.9461258683720891E-2</v>
      </c>
      <c r="V62" s="198">
        <f>V10/(IS!V8*4)</f>
        <v>3.786895561717106E-2</v>
      </c>
      <c r="W62" s="198">
        <f>W10/(IS!W8*4)</f>
        <v>3.1696173615077101E-2</v>
      </c>
      <c r="X62" s="198">
        <f>X10/(IS!X8*4)</f>
        <v>3.7267711159091325E-2</v>
      </c>
      <c r="Y62" s="198">
        <f>Y10/(IS!Y8*4)</f>
        <v>3.7181363526168819E-2</v>
      </c>
      <c r="Z62" s="198">
        <f>Z10/(IS!Z8*4)</f>
        <v>4.4524991950669786E-2</v>
      </c>
      <c r="AA62" s="198">
        <f>AA10/(IS!AA8*4)</f>
        <v>4.0826200055806082E-2</v>
      </c>
      <c r="AB62" s="198">
        <f>AB10/(IS!AB8*4)</f>
        <v>4.286679674913179E-2</v>
      </c>
      <c r="AC62" s="198">
        <f>AC10/(IS!AC8*4)</f>
        <v>4.3681259337929546E-2</v>
      </c>
      <c r="AD62" s="198">
        <f>AD10/(IS!AD8*4)</f>
        <v>3.9375619893260286E-2</v>
      </c>
      <c r="AE62" s="198">
        <f>AE10/(IS!AE8*4)</f>
        <v>6.1167629241067487E-2</v>
      </c>
      <c r="AF62" s="198">
        <f>AF10/(IS!AF8*4)</f>
        <v>6.028114285714286E-2</v>
      </c>
      <c r="AG62" s="198">
        <f>AG10/(IS!AG8*4)</f>
        <v>6.5406012821457526E-2</v>
      </c>
      <c r="AH62" s="198">
        <f>AH10/(IS!AH8*4)</f>
        <v>4.359445311782531E-2</v>
      </c>
      <c r="AI62" s="198">
        <f>AI10/(IS!AI8*4)</f>
        <v>3.7176338143485824E-2</v>
      </c>
      <c r="AJ62" s="198">
        <f>AJ10/(IS!AJ8*4)</f>
        <v>4.1443303831098399E-2</v>
      </c>
      <c r="AK62" s="198">
        <f>AK10/(IS!AK8*4)</f>
        <v>3.7094525370329E-2</v>
      </c>
      <c r="AL62" s="198">
        <f>AL10/(IS!AL8*4)</f>
        <v>4.1104998614793997E-2</v>
      </c>
      <c r="AM62" s="198">
        <f>AM10/(IS!AM8*4)</f>
        <v>3.8360171786441681E-2</v>
      </c>
      <c r="AN62" s="198">
        <f>AN10/(IS!AN8*4)</f>
        <v>3.5166268521096833E-2</v>
      </c>
      <c r="AO62" s="198">
        <f>AO10/(IS!AO8*4)</f>
        <v>3.2874724905030912E-2</v>
      </c>
      <c r="AP62" s="198">
        <f>AP10/(IS!AP8*4)</f>
        <v>3.251282642531849E-2</v>
      </c>
      <c r="AQ62" s="198">
        <f>AQ10/(IS!AQ8*4)</f>
        <v>3.5164738356727551E-2</v>
      </c>
      <c r="AR62" s="198">
        <f>AR10/(IS!AR8*4)</f>
        <v>3.2284538706791176E-2</v>
      </c>
      <c r="AS62" s="198">
        <f>AS10/(IS!AS8*4)</f>
        <v>3.4428503342335846E-2</v>
      </c>
      <c r="AT62" s="198">
        <f>AT10/(IS!AT8*4)</f>
        <v>3.1714517178313223E-2</v>
      </c>
      <c r="AU62" s="198">
        <f>AU10/(IS!AU8*4)</f>
        <v>0.24545106301474814</v>
      </c>
      <c r="AV62" s="198">
        <f>AV10/(IS!AV8*4)</f>
        <v>0.2087611442092365</v>
      </c>
      <c r="AW62" s="198">
        <f>AW10/(IS!AW8*4)</f>
        <v>0.23087553857409965</v>
      </c>
      <c r="AX62" s="198">
        <f>AX10/(IS!AX8*4)</f>
        <v>0.20031442809682012</v>
      </c>
      <c r="AY62" s="198">
        <f>AY10/(IS!AY8*4)</f>
        <v>0.22620545498822955</v>
      </c>
      <c r="AZ62" s="198">
        <f>AZ10/(IS!AZ8*4)</f>
        <v>0.23238287250384024</v>
      </c>
      <c r="BA62" s="195">
        <f>BA10/(IS!BA8*4)</f>
        <v>0.2743033453568145</v>
      </c>
      <c r="BB62" s="264">
        <f>BA62</f>
        <v>0.2743033453568145</v>
      </c>
      <c r="BC62" s="231">
        <f>BB62</f>
        <v>0.2743033453568145</v>
      </c>
      <c r="BD62" s="231">
        <f>BC62</f>
        <v>0.2743033453568145</v>
      </c>
      <c r="BE62" s="231">
        <f>BD62</f>
        <v>0.2743033453568145</v>
      </c>
      <c r="BF62" s="231">
        <f>BE62</f>
        <v>0.2743033453568145</v>
      </c>
      <c r="BG62" s="231">
        <f>BF62</f>
        <v>0.2743033453568145</v>
      </c>
      <c r="BH62" s="231">
        <f>BG62</f>
        <v>0.2743033453568145</v>
      </c>
      <c r="BI62" s="231">
        <f>BH62</f>
        <v>0.2743033453568145</v>
      </c>
      <c r="BJ62" s="231">
        <f>BI62</f>
        <v>0.2743033453568145</v>
      </c>
      <c r="BK62" s="231">
        <f>BJ62</f>
        <v>0.2743033453568145</v>
      </c>
      <c r="BL62" s="231">
        <f>BK62</f>
        <v>0.2743033453568145</v>
      </c>
      <c r="BM62" s="231">
        <f>BL62</f>
        <v>0.2743033453568145</v>
      </c>
      <c r="BN62" s="231">
        <f>BM62</f>
        <v>0.2743033453568145</v>
      </c>
      <c r="BO62" s="231">
        <f>BN62</f>
        <v>0.2743033453568145</v>
      </c>
      <c r="BP62" s="231">
        <f>BO62</f>
        <v>0.2743033453568145</v>
      </c>
      <c r="BQ62" s="231">
        <f>BP62</f>
        <v>0.2743033453568145</v>
      </c>
      <c r="BR62" s="231">
        <f>BQ62</f>
        <v>0.2743033453568145</v>
      </c>
    </row>
    <row r="63" spans="1:70" x14ac:dyDescent="0.2">
      <c r="A63" s="290" t="s">
        <v>321</v>
      </c>
      <c r="B63" s="232"/>
      <c r="C63" s="198">
        <f>C27/(IS!C25*4)</f>
        <v>0.16316890388648195</v>
      </c>
      <c r="D63" s="198">
        <f>D27/(IS!D25*4)</f>
        <v>0.16610409831507536</v>
      </c>
      <c r="E63" s="198">
        <f>E27/(IS!E25*4)</f>
        <v>0.41151739185942593</v>
      </c>
      <c r="F63" s="198">
        <f>F27/(IS!F25*4)</f>
        <v>0.493390664719563</v>
      </c>
      <c r="G63" s="198">
        <f>G27/(IS!G25*4)</f>
        <v>0.38775935828877001</v>
      </c>
      <c r="H63" s="198">
        <f>H27/(IS!H25*4)</f>
        <v>0.24990981543624163</v>
      </c>
      <c r="I63" s="198">
        <f>I27/(IS!I25*4)</f>
        <v>0.1071140740105169</v>
      </c>
      <c r="J63" s="198">
        <f>J27/(IS!J25*4)</f>
        <v>0.1393500420748863</v>
      </c>
      <c r="K63" s="198">
        <f>K27/(IS!K25*4)</f>
        <v>0.312022750840587</v>
      </c>
      <c r="L63" s="195">
        <f>L27/(IS!L25*4)</f>
        <v>0.28883376834390612</v>
      </c>
      <c r="M63" s="197">
        <f>M27/(IS!M25*4)</f>
        <v>0.23724007195986771</v>
      </c>
      <c r="N63" s="198">
        <f>N27/(IS!N25*4)</f>
        <v>0.2489756715785843</v>
      </c>
      <c r="O63" s="198">
        <f>O27/(IS!O25*4)</f>
        <v>0.24858244561168338</v>
      </c>
      <c r="P63" s="198">
        <f>P27/(IS!P25*4)</f>
        <v>0.24882021761590634</v>
      </c>
      <c r="Q63" s="198">
        <f>Q27/(IS!Q25*4)</f>
        <v>0.24807571705127976</v>
      </c>
      <c r="R63" s="311"/>
      <c r="S63" s="198">
        <f>S27/(IS!S25*4)</f>
        <v>0.55877537655533727</v>
      </c>
      <c r="T63" s="198">
        <f>T27/(IS!T25*4)</f>
        <v>0.462121553433051</v>
      </c>
      <c r="U63" s="198">
        <f>U27/(IS!U25*4)</f>
        <v>0.64688689809630462</v>
      </c>
      <c r="V63" s="198">
        <f>V27/(IS!V25*4)</f>
        <v>1.6272775253568315</v>
      </c>
      <c r="W63" s="198">
        <f>W27/(IS!W25*4)</f>
        <v>1.4460888930128977</v>
      </c>
      <c r="X63" s="198">
        <f>X27/(IS!X25*4)</f>
        <v>1.2606815429856428</v>
      </c>
      <c r="Y63" s="198">
        <f>Y27/(IS!Y25*4)</f>
        <v>1.6637054771505375</v>
      </c>
      <c r="Z63" s="198">
        <f>Z27/(IS!Z25*4)</f>
        <v>1.9037313744313205</v>
      </c>
      <c r="AA63" s="198">
        <f>AA27/(IS!AA25*4)</f>
        <v>1.9816733853299444</v>
      </c>
      <c r="AB63" s="198">
        <f>AB27/(IS!AB25*4)</f>
        <v>1.9671538234425745</v>
      </c>
      <c r="AC63" s="198">
        <f>AC27/(IS!AC25*4)</f>
        <v>1.7200106044538706</v>
      </c>
      <c r="AD63" s="198">
        <f>AD27/(IS!AD25*4)</f>
        <v>1.5497777207831072</v>
      </c>
      <c r="AE63" s="198">
        <f>AE27/(IS!AE25*4)</f>
        <v>2.0539165296052633</v>
      </c>
      <c r="AF63" s="198">
        <f>AF27/(IS!AF25*4)</f>
        <v>1.6820012331881771</v>
      </c>
      <c r="AG63" s="198">
        <f>AG27/(IS!AG25*4)</f>
        <v>1.1161253920893579</v>
      </c>
      <c r="AH63" s="198">
        <f>AH27/(IS!AH25*4)</f>
        <v>0.69618944121152626</v>
      </c>
      <c r="AI63" s="198">
        <f>AI27/(IS!AI25*4)</f>
        <v>0.67698197250951075</v>
      </c>
      <c r="AJ63" s="198">
        <f>AJ27/(IS!AJ25*4)</f>
        <v>0.56209199757984918</v>
      </c>
      <c r="AK63" s="198">
        <f>AK27/(IS!AK25*4)</f>
        <v>0.41494323579337516</v>
      </c>
      <c r="AL63" s="198">
        <f>AL27/(IS!AL25*4)</f>
        <v>0.23778094473619765</v>
      </c>
      <c r="AM63" s="198">
        <f>AM27/(IS!AM25*4)</f>
        <v>0.38919256323087553</v>
      </c>
      <c r="AN63" s="198">
        <f>AN27/(IS!AN25*4)</f>
        <v>0.35489128914010687</v>
      </c>
      <c r="AO63" s="198">
        <f>AO27/(IS!AO25*4)</f>
        <v>0.43404684440649516</v>
      </c>
      <c r="AP63" s="198">
        <f>AP27/(IS!AP25*4)</f>
        <v>0.27333965844402275</v>
      </c>
      <c r="AQ63" s="198">
        <f>AQ27/(IS!AQ25*4)</f>
        <v>0.5172350910181388</v>
      </c>
      <c r="AR63" s="198">
        <f>AR27/(IS!AR25*4)</f>
        <v>0.58531784291039979</v>
      </c>
      <c r="AS63" s="198">
        <f>AS27/(IS!AS25*4)</f>
        <v>0.77304326042367977</v>
      </c>
      <c r="AT63" s="198">
        <f>AT27/(IS!AT25*4)</f>
        <v>1.1893041082764404</v>
      </c>
      <c r="AU63" s="198">
        <f>AU27/(IS!AU25*4)</f>
        <v>0.92532304269649224</v>
      </c>
      <c r="AV63" s="198">
        <f>AV27/(IS!AV25*4)</f>
        <v>0.75075602750697334</v>
      </c>
      <c r="AW63" s="198">
        <f>AW27/(IS!AW25*4)</f>
        <v>1.0260112102185455</v>
      </c>
      <c r="AX63" s="198">
        <f>AX27/(IS!AX25*4)</f>
        <v>1.0850161682012389</v>
      </c>
      <c r="AY63" s="198">
        <f>AY27/(IS!AY25*4)</f>
        <v>1.2093154985327237</v>
      </c>
      <c r="AZ63" s="198">
        <f>AZ27/(IS!AZ25*4)</f>
        <v>1.0512235521088504</v>
      </c>
      <c r="BA63" s="195">
        <f>BA27/(IS!BA25*4)</f>
        <v>0.94461252183599598</v>
      </c>
      <c r="BB63" s="264">
        <f>BA63</f>
        <v>0.94461252183599598</v>
      </c>
      <c r="BC63" s="231">
        <f>BB63</f>
        <v>0.94461252183599598</v>
      </c>
      <c r="BD63" s="231">
        <f>BC63</f>
        <v>0.94461252183599598</v>
      </c>
      <c r="BE63" s="231">
        <f>BD63</f>
        <v>0.94461252183599598</v>
      </c>
      <c r="BF63" s="231">
        <f>BE63</f>
        <v>0.94461252183599598</v>
      </c>
      <c r="BG63" s="231">
        <f>BF63</f>
        <v>0.94461252183599598</v>
      </c>
      <c r="BH63" s="231">
        <f>BG63</f>
        <v>0.94461252183599598</v>
      </c>
      <c r="BI63" s="231">
        <f>BH63</f>
        <v>0.94461252183599598</v>
      </c>
      <c r="BJ63" s="231">
        <f>BI63</f>
        <v>0.94461252183599598</v>
      </c>
      <c r="BK63" s="231">
        <f>BJ63</f>
        <v>0.94461252183599598</v>
      </c>
      <c r="BL63" s="231">
        <f>BK63</f>
        <v>0.94461252183599598</v>
      </c>
      <c r="BM63" s="231">
        <f>BL63</f>
        <v>0.94461252183599598</v>
      </c>
      <c r="BN63" s="231">
        <f>BM63</f>
        <v>0.94461252183599598</v>
      </c>
      <c r="BO63" s="231">
        <f>BN63</f>
        <v>0.94461252183599598</v>
      </c>
      <c r="BP63" s="231">
        <f>BO63</f>
        <v>0.94461252183599598</v>
      </c>
      <c r="BQ63" s="231">
        <f>BP63</f>
        <v>0.94461252183599598</v>
      </c>
      <c r="BR63" s="231">
        <f>BQ63</f>
        <v>0.94461252183599598</v>
      </c>
    </row>
    <row r="64" spans="1:70" x14ac:dyDescent="0.2">
      <c r="A64" s="290" t="s">
        <v>322</v>
      </c>
      <c r="B64" s="232"/>
      <c r="C64" s="198">
        <f>C28/IS!C25</f>
        <v>0.48216433719036417</v>
      </c>
      <c r="D64" s="198">
        <f>D28/IS!D25</f>
        <v>0.51632096980481568</v>
      </c>
      <c r="E64" s="198">
        <f>E28/IS!E25</f>
        <v>0.61956105430531216</v>
      </c>
      <c r="F64" s="198">
        <f>F28/IS!F25</f>
        <v>0.55373465303694092</v>
      </c>
      <c r="G64" s="198">
        <f>G28/IS!G25</f>
        <v>0.57327272727272727</v>
      </c>
      <c r="H64" s="198">
        <f>H28/IS!H25</f>
        <v>0.8780872483221478</v>
      </c>
      <c r="I64" s="198">
        <f>I28/IS!I25</f>
        <v>0.31106970814998225</v>
      </c>
      <c r="J64" s="198">
        <f>J28/IS!J25</f>
        <v>0.22002717967724716</v>
      </c>
      <c r="K64" s="198">
        <f>K28/IS!K25</f>
        <v>0.52832856738836687</v>
      </c>
      <c r="L64" s="195">
        <f>L28/IS!L25</f>
        <v>0.44678063367500392</v>
      </c>
      <c r="M64" s="197">
        <f>M28/IS!M25</f>
        <v>0.46853821361060627</v>
      </c>
      <c r="N64" s="198">
        <f>N28/IS!N25</f>
        <v>0.49171548225488876</v>
      </c>
      <c r="O64" s="198">
        <f>O28/IS!O25</f>
        <v>0.49093887908429024</v>
      </c>
      <c r="P64" s="198">
        <f>P28/IS!P25</f>
        <v>0.49140846783961695</v>
      </c>
      <c r="Q64" s="198">
        <f>Q28/IS!Q25</f>
        <v>0.48993811352004296</v>
      </c>
      <c r="R64" s="311"/>
      <c r="S64" s="198">
        <f>S28/(IS!S25*4)</f>
        <v>0.61450304770540531</v>
      </c>
      <c r="T64" s="198">
        <f>T28/(IS!T25*4)</f>
        <v>0.50085601009190839</v>
      </c>
      <c r="U64" s="198">
        <f>U28/(IS!U25*4)</f>
        <v>0.54019036954087352</v>
      </c>
      <c r="V64" s="198">
        <f>V28/(IS!V25*4)</f>
        <v>0.61248795263665157</v>
      </c>
      <c r="W64" s="198">
        <f>W28/(IS!W25*4)</f>
        <v>0.69052148093161358</v>
      </c>
      <c r="X64" s="198">
        <f>X28/(IS!X25*4)</f>
        <v>0.58845787925964366</v>
      </c>
      <c r="Y64" s="198">
        <f>Y28/(IS!Y25*4)</f>
        <v>0.56091439852150538</v>
      </c>
      <c r="Z64" s="198">
        <f>Z28/(IS!Z25*4)</f>
        <v>0.53414165866688934</v>
      </c>
      <c r="AA64" s="198">
        <f>AA28/(IS!AA25*4)</f>
        <v>0.61012400315485049</v>
      </c>
      <c r="AB64" s="198">
        <f>AB28/(IS!AB25*4)</f>
        <v>0.58912227424184904</v>
      </c>
      <c r="AC64" s="198">
        <f>AC28/(IS!AC25*4)</f>
        <v>0.60058324496288429</v>
      </c>
      <c r="AD64" s="198">
        <f>AD28/(IS!AD25*4)</f>
        <v>0.57280713003334205</v>
      </c>
      <c r="AE64" s="198">
        <f>AE28/(IS!AE25*4)</f>
        <v>0.73054070723684206</v>
      </c>
      <c r="AF64" s="198">
        <f>AF28/(IS!AF25*4)</f>
        <v>0.65737600678253505</v>
      </c>
      <c r="AG64" s="198">
        <f>AG28/(IS!AG25*4)</f>
        <v>0.65990551602784775</v>
      </c>
      <c r="AH64" s="198">
        <f>AH28/(IS!AH25*4)</f>
        <v>0.6115356750566735</v>
      </c>
      <c r="AI64" s="198">
        <f>AI28/(IS!AI25*4)</f>
        <v>0.54265518362040943</v>
      </c>
      <c r="AJ64" s="198">
        <f>AJ28/(IS!AJ25*4)</f>
        <v>0.46450577970257617</v>
      </c>
      <c r="AK64" s="198">
        <f>AK28/(IS!AK25*4)</f>
        <v>0.41503278152399053</v>
      </c>
      <c r="AL64" s="198">
        <f>AL28/(IS!AL25*4)</f>
        <v>0.17263475823787108</v>
      </c>
      <c r="AM64" s="198">
        <f>AM28/(IS!AM25*4)</f>
        <v>0.41768348591499621</v>
      </c>
      <c r="AN64" s="198">
        <f>AN28/(IS!AN25*4)</f>
        <v>0.40454570892912106</v>
      </c>
      <c r="AO64" s="198">
        <f>AO28/(IS!AO25*4)</f>
        <v>0.36369558496621368</v>
      </c>
      <c r="AP64" s="198">
        <f>AP28/(IS!AP25*4)</f>
        <v>0.10789762465421458</v>
      </c>
      <c r="AQ64" s="198">
        <f>AQ28/(IS!AQ25*4)</f>
        <v>0.48770485159909871</v>
      </c>
      <c r="AR64" s="198">
        <f>AR28/(IS!AR25*4)</f>
        <v>0.4531872670008999</v>
      </c>
      <c r="AS64" s="198">
        <f>AS28/(IS!AS25*4)</f>
        <v>0.49564342638838871</v>
      </c>
      <c r="AT64" s="198">
        <f>AT28/(IS!AT25*4)</f>
        <v>0.50344352617079891</v>
      </c>
      <c r="AU64" s="198">
        <f>AU28/(IS!AU25*4)</f>
        <v>0.52641864504921831</v>
      </c>
      <c r="AV64" s="198">
        <f>AV28/(IS!AV25*4)</f>
        <v>0.4574000938993068</v>
      </c>
      <c r="AW64" s="198">
        <f>AW28/(IS!AW25*4)</f>
        <v>0.47132097334878337</v>
      </c>
      <c r="AX64" s="198">
        <f>AX28/(IS!AX25*4)</f>
        <v>0.41958754853706998</v>
      </c>
      <c r="AY64" s="198">
        <f>AY28/(IS!AY25*4)</f>
        <v>0.52110830546645737</v>
      </c>
      <c r="AZ64" s="198">
        <f>AZ28/(IS!AZ25*4)</f>
        <v>0.46450239252668585</v>
      </c>
      <c r="BA64" s="195">
        <f>BA28/(IS!BA25*4)</f>
        <v>0.46639155421656253</v>
      </c>
      <c r="BB64" s="264">
        <f>BA64</f>
        <v>0.46639155421656253</v>
      </c>
      <c r="BC64" s="231">
        <f>BB64</f>
        <v>0.46639155421656253</v>
      </c>
      <c r="BD64" s="231">
        <f>BC64</f>
        <v>0.46639155421656253</v>
      </c>
      <c r="BE64" s="231">
        <f>BD64</f>
        <v>0.46639155421656253</v>
      </c>
      <c r="BF64" s="231">
        <f>BE64</f>
        <v>0.46639155421656253</v>
      </c>
      <c r="BG64" s="231">
        <f>BF64</f>
        <v>0.46639155421656253</v>
      </c>
      <c r="BH64" s="231">
        <f>BG64</f>
        <v>0.46639155421656253</v>
      </c>
      <c r="BI64" s="231">
        <f>BH64</f>
        <v>0.46639155421656253</v>
      </c>
      <c r="BJ64" s="231">
        <f>BI64</f>
        <v>0.46639155421656253</v>
      </c>
      <c r="BK64" s="231">
        <f>BJ64</f>
        <v>0.46639155421656253</v>
      </c>
      <c r="BL64" s="231">
        <f>BK64</f>
        <v>0.46639155421656253</v>
      </c>
      <c r="BM64" s="231">
        <f>BL64</f>
        <v>0.46639155421656253</v>
      </c>
      <c r="BN64" s="231">
        <f>BM64</f>
        <v>0.46639155421656253</v>
      </c>
      <c r="BO64" s="231">
        <f>BN64</f>
        <v>0.46639155421656253</v>
      </c>
      <c r="BP64" s="231">
        <f>BO64</f>
        <v>0.46639155421656253</v>
      </c>
      <c r="BQ64" s="231">
        <f>BP64</f>
        <v>0.46639155421656253</v>
      </c>
      <c r="BR64" s="231">
        <f>BQ64</f>
        <v>0.46639155421656253</v>
      </c>
    </row>
    <row r="65" spans="1:70" x14ac:dyDescent="0.2">
      <c r="A65" s="290" t="s">
        <v>323</v>
      </c>
      <c r="B65" s="232"/>
      <c r="C65" s="198">
        <f>C21/IS!C4</f>
        <v>0</v>
      </c>
      <c r="D65" s="198">
        <f>D21/IS!D4</f>
        <v>0</v>
      </c>
      <c r="E65" s="198">
        <f>E21/IS!E4</f>
        <v>0</v>
      </c>
      <c r="F65" s="198">
        <f>F21/IS!F4</f>
        <v>0</v>
      </c>
      <c r="G65" s="198">
        <f>G21/IS!G4</f>
        <v>1.2001153758987989E-3</v>
      </c>
      <c r="H65" s="198">
        <f>H21/IS!H4</f>
        <v>1.5485968370449183E-2</v>
      </c>
      <c r="I65" s="198">
        <f>I21/IS!I4</f>
        <v>8.0471681344233791E-3</v>
      </c>
      <c r="J65" s="198">
        <f>J21/IS!J4</f>
        <v>2.3503239258321541E-3</v>
      </c>
      <c r="K65" s="198">
        <f>K21/IS!K4</f>
        <v>2.7057853341921827E-3</v>
      </c>
      <c r="L65" s="195">
        <f>L21/IS!L4</f>
        <v>1.8842848471294846E-2</v>
      </c>
      <c r="M65" s="197">
        <f>M21/IS!M4</f>
        <v>2.6149395319462081E-2</v>
      </c>
      <c r="N65" s="198">
        <f>N21/IS!N4</f>
        <v>2.2852306665926938E-2</v>
      </c>
      <c r="O65" s="198">
        <f>O21/IS!O4</f>
        <v>1.8922531715640675E-2</v>
      </c>
      <c r="P65" s="198">
        <f>P21/IS!P4</f>
        <v>1.5577925891217472E-2</v>
      </c>
      <c r="Q65" s="198">
        <f>Q21/IS!Q4</f>
        <v>1.2611269825891582E-2</v>
      </c>
      <c r="R65" s="311"/>
      <c r="S65" s="198">
        <f>S21/(IS!S4*4)</f>
        <v>0</v>
      </c>
      <c r="T65" s="198">
        <f>T21/(IS!T4*4)</f>
        <v>0</v>
      </c>
      <c r="U65" s="198">
        <f>U21/(IS!U4*4)</f>
        <v>0</v>
      </c>
      <c r="V65" s="198">
        <f>V21/(IS!V4*4)</f>
        <v>0</v>
      </c>
      <c r="W65" s="198">
        <f>W21/(IS!W4*4)</f>
        <v>0</v>
      </c>
      <c r="X65" s="198">
        <f>X21/(IS!X4*4)</f>
        <v>0</v>
      </c>
      <c r="Y65" s="198">
        <f>Y21/(IS!Y4*4)</f>
        <v>0</v>
      </c>
      <c r="Z65" s="198">
        <f>Z21/(IS!Z4*4)</f>
        <v>0</v>
      </c>
      <c r="AA65" s="198">
        <f>AA21/(IS!AA4*4)</f>
        <v>0</v>
      </c>
      <c r="AB65" s="198">
        <f>AB21/(IS!AB4*4)</f>
        <v>0</v>
      </c>
      <c r="AC65" s="198">
        <f>AC21/(IS!AC4*4)</f>
        <v>0</v>
      </c>
      <c r="AD65" s="198">
        <f>AD21/(IS!AD4*4)</f>
        <v>1.2441707308390594E-3</v>
      </c>
      <c r="AE65" s="198">
        <f>AE21/(IS!AE4*4)</f>
        <v>0</v>
      </c>
      <c r="AF65" s="198">
        <f>AF21/(IS!AF4*4)</f>
        <v>0</v>
      </c>
      <c r="AG65" s="198">
        <f>AG21/(IS!AG4*4)</f>
        <v>0</v>
      </c>
      <c r="AH65" s="198">
        <f>AH21/(IS!AH4*4)</f>
        <v>1.5099799414685476E-2</v>
      </c>
      <c r="AI65" s="198">
        <f>AI21/(IS!AI4*4)</f>
        <v>1.0354359362423061E-2</v>
      </c>
      <c r="AJ65" s="198">
        <f>AJ21/(IS!AJ4*4)</f>
        <v>9.4590141691380282E-3</v>
      </c>
      <c r="AK65" s="198">
        <f>AK21/(IS!AK4*4)</f>
        <v>8.4744138809845458E-3</v>
      </c>
      <c r="AL65" s="198">
        <f>AL21/(IS!AL4*4)</f>
        <v>8.1390399968691296E-3</v>
      </c>
      <c r="AM65" s="198">
        <f>AM21/(IS!AM4*4)</f>
        <v>6.9471105948903863E-3</v>
      </c>
      <c r="AN65" s="198">
        <f>AN21/(IS!AN4*4)</f>
        <v>2.4497663551401867E-3</v>
      </c>
      <c r="AO65" s="198">
        <f>AO21/(IS!AO4*4)</f>
        <v>2.0175355684881875E-3</v>
      </c>
      <c r="AP65" s="198">
        <f>AP21/(IS!AP4*4)</f>
        <v>2.3217216600539743E-3</v>
      </c>
      <c r="AQ65" s="198">
        <f>AQ21/(IS!AQ4*4)</f>
        <v>3.6341706765682818E-3</v>
      </c>
      <c r="AR65" s="198">
        <f>AR21/(IS!AR4*4)</f>
        <v>2.8361474631548532E-3</v>
      </c>
      <c r="AS65" s="198">
        <f>AS21/(IS!AS4*4)</f>
        <v>2.9071412975796734E-3</v>
      </c>
      <c r="AT65" s="198">
        <f>AT21/(IS!AT4*4)</f>
        <v>2.6607869796941002E-3</v>
      </c>
      <c r="AU65" s="198">
        <f>AU21/(IS!AU4*4)</f>
        <v>1.4783650597742361E-2</v>
      </c>
      <c r="AV65" s="198">
        <f>AV21/(IS!AV4*4)</f>
        <v>1.8269409008948283E-2</v>
      </c>
      <c r="AW65" s="198">
        <f>AW21/(IS!AW4*4)</f>
        <v>1.835369400814427E-2</v>
      </c>
      <c r="AX65" s="198">
        <f>AX21/(IS!AX4*4)</f>
        <v>1.8508058442536526E-2</v>
      </c>
      <c r="AY65" s="198">
        <f>AY21/(IS!AY4*4)</f>
        <v>2.4837406584528376E-2</v>
      </c>
      <c r="AZ65" s="198">
        <f>AZ21/(IS!AZ4*4)</f>
        <v>2.6511880714847429E-2</v>
      </c>
      <c r="BA65" s="195">
        <f>BA21/(IS!BA4*4)</f>
        <v>2.5263990963743509E-2</v>
      </c>
      <c r="BB65" s="264">
        <f>BA65</f>
        <v>2.5263990963743509E-2</v>
      </c>
      <c r="BC65" s="231">
        <f>BB65</f>
        <v>2.5263990963743509E-2</v>
      </c>
      <c r="BD65" s="231">
        <f>BC65</f>
        <v>2.5263990963743509E-2</v>
      </c>
      <c r="BE65" s="231">
        <f>BD65</f>
        <v>2.5263990963743509E-2</v>
      </c>
      <c r="BF65" s="231">
        <f>BE65</f>
        <v>2.5263990963743509E-2</v>
      </c>
      <c r="BG65" s="231">
        <f>BF65</f>
        <v>2.5263990963743509E-2</v>
      </c>
      <c r="BH65" s="231">
        <f>BG65</f>
        <v>2.5263990963743509E-2</v>
      </c>
      <c r="BI65" s="231">
        <f>BH65</f>
        <v>2.5263990963743509E-2</v>
      </c>
      <c r="BJ65" s="231">
        <f>BI65</f>
        <v>2.5263990963743509E-2</v>
      </c>
      <c r="BK65" s="231">
        <f>BJ65</f>
        <v>2.5263990963743509E-2</v>
      </c>
      <c r="BL65" s="231">
        <f>BK65</f>
        <v>2.5263990963743509E-2</v>
      </c>
      <c r="BM65" s="231">
        <f>BL65</f>
        <v>2.5263990963743509E-2</v>
      </c>
      <c r="BN65" s="231">
        <f>BM65</f>
        <v>2.5263990963743509E-2</v>
      </c>
      <c r="BO65" s="231">
        <f>BN65</f>
        <v>2.5263990963743509E-2</v>
      </c>
      <c r="BP65" s="231">
        <f>BO65</f>
        <v>2.5263990963743509E-2</v>
      </c>
      <c r="BQ65" s="231">
        <f>BP65</f>
        <v>2.5263990963743509E-2</v>
      </c>
      <c r="BR65" s="231">
        <f>BQ65</f>
        <v>2.5263990963743509E-2</v>
      </c>
    </row>
  </sheetData>
  <mergeCells count="1">
    <mergeCell ref="B1:B2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R70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/>
    </sheetView>
  </sheetViews>
  <sheetFormatPr defaultRowHeight="12.75" x14ac:dyDescent="0.2"/>
  <cols>
    <col min="1" max="1" width="35.7109375" bestFit="1" customWidth="1"/>
    <col min="2" max="2" width="2.42578125" customWidth="1"/>
    <col min="3" max="3" width="6.42578125" bestFit="1" customWidth="1"/>
    <col min="4" max="5" width="7.42578125" bestFit="1" customWidth="1"/>
    <col min="6" max="6" width="7.28515625" bestFit="1" customWidth="1"/>
    <col min="7" max="8" width="6.42578125" bestFit="1" customWidth="1"/>
    <col min="9" max="9" width="8.42578125" bestFit="1" customWidth="1"/>
    <col min="10" max="10" width="7.42578125" bestFit="1" customWidth="1"/>
    <col min="11" max="11" width="6.5703125" bestFit="1" customWidth="1"/>
    <col min="12" max="12" width="8.42578125" bestFit="1" customWidth="1"/>
    <col min="13" max="17" width="7.42578125" bestFit="1" customWidth="1"/>
    <col min="18" max="18" width="9.140625" style="304" customWidth="1"/>
    <col min="19" max="19" width="6.7109375" bestFit="1" customWidth="1"/>
    <col min="20" max="20" width="7.42578125" bestFit="1" customWidth="1"/>
    <col min="21" max="22" width="6.42578125" bestFit="1" customWidth="1"/>
    <col min="23" max="25" width="7.28515625" bestFit="1" customWidth="1"/>
    <col min="26" max="27" width="7.42578125" bestFit="1" customWidth="1"/>
    <col min="28" max="28" width="6.42578125" bestFit="1" customWidth="1"/>
    <col min="29" max="29" width="7.42578125" bestFit="1" customWidth="1"/>
    <col min="30" max="30" width="6.42578125" bestFit="1" customWidth="1"/>
    <col min="31" max="31" width="6.7109375" bestFit="1" customWidth="1"/>
    <col min="32" max="32" width="7.42578125" bestFit="1" customWidth="1"/>
    <col min="33" max="34" width="7.28515625" bestFit="1" customWidth="1"/>
    <col min="35" max="35" width="6.7109375" bestFit="1" customWidth="1"/>
    <col min="36" max="37" width="6.5703125" bestFit="1" customWidth="1"/>
    <col min="38" max="38" width="8.42578125" bestFit="1" customWidth="1"/>
    <col min="39" max="39" width="6.7109375" bestFit="1" customWidth="1"/>
    <col min="40" max="41" width="6.5703125" bestFit="1" customWidth="1"/>
    <col min="42" max="42" width="7.42578125" bestFit="1" customWidth="1"/>
    <col min="43" max="43" width="8.42578125" bestFit="1" customWidth="1"/>
    <col min="44" max="45" width="7.42578125" bestFit="1" customWidth="1"/>
    <col min="46" max="46" width="6.5703125" bestFit="1" customWidth="1"/>
    <col min="47" max="47" width="7.42578125" bestFit="1" customWidth="1"/>
    <col min="48" max="48" width="8.42578125" bestFit="1" customWidth="1"/>
    <col min="49" max="50" width="7.42578125" bestFit="1" customWidth="1"/>
    <col min="51" max="51" width="6.7109375" bestFit="1" customWidth="1"/>
    <col min="52" max="70" width="7.42578125" bestFit="1" customWidth="1"/>
  </cols>
  <sheetData>
    <row r="1" spans="1:70" x14ac:dyDescent="0.2">
      <c r="A1" s="267"/>
      <c r="B1" s="1"/>
      <c r="C1" s="242" t="s">
        <v>177</v>
      </c>
      <c r="D1" s="242" t="s">
        <v>178</v>
      </c>
      <c r="E1" s="242" t="s">
        <v>179</v>
      </c>
      <c r="F1" s="242" t="s">
        <v>180</v>
      </c>
      <c r="G1" s="242" t="s">
        <v>15</v>
      </c>
      <c r="H1" s="242" t="s">
        <v>16</v>
      </c>
      <c r="I1" s="242" t="s">
        <v>17</v>
      </c>
      <c r="J1" s="242" t="s">
        <v>18</v>
      </c>
      <c r="K1" s="242" t="s">
        <v>25</v>
      </c>
      <c r="L1" s="242" t="s">
        <v>37</v>
      </c>
      <c r="M1" s="246" t="s">
        <v>134</v>
      </c>
      <c r="N1" s="246" t="s">
        <v>61</v>
      </c>
      <c r="O1" s="246" t="s">
        <v>62</v>
      </c>
      <c r="P1" s="246" t="s">
        <v>63</v>
      </c>
      <c r="Q1" s="246" t="s">
        <v>64</v>
      </c>
      <c r="R1" s="297"/>
      <c r="S1" s="242" t="s">
        <v>181</v>
      </c>
      <c r="T1" s="242" t="s">
        <v>182</v>
      </c>
      <c r="U1" s="242" t="s">
        <v>183</v>
      </c>
      <c r="V1" s="242" t="s">
        <v>184</v>
      </c>
      <c r="W1" s="242" t="s">
        <v>185</v>
      </c>
      <c r="X1" s="242" t="s">
        <v>186</v>
      </c>
      <c r="Y1" s="242" t="s">
        <v>187</v>
      </c>
      <c r="Z1" s="242" t="s">
        <v>188</v>
      </c>
      <c r="AA1" s="242" t="s">
        <v>189</v>
      </c>
      <c r="AB1" s="242" t="s">
        <v>190</v>
      </c>
      <c r="AC1" s="242" t="s">
        <v>191</v>
      </c>
      <c r="AD1" s="242" t="s">
        <v>192</v>
      </c>
      <c r="AE1" s="242" t="s">
        <v>193</v>
      </c>
      <c r="AF1" s="242" t="s">
        <v>194</v>
      </c>
      <c r="AG1" s="242" t="s">
        <v>195</v>
      </c>
      <c r="AH1" s="242" t="s">
        <v>196</v>
      </c>
      <c r="AI1" s="242" t="s">
        <v>197</v>
      </c>
      <c r="AJ1" s="242" t="s">
        <v>198</v>
      </c>
      <c r="AK1" s="242" t="s">
        <v>199</v>
      </c>
      <c r="AL1" s="242" t="s">
        <v>200</v>
      </c>
      <c r="AM1" s="242" t="s">
        <v>201</v>
      </c>
      <c r="AN1" s="242" t="s">
        <v>202</v>
      </c>
      <c r="AO1" s="242" t="s">
        <v>203</v>
      </c>
      <c r="AP1" s="242" t="s">
        <v>204</v>
      </c>
      <c r="AQ1" s="242" t="s">
        <v>19</v>
      </c>
      <c r="AR1" s="242" t="s">
        <v>20</v>
      </c>
      <c r="AS1" s="242" t="s">
        <v>21</v>
      </c>
      <c r="AT1" s="242" t="s">
        <v>26</v>
      </c>
      <c r="AU1" s="242" t="s">
        <v>38</v>
      </c>
      <c r="AV1" s="242" t="s">
        <v>39</v>
      </c>
      <c r="AW1" s="242" t="s">
        <v>40</v>
      </c>
      <c r="AX1" s="242" t="s">
        <v>41</v>
      </c>
      <c r="AY1" s="242" t="s">
        <v>102</v>
      </c>
      <c r="AZ1" s="242" t="s">
        <v>116</v>
      </c>
      <c r="BA1" s="242" t="s">
        <v>205</v>
      </c>
      <c r="BB1" s="246" t="s">
        <v>133</v>
      </c>
      <c r="BC1" s="246" t="s">
        <v>132</v>
      </c>
      <c r="BD1" s="246" t="s">
        <v>46</v>
      </c>
      <c r="BE1" s="246" t="s">
        <v>47</v>
      </c>
      <c r="BF1" s="246" t="s">
        <v>48</v>
      </c>
      <c r="BG1" s="246" t="s">
        <v>49</v>
      </c>
      <c r="BH1" s="246" t="s">
        <v>50</v>
      </c>
      <c r="BI1" s="246" t="s">
        <v>51</v>
      </c>
      <c r="BJ1" s="246" t="s">
        <v>52</v>
      </c>
      <c r="BK1" s="246" t="s">
        <v>53</v>
      </c>
      <c r="BL1" s="246" t="s">
        <v>54</v>
      </c>
      <c r="BM1" s="246" t="s">
        <v>55</v>
      </c>
      <c r="BN1" s="246" t="s">
        <v>56</v>
      </c>
      <c r="BO1" s="246" t="s">
        <v>57</v>
      </c>
      <c r="BP1" s="246" t="s">
        <v>58</v>
      </c>
      <c r="BQ1" s="246" t="s">
        <v>59</v>
      </c>
      <c r="BR1" s="246" t="s">
        <v>60</v>
      </c>
    </row>
    <row r="2" spans="1:70" x14ac:dyDescent="0.2">
      <c r="A2" s="268"/>
      <c r="B2" s="1"/>
      <c r="C2" s="199">
        <v>40178</v>
      </c>
      <c r="D2" s="199">
        <v>40543</v>
      </c>
      <c r="E2" s="199">
        <v>40908</v>
      </c>
      <c r="F2" s="199">
        <v>41274</v>
      </c>
      <c r="G2" s="199">
        <v>41639</v>
      </c>
      <c r="H2" s="199">
        <v>42004</v>
      </c>
      <c r="I2" s="199">
        <v>42369</v>
      </c>
      <c r="J2" s="199">
        <v>42735</v>
      </c>
      <c r="K2" s="199">
        <v>43100</v>
      </c>
      <c r="L2" s="199">
        <v>43465</v>
      </c>
      <c r="M2" s="200">
        <v>43830</v>
      </c>
      <c r="N2" s="200">
        <v>44196</v>
      </c>
      <c r="O2" s="200">
        <v>44561</v>
      </c>
      <c r="P2" s="200">
        <v>44926</v>
      </c>
      <c r="Q2" s="200">
        <v>45291</v>
      </c>
      <c r="R2" s="298"/>
      <c r="S2" s="199">
        <v>40633</v>
      </c>
      <c r="T2" s="199">
        <v>40724</v>
      </c>
      <c r="U2" s="199">
        <v>40816</v>
      </c>
      <c r="V2" s="199">
        <v>40908</v>
      </c>
      <c r="W2" s="199">
        <v>40999</v>
      </c>
      <c r="X2" s="199">
        <v>41090</v>
      </c>
      <c r="Y2" s="199">
        <v>41182</v>
      </c>
      <c r="Z2" s="199">
        <v>41274</v>
      </c>
      <c r="AA2" s="199">
        <v>41364</v>
      </c>
      <c r="AB2" s="199">
        <v>41455</v>
      </c>
      <c r="AC2" s="199">
        <v>41547</v>
      </c>
      <c r="AD2" s="199">
        <v>41639</v>
      </c>
      <c r="AE2" s="199">
        <v>41729</v>
      </c>
      <c r="AF2" s="199">
        <v>41820</v>
      </c>
      <c r="AG2" s="199">
        <v>41912</v>
      </c>
      <c r="AH2" s="199">
        <v>42004</v>
      </c>
      <c r="AI2" s="199">
        <v>42094</v>
      </c>
      <c r="AJ2" s="199">
        <v>42185</v>
      </c>
      <c r="AK2" s="199">
        <v>42277</v>
      </c>
      <c r="AL2" s="199">
        <v>42369</v>
      </c>
      <c r="AM2" s="199">
        <v>42460</v>
      </c>
      <c r="AN2" s="199">
        <v>42551</v>
      </c>
      <c r="AO2" s="199">
        <v>42643</v>
      </c>
      <c r="AP2" s="199">
        <v>42735</v>
      </c>
      <c r="AQ2" s="199">
        <v>42825</v>
      </c>
      <c r="AR2" s="199">
        <v>42916</v>
      </c>
      <c r="AS2" s="199">
        <v>43008</v>
      </c>
      <c r="AT2" s="199">
        <v>43100</v>
      </c>
      <c r="AU2" s="199">
        <v>43190</v>
      </c>
      <c r="AV2" s="199">
        <v>43281</v>
      </c>
      <c r="AW2" s="199">
        <v>43373</v>
      </c>
      <c r="AX2" s="199">
        <v>43465</v>
      </c>
      <c r="AY2" s="199">
        <v>43555</v>
      </c>
      <c r="AZ2" s="199">
        <v>43646</v>
      </c>
      <c r="BA2" s="199">
        <v>43738</v>
      </c>
      <c r="BB2" s="200">
        <v>43830</v>
      </c>
      <c r="BC2" s="200">
        <v>43921</v>
      </c>
      <c r="BD2" s="200">
        <v>44012</v>
      </c>
      <c r="BE2" s="200">
        <v>44104</v>
      </c>
      <c r="BF2" s="200">
        <v>44196</v>
      </c>
      <c r="BG2" s="200">
        <v>44286</v>
      </c>
      <c r="BH2" s="200">
        <v>44377</v>
      </c>
      <c r="BI2" s="200">
        <v>44469</v>
      </c>
      <c r="BJ2" s="200">
        <v>44561</v>
      </c>
      <c r="BK2" s="200">
        <v>44651</v>
      </c>
      <c r="BL2" s="200">
        <v>44742</v>
      </c>
      <c r="BM2" s="200">
        <v>44834</v>
      </c>
      <c r="BN2" s="200">
        <v>44926</v>
      </c>
      <c r="BO2" s="200">
        <v>45016</v>
      </c>
      <c r="BP2" s="200">
        <v>45107</v>
      </c>
      <c r="BQ2" s="200">
        <v>45199</v>
      </c>
      <c r="BR2" s="200">
        <v>45291</v>
      </c>
    </row>
    <row r="3" spans="1:70" x14ac:dyDescent="0.2">
      <c r="A3" s="292"/>
      <c r="B3" s="9"/>
      <c r="C3" s="293"/>
      <c r="D3" s="293"/>
      <c r="E3" s="293"/>
      <c r="F3" s="293"/>
      <c r="G3" s="293"/>
      <c r="H3" s="293"/>
      <c r="I3" s="293"/>
      <c r="J3" s="293"/>
      <c r="K3" s="293"/>
      <c r="L3" s="294"/>
      <c r="M3" s="295"/>
      <c r="N3" s="293"/>
      <c r="O3" s="293"/>
      <c r="P3" s="293"/>
      <c r="Q3" s="293"/>
      <c r="R3" s="46"/>
      <c r="S3" s="293"/>
      <c r="T3" s="293"/>
      <c r="U3" s="293"/>
      <c r="V3" s="293"/>
      <c r="W3" s="293"/>
      <c r="X3" s="293"/>
      <c r="Y3" s="293"/>
      <c r="Z3" s="293"/>
      <c r="AA3" s="293"/>
      <c r="AB3" s="293"/>
      <c r="AC3" s="293"/>
      <c r="AD3" s="293"/>
      <c r="AE3" s="293"/>
      <c r="AF3" s="293"/>
      <c r="AG3" s="293"/>
      <c r="AH3" s="293"/>
      <c r="AI3" s="293"/>
      <c r="AJ3" s="293"/>
      <c r="AK3" s="293"/>
      <c r="AL3" s="293"/>
      <c r="AM3" s="293"/>
      <c r="AN3" s="293"/>
      <c r="AO3" s="293"/>
      <c r="AP3" s="293"/>
      <c r="AQ3" s="293"/>
      <c r="AR3" s="293"/>
      <c r="AS3" s="293"/>
      <c r="AT3" s="293"/>
      <c r="AU3" s="293"/>
      <c r="AV3" s="293"/>
      <c r="AW3" s="293"/>
      <c r="AX3" s="293"/>
      <c r="AY3" s="293"/>
      <c r="AZ3" s="293"/>
      <c r="BA3" s="294"/>
      <c r="BB3" s="295"/>
      <c r="BC3" s="293"/>
      <c r="BD3" s="293"/>
      <c r="BE3" s="293"/>
      <c r="BF3" s="293"/>
      <c r="BG3" s="293"/>
      <c r="BH3" s="293"/>
      <c r="BI3" s="293"/>
      <c r="BJ3" s="293"/>
      <c r="BK3" s="293"/>
      <c r="BL3" s="293"/>
      <c r="BM3" s="293"/>
      <c r="BN3" s="293"/>
      <c r="BO3" s="296"/>
      <c r="BP3" s="296"/>
      <c r="BQ3" s="296"/>
      <c r="BR3" s="296"/>
    </row>
    <row r="4" spans="1:70" x14ac:dyDescent="0.2">
      <c r="A4" s="266" t="s">
        <v>298</v>
      </c>
      <c r="B4" s="9"/>
      <c r="C4" s="146"/>
      <c r="D4" s="146"/>
      <c r="E4" s="146"/>
      <c r="F4" s="146"/>
      <c r="G4" s="146"/>
      <c r="H4" s="146"/>
      <c r="I4" s="146"/>
      <c r="J4" s="146"/>
      <c r="K4" s="146"/>
      <c r="L4" s="146"/>
      <c r="M4" s="77"/>
      <c r="N4" s="76"/>
      <c r="O4" s="76"/>
      <c r="P4" s="76"/>
      <c r="Q4" s="76"/>
      <c r="R4" s="46"/>
      <c r="S4" s="76"/>
      <c r="T4" s="76"/>
      <c r="U4" s="76"/>
      <c r="V4" s="76"/>
      <c r="W4" s="76"/>
      <c r="X4" s="76"/>
      <c r="Y4" s="76"/>
      <c r="Z4" s="76"/>
      <c r="AA4" s="76"/>
      <c r="AB4" s="76"/>
      <c r="AC4" s="76"/>
      <c r="AD4" s="76"/>
      <c r="AE4" s="76"/>
      <c r="AF4" s="76"/>
      <c r="AG4" s="76"/>
      <c r="AH4" s="76"/>
      <c r="AI4" s="76"/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146"/>
      <c r="AW4" s="146"/>
      <c r="AX4" s="76"/>
      <c r="AY4" s="76"/>
      <c r="AZ4" s="146"/>
      <c r="BA4" s="154"/>
      <c r="BB4" s="166"/>
      <c r="BC4" s="146"/>
      <c r="BD4" s="146"/>
      <c r="BE4" s="146"/>
      <c r="BF4" s="146"/>
      <c r="BG4" s="146"/>
      <c r="BH4" s="146"/>
      <c r="BI4" s="146"/>
      <c r="BJ4" s="146"/>
      <c r="BK4" s="146"/>
      <c r="BL4" s="146"/>
      <c r="BM4" s="146"/>
      <c r="BN4" s="146"/>
      <c r="BO4" s="146"/>
      <c r="BP4" s="146"/>
      <c r="BQ4" s="146"/>
      <c r="BR4" s="146"/>
    </row>
    <row r="5" spans="1:70" x14ac:dyDescent="0.2">
      <c r="A5" s="267" t="s">
        <v>122</v>
      </c>
      <c r="B5" s="9"/>
      <c r="C5" s="146">
        <f>IS!C47</f>
        <v>33.537999999999997</v>
      </c>
      <c r="D5" s="146">
        <f>IS!D47</f>
        <v>17.55</v>
      </c>
      <c r="E5" s="146">
        <f>IS!E47</f>
        <v>9.1289999999999996</v>
      </c>
      <c r="F5" s="146">
        <f>IS!F47</f>
        <v>25.689</v>
      </c>
      <c r="G5" s="146">
        <f>IS!G47</f>
        <v>24.398</v>
      </c>
      <c r="H5" s="146">
        <f>IS!H47</f>
        <v>12.14</v>
      </c>
      <c r="I5" s="146">
        <f>IS!I47</f>
        <v>-104.97199999999999</v>
      </c>
      <c r="J5" s="146">
        <f>IS!J47</f>
        <v>-249.47900000000001</v>
      </c>
      <c r="K5" s="146">
        <f>IS!K47</f>
        <v>-51.902999999999999</v>
      </c>
      <c r="L5" s="146">
        <f>IS!L47</f>
        <v>12.356</v>
      </c>
      <c r="M5" s="77">
        <f>SUM(AY5:BB5)</f>
        <v>29.369074473359028</v>
      </c>
      <c r="N5" s="76">
        <f>SUM(BC5:BF5)</f>
        <v>50.681830583104997</v>
      </c>
      <c r="O5" s="76">
        <f>SUM(BG5:BJ5)</f>
        <v>79.881752652308279</v>
      </c>
      <c r="P5" s="76">
        <f>SUM(BK5:BN5)</f>
        <v>116.33862135002738</v>
      </c>
      <c r="Q5" s="76">
        <f>SUM(BO5:BR5)</f>
        <v>164.85876147111992</v>
      </c>
      <c r="R5" s="46"/>
      <c r="S5" s="76">
        <f>IS!S47</f>
        <v>1.742</v>
      </c>
      <c r="T5" s="76">
        <f>IS!T47</f>
        <v>1.0089999999999999</v>
      </c>
      <c r="U5" s="76">
        <f>IS!U47</f>
        <v>1.84</v>
      </c>
      <c r="V5" s="76">
        <f>IS!V47</f>
        <v>4.5379999999999994</v>
      </c>
      <c r="W5" s="76">
        <f>IS!W47</f>
        <v>7.1280000000000001</v>
      </c>
      <c r="X5" s="76">
        <f>IS!X47</f>
        <v>7.0839999999999996</v>
      </c>
      <c r="Y5" s="76">
        <f>IS!Y47</f>
        <v>7.08</v>
      </c>
      <c r="Z5" s="76">
        <f>IS!Z47</f>
        <v>4.397000000000002</v>
      </c>
      <c r="AA5" s="76">
        <f>IS!AA47</f>
        <v>6.1360000000000001</v>
      </c>
      <c r="AB5" s="76">
        <f>IS!AB47</f>
        <v>6.7759999999999998</v>
      </c>
      <c r="AC5" s="76">
        <f>IS!AC47</f>
        <v>5.782</v>
      </c>
      <c r="AD5" s="76">
        <f>IS!AD47</f>
        <v>5.7039999999999997</v>
      </c>
      <c r="AE5" s="76">
        <f>IS!AE47</f>
        <v>7.4889999999999999</v>
      </c>
      <c r="AF5" s="76">
        <f>IS!AF47</f>
        <v>4.7240000000000002</v>
      </c>
      <c r="AG5" s="76">
        <f>IS!AG47</f>
        <v>5.6760000000000002</v>
      </c>
      <c r="AH5" s="76">
        <f>IS!AH47</f>
        <v>-5.7489999999999997</v>
      </c>
      <c r="AI5" s="76">
        <f>IS!AI47</f>
        <v>0.46899999999999997</v>
      </c>
      <c r="AJ5" s="76">
        <f>IS!AJ47</f>
        <v>-12.741</v>
      </c>
      <c r="AK5" s="76">
        <f>IS!AK47</f>
        <v>-6.11</v>
      </c>
      <c r="AL5" s="76">
        <f>IS!AL47</f>
        <v>-86.590999999999994</v>
      </c>
      <c r="AM5" s="76">
        <f>IS!AM47</f>
        <v>-13.151</v>
      </c>
      <c r="AN5" s="76">
        <f>IS!AN47</f>
        <v>-10.795999999999999</v>
      </c>
      <c r="AO5" s="76">
        <f>IS!AO47</f>
        <v>-8.2539999999999996</v>
      </c>
      <c r="AP5" s="76">
        <f>IS!AP47</f>
        <v>-217.27600000000001</v>
      </c>
      <c r="AQ5" s="76">
        <f>IS!AQ47</f>
        <v>-3.508</v>
      </c>
      <c r="AR5" s="76">
        <f>IS!AR47</f>
        <v>-19.056999999999999</v>
      </c>
      <c r="AS5" s="76">
        <f>IS!AS47</f>
        <v>-4.2889999999999997</v>
      </c>
      <c r="AT5" s="76">
        <f>IS!AT47</f>
        <v>-25.048999999999999</v>
      </c>
      <c r="AU5" s="76">
        <f>IS!AU47</f>
        <v>4.609</v>
      </c>
      <c r="AV5" s="146">
        <f>IS!AV47</f>
        <v>1.4750000000000001</v>
      </c>
      <c r="AW5" s="146">
        <f>IS!AW47</f>
        <v>2.069</v>
      </c>
      <c r="AX5" s="76">
        <f>IS!AX47</f>
        <v>4.2030000000000003</v>
      </c>
      <c r="AY5" s="76">
        <f>IS!AY47</f>
        <v>5.86</v>
      </c>
      <c r="AZ5" s="146">
        <f>IS!AZ47</f>
        <v>5.4859999999999998</v>
      </c>
      <c r="BA5" s="154">
        <f>IS!BA47</f>
        <v>9.3149999999999995</v>
      </c>
      <c r="BB5" s="166">
        <f>IS!BB47</f>
        <v>8.7080744733590283</v>
      </c>
      <c r="BC5" s="146">
        <f>IS!BC47</f>
        <v>10.264409413668012</v>
      </c>
      <c r="BD5" s="146">
        <f>IS!BD47</f>
        <v>12.080969459392573</v>
      </c>
      <c r="BE5" s="146">
        <f>IS!BE47</f>
        <v>13.757399615412666</v>
      </c>
      <c r="BF5" s="146">
        <f>IS!BF47</f>
        <v>14.57905209463175</v>
      </c>
      <c r="BG5" s="146">
        <f>IS!BG47</f>
        <v>16.718054138056608</v>
      </c>
      <c r="BH5" s="146">
        <f>IS!BH47</f>
        <v>19.59213283140609</v>
      </c>
      <c r="BI5" s="146">
        <f>IS!BI47</f>
        <v>21.366847728201598</v>
      </c>
      <c r="BJ5" s="146">
        <f>IS!BJ47</f>
        <v>22.204717954643989</v>
      </c>
      <c r="BK5" s="146">
        <f>IS!BK47</f>
        <v>24.607821052696913</v>
      </c>
      <c r="BL5" s="146">
        <f>IS!BL47</f>
        <v>28.897459688851686</v>
      </c>
      <c r="BM5" s="146">
        <f>IS!BM47</f>
        <v>30.982783676658677</v>
      </c>
      <c r="BN5" s="146">
        <f>IS!BN47</f>
        <v>31.850556931820101</v>
      </c>
      <c r="BO5" s="146">
        <f>IS!BO47</f>
        <v>35.156064005851924</v>
      </c>
      <c r="BP5" s="146">
        <f>IS!BP47</f>
        <v>41.482483829863241</v>
      </c>
      <c r="BQ5" s="146">
        <f>IS!BQ47</f>
        <v>43.789780756700132</v>
      </c>
      <c r="BR5" s="146">
        <f>IS!BR47</f>
        <v>44.430432878704593</v>
      </c>
    </row>
    <row r="6" spans="1:70" x14ac:dyDescent="0.2">
      <c r="A6" s="267" t="s">
        <v>121</v>
      </c>
      <c r="B6" s="9"/>
      <c r="C6" s="146">
        <f>IS!C44</f>
        <v>20.556000000000001</v>
      </c>
      <c r="D6" s="146">
        <f>IS!D44</f>
        <v>18.751000000000001</v>
      </c>
      <c r="E6" s="146">
        <f>IS!E44</f>
        <v>9.5860000000000003</v>
      </c>
      <c r="F6" s="146">
        <f>IS!F44</f>
        <v>14.773999999999999</v>
      </c>
      <c r="G6" s="146">
        <f>IS!G44</f>
        <v>14.487</v>
      </c>
      <c r="H6" s="146">
        <f>IS!H44</f>
        <v>8.1609999999999996</v>
      </c>
      <c r="I6" s="146">
        <f>IS!I44</f>
        <v>-18.111000000000001</v>
      </c>
      <c r="J6" s="146">
        <f>IS!J44</f>
        <v>31.696000000000002</v>
      </c>
      <c r="K6" s="146">
        <f>IS!K44</f>
        <v>-20.164000000000001</v>
      </c>
      <c r="L6" s="146">
        <f>IS!L44</f>
        <v>-9.7100000000000009</v>
      </c>
      <c r="M6" s="77">
        <f>SUM(AY6:BB6)</f>
        <v>-3.9800596060505162</v>
      </c>
      <c r="N6" s="76">
        <f>SUM(BC6:BF6)</f>
        <v>-7.1765254470333328</v>
      </c>
      <c r="O6" s="76">
        <f>SUM(BG6:BJ6)</f>
        <v>-11.311221873150254</v>
      </c>
      <c r="P6" s="76">
        <f>SUM(BK6:BN6)</f>
        <v>-16.473498825623842</v>
      </c>
      <c r="Q6" s="76">
        <f>SUM(BO6:BR6)</f>
        <v>-23.34392983149835</v>
      </c>
      <c r="R6" s="46"/>
      <c r="S6" s="76">
        <f>IS!S44</f>
        <v>1.4730000000000001</v>
      </c>
      <c r="T6" s="76">
        <f>IS!T44</f>
        <v>1.526</v>
      </c>
      <c r="U6" s="76">
        <f>IS!U44</f>
        <v>1.3560000000000001</v>
      </c>
      <c r="V6" s="76">
        <f>IS!V44</f>
        <v>5.2310000000000008</v>
      </c>
      <c r="W6" s="76">
        <f>IS!W44</f>
        <v>4.085</v>
      </c>
      <c r="X6" s="76">
        <f>IS!X44</f>
        <v>4.8159999999999998</v>
      </c>
      <c r="Y6" s="76">
        <f>IS!Y44</f>
        <v>3.9769999999999999</v>
      </c>
      <c r="Z6" s="76">
        <f>IS!Z44</f>
        <v>1.895999999999999</v>
      </c>
      <c r="AA6" s="76">
        <f>IS!AA44</f>
        <v>3.6019999999999999</v>
      </c>
      <c r="AB6" s="76">
        <f>IS!AB44</f>
        <v>4.1239999999999997</v>
      </c>
      <c r="AC6" s="76">
        <f>IS!AC44</f>
        <v>3.383</v>
      </c>
      <c r="AD6" s="76">
        <f>IS!AD44</f>
        <v>3.3779999999999997</v>
      </c>
      <c r="AE6" s="76">
        <f>IS!AE44</f>
        <v>3.9780000000000002</v>
      </c>
      <c r="AF6" s="76">
        <f>IS!AF44</f>
        <v>2.8149999999999999</v>
      </c>
      <c r="AG6" s="76">
        <f>IS!AG44</f>
        <v>3.0990000000000002</v>
      </c>
      <c r="AH6" s="76">
        <f>IS!AH44</f>
        <v>-1.7310000000000008</v>
      </c>
      <c r="AI6" s="76">
        <f>IS!AI44</f>
        <v>2.0169999999999999</v>
      </c>
      <c r="AJ6" s="76">
        <f>IS!AJ44</f>
        <v>-8.8580000000000005</v>
      </c>
      <c r="AK6" s="76">
        <f>IS!AK44</f>
        <v>-3.9569999999999999</v>
      </c>
      <c r="AL6" s="76">
        <f>IS!AL44</f>
        <v>-7.3129999999999997</v>
      </c>
      <c r="AM6" s="76">
        <f>IS!AM44</f>
        <v>-8.0559999999999992</v>
      </c>
      <c r="AN6" s="76">
        <f>IS!AN44</f>
        <v>-7.8860000000000001</v>
      </c>
      <c r="AO6" s="76">
        <f>IS!AO44</f>
        <v>-4.9889999999999999</v>
      </c>
      <c r="AP6" s="76">
        <f>IS!AP44</f>
        <v>52.625999999999998</v>
      </c>
      <c r="AQ6" s="76">
        <f>IS!AQ44</f>
        <v>1.054</v>
      </c>
      <c r="AR6" s="76">
        <f>IS!AR44</f>
        <v>1.853</v>
      </c>
      <c r="AS6" s="76">
        <f>IS!AS44</f>
        <v>0.71599999999999997</v>
      </c>
      <c r="AT6" s="76">
        <f>IS!AT44</f>
        <v>-23.786999999999999</v>
      </c>
      <c r="AU6" s="76">
        <f>IS!AU44</f>
        <v>-0.42499999999999999</v>
      </c>
      <c r="AV6" s="146">
        <f>IS!AV44</f>
        <v>-1.1659999999999999</v>
      </c>
      <c r="AW6" s="146">
        <f>IS!AW44</f>
        <v>-0.71899999999999997</v>
      </c>
      <c r="AX6" s="76">
        <f>IS!AX44</f>
        <v>-7.4</v>
      </c>
      <c r="AY6" s="76">
        <f>IS!AY44</f>
        <v>-0.38800000000000001</v>
      </c>
      <c r="AZ6" s="146">
        <f>IS!AZ44</f>
        <v>-1.04</v>
      </c>
      <c r="BA6" s="154">
        <f>IS!BA44</f>
        <v>-1.319</v>
      </c>
      <c r="BB6" s="166">
        <f>IS!BB44</f>
        <v>-1.2330596060505161</v>
      </c>
      <c r="BC6" s="146">
        <f>IS!BC44</f>
        <v>-1.4534359652848208</v>
      </c>
      <c r="BD6" s="146">
        <f>IS!BD44</f>
        <v>-1.7106600877014282</v>
      </c>
      <c r="BE6" s="146">
        <f>IS!BE44</f>
        <v>-1.9480418779097481</v>
      </c>
      <c r="BF6" s="146">
        <f>IS!BF44</f>
        <v>-2.0643875161373351</v>
      </c>
      <c r="BG6" s="146">
        <f>IS!BG44</f>
        <v>-2.367269286966899</v>
      </c>
      <c r="BH6" s="146">
        <f>IS!BH44</f>
        <v>-2.7742375957729073</v>
      </c>
      <c r="BI6" s="146">
        <f>IS!BI44</f>
        <v>-3.0255364630700918</v>
      </c>
      <c r="BJ6" s="146">
        <f>IS!BJ44</f>
        <v>-3.1441785273403564</v>
      </c>
      <c r="BK6" s="146">
        <f>IS!BK44</f>
        <v>-3.4844568940963203</v>
      </c>
      <c r="BL6" s="146">
        <f>IS!BL44</f>
        <v>-4.0918678829409956</v>
      </c>
      <c r="BM6" s="146">
        <f>IS!BM44</f>
        <v>-4.3871488641452272</v>
      </c>
      <c r="BN6" s="146">
        <f>IS!BN44</f>
        <v>-4.5100251844413002</v>
      </c>
      <c r="BO6" s="146">
        <f>IS!BO44</f>
        <v>-4.9780835666901435</v>
      </c>
      <c r="BP6" s="146">
        <f>IS!BP44</f>
        <v>-5.8739018971110699</v>
      </c>
      <c r="BQ6" s="146">
        <f>IS!BQ44</f>
        <v>-6.2006141511634425</v>
      </c>
      <c r="BR6" s="146">
        <f>IS!BR44</f>
        <v>-6.2913302165336935</v>
      </c>
    </row>
    <row r="7" spans="1:70" x14ac:dyDescent="0.2">
      <c r="A7" s="267" t="s">
        <v>245</v>
      </c>
      <c r="B7" s="9"/>
      <c r="C7" s="146">
        <f>IS!C38*-1</f>
        <v>0</v>
      </c>
      <c r="D7" s="146">
        <f>IS!D38*-1</f>
        <v>0</v>
      </c>
      <c r="E7" s="146">
        <f>IS!E38*-1</f>
        <v>0.94299999999999995</v>
      </c>
      <c r="F7" s="146">
        <f>IS!F38*-1</f>
        <v>0</v>
      </c>
      <c r="G7" s="146">
        <f>IS!G38*-1</f>
        <v>0</v>
      </c>
      <c r="H7" s="146">
        <f>IS!H38*-1</f>
        <v>2.7250000000000001</v>
      </c>
      <c r="I7" s="146">
        <f>IS!I38*-1</f>
        <v>13.063000000000001</v>
      </c>
      <c r="J7" s="146">
        <f>IS!J38*-1</f>
        <v>0</v>
      </c>
      <c r="K7" s="146">
        <f>IS!K38*-1</f>
        <v>51.75</v>
      </c>
      <c r="L7" s="146">
        <f>IS!L38*-1</f>
        <v>0.16600000000000001</v>
      </c>
      <c r="M7" s="77">
        <f>SUM(AY7:BB7)</f>
        <v>0</v>
      </c>
      <c r="N7" s="76">
        <f>SUM(BC7:BF7)</f>
        <v>0</v>
      </c>
      <c r="O7" s="76">
        <f>SUM(BG7:BJ7)</f>
        <v>0</v>
      </c>
      <c r="P7" s="76">
        <f>SUM(BK7:BN7)</f>
        <v>0</v>
      </c>
      <c r="Q7" s="76">
        <f>SUM(BO7:BR7)</f>
        <v>0</v>
      </c>
      <c r="R7" s="46"/>
      <c r="S7" s="146">
        <f>IS!S38*-1</f>
        <v>0.94299999999999995</v>
      </c>
      <c r="T7" s="146">
        <f>IS!T38*-1</f>
        <v>0</v>
      </c>
      <c r="U7" s="146">
        <f>IS!U38*-1</f>
        <v>0</v>
      </c>
      <c r="V7" s="146">
        <f>IS!V38*-1</f>
        <v>0</v>
      </c>
      <c r="W7" s="146">
        <f>IS!W38*-1</f>
        <v>0</v>
      </c>
      <c r="X7" s="146">
        <f>IS!X38*-1</f>
        <v>0</v>
      </c>
      <c r="Y7" s="146">
        <f>IS!Y38*-1</f>
        <v>0</v>
      </c>
      <c r="Z7" s="146">
        <f>IS!Z38*-1</f>
        <v>0</v>
      </c>
      <c r="AA7" s="146">
        <f>IS!AA38*-1</f>
        <v>0</v>
      </c>
      <c r="AB7" s="146">
        <f>IS!AB38*-1</f>
        <v>0</v>
      </c>
      <c r="AC7" s="146">
        <f>IS!AC38*-1</f>
        <v>0</v>
      </c>
      <c r="AD7" s="146">
        <f>IS!AD38*-1</f>
        <v>0</v>
      </c>
      <c r="AE7" s="146">
        <f>IS!AE38*-1</f>
        <v>0</v>
      </c>
      <c r="AF7" s="146">
        <f>IS!AF38*-1</f>
        <v>0</v>
      </c>
      <c r="AG7" s="146">
        <f>IS!AG38*-1</f>
        <v>0</v>
      </c>
      <c r="AH7" s="146">
        <f>IS!AH38*-1</f>
        <v>2.7250000000000001</v>
      </c>
      <c r="AI7" s="146">
        <f>IS!AI38*-1</f>
        <v>0</v>
      </c>
      <c r="AJ7" s="146">
        <f>IS!AJ38*-1</f>
        <v>12.977</v>
      </c>
      <c r="AK7" s="146">
        <f>IS!AK38*-1</f>
        <v>8.6999999999999994E-2</v>
      </c>
      <c r="AL7" s="146">
        <f>IS!AL38*-1</f>
        <v>0</v>
      </c>
      <c r="AM7" s="146">
        <f>IS!AM38*-1</f>
        <v>0</v>
      </c>
      <c r="AN7" s="146">
        <f>IS!AN38*-1</f>
        <v>0</v>
      </c>
      <c r="AO7" s="146">
        <f>IS!AO38*-1</f>
        <v>0</v>
      </c>
      <c r="AP7" s="146">
        <f>IS!AP38*-1</f>
        <v>0</v>
      </c>
      <c r="AQ7" s="146">
        <f>IS!AQ38*-1</f>
        <v>0</v>
      </c>
      <c r="AR7" s="146">
        <f>IS!AR38*-1</f>
        <v>14.615</v>
      </c>
      <c r="AS7" s="146">
        <f>IS!AS38*-1</f>
        <v>0</v>
      </c>
      <c r="AT7" s="146">
        <f>IS!AT38*-1</f>
        <v>37.134999999999998</v>
      </c>
      <c r="AU7" s="146">
        <f>IS!AU38*-1</f>
        <v>0</v>
      </c>
      <c r="AV7" s="146">
        <f>IS!AV38*-1</f>
        <v>0.16600000000000001</v>
      </c>
      <c r="AW7" s="146">
        <f>IS!AW38*-1</f>
        <v>0</v>
      </c>
      <c r="AX7" s="146">
        <f>IS!AX38*-1</f>
        <v>0</v>
      </c>
      <c r="AY7" s="146">
        <f>IS!AY38*-1</f>
        <v>0</v>
      </c>
      <c r="AZ7" s="146">
        <f>IS!AZ38*-1</f>
        <v>0</v>
      </c>
      <c r="BA7" s="154">
        <f>IS!BA38*-1</f>
        <v>0</v>
      </c>
      <c r="BB7" s="166">
        <f>IS!BB38*-1</f>
        <v>0</v>
      </c>
      <c r="BC7" s="146">
        <f>IS!BC38*-1</f>
        <v>0</v>
      </c>
      <c r="BD7" s="146">
        <f>IS!BD38*-1</f>
        <v>0</v>
      </c>
      <c r="BE7" s="146">
        <f>IS!BE38*-1</f>
        <v>0</v>
      </c>
      <c r="BF7" s="146">
        <f>IS!BF38*-1</f>
        <v>0</v>
      </c>
      <c r="BG7" s="146">
        <f>IS!BG38*-1</f>
        <v>0</v>
      </c>
      <c r="BH7" s="146">
        <f>IS!BH38*-1</f>
        <v>0</v>
      </c>
      <c r="BI7" s="146">
        <f>IS!BI38*-1</f>
        <v>0</v>
      </c>
      <c r="BJ7" s="146">
        <f>IS!BJ38*-1</f>
        <v>0</v>
      </c>
      <c r="BK7" s="146">
        <f>IS!BK38*-1</f>
        <v>0</v>
      </c>
      <c r="BL7" s="146">
        <f>IS!BL38*-1</f>
        <v>0</v>
      </c>
      <c r="BM7" s="146">
        <f>IS!BM38*-1</f>
        <v>0</v>
      </c>
      <c r="BN7" s="146">
        <f>IS!BN38*-1</f>
        <v>0</v>
      </c>
      <c r="BO7" s="146">
        <f>IS!BO38*-1</f>
        <v>0</v>
      </c>
      <c r="BP7" s="146">
        <f>IS!BP38*-1</f>
        <v>0</v>
      </c>
      <c r="BQ7" s="146">
        <f>IS!BQ38*-1</f>
        <v>0</v>
      </c>
      <c r="BR7" s="146">
        <f>IS!BR38*-1</f>
        <v>0</v>
      </c>
    </row>
    <row r="8" spans="1:70" x14ac:dyDescent="0.2">
      <c r="A8" s="273" t="s">
        <v>244</v>
      </c>
      <c r="B8" s="29"/>
      <c r="C8" s="148">
        <f>IS!C37*-1</f>
        <v>17.96</v>
      </c>
      <c r="D8" s="148">
        <f>IS!D37*-1</f>
        <v>16.329000000000001</v>
      </c>
      <c r="E8" s="148">
        <f>IS!E37*-1</f>
        <v>18.638000000000002</v>
      </c>
      <c r="F8" s="148">
        <f>IS!F37*-1</f>
        <v>15.519</v>
      </c>
      <c r="G8" s="148">
        <f>IS!G37*-1</f>
        <v>10.265000000000001</v>
      </c>
      <c r="H8" s="148">
        <f>IS!H37*-1</f>
        <v>10.756</v>
      </c>
      <c r="I8" s="148">
        <f>IS!I37*-1</f>
        <v>100.29</v>
      </c>
      <c r="J8" s="148">
        <f>IS!J37*-1</f>
        <v>99.227999999999994</v>
      </c>
      <c r="K8" s="148">
        <f>IS!K37*-1</f>
        <v>102.136</v>
      </c>
      <c r="L8" s="148">
        <f>IS!L37*-1</f>
        <v>83.001000000000005</v>
      </c>
      <c r="M8" s="83">
        <f>SUM(AY8:BB8)</f>
        <v>79.426999999999992</v>
      </c>
      <c r="N8" s="84">
        <f>SUM(BC8:BF8)</f>
        <v>77.188000000000002</v>
      </c>
      <c r="O8" s="84">
        <f>SUM(BG8:BJ8)</f>
        <v>77.188000000000002</v>
      </c>
      <c r="P8" s="84">
        <f>SUM(BK8:BN8)</f>
        <v>77.188000000000002</v>
      </c>
      <c r="Q8" s="84">
        <f>SUM(BO8:BR8)</f>
        <v>77.188000000000002</v>
      </c>
      <c r="R8" s="61"/>
      <c r="S8" s="84">
        <f>IS!S37*-1</f>
        <v>5.1470000000000002</v>
      </c>
      <c r="T8" s="84">
        <f>IS!T37*-1</f>
        <v>4.6070000000000002</v>
      </c>
      <c r="U8" s="84">
        <f>IS!U37*-1</f>
        <v>4.4139999999999997</v>
      </c>
      <c r="V8" s="84">
        <f>IS!V37*-1</f>
        <v>4.4700000000000006</v>
      </c>
      <c r="W8" s="84">
        <f>IS!W37*-1</f>
        <v>4.4829999999999997</v>
      </c>
      <c r="X8" s="84">
        <f>IS!X37*-1</f>
        <v>4.0629999999999997</v>
      </c>
      <c r="Y8" s="84">
        <f>IS!Y37*-1</f>
        <v>3.5859999999999999</v>
      </c>
      <c r="Z8" s="84">
        <f>IS!Z37*-1</f>
        <v>3.3870000000000005</v>
      </c>
      <c r="AA8" s="84">
        <f>IS!AA37*-1</f>
        <v>3.1629999999999998</v>
      </c>
      <c r="AB8" s="84">
        <f>IS!AB37*-1</f>
        <v>2.7330000000000001</v>
      </c>
      <c r="AC8" s="84">
        <f>IS!AC37*-1</f>
        <v>2.2549999999999999</v>
      </c>
      <c r="AD8" s="84">
        <f>IS!AD37*-1</f>
        <v>2.1140000000000012</v>
      </c>
      <c r="AE8" s="84">
        <f>IS!AE37*-1</f>
        <v>1.546</v>
      </c>
      <c r="AF8" s="84">
        <f>IS!AF37*-1</f>
        <v>2.0830000000000002</v>
      </c>
      <c r="AG8" s="84">
        <f>IS!AG37*-1</f>
        <v>1.996</v>
      </c>
      <c r="AH8" s="84">
        <f>IS!AH37*-1</f>
        <v>5.1309999999999993</v>
      </c>
      <c r="AI8" s="84">
        <f>IS!AI37*-1</f>
        <v>25.655000000000001</v>
      </c>
      <c r="AJ8" s="84">
        <f>IS!AJ37*-1</f>
        <v>24.957999999999998</v>
      </c>
      <c r="AK8" s="84">
        <f>IS!AK37*-1</f>
        <v>24.696000000000002</v>
      </c>
      <c r="AL8" s="84">
        <f>IS!AL37*-1</f>
        <v>24.981000000000002</v>
      </c>
      <c r="AM8" s="84">
        <f>IS!AM37*-1</f>
        <v>24.992000000000001</v>
      </c>
      <c r="AN8" s="84">
        <f>IS!AN37*-1</f>
        <v>24.742000000000001</v>
      </c>
      <c r="AO8" s="84">
        <f>IS!AO37*-1</f>
        <v>24.815000000000001</v>
      </c>
      <c r="AP8" s="84">
        <f>IS!AP37*-1</f>
        <v>24.68</v>
      </c>
      <c r="AQ8" s="84">
        <f>IS!AQ37*-1</f>
        <v>25.056999999999999</v>
      </c>
      <c r="AR8" s="84">
        <f>IS!AR37*-1</f>
        <v>23.881</v>
      </c>
      <c r="AS8" s="84">
        <f>IS!AS37*-1</f>
        <v>23.367999999999999</v>
      </c>
      <c r="AT8" s="84">
        <f>IS!AT37*-1</f>
        <v>29.83</v>
      </c>
      <c r="AU8" s="84">
        <f>IS!AU37*-1</f>
        <v>20.306999999999999</v>
      </c>
      <c r="AV8" s="148">
        <f>IS!AV37*-1</f>
        <v>22.122</v>
      </c>
      <c r="AW8" s="148">
        <f>IS!AW37*-1</f>
        <v>20.16</v>
      </c>
      <c r="AX8" s="84">
        <f>IS!AX37*-1</f>
        <v>20.411999999999999</v>
      </c>
      <c r="AY8" s="84">
        <f>IS!AY37*-1</f>
        <v>20.399999999999999</v>
      </c>
      <c r="AZ8" s="148">
        <f>IS!AZ37*-1</f>
        <v>20.433</v>
      </c>
      <c r="BA8" s="156">
        <f>IS!BA37*-1</f>
        <v>19.297000000000001</v>
      </c>
      <c r="BB8" s="256">
        <f>IS!BB37*-1</f>
        <v>19.297000000000001</v>
      </c>
      <c r="BC8" s="148">
        <f>IS!BC37*-1</f>
        <v>19.297000000000001</v>
      </c>
      <c r="BD8" s="148">
        <f>IS!BD37*-1</f>
        <v>19.297000000000001</v>
      </c>
      <c r="BE8" s="148">
        <f>IS!BE37*-1</f>
        <v>19.297000000000001</v>
      </c>
      <c r="BF8" s="148">
        <f>IS!BF37*-1</f>
        <v>19.297000000000001</v>
      </c>
      <c r="BG8" s="148">
        <f>IS!BG37*-1</f>
        <v>19.297000000000001</v>
      </c>
      <c r="BH8" s="148">
        <f>IS!BH37*-1</f>
        <v>19.297000000000001</v>
      </c>
      <c r="BI8" s="148">
        <f>IS!BI37*-1</f>
        <v>19.297000000000001</v>
      </c>
      <c r="BJ8" s="148">
        <f>IS!BJ37*-1</f>
        <v>19.297000000000001</v>
      </c>
      <c r="BK8" s="148">
        <f>IS!BK37*-1</f>
        <v>19.297000000000001</v>
      </c>
      <c r="BL8" s="148">
        <f>IS!BL37*-1</f>
        <v>19.297000000000001</v>
      </c>
      <c r="BM8" s="148">
        <f>IS!BM37*-1</f>
        <v>19.297000000000001</v>
      </c>
      <c r="BN8" s="148">
        <f>IS!BN37*-1</f>
        <v>19.297000000000001</v>
      </c>
      <c r="BO8" s="148">
        <f>IS!BO37*-1</f>
        <v>19.297000000000001</v>
      </c>
      <c r="BP8" s="148">
        <f>IS!BP37*-1</f>
        <v>19.297000000000001</v>
      </c>
      <c r="BQ8" s="148">
        <f>IS!BQ37*-1</f>
        <v>19.297000000000001</v>
      </c>
      <c r="BR8" s="148">
        <f>IS!BR37*-1</f>
        <v>19.297000000000001</v>
      </c>
    </row>
    <row r="9" spans="1:70" x14ac:dyDescent="0.2">
      <c r="A9" s="281" t="s">
        <v>117</v>
      </c>
      <c r="B9" s="9"/>
      <c r="C9" s="146">
        <f>SUM(C8,C6,C7,C5)</f>
        <v>72.054000000000002</v>
      </c>
      <c r="D9" s="146">
        <f>SUM(D8,D6,D7,D5)</f>
        <v>52.629999999999995</v>
      </c>
      <c r="E9" s="146">
        <f>SUM(E8,E6,E7,E5)</f>
        <v>38.296000000000006</v>
      </c>
      <c r="F9" s="146">
        <f>SUM(F8,F6,F7,F5)</f>
        <v>55.981999999999999</v>
      </c>
      <c r="G9" s="146">
        <f>SUM(G8,G6,G7,G5)</f>
        <v>49.150000000000006</v>
      </c>
      <c r="H9" s="146">
        <f>SUM(H8,H6,H7,H5)</f>
        <v>33.782000000000004</v>
      </c>
      <c r="I9" s="146">
        <f>SUM(I8,I6,I7,I5)</f>
        <v>-9.7299999999999898</v>
      </c>
      <c r="J9" s="146">
        <f>SUM(J8,J6,J7,J5)</f>
        <v>-118.55500000000001</v>
      </c>
      <c r="K9" s="146">
        <f>SUM(K8,K6,K7,K5)</f>
        <v>81.818999999999988</v>
      </c>
      <c r="L9" s="146">
        <f>SUM(L8,L6,L7,L5)</f>
        <v>85.812999999999988</v>
      </c>
      <c r="M9" s="77">
        <f>SUM(AY9:BB9)</f>
        <v>104.81601486730851</v>
      </c>
      <c r="N9" s="76">
        <f>SUM(BC9:BF9)</f>
        <v>120.69330513607167</v>
      </c>
      <c r="O9" s="76">
        <f>SUM(BG9:BJ9)</f>
        <v>145.75853077915804</v>
      </c>
      <c r="P9" s="76">
        <f>SUM(BK9:BN9)</f>
        <v>177.05312252440353</v>
      </c>
      <c r="Q9" s="76">
        <f>SUM(BO9:BR9)</f>
        <v>218.70283163962154</v>
      </c>
      <c r="R9" s="309"/>
      <c r="S9" s="146">
        <f>SUM(S8,S6,S7,S5)</f>
        <v>9.3049999999999997</v>
      </c>
      <c r="T9" s="146">
        <f>SUM(T8,T6,T7,T5)</f>
        <v>7.1419999999999995</v>
      </c>
      <c r="U9" s="146">
        <f>SUM(U8,U6,U7,U5)</f>
        <v>7.6099999999999994</v>
      </c>
      <c r="V9" s="146">
        <f>SUM(V8,V6,V7,V5)</f>
        <v>14.239000000000001</v>
      </c>
      <c r="W9" s="146">
        <f>SUM(W8,W6,W7,W5)</f>
        <v>15.696</v>
      </c>
      <c r="X9" s="146">
        <f>SUM(X8,X6,X7,X5)</f>
        <v>15.962999999999999</v>
      </c>
      <c r="Y9" s="146">
        <f>SUM(Y8,Y6,Y7,Y5)</f>
        <v>14.643000000000001</v>
      </c>
      <c r="Z9" s="146">
        <f>SUM(Z8,Z6,Z7,Z5)</f>
        <v>9.6800000000000015</v>
      </c>
      <c r="AA9" s="146">
        <f>SUM(AA8,AA6,AA7,AA5)</f>
        <v>12.901</v>
      </c>
      <c r="AB9" s="146">
        <f>SUM(AB8,AB6,AB7,AB5)</f>
        <v>13.632999999999999</v>
      </c>
      <c r="AC9" s="146">
        <f>SUM(AC8,AC6,AC7,AC5)</f>
        <v>11.42</v>
      </c>
      <c r="AD9" s="146">
        <f>SUM(AD8,AD6,AD7,AD5)</f>
        <v>11.196000000000002</v>
      </c>
      <c r="AE9" s="146">
        <f>SUM(AE8,AE6,AE7,AE5)</f>
        <v>13.013</v>
      </c>
      <c r="AF9" s="146">
        <f>SUM(AF8,AF6,AF7,AF5)</f>
        <v>9.6219999999999999</v>
      </c>
      <c r="AG9" s="146">
        <f>SUM(AG8,AG6,AG7,AG5)</f>
        <v>10.771000000000001</v>
      </c>
      <c r="AH9" s="146">
        <f>SUM(AH8,AH6,AH7,AH5)</f>
        <v>0.37599999999999856</v>
      </c>
      <c r="AI9" s="146">
        <f>SUM(AI8,AI6,AI7,AI5)</f>
        <v>28.141000000000002</v>
      </c>
      <c r="AJ9" s="146">
        <f>SUM(AJ8,AJ6,AJ7,AJ5)</f>
        <v>16.335999999999999</v>
      </c>
      <c r="AK9" s="146">
        <f>SUM(AK8,AK6,AK7,AK5)</f>
        <v>14.716000000000001</v>
      </c>
      <c r="AL9" s="146">
        <f>SUM(AL8,AL6,AL7,AL5)</f>
        <v>-68.922999999999988</v>
      </c>
      <c r="AM9" s="146">
        <f>SUM(AM8,AM6,AM7,AM5)</f>
        <v>3.7850000000000001</v>
      </c>
      <c r="AN9" s="146">
        <f>SUM(AN8,AN6,AN7,AN5)</f>
        <v>6.0600000000000023</v>
      </c>
      <c r="AO9" s="146">
        <f>SUM(AO8,AO6,AO7,AO5)</f>
        <v>11.572000000000001</v>
      </c>
      <c r="AP9" s="146">
        <f>SUM(AP8,AP6,AP7,AP5)</f>
        <v>-139.97000000000003</v>
      </c>
      <c r="AQ9" s="146">
        <f>SUM(AQ8,AQ6,AQ7,AQ5)</f>
        <v>22.602999999999998</v>
      </c>
      <c r="AR9" s="146">
        <f>SUM(AR8,AR6,AR7,AR5)</f>
        <v>21.292000000000005</v>
      </c>
      <c r="AS9" s="146">
        <f>SUM(AS8,AS6,AS7,AS5)</f>
        <v>19.795000000000002</v>
      </c>
      <c r="AT9" s="146">
        <f>SUM(AT8,AT6,AT7,AT5)</f>
        <v>18.128999999999998</v>
      </c>
      <c r="AU9" s="146">
        <f>SUM(AU8,AU6,AU7,AU5)</f>
        <v>24.491</v>
      </c>
      <c r="AV9" s="146">
        <f>SUM(AV8,AV6,AV7,AV5)</f>
        <v>22.597000000000001</v>
      </c>
      <c r="AW9" s="146">
        <f>SUM(AW8,AW6,AW7,AW5)</f>
        <v>21.509999999999998</v>
      </c>
      <c r="AX9" s="146">
        <f>SUM(AX8,AX6,AX7,AX5)</f>
        <v>17.215</v>
      </c>
      <c r="AY9" s="146">
        <f>SUM(AY8,AY6,AY7,AY5)</f>
        <v>25.871999999999996</v>
      </c>
      <c r="AZ9" s="146">
        <f>SUM(AZ8,AZ6,AZ7,AZ5)</f>
        <v>24.879000000000001</v>
      </c>
      <c r="BA9" s="154">
        <f>SUM(BA8,BA6,BA7,BA5)</f>
        <v>27.292999999999999</v>
      </c>
      <c r="BB9" s="166">
        <f>SUM(BB8,BB6,BB7,BB5)</f>
        <v>26.772014867308513</v>
      </c>
      <c r="BC9" s="146">
        <f>SUM(BC8,BC6,BC7,BC5)</f>
        <v>28.107973448383191</v>
      </c>
      <c r="BD9" s="146">
        <f>SUM(BD8,BD6,BD7,BD5)</f>
        <v>29.667309371691147</v>
      </c>
      <c r="BE9" s="146">
        <f>SUM(BE8,BE6,BE7,BE5)</f>
        <v>31.106357737502918</v>
      </c>
      <c r="BF9" s="146">
        <f>SUM(BF8,BF6,BF7,BF5)</f>
        <v>31.811664578494415</v>
      </c>
      <c r="BG9" s="146">
        <f>SUM(BG8,BG6,BG7,BG5)</f>
        <v>33.64778485108971</v>
      </c>
      <c r="BH9" s="146">
        <f>SUM(BH8,BH6,BH7,BH5)</f>
        <v>36.114895235633185</v>
      </c>
      <c r="BI9" s="146">
        <f>SUM(BI8,BI6,BI7,BI5)</f>
        <v>37.638311265131506</v>
      </c>
      <c r="BJ9" s="146">
        <f>SUM(BJ8,BJ6,BJ7,BJ5)</f>
        <v>38.357539427303635</v>
      </c>
      <c r="BK9" s="146">
        <f>SUM(BK8,BK6,BK7,BK5)</f>
        <v>40.420364158600592</v>
      </c>
      <c r="BL9" s="146">
        <f>SUM(BL8,BL6,BL7,BL5)</f>
        <v>44.102591805910691</v>
      </c>
      <c r="BM9" s="146">
        <f>SUM(BM8,BM6,BM7,BM5)</f>
        <v>45.89263481251345</v>
      </c>
      <c r="BN9" s="146">
        <f>SUM(BN8,BN6,BN7,BN5)</f>
        <v>46.637531747378802</v>
      </c>
      <c r="BO9" s="146">
        <f>SUM(BO8,BO6,BO7,BO5)</f>
        <v>49.474980439161783</v>
      </c>
      <c r="BP9" s="146">
        <f>SUM(BP8,BP6,BP7,BP5)</f>
        <v>54.90558193275217</v>
      </c>
      <c r="BQ9" s="146">
        <f>SUM(BQ8,BQ6,BQ7,BQ5)</f>
        <v>56.886166605536687</v>
      </c>
      <c r="BR9" s="146">
        <f>SUM(BR8,BR6,BR7,BR5)</f>
        <v>57.436102662170896</v>
      </c>
    </row>
    <row r="10" spans="1:70" x14ac:dyDescent="0.2">
      <c r="A10" s="273" t="s">
        <v>22</v>
      </c>
      <c r="B10" s="29"/>
      <c r="C10" s="148">
        <f>CF!C9</f>
        <v>17.936</v>
      </c>
      <c r="D10" s="148">
        <f>CF!D9</f>
        <v>16.195</v>
      </c>
      <c r="E10" s="148">
        <f>CF!E9</f>
        <v>16.643999999999998</v>
      </c>
      <c r="F10" s="148">
        <f>CF!F9</f>
        <v>16.734000000000002</v>
      </c>
      <c r="G10" s="148">
        <f>CF!G9</f>
        <v>16.937999999999999</v>
      </c>
      <c r="H10" s="148">
        <f>CF!H9</f>
        <v>22.943999999999999</v>
      </c>
      <c r="I10" s="148">
        <f>CF!I9</f>
        <v>131.024</v>
      </c>
      <c r="J10" s="148">
        <f>CF!J9</f>
        <v>144.63300000000001</v>
      </c>
      <c r="K10" s="148">
        <f>CF!K9</f>
        <v>116.78699999999999</v>
      </c>
      <c r="L10" s="148">
        <f>CF!L9</f>
        <v>126.47</v>
      </c>
      <c r="M10" s="83">
        <f>SUM(AY10:BB10)</f>
        <v>129.74281208234677</v>
      </c>
      <c r="N10" s="84">
        <f>SUM(BC10:BF10)</f>
        <v>146.68660919168414</v>
      </c>
      <c r="O10" s="84">
        <f>SUM(BG10:BJ10)</f>
        <v>177.15004669605588</v>
      </c>
      <c r="P10" s="84">
        <f>SUM(BK10:BN10)</f>
        <v>215.18444756007005</v>
      </c>
      <c r="Q10" s="84">
        <f>SUM(BO10:BR10)</f>
        <v>265.80411198174943</v>
      </c>
      <c r="R10" s="61"/>
      <c r="S10" s="84">
        <f>CF!S9</f>
        <v>3.746</v>
      </c>
      <c r="T10" s="84">
        <f>CF!T9</f>
        <v>4.907</v>
      </c>
      <c r="U10" s="84">
        <f>CF!U9</f>
        <v>3.7980000000000005</v>
      </c>
      <c r="V10" s="84">
        <f>CF!V9</f>
        <v>4.1929999999999978</v>
      </c>
      <c r="W10" s="84">
        <f>CF!W9</f>
        <v>4.0660000000000007</v>
      </c>
      <c r="X10" s="84">
        <f>CF!X9</f>
        <v>4.1649999999999991</v>
      </c>
      <c r="Y10" s="84">
        <f>CF!Y9</f>
        <v>4.3460000000000001</v>
      </c>
      <c r="Z10" s="84">
        <f>CF!Z9</f>
        <v>4.1570000000000018</v>
      </c>
      <c r="AA10" s="84">
        <f>CF!AA9</f>
        <v>3.8380000000000001</v>
      </c>
      <c r="AB10" s="84">
        <f>CF!AB9</f>
        <v>4.2299999999999995</v>
      </c>
      <c r="AC10" s="84">
        <f>CF!AC9</f>
        <v>4.3269999999999991</v>
      </c>
      <c r="AD10" s="84">
        <f>CF!AD9</f>
        <v>4.5430000000000001</v>
      </c>
      <c r="AE10" s="84">
        <f>CF!AE9</f>
        <v>4.2809999999999997</v>
      </c>
      <c r="AF10" s="84">
        <f>CF!AF9</f>
        <v>4.6879999999999997</v>
      </c>
      <c r="AG10" s="84">
        <f>CF!AG9</f>
        <v>5.2090000000000023</v>
      </c>
      <c r="AH10" s="84">
        <f>CF!AH9</f>
        <v>8.7659999999999982</v>
      </c>
      <c r="AI10" s="84">
        <f>CF!AI9</f>
        <v>31.032</v>
      </c>
      <c r="AJ10" s="84">
        <f>CF!AJ9</f>
        <v>31.489000000000001</v>
      </c>
      <c r="AK10" s="84">
        <f>CF!AK9</f>
        <v>32.456999999999994</v>
      </c>
      <c r="AL10" s="84">
        <f>CF!AL9</f>
        <v>36.046000000000006</v>
      </c>
      <c r="AM10" s="84">
        <f>CF!AM9</f>
        <v>35.518000000000001</v>
      </c>
      <c r="AN10" s="84">
        <f>CF!AN9</f>
        <v>36.069999999999993</v>
      </c>
      <c r="AO10" s="84">
        <f>CF!AO9</f>
        <v>36.471000000000004</v>
      </c>
      <c r="AP10" s="84">
        <f>CF!AP9</f>
        <v>36.574000000000012</v>
      </c>
      <c r="AQ10" s="84">
        <f>CF!AQ9</f>
        <v>28.155000000000001</v>
      </c>
      <c r="AR10" s="84">
        <f>CF!AR9</f>
        <v>28.835000000000001</v>
      </c>
      <c r="AS10" s="84">
        <f>CF!AS9</f>
        <v>29.860999999999997</v>
      </c>
      <c r="AT10" s="84">
        <f>CF!AT9</f>
        <v>29.935999999999986</v>
      </c>
      <c r="AU10" s="84">
        <f>CF!AU9</f>
        <v>29.128</v>
      </c>
      <c r="AV10" s="148">
        <f>CF!AV9</f>
        <v>30.252999999999997</v>
      </c>
      <c r="AW10" s="148">
        <f>CF!AW9</f>
        <v>33.392000000000003</v>
      </c>
      <c r="AX10" s="84">
        <f>CF!AX9</f>
        <v>33.697000000000003</v>
      </c>
      <c r="AY10" s="84">
        <f>CF!AY9</f>
        <v>31.085999999999999</v>
      </c>
      <c r="AZ10" s="148">
        <f>CF!AZ9</f>
        <v>32.948</v>
      </c>
      <c r="BA10" s="156">
        <f>CF!BA9</f>
        <v>33.170999999999992</v>
      </c>
      <c r="BB10" s="256">
        <f>CF!BB9</f>
        <v>32.53781208234679</v>
      </c>
      <c r="BC10" s="148">
        <f>CF!BC9</f>
        <v>34.16149149072362</v>
      </c>
      <c r="BD10" s="148">
        <f>CF!BD9</f>
        <v>36.056656255023881</v>
      </c>
      <c r="BE10" s="148">
        <f>CF!BE9</f>
        <v>37.80562754225295</v>
      </c>
      <c r="BF10" s="148">
        <f>CF!BF9</f>
        <v>38.662833903683691</v>
      </c>
      <c r="BG10" s="148">
        <f>CF!BG9</f>
        <v>40.894393115285851</v>
      </c>
      <c r="BH10" s="148">
        <f>CF!BH9</f>
        <v>43.892836619689618</v>
      </c>
      <c r="BI10" s="148">
        <f>CF!BI9</f>
        <v>45.744345545585972</v>
      </c>
      <c r="BJ10" s="148">
        <f>CF!BJ9</f>
        <v>46.618471415494426</v>
      </c>
      <c r="BK10" s="148">
        <f>CF!BK9</f>
        <v>49.125559649175273</v>
      </c>
      <c r="BL10" s="148">
        <f>CF!BL9</f>
        <v>53.600816062501892</v>
      </c>
      <c r="BM10" s="148">
        <f>CF!BM9</f>
        <v>55.776374505033672</v>
      </c>
      <c r="BN10" s="148">
        <f>CF!BN9</f>
        <v>56.681697343359211</v>
      </c>
      <c r="BO10" s="148">
        <f>CF!BO9</f>
        <v>60.130237648753734</v>
      </c>
      <c r="BP10" s="148">
        <f>CF!BP9</f>
        <v>66.730409199843265</v>
      </c>
      <c r="BQ10" s="148">
        <f>CF!BQ9</f>
        <v>69.137545615075595</v>
      </c>
      <c r="BR10" s="148">
        <f>CF!BR9</f>
        <v>69.805919518076848</v>
      </c>
    </row>
    <row r="11" spans="1:70" x14ac:dyDescent="0.2">
      <c r="A11" s="276" t="s">
        <v>79</v>
      </c>
      <c r="B11" s="214"/>
      <c r="C11" s="144">
        <f>C10+C9</f>
        <v>89.990000000000009</v>
      </c>
      <c r="D11" s="144">
        <f>D10+D9</f>
        <v>68.824999999999989</v>
      </c>
      <c r="E11" s="144">
        <f>E10+E9</f>
        <v>54.940000000000005</v>
      </c>
      <c r="F11" s="144">
        <f>F10+F9</f>
        <v>72.716000000000008</v>
      </c>
      <c r="G11" s="144">
        <f>G10+G9</f>
        <v>66.088000000000008</v>
      </c>
      <c r="H11" s="144">
        <f>H10+H9</f>
        <v>56.725999999999999</v>
      </c>
      <c r="I11" s="144">
        <f>I10+I9</f>
        <v>121.29400000000001</v>
      </c>
      <c r="J11" s="144">
        <f>J10+J9</f>
        <v>26.078000000000003</v>
      </c>
      <c r="K11" s="144">
        <f>K10+K9</f>
        <v>198.60599999999999</v>
      </c>
      <c r="L11" s="144">
        <f>L10+L9</f>
        <v>212.28299999999999</v>
      </c>
      <c r="M11" s="86">
        <f>SUM(AY11:BB11)</f>
        <v>234.5588269496553</v>
      </c>
      <c r="N11" s="72">
        <f>SUM(BC11:BF11)</f>
        <v>267.37991432775578</v>
      </c>
      <c r="O11" s="72">
        <f>SUM(BG11:BJ11)</f>
        <v>322.90857747521392</v>
      </c>
      <c r="P11" s="72">
        <f>SUM(BK11:BN11)</f>
        <v>392.23757008447359</v>
      </c>
      <c r="Q11" s="72">
        <f>SUM(BO11:BR11)</f>
        <v>484.50694362137097</v>
      </c>
      <c r="R11" s="46"/>
      <c r="S11" s="144">
        <f>S10+S9</f>
        <v>13.051</v>
      </c>
      <c r="T11" s="144">
        <f>T10+T9</f>
        <v>12.048999999999999</v>
      </c>
      <c r="U11" s="144">
        <f>U10+U9</f>
        <v>11.407999999999999</v>
      </c>
      <c r="V11" s="144">
        <f>V10+V9</f>
        <v>18.431999999999999</v>
      </c>
      <c r="W11" s="144">
        <f>W10+W9</f>
        <v>19.762</v>
      </c>
      <c r="X11" s="144">
        <f>X10+X9</f>
        <v>20.128</v>
      </c>
      <c r="Y11" s="144">
        <f>Y10+Y9</f>
        <v>18.989000000000001</v>
      </c>
      <c r="Z11" s="144">
        <f>Z10+Z9</f>
        <v>13.837000000000003</v>
      </c>
      <c r="AA11" s="144">
        <f>AA10+AA9</f>
        <v>16.739000000000001</v>
      </c>
      <c r="AB11" s="144">
        <f>AB10+AB9</f>
        <v>17.863</v>
      </c>
      <c r="AC11" s="144">
        <f>AC10+AC9</f>
        <v>15.747</v>
      </c>
      <c r="AD11" s="144">
        <f>AD10+AD9</f>
        <v>15.739000000000001</v>
      </c>
      <c r="AE11" s="144">
        <f>AE10+AE9</f>
        <v>17.294</v>
      </c>
      <c r="AF11" s="144">
        <f>AF10+AF9</f>
        <v>14.309999999999999</v>
      </c>
      <c r="AG11" s="144">
        <f>AG10+AG9</f>
        <v>15.980000000000004</v>
      </c>
      <c r="AH11" s="144">
        <f>AH10+AH9</f>
        <v>9.1419999999999959</v>
      </c>
      <c r="AI11" s="144">
        <f>AI10+AI9</f>
        <v>59.173000000000002</v>
      </c>
      <c r="AJ11" s="144">
        <f>AJ10+AJ9</f>
        <v>47.825000000000003</v>
      </c>
      <c r="AK11" s="144">
        <f>AK10+AK9</f>
        <v>47.172999999999995</v>
      </c>
      <c r="AL11" s="144">
        <f>AL10+AL9</f>
        <v>-32.876999999999981</v>
      </c>
      <c r="AM11" s="144">
        <f>AM10+AM9</f>
        <v>39.302999999999997</v>
      </c>
      <c r="AN11" s="144">
        <f>AN10+AN9</f>
        <v>42.129999999999995</v>
      </c>
      <c r="AO11" s="144">
        <f>AO10+AO9</f>
        <v>48.043000000000006</v>
      </c>
      <c r="AP11" s="144">
        <f>AP10+AP9</f>
        <v>-103.39600000000002</v>
      </c>
      <c r="AQ11" s="144">
        <f>AQ10+AQ9</f>
        <v>50.757999999999996</v>
      </c>
      <c r="AR11" s="144">
        <f>AR10+AR9</f>
        <v>50.12700000000001</v>
      </c>
      <c r="AS11" s="144">
        <f>AS10+AS9</f>
        <v>49.655999999999999</v>
      </c>
      <c r="AT11" s="144">
        <f>AT10+AT9</f>
        <v>48.064999999999984</v>
      </c>
      <c r="AU11" s="144">
        <f>AU10+AU9</f>
        <v>53.619</v>
      </c>
      <c r="AV11" s="144">
        <f>AV10+AV9</f>
        <v>52.849999999999994</v>
      </c>
      <c r="AW11" s="144">
        <f>AW10+AW9</f>
        <v>54.902000000000001</v>
      </c>
      <c r="AX11" s="144">
        <f>AX10+AX9</f>
        <v>50.912000000000006</v>
      </c>
      <c r="AY11" s="144">
        <f>AY10+AY9</f>
        <v>56.957999999999998</v>
      </c>
      <c r="AZ11" s="144">
        <f>AZ10+AZ9</f>
        <v>57.826999999999998</v>
      </c>
      <c r="BA11" s="175">
        <f>BA10+BA9</f>
        <v>60.463999999999992</v>
      </c>
      <c r="BB11" s="257">
        <f>BB10+BB9</f>
        <v>59.309826949655303</v>
      </c>
      <c r="BC11" s="144">
        <f>BC10+BC9</f>
        <v>62.269464939106811</v>
      </c>
      <c r="BD11" s="144">
        <f>BD10+BD9</f>
        <v>65.723965626715028</v>
      </c>
      <c r="BE11" s="144">
        <f>BE10+BE9</f>
        <v>68.911985279755868</v>
      </c>
      <c r="BF11" s="144">
        <f>BF10+BF9</f>
        <v>70.474498482178106</v>
      </c>
      <c r="BG11" s="144">
        <f>BG10+BG9</f>
        <v>74.542177966375561</v>
      </c>
      <c r="BH11" s="144">
        <f>BH10+BH9</f>
        <v>80.007731855322803</v>
      </c>
      <c r="BI11" s="144">
        <f>BI10+BI9</f>
        <v>83.382656810717478</v>
      </c>
      <c r="BJ11" s="144">
        <f>BJ10+BJ9</f>
        <v>84.976010842798061</v>
      </c>
      <c r="BK11" s="144">
        <f>BK10+BK9</f>
        <v>89.545923807775864</v>
      </c>
      <c r="BL11" s="144">
        <f>BL10+BL9</f>
        <v>97.703407868412583</v>
      </c>
      <c r="BM11" s="144">
        <f>BM10+BM9</f>
        <v>101.66900931754712</v>
      </c>
      <c r="BN11" s="144">
        <f>BN10+BN9</f>
        <v>103.31922909073802</v>
      </c>
      <c r="BO11" s="144">
        <f>BO10+BO9</f>
        <v>109.60521808791552</v>
      </c>
      <c r="BP11" s="144">
        <f>BP10+BP9</f>
        <v>121.63599113259544</v>
      </c>
      <c r="BQ11" s="144">
        <f>BQ10+BQ9</f>
        <v>126.02371222061228</v>
      </c>
      <c r="BR11" s="144">
        <f>BR10+BR9</f>
        <v>127.24202218024774</v>
      </c>
    </row>
    <row r="12" spans="1:70" x14ac:dyDescent="0.2">
      <c r="A12" s="282" t="s">
        <v>299</v>
      </c>
      <c r="B12" s="9"/>
      <c r="C12" s="142">
        <v>8.4540000000000006</v>
      </c>
      <c r="D12" s="142">
        <v>7.9349999999999996</v>
      </c>
      <c r="E12" s="142">
        <v>6.8090000000000002</v>
      </c>
      <c r="F12" s="142">
        <v>6.6550000000000002</v>
      </c>
      <c r="G12" s="142">
        <v>5.0780000000000003</v>
      </c>
      <c r="H12" s="142">
        <v>17.686</v>
      </c>
      <c r="I12" s="142">
        <v>8.2840000000000007</v>
      </c>
      <c r="J12" s="142">
        <v>6.7329999999999997</v>
      </c>
      <c r="K12" s="142">
        <v>6.4109999999999996</v>
      </c>
      <c r="L12" s="142">
        <v>7.2510000000000003</v>
      </c>
      <c r="M12" s="77">
        <f>SUM(AY12:BB12)</f>
        <v>6.14</v>
      </c>
      <c r="N12" s="76">
        <f>SUM(BC12:BF12)</f>
        <v>0</v>
      </c>
      <c r="O12" s="76">
        <f>SUM(BG12:BJ12)</f>
        <v>0</v>
      </c>
      <c r="P12" s="76">
        <f>SUM(BK12:BN12)</f>
        <v>0</v>
      </c>
      <c r="Q12" s="76">
        <f>SUM(BO12:BR12)</f>
        <v>0</v>
      </c>
      <c r="R12" s="309"/>
      <c r="S12" s="80">
        <v>1.097</v>
      </c>
      <c r="T12" s="80">
        <v>2.238</v>
      </c>
      <c r="U12" s="80">
        <v>1.9019999999999999</v>
      </c>
      <c r="V12" s="80">
        <v>1.5720000000000001</v>
      </c>
      <c r="W12" s="80">
        <v>0.84299999999999997</v>
      </c>
      <c r="X12" s="80">
        <v>1.266</v>
      </c>
      <c r="Y12" s="80">
        <v>1.8420000000000001</v>
      </c>
      <c r="Z12" s="80">
        <v>2.7040000000000002</v>
      </c>
      <c r="AA12" s="80">
        <v>1.171</v>
      </c>
      <c r="AB12" s="80">
        <v>1.284</v>
      </c>
      <c r="AC12" s="80">
        <v>1.2470000000000001</v>
      </c>
      <c r="AD12" s="80">
        <v>1.3759999999999999</v>
      </c>
      <c r="AE12" s="80">
        <v>3.38</v>
      </c>
      <c r="AF12" s="80">
        <v>5.327</v>
      </c>
      <c r="AG12" s="80">
        <v>3.4319999999999999</v>
      </c>
      <c r="AH12" s="80">
        <v>2.419</v>
      </c>
      <c r="AI12" s="80">
        <v>1.7929999999999999</v>
      </c>
      <c r="AJ12" s="80">
        <v>2.161</v>
      </c>
      <c r="AK12" s="80">
        <v>2.1349999999999998</v>
      </c>
      <c r="AL12" s="80">
        <v>2.1960000000000002</v>
      </c>
      <c r="AM12" s="80">
        <v>1.0609999999999999</v>
      </c>
      <c r="AN12" s="80">
        <v>1.7070000000000001</v>
      </c>
      <c r="AO12" s="80">
        <v>1.379</v>
      </c>
      <c r="AP12" s="80">
        <v>2.589</v>
      </c>
      <c r="AQ12" s="80">
        <v>1.411</v>
      </c>
      <c r="AR12" s="80">
        <v>2.069</v>
      </c>
      <c r="AS12" s="80">
        <v>1.645</v>
      </c>
      <c r="AT12" s="80">
        <v>1.2869999999999999</v>
      </c>
      <c r="AU12" s="80">
        <v>2.35</v>
      </c>
      <c r="AV12" s="142">
        <v>1.9550000000000001</v>
      </c>
      <c r="AW12" s="142">
        <v>1.8120000000000001</v>
      </c>
      <c r="AX12" s="80">
        <v>1.133</v>
      </c>
      <c r="AY12" s="80">
        <v>1.7729999999999999</v>
      </c>
      <c r="AZ12" s="142">
        <v>2.3860000000000001</v>
      </c>
      <c r="BA12" s="153">
        <v>1.9810000000000001</v>
      </c>
      <c r="BB12" s="172"/>
      <c r="BC12" s="157"/>
      <c r="BD12" s="157"/>
      <c r="BE12" s="157"/>
      <c r="BF12" s="157"/>
      <c r="BG12" s="157"/>
      <c r="BH12" s="157"/>
      <c r="BI12" s="157"/>
      <c r="BJ12" s="157"/>
      <c r="BK12" s="157"/>
      <c r="BL12" s="157"/>
      <c r="BM12" s="157"/>
      <c r="BN12" s="157"/>
      <c r="BO12" s="157"/>
      <c r="BP12" s="157"/>
      <c r="BQ12" s="157"/>
      <c r="BR12" s="157"/>
    </row>
    <row r="13" spans="1:70" x14ac:dyDescent="0.2">
      <c r="A13" s="282" t="s">
        <v>215</v>
      </c>
      <c r="B13" s="9"/>
      <c r="C13" s="142">
        <v>0</v>
      </c>
      <c r="D13" s="142">
        <v>0</v>
      </c>
      <c r="E13" s="142">
        <v>0</v>
      </c>
      <c r="F13" s="142">
        <v>0</v>
      </c>
      <c r="G13" s="142">
        <v>0</v>
      </c>
      <c r="H13" s="142">
        <v>0</v>
      </c>
      <c r="I13" s="142">
        <v>75.007999999999996</v>
      </c>
      <c r="J13" s="142">
        <v>146.29900000000001</v>
      </c>
      <c r="K13" s="142">
        <v>0</v>
      </c>
      <c r="L13" s="142">
        <v>0</v>
      </c>
      <c r="M13" s="77">
        <f>SUM(AY13:BB13)</f>
        <v>0</v>
      </c>
      <c r="N13" s="76">
        <f>SUM(BC13:BF13)</f>
        <v>0</v>
      </c>
      <c r="O13" s="76">
        <f>SUM(BG13:BJ13)</f>
        <v>0</v>
      </c>
      <c r="P13" s="76">
        <f>SUM(BK13:BN13)</f>
        <v>0</v>
      </c>
      <c r="Q13" s="76">
        <f>SUM(BO13:BR13)</f>
        <v>0</v>
      </c>
      <c r="R13" s="309"/>
      <c r="S13" s="80">
        <v>0</v>
      </c>
      <c r="T13" s="80">
        <v>0</v>
      </c>
      <c r="U13" s="80">
        <v>0</v>
      </c>
      <c r="V13" s="80">
        <v>0</v>
      </c>
      <c r="W13" s="80">
        <v>0</v>
      </c>
      <c r="X13" s="80">
        <v>0</v>
      </c>
      <c r="Y13" s="80">
        <v>0</v>
      </c>
      <c r="Z13" s="80">
        <v>0</v>
      </c>
      <c r="AA13" s="80">
        <v>0</v>
      </c>
      <c r="AB13" s="80">
        <v>0</v>
      </c>
      <c r="AC13" s="80">
        <v>0</v>
      </c>
      <c r="AD13" s="80">
        <v>0</v>
      </c>
      <c r="AE13" s="80">
        <v>0</v>
      </c>
      <c r="AF13" s="80">
        <v>0</v>
      </c>
      <c r="AG13" s="80">
        <v>0</v>
      </c>
      <c r="AH13" s="80">
        <v>0</v>
      </c>
      <c r="AI13" s="80">
        <v>0</v>
      </c>
      <c r="AJ13" s="80">
        <v>0</v>
      </c>
      <c r="AK13" s="80">
        <v>0</v>
      </c>
      <c r="AL13" s="80">
        <v>75.007999999999996</v>
      </c>
      <c r="AM13" s="80">
        <v>0</v>
      </c>
      <c r="AN13" s="142">
        <v>0</v>
      </c>
      <c r="AO13" s="80">
        <v>0</v>
      </c>
      <c r="AP13" s="80">
        <v>146.29900000000001</v>
      </c>
      <c r="AQ13" s="80">
        <v>0</v>
      </c>
      <c r="AR13" s="80">
        <v>0</v>
      </c>
      <c r="AS13" s="80">
        <v>0</v>
      </c>
      <c r="AT13" s="80">
        <v>0</v>
      </c>
      <c r="AU13" s="80">
        <v>0</v>
      </c>
      <c r="AV13" s="142">
        <v>0</v>
      </c>
      <c r="AW13" s="142">
        <v>0</v>
      </c>
      <c r="AX13" s="80">
        <v>0</v>
      </c>
      <c r="AY13" s="80">
        <v>0</v>
      </c>
      <c r="AZ13" s="142">
        <v>0</v>
      </c>
      <c r="BA13" s="153">
        <v>0</v>
      </c>
      <c r="BB13" s="172"/>
      <c r="BC13" s="157"/>
      <c r="BD13" s="157"/>
      <c r="BE13" s="157"/>
      <c r="BF13" s="157"/>
      <c r="BG13" s="157"/>
      <c r="BH13" s="157"/>
      <c r="BI13" s="157"/>
      <c r="BJ13" s="157"/>
      <c r="BK13" s="157"/>
      <c r="BL13" s="157"/>
      <c r="BM13" s="157"/>
      <c r="BN13" s="157"/>
      <c r="BO13" s="157"/>
      <c r="BP13" s="157"/>
      <c r="BQ13" s="157"/>
      <c r="BR13" s="157"/>
    </row>
    <row r="14" spans="1:70" x14ac:dyDescent="0.2">
      <c r="A14" s="282" t="s">
        <v>303</v>
      </c>
      <c r="B14" s="9"/>
      <c r="C14" s="142">
        <v>0</v>
      </c>
      <c r="D14" s="142">
        <v>0</v>
      </c>
      <c r="E14" s="142">
        <v>0</v>
      </c>
      <c r="F14" s="142">
        <v>0</v>
      </c>
      <c r="G14" s="142">
        <v>0</v>
      </c>
      <c r="H14" s="142">
        <v>0</v>
      </c>
      <c r="I14" s="142">
        <v>0</v>
      </c>
      <c r="J14" s="142">
        <v>4.6870000000000003</v>
      </c>
      <c r="K14" s="142">
        <v>0</v>
      </c>
      <c r="L14" s="142">
        <v>0</v>
      </c>
      <c r="M14" s="77">
        <f>SUM(AY14:BB14)</f>
        <v>0</v>
      </c>
      <c r="N14" s="76">
        <f>SUM(BC14:BF14)</f>
        <v>0</v>
      </c>
      <c r="O14" s="76">
        <f>SUM(BG14:BJ14)</f>
        <v>0</v>
      </c>
      <c r="P14" s="76">
        <f>SUM(BK14:BN14)</f>
        <v>0</v>
      </c>
      <c r="Q14" s="76">
        <f>SUM(BO14:BR14)</f>
        <v>0</v>
      </c>
      <c r="R14" s="309"/>
      <c r="S14" s="80">
        <v>0</v>
      </c>
      <c r="T14" s="80">
        <v>0</v>
      </c>
      <c r="U14" s="80">
        <v>0</v>
      </c>
      <c r="V14" s="80">
        <v>0</v>
      </c>
      <c r="W14" s="80">
        <v>0</v>
      </c>
      <c r="X14" s="80">
        <v>0</v>
      </c>
      <c r="Y14" s="80">
        <v>0</v>
      </c>
      <c r="Z14" s="80">
        <v>0</v>
      </c>
      <c r="AA14" s="80">
        <v>0</v>
      </c>
      <c r="AB14" s="80">
        <v>0</v>
      </c>
      <c r="AC14" s="80">
        <v>0</v>
      </c>
      <c r="AD14" s="80">
        <v>0</v>
      </c>
      <c r="AE14" s="80">
        <v>0</v>
      </c>
      <c r="AF14" s="80">
        <v>0</v>
      </c>
      <c r="AG14" s="80">
        <v>0</v>
      </c>
      <c r="AH14" s="80">
        <v>0</v>
      </c>
      <c r="AI14" s="80">
        <v>0</v>
      </c>
      <c r="AJ14" s="80">
        <v>0</v>
      </c>
      <c r="AK14" s="80">
        <v>0</v>
      </c>
      <c r="AL14" s="80">
        <v>0</v>
      </c>
      <c r="AM14" s="80">
        <v>3.274</v>
      </c>
      <c r="AN14" s="142">
        <v>0</v>
      </c>
      <c r="AO14" s="80">
        <v>0</v>
      </c>
      <c r="AP14" s="80">
        <v>1.413</v>
      </c>
      <c r="AQ14" s="80">
        <v>0</v>
      </c>
      <c r="AR14" s="80">
        <v>0</v>
      </c>
      <c r="AS14" s="80">
        <v>0</v>
      </c>
      <c r="AT14" s="80">
        <v>0</v>
      </c>
      <c r="AU14" s="80">
        <v>0</v>
      </c>
      <c r="AV14" s="142">
        <v>0</v>
      </c>
      <c r="AW14" s="142">
        <v>0</v>
      </c>
      <c r="AX14" s="80">
        <v>0</v>
      </c>
      <c r="AY14" s="80">
        <v>0</v>
      </c>
      <c r="AZ14" s="142">
        <v>0</v>
      </c>
      <c r="BA14" s="153">
        <v>0</v>
      </c>
      <c r="BB14" s="172"/>
      <c r="BC14" s="157"/>
      <c r="BD14" s="157"/>
      <c r="BE14" s="157"/>
      <c r="BF14" s="157"/>
      <c r="BG14" s="157"/>
      <c r="BH14" s="157"/>
      <c r="BI14" s="157"/>
      <c r="BJ14" s="157"/>
      <c r="BK14" s="157"/>
      <c r="BL14" s="157"/>
      <c r="BM14" s="157"/>
      <c r="BN14" s="157"/>
      <c r="BO14" s="157"/>
      <c r="BP14" s="157"/>
      <c r="BQ14" s="157"/>
      <c r="BR14" s="157"/>
    </row>
    <row r="15" spans="1:70" x14ac:dyDescent="0.2">
      <c r="A15" s="275" t="s">
        <v>252</v>
      </c>
      <c r="B15" s="9"/>
      <c r="C15" s="142">
        <v>0</v>
      </c>
      <c r="D15" s="142">
        <v>0</v>
      </c>
      <c r="E15" s="142">
        <v>0</v>
      </c>
      <c r="F15" s="142">
        <v>0</v>
      </c>
      <c r="G15" s="142">
        <v>0</v>
      </c>
      <c r="H15" s="142">
        <v>9.1</v>
      </c>
      <c r="I15" s="142">
        <v>7.6139999999999999</v>
      </c>
      <c r="J15" s="142">
        <v>8.6920000000000002</v>
      </c>
      <c r="K15" s="142">
        <v>7.819</v>
      </c>
      <c r="L15" s="142">
        <v>8.4209999999999994</v>
      </c>
      <c r="M15" s="77">
        <f>SUM(AY15:BB15)</f>
        <v>6.54</v>
      </c>
      <c r="N15" s="76">
        <f>SUM(BC15:BF15)</f>
        <v>0</v>
      </c>
      <c r="O15" s="76">
        <f>SUM(BG15:BJ15)</f>
        <v>0</v>
      </c>
      <c r="P15" s="76">
        <f>SUM(BK15:BN15)</f>
        <v>0</v>
      </c>
      <c r="Q15" s="76">
        <f>SUM(BO15:BR15)</f>
        <v>0</v>
      </c>
      <c r="R15" s="46"/>
      <c r="S15" s="80">
        <v>0</v>
      </c>
      <c r="T15" s="80">
        <v>0</v>
      </c>
      <c r="U15" s="80">
        <v>0</v>
      </c>
      <c r="V15" s="80">
        <v>0</v>
      </c>
      <c r="W15" s="80">
        <v>0</v>
      </c>
      <c r="X15" s="80">
        <v>0</v>
      </c>
      <c r="Y15" s="80">
        <v>0</v>
      </c>
      <c r="Z15" s="80">
        <v>0</v>
      </c>
      <c r="AA15" s="80">
        <v>0</v>
      </c>
      <c r="AB15" s="80">
        <v>0</v>
      </c>
      <c r="AC15" s="80">
        <v>0</v>
      </c>
      <c r="AD15" s="80">
        <v>0</v>
      </c>
      <c r="AE15" s="80">
        <v>2.4119999999999999</v>
      </c>
      <c r="AF15" s="80">
        <v>2.3199999999999998</v>
      </c>
      <c r="AG15" s="142">
        <v>2.2109999999999999</v>
      </c>
      <c r="AH15" s="142">
        <v>2.157</v>
      </c>
      <c r="AI15" s="80">
        <v>2.1040000000000001</v>
      </c>
      <c r="AJ15" s="80">
        <v>1.988</v>
      </c>
      <c r="AK15" s="142">
        <v>1.9139999999999999</v>
      </c>
      <c r="AL15" s="142">
        <v>1.6080000000000001</v>
      </c>
      <c r="AM15" s="80">
        <v>2.097</v>
      </c>
      <c r="AN15" s="80">
        <v>2.242</v>
      </c>
      <c r="AO15" s="142">
        <v>2.1819999999999999</v>
      </c>
      <c r="AP15" s="80">
        <v>2.17</v>
      </c>
      <c r="AQ15" s="80">
        <v>2.0019999999999998</v>
      </c>
      <c r="AR15" s="80">
        <v>1.907</v>
      </c>
      <c r="AS15" s="142">
        <v>1.9359999999999999</v>
      </c>
      <c r="AT15" s="142">
        <v>1.9750000000000001</v>
      </c>
      <c r="AU15" s="142">
        <v>2.0569999999999999</v>
      </c>
      <c r="AV15" s="142">
        <v>2.121</v>
      </c>
      <c r="AW15" s="142">
        <v>2.121</v>
      </c>
      <c r="AX15" s="142">
        <v>2.1219999999999999</v>
      </c>
      <c r="AY15" s="142">
        <v>2.1219999999999999</v>
      </c>
      <c r="AZ15" s="142">
        <v>2.1970000000000001</v>
      </c>
      <c r="BA15" s="153">
        <v>2.2210000000000001</v>
      </c>
      <c r="BB15" s="172"/>
      <c r="BC15" s="157"/>
      <c r="BD15" s="157"/>
      <c r="BE15" s="157"/>
      <c r="BF15" s="157"/>
      <c r="BG15" s="157"/>
      <c r="BH15" s="157"/>
      <c r="BI15" s="157"/>
      <c r="BJ15" s="157"/>
      <c r="BK15" s="157"/>
      <c r="BL15" s="157"/>
      <c r="BM15" s="157"/>
      <c r="BN15" s="157"/>
      <c r="BO15" s="157"/>
      <c r="BP15" s="157"/>
      <c r="BQ15" s="157"/>
      <c r="BR15" s="157"/>
    </row>
    <row r="16" spans="1:70" x14ac:dyDescent="0.2">
      <c r="A16" s="275" t="s">
        <v>304</v>
      </c>
      <c r="B16" s="9"/>
      <c r="C16" s="142">
        <v>0</v>
      </c>
      <c r="D16" s="142">
        <v>0</v>
      </c>
      <c r="E16" s="142">
        <v>0</v>
      </c>
      <c r="F16" s="142">
        <v>0</v>
      </c>
      <c r="G16" s="142">
        <v>0</v>
      </c>
      <c r="H16" s="142">
        <v>0</v>
      </c>
      <c r="I16" s="142">
        <v>0</v>
      </c>
      <c r="J16" s="142">
        <v>0.35799999999999998</v>
      </c>
      <c r="K16" s="142">
        <v>0</v>
      </c>
      <c r="L16" s="142">
        <v>0</v>
      </c>
      <c r="M16" s="77">
        <f>SUM(AY16:BB16)</f>
        <v>0</v>
      </c>
      <c r="N16" s="76">
        <f>SUM(BC16:BF16)</f>
        <v>0</v>
      </c>
      <c r="O16" s="76">
        <f>SUM(BG16:BJ16)</f>
        <v>0</v>
      </c>
      <c r="P16" s="76">
        <f>SUM(BK16:BN16)</f>
        <v>0</v>
      </c>
      <c r="Q16" s="76">
        <f>SUM(BO16:BR16)</f>
        <v>0</v>
      </c>
      <c r="R16" s="46"/>
      <c r="S16" s="80">
        <v>0</v>
      </c>
      <c r="T16" s="80">
        <v>0</v>
      </c>
      <c r="U16" s="80">
        <v>0</v>
      </c>
      <c r="V16" s="80">
        <v>0</v>
      </c>
      <c r="W16" s="80">
        <v>0</v>
      </c>
      <c r="X16" s="80">
        <v>0</v>
      </c>
      <c r="Y16" s="80">
        <v>0</v>
      </c>
      <c r="Z16" s="80">
        <v>0</v>
      </c>
      <c r="AA16" s="80">
        <v>0</v>
      </c>
      <c r="AB16" s="80">
        <v>0</v>
      </c>
      <c r="AC16" s="80">
        <v>0</v>
      </c>
      <c r="AD16" s="80">
        <v>0</v>
      </c>
      <c r="AE16" s="80">
        <v>0</v>
      </c>
      <c r="AF16" s="80">
        <v>0</v>
      </c>
      <c r="AG16" s="80">
        <v>0</v>
      </c>
      <c r="AH16" s="80">
        <v>0</v>
      </c>
      <c r="AI16" s="80">
        <v>0</v>
      </c>
      <c r="AJ16" s="80">
        <v>0</v>
      </c>
      <c r="AK16" s="80">
        <v>0</v>
      </c>
      <c r="AL16" s="80">
        <v>0</v>
      </c>
      <c r="AM16" s="80">
        <v>0</v>
      </c>
      <c r="AN16" s="142">
        <v>0</v>
      </c>
      <c r="AO16" s="142">
        <v>0</v>
      </c>
      <c r="AP16" s="80">
        <v>0.35799999999999998</v>
      </c>
      <c r="AQ16" s="80">
        <v>0</v>
      </c>
      <c r="AR16" s="80">
        <v>0</v>
      </c>
      <c r="AS16" s="142">
        <v>0</v>
      </c>
      <c r="AT16" s="142">
        <v>0</v>
      </c>
      <c r="AU16" s="142">
        <v>0</v>
      </c>
      <c r="AV16" s="142">
        <v>0</v>
      </c>
      <c r="AW16" s="142">
        <v>0</v>
      </c>
      <c r="AX16" s="142">
        <v>0</v>
      </c>
      <c r="AY16" s="142">
        <v>0</v>
      </c>
      <c r="AZ16" s="142">
        <v>0</v>
      </c>
      <c r="BA16" s="153">
        <v>0</v>
      </c>
      <c r="BB16" s="172"/>
      <c r="BC16" s="157"/>
      <c r="BD16" s="157"/>
      <c r="BE16" s="157"/>
      <c r="BF16" s="157"/>
      <c r="BG16" s="157"/>
      <c r="BH16" s="157"/>
      <c r="BI16" s="157"/>
      <c r="BJ16" s="157"/>
      <c r="BK16" s="157"/>
      <c r="BL16" s="157"/>
      <c r="BM16" s="157"/>
      <c r="BN16" s="157"/>
      <c r="BO16" s="157"/>
      <c r="BP16" s="157"/>
      <c r="BQ16" s="157"/>
      <c r="BR16" s="157"/>
    </row>
    <row r="17" spans="1:70" x14ac:dyDescent="0.2">
      <c r="A17" s="275" t="s">
        <v>301</v>
      </c>
      <c r="B17" s="9"/>
      <c r="C17" s="142">
        <v>0</v>
      </c>
      <c r="D17" s="142">
        <v>0</v>
      </c>
      <c r="E17" s="142">
        <v>0</v>
      </c>
      <c r="F17" s="142">
        <v>0</v>
      </c>
      <c r="G17" s="142">
        <v>0</v>
      </c>
      <c r="H17" s="142">
        <v>0</v>
      </c>
      <c r="I17" s="142">
        <v>0</v>
      </c>
      <c r="J17" s="142">
        <v>0</v>
      </c>
      <c r="K17" s="142">
        <v>0</v>
      </c>
      <c r="L17" s="142">
        <v>2.5750000000000002</v>
      </c>
      <c r="M17" s="77">
        <f>SUM(AY17:BB17)</f>
        <v>1.3</v>
      </c>
      <c r="N17" s="76">
        <f>SUM(BC17:BF17)</f>
        <v>0</v>
      </c>
      <c r="O17" s="76">
        <f>SUM(BG17:BJ17)</f>
        <v>0</v>
      </c>
      <c r="P17" s="76">
        <f>SUM(BK17:BN17)</f>
        <v>0</v>
      </c>
      <c r="Q17" s="76">
        <f>SUM(BO17:BR17)</f>
        <v>0</v>
      </c>
      <c r="R17" s="46"/>
      <c r="S17" s="80">
        <v>0</v>
      </c>
      <c r="T17" s="80">
        <v>0</v>
      </c>
      <c r="U17" s="80">
        <v>0</v>
      </c>
      <c r="V17" s="80">
        <v>0</v>
      </c>
      <c r="W17" s="80">
        <v>0</v>
      </c>
      <c r="X17" s="80">
        <v>0</v>
      </c>
      <c r="Y17" s="80">
        <v>0</v>
      </c>
      <c r="Z17" s="80">
        <v>0</v>
      </c>
      <c r="AA17" s="80">
        <v>0</v>
      </c>
      <c r="AB17" s="80">
        <v>0</v>
      </c>
      <c r="AC17" s="80">
        <v>0</v>
      </c>
      <c r="AD17" s="80">
        <v>0</v>
      </c>
      <c r="AE17" s="80">
        <v>0</v>
      </c>
      <c r="AF17" s="80">
        <v>0</v>
      </c>
      <c r="AG17" s="80">
        <v>0</v>
      </c>
      <c r="AH17" s="80">
        <v>0</v>
      </c>
      <c r="AI17" s="80">
        <v>0</v>
      </c>
      <c r="AJ17" s="80">
        <v>0</v>
      </c>
      <c r="AK17" s="80">
        <v>0</v>
      </c>
      <c r="AL17" s="80">
        <v>0</v>
      </c>
      <c r="AM17" s="80">
        <v>0</v>
      </c>
      <c r="AN17" s="142">
        <v>0</v>
      </c>
      <c r="AO17" s="142">
        <v>0</v>
      </c>
      <c r="AP17" s="142">
        <v>0</v>
      </c>
      <c r="AQ17" s="142">
        <v>0</v>
      </c>
      <c r="AR17" s="142">
        <v>0</v>
      </c>
      <c r="AS17" s="142">
        <v>0</v>
      </c>
      <c r="AT17" s="142">
        <v>0</v>
      </c>
      <c r="AU17" s="142">
        <v>0</v>
      </c>
      <c r="AV17" s="142">
        <v>2.5750000000000002</v>
      </c>
      <c r="AW17" s="142">
        <v>0</v>
      </c>
      <c r="AX17" s="142">
        <v>0</v>
      </c>
      <c r="AY17" s="142">
        <v>0.45700000000000002</v>
      </c>
      <c r="AZ17" s="142">
        <v>0.84299999999999997</v>
      </c>
      <c r="BA17" s="153">
        <v>0</v>
      </c>
      <c r="BB17" s="172"/>
      <c r="BC17" s="157"/>
      <c r="BD17" s="157"/>
      <c r="BE17" s="157"/>
      <c r="BF17" s="157"/>
      <c r="BG17" s="157"/>
      <c r="BH17" s="157"/>
      <c r="BI17" s="157"/>
      <c r="BJ17" s="157"/>
      <c r="BK17" s="157"/>
      <c r="BL17" s="157"/>
      <c r="BM17" s="157"/>
      <c r="BN17" s="157"/>
      <c r="BO17" s="157"/>
      <c r="BP17" s="157"/>
      <c r="BQ17" s="157"/>
      <c r="BR17" s="157"/>
    </row>
    <row r="18" spans="1:70" x14ac:dyDescent="0.2">
      <c r="A18" s="275" t="s">
        <v>305</v>
      </c>
      <c r="B18" s="9"/>
      <c r="C18" s="142">
        <v>0</v>
      </c>
      <c r="D18" s="142">
        <v>0</v>
      </c>
      <c r="E18" s="142">
        <v>0</v>
      </c>
      <c r="F18" s="142">
        <v>0</v>
      </c>
      <c r="G18" s="142">
        <v>0</v>
      </c>
      <c r="H18" s="142">
        <v>0</v>
      </c>
      <c r="I18" s="142">
        <v>0</v>
      </c>
      <c r="J18" s="142">
        <v>4.2889999999999997</v>
      </c>
      <c r="K18" s="142">
        <v>0</v>
      </c>
      <c r="L18" s="142">
        <v>0</v>
      </c>
      <c r="M18" s="77">
        <f>SUM(AY18:BB18)</f>
        <v>0</v>
      </c>
      <c r="N18" s="76">
        <f>SUM(BC18:BF18)</f>
        <v>0</v>
      </c>
      <c r="O18" s="76">
        <f>SUM(BG18:BJ18)</f>
        <v>0</v>
      </c>
      <c r="P18" s="76">
        <f>SUM(BK18:BN18)</f>
        <v>0</v>
      </c>
      <c r="Q18" s="76">
        <f>SUM(BO18:BR18)</f>
        <v>0</v>
      </c>
      <c r="R18" s="46"/>
      <c r="S18" s="80">
        <v>0</v>
      </c>
      <c r="T18" s="80">
        <v>0</v>
      </c>
      <c r="U18" s="80">
        <v>0</v>
      </c>
      <c r="V18" s="80">
        <v>0</v>
      </c>
      <c r="W18" s="80">
        <v>0</v>
      </c>
      <c r="X18" s="80">
        <v>0</v>
      </c>
      <c r="Y18" s="80">
        <v>0</v>
      </c>
      <c r="Z18" s="80">
        <v>0</v>
      </c>
      <c r="AA18" s="80">
        <v>0</v>
      </c>
      <c r="AB18" s="80">
        <v>0</v>
      </c>
      <c r="AC18" s="80">
        <v>0</v>
      </c>
      <c r="AD18" s="80">
        <v>0</v>
      </c>
      <c r="AE18" s="80">
        <v>0</v>
      </c>
      <c r="AF18" s="80">
        <v>0</v>
      </c>
      <c r="AG18" s="80">
        <v>0</v>
      </c>
      <c r="AH18" s="80">
        <v>0</v>
      </c>
      <c r="AI18" s="80">
        <v>0</v>
      </c>
      <c r="AJ18" s="80">
        <v>0</v>
      </c>
      <c r="AK18" s="80">
        <v>0</v>
      </c>
      <c r="AL18" s="80">
        <v>0</v>
      </c>
      <c r="AM18" s="80">
        <v>0</v>
      </c>
      <c r="AN18" s="80">
        <v>4.2889999999999997</v>
      </c>
      <c r="AO18" s="142">
        <v>0</v>
      </c>
      <c r="AP18" s="142">
        <v>0</v>
      </c>
      <c r="AQ18" s="142">
        <v>0</v>
      </c>
      <c r="AR18" s="142">
        <v>0</v>
      </c>
      <c r="AS18" s="142">
        <v>0</v>
      </c>
      <c r="AT18" s="142">
        <v>0</v>
      </c>
      <c r="AU18" s="142">
        <v>0</v>
      </c>
      <c r="AV18" s="142">
        <v>0</v>
      </c>
      <c r="AW18" s="142">
        <v>0</v>
      </c>
      <c r="AX18" s="142">
        <v>0</v>
      </c>
      <c r="AY18" s="142">
        <v>0</v>
      </c>
      <c r="AZ18" s="142">
        <v>0</v>
      </c>
      <c r="BA18" s="153">
        <v>0</v>
      </c>
      <c r="BB18" s="172"/>
      <c r="BC18" s="157"/>
      <c r="BD18" s="157"/>
      <c r="BE18" s="157"/>
      <c r="BF18" s="157"/>
      <c r="BG18" s="157"/>
      <c r="BH18" s="157"/>
      <c r="BI18" s="157"/>
      <c r="BJ18" s="157"/>
      <c r="BK18" s="157"/>
      <c r="BL18" s="157"/>
      <c r="BM18" s="157"/>
      <c r="BN18" s="157"/>
      <c r="BO18" s="157"/>
      <c r="BP18" s="157"/>
      <c r="BQ18" s="157"/>
      <c r="BR18" s="157"/>
    </row>
    <row r="19" spans="1:70" x14ac:dyDescent="0.2">
      <c r="A19" s="275" t="s">
        <v>306</v>
      </c>
      <c r="B19" s="9"/>
      <c r="C19" s="142">
        <v>0</v>
      </c>
      <c r="D19" s="142">
        <v>0</v>
      </c>
      <c r="E19" s="142">
        <v>0</v>
      </c>
      <c r="F19" s="142">
        <v>0</v>
      </c>
      <c r="G19" s="142">
        <v>0</v>
      </c>
      <c r="H19" s="142">
        <v>0</v>
      </c>
      <c r="I19" s="142">
        <v>0</v>
      </c>
      <c r="J19" s="142">
        <v>0.878</v>
      </c>
      <c r="K19" s="142">
        <v>0</v>
      </c>
      <c r="L19" s="142">
        <v>0</v>
      </c>
      <c r="M19" s="77">
        <f>SUM(AY19:BB19)</f>
        <v>0</v>
      </c>
      <c r="N19" s="76">
        <f>SUM(BC19:BF19)</f>
        <v>0</v>
      </c>
      <c r="O19" s="76">
        <f>SUM(BG19:BJ19)</f>
        <v>0</v>
      </c>
      <c r="P19" s="76">
        <f>SUM(BK19:BN19)</f>
        <v>0</v>
      </c>
      <c r="Q19" s="76">
        <f>SUM(BO19:BR19)</f>
        <v>0</v>
      </c>
      <c r="R19" s="46"/>
      <c r="S19" s="80">
        <v>0</v>
      </c>
      <c r="T19" s="80">
        <v>0</v>
      </c>
      <c r="U19" s="80">
        <v>0</v>
      </c>
      <c r="V19" s="80">
        <v>0</v>
      </c>
      <c r="W19" s="80">
        <v>0</v>
      </c>
      <c r="X19" s="80">
        <v>0</v>
      </c>
      <c r="Y19" s="80">
        <v>0</v>
      </c>
      <c r="Z19" s="80">
        <v>0</v>
      </c>
      <c r="AA19" s="80">
        <v>0</v>
      </c>
      <c r="AB19" s="80">
        <v>0</v>
      </c>
      <c r="AC19" s="80">
        <v>0</v>
      </c>
      <c r="AD19" s="80">
        <v>0</v>
      </c>
      <c r="AE19" s="80">
        <v>0</v>
      </c>
      <c r="AF19" s="80">
        <v>0</v>
      </c>
      <c r="AG19" s="80">
        <v>0</v>
      </c>
      <c r="AH19" s="80">
        <v>0</v>
      </c>
      <c r="AI19" s="80">
        <v>0</v>
      </c>
      <c r="AJ19" s="80">
        <v>0</v>
      </c>
      <c r="AK19" s="80">
        <v>0</v>
      </c>
      <c r="AL19" s="80">
        <v>0</v>
      </c>
      <c r="AM19" s="80">
        <v>0</v>
      </c>
      <c r="AN19" s="80">
        <v>0.878</v>
      </c>
      <c r="AO19" s="142">
        <v>0</v>
      </c>
      <c r="AP19" s="142">
        <v>0</v>
      </c>
      <c r="AQ19" s="142">
        <v>0</v>
      </c>
      <c r="AR19" s="142">
        <v>0</v>
      </c>
      <c r="AS19" s="142">
        <v>0</v>
      </c>
      <c r="AT19" s="142">
        <v>0</v>
      </c>
      <c r="AU19" s="142">
        <v>0</v>
      </c>
      <c r="AV19" s="142">
        <v>0</v>
      </c>
      <c r="AW19" s="142">
        <v>0</v>
      </c>
      <c r="AX19" s="142">
        <v>0</v>
      </c>
      <c r="AY19" s="142">
        <v>0</v>
      </c>
      <c r="AZ19" s="142">
        <v>0</v>
      </c>
      <c r="BA19" s="153">
        <v>0</v>
      </c>
      <c r="BB19" s="172"/>
      <c r="BC19" s="157"/>
      <c r="BD19" s="157"/>
      <c r="BE19" s="157"/>
      <c r="BF19" s="157"/>
      <c r="BG19" s="157"/>
      <c r="BH19" s="157"/>
      <c r="BI19" s="157"/>
      <c r="BJ19" s="157"/>
      <c r="BK19" s="157"/>
      <c r="BL19" s="157"/>
      <c r="BM19" s="157"/>
      <c r="BN19" s="157"/>
      <c r="BO19" s="157"/>
      <c r="BP19" s="157"/>
      <c r="BQ19" s="157"/>
      <c r="BR19" s="157"/>
    </row>
    <row r="20" spans="1:70" x14ac:dyDescent="0.2">
      <c r="A20" s="275" t="s">
        <v>302</v>
      </c>
      <c r="B20" s="9"/>
      <c r="C20" s="142">
        <v>0</v>
      </c>
      <c r="D20" s="142">
        <v>0</v>
      </c>
      <c r="E20" s="142">
        <v>0</v>
      </c>
      <c r="F20" s="142">
        <v>0</v>
      </c>
      <c r="G20" s="142">
        <v>0</v>
      </c>
      <c r="H20" s="142">
        <v>29.391999999999999</v>
      </c>
      <c r="I20" s="142">
        <v>2.6789999999999998</v>
      </c>
      <c r="J20" s="142">
        <v>0</v>
      </c>
      <c r="K20" s="142">
        <v>0</v>
      </c>
      <c r="L20" s="142">
        <v>0.40799999999999997</v>
      </c>
      <c r="M20" s="77">
        <f>SUM(AY20:BB20)</f>
        <v>0.81699999999999995</v>
      </c>
      <c r="N20" s="76">
        <f>SUM(BC20:BF20)</f>
        <v>0</v>
      </c>
      <c r="O20" s="76">
        <f>SUM(BG20:BJ20)</f>
        <v>0</v>
      </c>
      <c r="P20" s="76">
        <f>SUM(BK20:BN20)</f>
        <v>0</v>
      </c>
      <c r="Q20" s="76">
        <f>SUM(BO20:BR20)</f>
        <v>0</v>
      </c>
      <c r="R20" s="46"/>
      <c r="S20" s="80">
        <v>0</v>
      </c>
      <c r="T20" s="80">
        <v>0</v>
      </c>
      <c r="U20" s="80">
        <v>0</v>
      </c>
      <c r="V20" s="80">
        <v>0</v>
      </c>
      <c r="W20" s="80">
        <v>0</v>
      </c>
      <c r="X20" s="80">
        <v>0</v>
      </c>
      <c r="Y20" s="80">
        <v>0</v>
      </c>
      <c r="Z20" s="80">
        <v>0</v>
      </c>
      <c r="AA20" s="80">
        <v>0</v>
      </c>
      <c r="AB20" s="80">
        <v>0</v>
      </c>
      <c r="AC20" s="80">
        <v>0</v>
      </c>
      <c r="AD20" s="80">
        <v>0</v>
      </c>
      <c r="AE20" s="80">
        <v>0</v>
      </c>
      <c r="AF20" s="80">
        <v>0</v>
      </c>
      <c r="AG20" s="142">
        <v>7.5659999999999998</v>
      </c>
      <c r="AH20" s="142">
        <v>21.824999999999999</v>
      </c>
      <c r="AI20" s="80">
        <v>1.9930000000000001</v>
      </c>
      <c r="AJ20" s="80">
        <v>0.42499999999999999</v>
      </c>
      <c r="AK20" s="142">
        <v>0.251</v>
      </c>
      <c r="AL20" s="80">
        <v>0</v>
      </c>
      <c r="AM20" s="80">
        <v>0</v>
      </c>
      <c r="AN20" s="142">
        <v>0</v>
      </c>
      <c r="AO20" s="142">
        <v>0</v>
      </c>
      <c r="AP20" s="142">
        <v>0</v>
      </c>
      <c r="AQ20" s="142">
        <v>0</v>
      </c>
      <c r="AR20" s="142">
        <v>0</v>
      </c>
      <c r="AS20" s="142">
        <v>0</v>
      </c>
      <c r="AT20" s="142">
        <v>0</v>
      </c>
      <c r="AU20" s="142">
        <v>0</v>
      </c>
      <c r="AV20" s="142">
        <v>0</v>
      </c>
      <c r="AW20" s="142">
        <v>0</v>
      </c>
      <c r="AX20" s="142">
        <v>0.40799999999999997</v>
      </c>
      <c r="AY20" s="142">
        <v>0</v>
      </c>
      <c r="AZ20" s="142">
        <v>0.81699999999999995</v>
      </c>
      <c r="BA20" s="153">
        <v>0</v>
      </c>
      <c r="BB20" s="172"/>
      <c r="BC20" s="157"/>
      <c r="BD20" s="157"/>
      <c r="BE20" s="157"/>
      <c r="BF20" s="157"/>
      <c r="BG20" s="157"/>
      <c r="BH20" s="157"/>
      <c r="BI20" s="157"/>
      <c r="BJ20" s="157"/>
      <c r="BK20" s="157"/>
      <c r="BL20" s="157"/>
      <c r="BM20" s="157"/>
      <c r="BN20" s="157"/>
      <c r="BO20" s="157"/>
      <c r="BP20" s="157"/>
      <c r="BQ20" s="157"/>
      <c r="BR20" s="157"/>
    </row>
    <row r="21" spans="1:70" x14ac:dyDescent="0.2">
      <c r="A21" s="275" t="s">
        <v>315</v>
      </c>
      <c r="B21" s="9"/>
      <c r="C21" s="142">
        <v>0</v>
      </c>
      <c r="D21" s="142">
        <v>0</v>
      </c>
      <c r="E21" s="142">
        <v>0</v>
      </c>
      <c r="F21" s="142">
        <v>0</v>
      </c>
      <c r="G21" s="142">
        <v>0</v>
      </c>
      <c r="H21" s="142">
        <v>0</v>
      </c>
      <c r="I21" s="142">
        <v>-14.44</v>
      </c>
      <c r="J21" s="142">
        <v>0</v>
      </c>
      <c r="K21" s="142">
        <v>0</v>
      </c>
      <c r="L21" s="142">
        <v>0</v>
      </c>
      <c r="M21" s="77">
        <f>SUM(AY21:BB21)</f>
        <v>0</v>
      </c>
      <c r="N21" s="76">
        <f>SUM(BC21:BF21)</f>
        <v>0</v>
      </c>
      <c r="O21" s="76">
        <f>SUM(BG21:BJ21)</f>
        <v>0</v>
      </c>
      <c r="P21" s="76">
        <f>SUM(BK21:BN21)</f>
        <v>0</v>
      </c>
      <c r="Q21" s="76">
        <f>SUM(BO21:BR21)</f>
        <v>0</v>
      </c>
      <c r="R21" s="46"/>
      <c r="S21" s="80">
        <v>0</v>
      </c>
      <c r="T21" s="80">
        <v>0</v>
      </c>
      <c r="U21" s="80">
        <v>0</v>
      </c>
      <c r="V21" s="80">
        <v>0</v>
      </c>
      <c r="W21" s="80">
        <v>0</v>
      </c>
      <c r="X21" s="80">
        <v>0</v>
      </c>
      <c r="Y21" s="80">
        <v>0</v>
      </c>
      <c r="Z21" s="80">
        <v>0</v>
      </c>
      <c r="AA21" s="80">
        <v>0</v>
      </c>
      <c r="AB21" s="80">
        <v>0</v>
      </c>
      <c r="AC21" s="80">
        <v>0</v>
      </c>
      <c r="AD21" s="80">
        <v>0</v>
      </c>
      <c r="AE21" s="80">
        <v>0</v>
      </c>
      <c r="AF21" s="80">
        <v>0</v>
      </c>
      <c r="AG21" s="142">
        <v>0</v>
      </c>
      <c r="AH21" s="142">
        <v>0</v>
      </c>
      <c r="AI21" s="80">
        <v>-14.44</v>
      </c>
      <c r="AJ21" s="80">
        <v>0</v>
      </c>
      <c r="AK21" s="142">
        <v>0</v>
      </c>
      <c r="AL21" s="80">
        <v>0</v>
      </c>
      <c r="AM21" s="80">
        <v>0</v>
      </c>
      <c r="AN21" s="142">
        <v>0</v>
      </c>
      <c r="AO21" s="142">
        <v>0</v>
      </c>
      <c r="AP21" s="142">
        <v>0</v>
      </c>
      <c r="AQ21" s="142">
        <v>0</v>
      </c>
      <c r="AR21" s="142">
        <v>0</v>
      </c>
      <c r="AS21" s="142">
        <v>0</v>
      </c>
      <c r="AT21" s="142">
        <v>0</v>
      </c>
      <c r="AU21" s="142">
        <v>0</v>
      </c>
      <c r="AV21" s="142">
        <v>0</v>
      </c>
      <c r="AW21" s="142">
        <v>0</v>
      </c>
      <c r="AX21" s="142">
        <v>0</v>
      </c>
      <c r="AY21" s="142">
        <v>0</v>
      </c>
      <c r="AZ21" s="142">
        <v>0</v>
      </c>
      <c r="BA21" s="153">
        <v>0</v>
      </c>
      <c r="BB21" s="172"/>
      <c r="BC21" s="157"/>
      <c r="BD21" s="157"/>
      <c r="BE21" s="157"/>
      <c r="BF21" s="157"/>
      <c r="BG21" s="157"/>
      <c r="BH21" s="157"/>
      <c r="BI21" s="157"/>
      <c r="BJ21" s="157"/>
      <c r="BK21" s="157"/>
      <c r="BL21" s="157"/>
      <c r="BM21" s="157"/>
      <c r="BN21" s="157"/>
      <c r="BO21" s="157"/>
      <c r="BP21" s="157"/>
      <c r="BQ21" s="157"/>
      <c r="BR21" s="157"/>
    </row>
    <row r="22" spans="1:70" x14ac:dyDescent="0.2">
      <c r="A22" s="273" t="s">
        <v>300</v>
      </c>
      <c r="B22" s="29"/>
      <c r="C22" s="143">
        <v>0</v>
      </c>
      <c r="D22" s="143">
        <v>0</v>
      </c>
      <c r="E22" s="143">
        <v>0</v>
      </c>
      <c r="F22" s="143">
        <v>0</v>
      </c>
      <c r="G22" s="143">
        <v>0</v>
      </c>
      <c r="H22" s="143">
        <v>0</v>
      </c>
      <c r="I22" s="143">
        <v>0</v>
      </c>
      <c r="J22" s="143">
        <v>0</v>
      </c>
      <c r="K22" s="143">
        <v>0</v>
      </c>
      <c r="L22" s="143">
        <v>-0.55000000000000004</v>
      </c>
      <c r="M22" s="83">
        <f>SUM(AY22:BB22)</f>
        <v>0</v>
      </c>
      <c r="N22" s="84">
        <f>SUM(BC22:BF22)</f>
        <v>0</v>
      </c>
      <c r="O22" s="84">
        <f>SUM(BG22:BJ22)</f>
        <v>0</v>
      </c>
      <c r="P22" s="84">
        <f>SUM(BK22:BN22)</f>
        <v>0</v>
      </c>
      <c r="Q22" s="84">
        <f>SUM(BO22:BR22)</f>
        <v>0</v>
      </c>
      <c r="R22" s="61"/>
      <c r="S22" s="87">
        <v>0</v>
      </c>
      <c r="T22" s="87">
        <v>0</v>
      </c>
      <c r="U22" s="87">
        <v>0</v>
      </c>
      <c r="V22" s="87">
        <v>0</v>
      </c>
      <c r="W22" s="87">
        <v>0</v>
      </c>
      <c r="X22" s="87">
        <v>0</v>
      </c>
      <c r="Y22" s="87">
        <v>0</v>
      </c>
      <c r="Z22" s="87">
        <v>0</v>
      </c>
      <c r="AA22" s="87">
        <v>0</v>
      </c>
      <c r="AB22" s="87">
        <v>0</v>
      </c>
      <c r="AC22" s="87">
        <v>0</v>
      </c>
      <c r="AD22" s="87">
        <v>0</v>
      </c>
      <c r="AE22" s="87">
        <v>0</v>
      </c>
      <c r="AF22" s="87">
        <v>0</v>
      </c>
      <c r="AG22" s="143">
        <v>0</v>
      </c>
      <c r="AH22" s="143">
        <v>0</v>
      </c>
      <c r="AI22" s="87">
        <v>0</v>
      </c>
      <c r="AJ22" s="87">
        <v>0</v>
      </c>
      <c r="AK22" s="87">
        <v>0</v>
      </c>
      <c r="AL22" s="143">
        <v>0.01</v>
      </c>
      <c r="AM22" s="87">
        <v>0</v>
      </c>
      <c r="AN22" s="87">
        <v>0</v>
      </c>
      <c r="AO22" s="87">
        <v>0</v>
      </c>
      <c r="AP22" s="143">
        <v>0</v>
      </c>
      <c r="AQ22" s="143">
        <v>0</v>
      </c>
      <c r="AR22" s="143">
        <v>0</v>
      </c>
      <c r="AS22" s="143">
        <v>0</v>
      </c>
      <c r="AT22" s="143">
        <v>0</v>
      </c>
      <c r="AU22" s="143">
        <v>0</v>
      </c>
      <c r="AV22" s="143">
        <v>0</v>
      </c>
      <c r="AW22" s="143">
        <v>-0.55000000000000004</v>
      </c>
      <c r="AX22" s="143">
        <v>0</v>
      </c>
      <c r="AY22" s="143">
        <v>0</v>
      </c>
      <c r="AZ22" s="143">
        <v>0</v>
      </c>
      <c r="BA22" s="213">
        <v>0</v>
      </c>
      <c r="BB22" s="253"/>
      <c r="BC22" s="158"/>
      <c r="BD22" s="158"/>
      <c r="BE22" s="158"/>
      <c r="BF22" s="158"/>
      <c r="BG22" s="158"/>
      <c r="BH22" s="158"/>
      <c r="BI22" s="158"/>
      <c r="BJ22" s="158"/>
      <c r="BK22" s="158"/>
      <c r="BL22" s="158"/>
      <c r="BM22" s="158"/>
      <c r="BN22" s="158"/>
      <c r="BO22" s="158"/>
      <c r="BP22" s="158"/>
      <c r="BQ22" s="158"/>
      <c r="BR22" s="158"/>
    </row>
    <row r="23" spans="1:70" x14ac:dyDescent="0.2">
      <c r="A23" s="276" t="s">
        <v>219</v>
      </c>
      <c r="B23" s="214" t="s">
        <v>331</v>
      </c>
      <c r="C23" s="144">
        <f>SUM(C11:C22)</f>
        <v>98.444000000000017</v>
      </c>
      <c r="D23" s="145">
        <v>76.760000000000005</v>
      </c>
      <c r="E23" s="145">
        <v>61.749000000000002</v>
      </c>
      <c r="F23" s="144">
        <f>SUM(F11:F22)</f>
        <v>79.371000000000009</v>
      </c>
      <c r="G23" s="145">
        <v>71.165999999999997</v>
      </c>
      <c r="H23" s="144">
        <f>SUM(H11:H22)</f>
        <v>112.904</v>
      </c>
      <c r="I23" s="145">
        <v>200.43899999999999</v>
      </c>
      <c r="J23" s="145">
        <v>198.01400000000001</v>
      </c>
      <c r="K23" s="145">
        <v>212.83600000000001</v>
      </c>
      <c r="L23" s="145">
        <v>230.38800000000001</v>
      </c>
      <c r="M23" s="86">
        <f>SUM(AY23:BB23)</f>
        <v>249.3558269496553</v>
      </c>
      <c r="N23" s="72">
        <f>SUM(BC23:BF23)</f>
        <v>267.37991432775578</v>
      </c>
      <c r="O23" s="72">
        <f>SUM(BG23:BJ23)</f>
        <v>322.90857747521392</v>
      </c>
      <c r="P23" s="72">
        <f>SUM(BK23:BN23)</f>
        <v>392.23757008447359</v>
      </c>
      <c r="Q23" s="72">
        <f>SUM(BO23:BR23)</f>
        <v>484.50694362137097</v>
      </c>
      <c r="R23" s="46"/>
      <c r="S23" s="145">
        <v>14.148</v>
      </c>
      <c r="T23" s="145">
        <v>14.287000000000001</v>
      </c>
      <c r="U23" s="145">
        <v>13.308</v>
      </c>
      <c r="V23" s="145">
        <v>20.006</v>
      </c>
      <c r="W23" s="145">
        <v>20.605</v>
      </c>
      <c r="X23" s="145">
        <v>21.395</v>
      </c>
      <c r="Y23" s="145">
        <v>20.83</v>
      </c>
      <c r="Z23" s="144">
        <f>SUM(Z11:Z22)</f>
        <v>16.541000000000004</v>
      </c>
      <c r="AA23" s="145">
        <v>17.91</v>
      </c>
      <c r="AB23" s="145">
        <v>19.146999999999998</v>
      </c>
      <c r="AC23" s="145">
        <v>16.994</v>
      </c>
      <c r="AD23" s="145">
        <v>17.114999999999998</v>
      </c>
      <c r="AE23" s="144">
        <f>SUM(AE11:AE22)</f>
        <v>23.085999999999999</v>
      </c>
      <c r="AF23" s="144">
        <f>SUM(AF11:AF22)</f>
        <v>21.957000000000001</v>
      </c>
      <c r="AG23" s="144">
        <f>SUM(AG11:AG22)</f>
        <v>29.189</v>
      </c>
      <c r="AH23" s="144">
        <f>SUM(AH11:AH22)</f>
        <v>35.542999999999992</v>
      </c>
      <c r="AI23" s="145">
        <v>50.622999999999998</v>
      </c>
      <c r="AJ23" s="145">
        <v>52.399000000000001</v>
      </c>
      <c r="AK23" s="145">
        <v>51.470999999999997</v>
      </c>
      <c r="AL23" s="145">
        <v>45.945</v>
      </c>
      <c r="AM23" s="145">
        <v>45.734999999999999</v>
      </c>
      <c r="AN23" s="145">
        <v>51.246000000000002</v>
      </c>
      <c r="AO23" s="145">
        <v>51.603999999999999</v>
      </c>
      <c r="AP23" s="145">
        <v>49.435000000000002</v>
      </c>
      <c r="AQ23" s="145">
        <v>54.170999999999999</v>
      </c>
      <c r="AR23" s="145">
        <v>54.103000000000002</v>
      </c>
      <c r="AS23" s="145">
        <v>53.237000000000002</v>
      </c>
      <c r="AT23" s="145">
        <v>51.326999999999998</v>
      </c>
      <c r="AU23" s="145">
        <v>58.026000000000003</v>
      </c>
      <c r="AV23" s="145">
        <v>59.500999999999998</v>
      </c>
      <c r="AW23" s="145">
        <v>58.284999999999997</v>
      </c>
      <c r="AX23" s="145">
        <v>54.575000000000003</v>
      </c>
      <c r="AY23" s="145">
        <v>61.31</v>
      </c>
      <c r="AZ23" s="145">
        <v>64.069999999999993</v>
      </c>
      <c r="BA23" s="155">
        <v>64.665999999999997</v>
      </c>
      <c r="BB23" s="257">
        <f>SUM(BB11:BB22)</f>
        <v>59.309826949655303</v>
      </c>
      <c r="BC23" s="144">
        <f>SUM(BC11:BC22)</f>
        <v>62.269464939106811</v>
      </c>
      <c r="BD23" s="144">
        <f>SUM(BD11:BD22)</f>
        <v>65.723965626715028</v>
      </c>
      <c r="BE23" s="144">
        <f>SUM(BE11:BE22)</f>
        <v>68.911985279755868</v>
      </c>
      <c r="BF23" s="144">
        <f>SUM(BF11:BF22)</f>
        <v>70.474498482178106</v>
      </c>
      <c r="BG23" s="144">
        <f>SUM(BG11:BG22)</f>
        <v>74.542177966375561</v>
      </c>
      <c r="BH23" s="144">
        <f>SUM(BH11:BH22)</f>
        <v>80.007731855322803</v>
      </c>
      <c r="BI23" s="144">
        <f>SUM(BI11:BI22)</f>
        <v>83.382656810717478</v>
      </c>
      <c r="BJ23" s="144">
        <f>SUM(BJ11:BJ22)</f>
        <v>84.976010842798061</v>
      </c>
      <c r="BK23" s="144">
        <f>SUM(BK11:BK22)</f>
        <v>89.545923807775864</v>
      </c>
      <c r="BL23" s="144">
        <f>SUM(BL11:BL22)</f>
        <v>97.703407868412583</v>
      </c>
      <c r="BM23" s="144">
        <f>SUM(BM11:BM22)</f>
        <v>101.66900931754712</v>
      </c>
      <c r="BN23" s="144">
        <f>SUM(BN11:BN22)</f>
        <v>103.31922909073802</v>
      </c>
      <c r="BO23" s="144">
        <f>SUM(BO11:BO22)</f>
        <v>109.60521808791552</v>
      </c>
      <c r="BP23" s="144">
        <f>SUM(BP11:BP22)</f>
        <v>121.63599113259544</v>
      </c>
      <c r="BQ23" s="144">
        <f>SUM(BQ11:BQ22)</f>
        <v>126.02371222061228</v>
      </c>
      <c r="BR23" s="144">
        <f>SUM(BR11:BR22)</f>
        <v>127.24202218024774</v>
      </c>
    </row>
    <row r="24" spans="1:70" x14ac:dyDescent="0.2">
      <c r="A24" s="65" t="s">
        <v>7</v>
      </c>
      <c r="B24" s="13"/>
      <c r="C24" s="88">
        <f>SUM(C11:C22)-C23</f>
        <v>0</v>
      </c>
      <c r="D24" s="88">
        <f>SUM(D11:D22)-D23</f>
        <v>0</v>
      </c>
      <c r="E24" s="88">
        <f>SUM(E11:E22)-E23</f>
        <v>0</v>
      </c>
      <c r="F24" s="88">
        <f>SUM(F11:F22)-F23</f>
        <v>0</v>
      </c>
      <c r="G24" s="88">
        <f>SUM(G11:G22)-G23</f>
        <v>0</v>
      </c>
      <c r="H24" s="88">
        <f>SUM(H11:H22)-H23</f>
        <v>0</v>
      </c>
      <c r="I24" s="88">
        <f>SUM(I11:I22)-I23</f>
        <v>0</v>
      </c>
      <c r="J24" s="88">
        <f>SUM(J11:J22)-J23</f>
        <v>0</v>
      </c>
      <c r="K24" s="88">
        <f>SUM(K11:K22)-K23</f>
        <v>0</v>
      </c>
      <c r="L24" s="90">
        <f>SUM(L11:L22)-L23</f>
        <v>0</v>
      </c>
      <c r="M24" s="89">
        <f>SUM(M11:M22)-M23</f>
        <v>0</v>
      </c>
      <c r="N24" s="88">
        <f>SUM(N11:N22)-N23</f>
        <v>0</v>
      </c>
      <c r="O24" s="88">
        <f>SUM(O11:O22)-O23</f>
        <v>0</v>
      </c>
      <c r="P24" s="88">
        <f>SUM(P11:P22)-P23</f>
        <v>0</v>
      </c>
      <c r="Q24" s="88">
        <f>SUM(Q11:Q22)-Q23</f>
        <v>0</v>
      </c>
      <c r="R24" s="50"/>
      <c r="S24" s="88">
        <f>SUM(S11:S22)-S23</f>
        <v>0</v>
      </c>
      <c r="T24" s="88">
        <f>SUM(T11:T22)-T23</f>
        <v>0</v>
      </c>
      <c r="U24" s="88">
        <f>SUM(U11:U22)-U23</f>
        <v>1.9999999999988916E-3</v>
      </c>
      <c r="V24" s="88">
        <f>SUM(V11:V22)-V23</f>
        <v>-2.0000000000024443E-3</v>
      </c>
      <c r="W24" s="88">
        <f>SUM(W11:W22)-W23</f>
        <v>0</v>
      </c>
      <c r="X24" s="88">
        <f>SUM(X11:X22)-X23</f>
        <v>-1.0000000000012221E-3</v>
      </c>
      <c r="Y24" s="88">
        <f>SUM(Y11:Y22)-Y23</f>
        <v>1.0000000000012221E-3</v>
      </c>
      <c r="Z24" s="88">
        <f>SUM(Z11:Z22)-Z23</f>
        <v>0</v>
      </c>
      <c r="AA24" s="88">
        <f>SUM(AA11:AA22)-AA23</f>
        <v>0</v>
      </c>
      <c r="AB24" s="88">
        <f>SUM(AB11:AB22)-AB23</f>
        <v>0</v>
      </c>
      <c r="AC24" s="88">
        <f>SUM(AC11:AC22)-AC23</f>
        <v>0</v>
      </c>
      <c r="AD24" s="88">
        <f>SUM(AD11:AD22)-AD23</f>
        <v>0</v>
      </c>
      <c r="AE24" s="88">
        <f>SUM(AE11:AE22)-AE23</f>
        <v>0</v>
      </c>
      <c r="AF24" s="88">
        <f>SUM(AF11:AF22)-AF23</f>
        <v>0</v>
      </c>
      <c r="AG24" s="88">
        <f>SUM(AG11:AG22)-AG23</f>
        <v>0</v>
      </c>
      <c r="AH24" s="88">
        <f>SUM(AH11:AH22)-AH23</f>
        <v>0</v>
      </c>
      <c r="AI24" s="88">
        <f>SUM(AI11:AI22)-AI23</f>
        <v>0</v>
      </c>
      <c r="AJ24" s="88">
        <f>SUM(AJ11:AJ22)-AJ23</f>
        <v>0</v>
      </c>
      <c r="AK24" s="88">
        <f>SUM(AK11:AK22)-AK23</f>
        <v>1.9999999999953388E-3</v>
      </c>
      <c r="AL24" s="88">
        <f>SUM(AL11:AL22)-AL23</f>
        <v>0</v>
      </c>
      <c r="AM24" s="88">
        <f>SUM(AM11:AM22)-AM23</f>
        <v>0</v>
      </c>
      <c r="AN24" s="88">
        <f>SUM(AN11:AN22)-AN23</f>
        <v>0</v>
      </c>
      <c r="AO24" s="88">
        <f>SUM(AO11:AO22)-AO23</f>
        <v>0</v>
      </c>
      <c r="AP24" s="88">
        <f>SUM(AP11:AP22)-AP23</f>
        <v>-2.0000000000166551E-3</v>
      </c>
      <c r="AQ24" s="88">
        <f>SUM(AQ11:AQ22)-AQ23</f>
        <v>0</v>
      </c>
      <c r="AR24" s="88">
        <f>SUM(AR11:AR22)-AR23</f>
        <v>0</v>
      </c>
      <c r="AS24" s="88">
        <f>SUM(AS11:AS22)-AS23</f>
        <v>0</v>
      </c>
      <c r="AT24" s="88">
        <f>SUM(AT11:AT22)-AT23</f>
        <v>0</v>
      </c>
      <c r="AU24" s="88">
        <f>SUM(AU11:AU22)-AU23</f>
        <v>0</v>
      </c>
      <c r="AV24" s="88">
        <f>SUM(AV11:AV22)-AV23</f>
        <v>0</v>
      </c>
      <c r="AW24" s="88">
        <f>SUM(AW11:AW22)-AW23</f>
        <v>0</v>
      </c>
      <c r="AX24" s="88">
        <f>SUM(AX11:AX22)-AX23</f>
        <v>0</v>
      </c>
      <c r="AY24" s="88">
        <f>SUM(AY11:AY22)-AY23</f>
        <v>0</v>
      </c>
      <c r="AZ24" s="88">
        <f>SUM(AZ11:AZ22)-AZ23</f>
        <v>0</v>
      </c>
      <c r="BA24" s="90">
        <f>SUM(BA11:BA22)-BA23</f>
        <v>0</v>
      </c>
      <c r="BB24" s="89">
        <f>SUM(BB11:BB22)-BB23</f>
        <v>0</v>
      </c>
      <c r="BC24" s="88">
        <f>SUM(BC11:BC22)-BC23</f>
        <v>0</v>
      </c>
      <c r="BD24" s="88">
        <f>SUM(BD11:BD22)-BD23</f>
        <v>0</v>
      </c>
      <c r="BE24" s="88">
        <f>SUM(BE11:BE22)-BE23</f>
        <v>0</v>
      </c>
      <c r="BF24" s="88">
        <f>SUM(BF11:BF22)-BF23</f>
        <v>0</v>
      </c>
      <c r="BG24" s="88">
        <f>SUM(BG11:BG22)-BG23</f>
        <v>0</v>
      </c>
      <c r="BH24" s="88">
        <f>SUM(BH11:BH22)-BH23</f>
        <v>0</v>
      </c>
      <c r="BI24" s="88">
        <f>SUM(BI11:BI22)-BI23</f>
        <v>0</v>
      </c>
      <c r="BJ24" s="88">
        <f>SUM(BJ11:BJ22)-BJ23</f>
        <v>0</v>
      </c>
      <c r="BK24" s="88">
        <f>SUM(BK11:BK22)-BK23</f>
        <v>0</v>
      </c>
      <c r="BL24" s="88">
        <f>SUM(BL11:BL22)-BL23</f>
        <v>0</v>
      </c>
      <c r="BM24" s="88">
        <f>SUM(BM11:BM22)-BM23</f>
        <v>0</v>
      </c>
      <c r="BN24" s="88">
        <f>SUM(BN11:BN22)-BN23</f>
        <v>0</v>
      </c>
      <c r="BO24" s="88">
        <f>SUM(BO11:BO22)-BO23</f>
        <v>0</v>
      </c>
      <c r="BP24" s="88">
        <f>SUM(BP11:BP22)-BP23</f>
        <v>0</v>
      </c>
      <c r="BQ24" s="88">
        <f>SUM(BQ11:BQ22)-BQ23</f>
        <v>0</v>
      </c>
      <c r="BR24" s="88">
        <f>SUM(BR11:BR22)-BR23</f>
        <v>0</v>
      </c>
    </row>
    <row r="25" spans="1:70" x14ac:dyDescent="0.2">
      <c r="A25" s="189" t="s">
        <v>80</v>
      </c>
      <c r="B25" s="11" t="s">
        <v>324</v>
      </c>
      <c r="C25" s="144">
        <f>IS!C4</f>
        <v>667.72</v>
      </c>
      <c r="D25" s="144">
        <f>IS!D4</f>
        <v>605.59</v>
      </c>
      <c r="E25" s="144">
        <f>IS!E4</f>
        <v>544.06299999999999</v>
      </c>
      <c r="F25" s="144">
        <f>IS!F4</f>
        <v>584.48599999999999</v>
      </c>
      <c r="G25" s="144">
        <f>IS!G4</f>
        <v>582.44399999999996</v>
      </c>
      <c r="H25" s="144">
        <f>IS!H4</f>
        <v>593.053</v>
      </c>
      <c r="I25" s="144">
        <f>IS!I4</f>
        <v>826.99900000000002</v>
      </c>
      <c r="J25" s="144">
        <f>IS!J4</f>
        <v>859.45600000000002</v>
      </c>
      <c r="K25" s="144">
        <f>IS!K4</f>
        <v>974.94799999999998</v>
      </c>
      <c r="L25" s="144">
        <f>IS!L4</f>
        <v>469.51499999999999</v>
      </c>
      <c r="M25" s="86">
        <f>IS!M4</f>
        <v>520.05026632025942</v>
      </c>
      <c r="N25" s="72">
        <f>IS!N4</f>
        <v>595.08215948616999</v>
      </c>
      <c r="O25" s="72">
        <f>IS!O4</f>
        <v>718.66704753675015</v>
      </c>
      <c r="P25" s="72">
        <f>IS!P4</f>
        <v>872.96602223963896</v>
      </c>
      <c r="Q25" s="72">
        <f>IS!Q4</f>
        <v>1078.3212307519229</v>
      </c>
      <c r="R25" s="52"/>
      <c r="S25" s="144">
        <f>IS!S4</f>
        <v>134.38900000000001</v>
      </c>
      <c r="T25" s="144">
        <f>IS!T4</f>
        <v>135.05199999999999</v>
      </c>
      <c r="U25" s="144">
        <f>IS!U4</f>
        <v>136.88800000000001</v>
      </c>
      <c r="V25" s="144">
        <f>IS!V4</f>
        <v>137.73399999999992</v>
      </c>
      <c r="W25" s="144">
        <f>IS!W4</f>
        <v>151.065</v>
      </c>
      <c r="X25" s="144">
        <f>IS!X4</f>
        <v>147.465</v>
      </c>
      <c r="Y25" s="144">
        <f>IS!Y4</f>
        <v>149.82400000000001</v>
      </c>
      <c r="Z25" s="144">
        <f>IS!Z4</f>
        <v>136.13200000000001</v>
      </c>
      <c r="AA25" s="144">
        <f>IS!AA4</f>
        <v>146.822</v>
      </c>
      <c r="AB25" s="144">
        <f>IS!AB4</f>
        <v>149.066</v>
      </c>
      <c r="AC25" s="144">
        <f>IS!AC4</f>
        <v>146.101</v>
      </c>
      <c r="AD25" s="144">
        <f>IS!AD4</f>
        <v>140.45499999999993</v>
      </c>
      <c r="AE25" s="144">
        <f>IS!AE4</f>
        <v>150.571</v>
      </c>
      <c r="AF25" s="144">
        <f>IS!AF4</f>
        <v>144.946</v>
      </c>
      <c r="AG25" s="144">
        <f>IS!AG4</f>
        <v>145.48099999999999</v>
      </c>
      <c r="AH25" s="144">
        <f>IS!AH4</f>
        <v>152.05499999999998</v>
      </c>
      <c r="AI25" s="144">
        <f>IS!AI4</f>
        <v>207.47300000000001</v>
      </c>
      <c r="AJ25" s="144">
        <f>IS!AJ4</f>
        <v>206.364</v>
      </c>
      <c r="AK25" s="144">
        <f>IS!AK4</f>
        <v>208.74600000000001</v>
      </c>
      <c r="AL25" s="144">
        <f>IS!AL4</f>
        <v>204.416</v>
      </c>
      <c r="AM25" s="144">
        <f>IS!AM4</f>
        <v>205.76900000000001</v>
      </c>
      <c r="AN25" s="144">
        <f>IS!AN4</f>
        <v>214</v>
      </c>
      <c r="AO25" s="144">
        <f>IS!AO4</f>
        <v>222.17699999999999</v>
      </c>
      <c r="AP25" s="144">
        <f>IS!AP4</f>
        <v>217.511</v>
      </c>
      <c r="AQ25" s="144">
        <f>IS!AQ4</f>
        <v>237.53700000000001</v>
      </c>
      <c r="AR25" s="144">
        <f>IS!AR4</f>
        <v>242.23</v>
      </c>
      <c r="AS25" s="144">
        <f>IS!AS4</f>
        <v>247.322</v>
      </c>
      <c r="AT25" s="144">
        <f>IS!AT4</f>
        <v>247.85900000000001</v>
      </c>
      <c r="AU25" s="144">
        <f>IS!AU4</f>
        <v>111.001</v>
      </c>
      <c r="AV25" s="144">
        <f>IS!AV4</f>
        <v>118.682</v>
      </c>
      <c r="AW25" s="144">
        <f>IS!AW4</f>
        <v>120.33</v>
      </c>
      <c r="AX25" s="144">
        <f>IS!AX4</f>
        <v>119.502</v>
      </c>
      <c r="AY25" s="144">
        <f>IS!AY4</f>
        <v>123.77500000000001</v>
      </c>
      <c r="AZ25" s="144">
        <f>IS!AZ4</f>
        <v>129.70599999999999</v>
      </c>
      <c r="BA25" s="175">
        <f>IS!BA4</f>
        <v>134.56899999999999</v>
      </c>
      <c r="BB25" s="257">
        <f>IS!BB4</f>
        <v>132.00026632025941</v>
      </c>
      <c r="BC25" s="144">
        <f>IS!BC4</f>
        <v>138.5872523715048</v>
      </c>
      <c r="BD25" s="144">
        <f>IS!BD4</f>
        <v>146.2756074758768</v>
      </c>
      <c r="BE25" s="144">
        <f>IS!BE4</f>
        <v>153.3708809723384</v>
      </c>
      <c r="BF25" s="144">
        <f>IS!BF4</f>
        <v>156.8484186664499</v>
      </c>
      <c r="BG25" s="144">
        <f>IS!BG4</f>
        <v>165.90146776192765</v>
      </c>
      <c r="BH25" s="144">
        <f>IS!BH4</f>
        <v>178.0656335677252</v>
      </c>
      <c r="BI25" s="144">
        <f>IS!BI4</f>
        <v>185.57688449923</v>
      </c>
      <c r="BJ25" s="144">
        <f>IS!BJ4</f>
        <v>189.12306170786738</v>
      </c>
      <c r="BK25" s="144">
        <f>IS!BK4</f>
        <v>199.29388430948319</v>
      </c>
      <c r="BL25" s="144">
        <f>IS!BL4</f>
        <v>217.44922422341253</v>
      </c>
      <c r="BM25" s="144">
        <f>IS!BM4</f>
        <v>226.27508790111472</v>
      </c>
      <c r="BN25" s="144">
        <f>IS!BN4</f>
        <v>229.94782580562858</v>
      </c>
      <c r="BO25" s="144">
        <f>IS!BO4</f>
        <v>243.93795635208892</v>
      </c>
      <c r="BP25" s="144">
        <f>IS!BP4</f>
        <v>270.71370883041538</v>
      </c>
      <c r="BQ25" s="144">
        <f>IS!BQ4</f>
        <v>280.47904422161247</v>
      </c>
      <c r="BR25" s="144">
        <f>IS!BR4</f>
        <v>283.19052134780634</v>
      </c>
    </row>
    <row r="26" spans="1:70" x14ac:dyDescent="0.2">
      <c r="A26" s="161" t="s">
        <v>4</v>
      </c>
      <c r="B26" s="12"/>
      <c r="C26" s="163"/>
      <c r="D26" s="163">
        <f>D25/C25-1</f>
        <v>-9.304798418498772E-2</v>
      </c>
      <c r="E26" s="163">
        <f>E25/D25-1</f>
        <v>-0.10159844118958383</v>
      </c>
      <c r="F26" s="163">
        <f>F25/E25-1</f>
        <v>7.429838088603713E-2</v>
      </c>
      <c r="G26" s="163">
        <f>G25/F25-1</f>
        <v>-3.4936679407205906E-3</v>
      </c>
      <c r="H26" s="163">
        <f>H25/G25-1</f>
        <v>1.8214626642218068E-2</v>
      </c>
      <c r="I26" s="163">
        <f>I25/H25-1</f>
        <v>0.39447739072224586</v>
      </c>
      <c r="J26" s="163">
        <f>J25/I25-1</f>
        <v>3.924672218467018E-2</v>
      </c>
      <c r="K26" s="163">
        <f>K25/J25-1</f>
        <v>0.13437802516940933</v>
      </c>
      <c r="L26" s="173">
        <f>L25/K25-1</f>
        <v>-0.5184204696045327</v>
      </c>
      <c r="M26" s="174">
        <f>M25/L25-1</f>
        <v>0.10763291123874508</v>
      </c>
      <c r="N26" s="163">
        <f>N25/M25-1</f>
        <v>0.14427815544988909</v>
      </c>
      <c r="O26" s="163">
        <f>O25/N25-1</f>
        <v>0.20767701750173595</v>
      </c>
      <c r="P26" s="163">
        <f>P25/O25-1</f>
        <v>0.21470161353821982</v>
      </c>
      <c r="Q26" s="163">
        <f>Q25/P25-1</f>
        <v>0.23523848956392901</v>
      </c>
      <c r="R26" s="300"/>
      <c r="S26" s="91"/>
      <c r="T26" s="91"/>
      <c r="U26" s="91"/>
      <c r="V26" s="91"/>
      <c r="W26" s="91">
        <f>W25/S25-1</f>
        <v>0.12408753692638519</v>
      </c>
      <c r="X26" s="91">
        <f>X25/T25-1</f>
        <v>9.1912744720552109E-2</v>
      </c>
      <c r="Y26" s="91">
        <f>Y25/U25-1</f>
        <v>9.4500613640348341E-2</v>
      </c>
      <c r="Z26" s="91">
        <f>Z25/V25-1</f>
        <v>-1.1631115047845308E-2</v>
      </c>
      <c r="AA26" s="91">
        <f>AA25/W25-1</f>
        <v>-2.8087247211465272E-2</v>
      </c>
      <c r="AB26" s="91">
        <f>AB25/X25-1</f>
        <v>1.0856813481165073E-2</v>
      </c>
      <c r="AC26" s="91">
        <f>AC25/Y25-1</f>
        <v>-2.4849156343443091E-2</v>
      </c>
      <c r="AD26" s="91">
        <f>AD25/Z25-1</f>
        <v>3.1755942761436895E-2</v>
      </c>
      <c r="AE26" s="91">
        <f>AE25/AA25-1</f>
        <v>2.5534320469684291E-2</v>
      </c>
      <c r="AF26" s="91">
        <f>AF25/AB25-1</f>
        <v>-2.7638764037406283E-2</v>
      </c>
      <c r="AG26" s="91">
        <f>AG25/AC25-1</f>
        <v>-4.243639673924271E-3</v>
      </c>
      <c r="AH26" s="91">
        <f>AH25/AD25-1</f>
        <v>8.2588729486312795E-2</v>
      </c>
      <c r="AI26" s="91">
        <f>AI25/AE25-1</f>
        <v>0.3779080965126087</v>
      </c>
      <c r="AJ26" s="91">
        <f>AJ25/AF25-1</f>
        <v>0.42373021677038358</v>
      </c>
      <c r="AK26" s="91">
        <f>AK25/AG25-1</f>
        <v>0.43486778342189036</v>
      </c>
      <c r="AL26" s="91">
        <f>AL25/AH25-1</f>
        <v>0.34435566078063884</v>
      </c>
      <c r="AM26" s="91">
        <f>AM25/AI25-1</f>
        <v>-8.2131168874987059E-3</v>
      </c>
      <c r="AN26" s="91">
        <f>AN25/AJ25-1</f>
        <v>3.7002577969025507E-2</v>
      </c>
      <c r="AO26" s="91">
        <f>AO25/AK25-1</f>
        <v>6.4341352648673356E-2</v>
      </c>
      <c r="AP26" s="91">
        <f>AP25/AL25-1</f>
        <v>6.4060543206011289E-2</v>
      </c>
      <c r="AQ26" s="91">
        <f>AQ25/AM25-1</f>
        <v>0.15438671520005443</v>
      </c>
      <c r="AR26" s="91">
        <f>AR25/AN25-1</f>
        <v>0.13191588785046715</v>
      </c>
      <c r="AS26" s="91">
        <f>AS25/AO25-1</f>
        <v>0.11317553122060353</v>
      </c>
      <c r="AT26" s="91">
        <f>AT25/AP25-1</f>
        <v>0.1395239780976596</v>
      </c>
      <c r="AU26" s="91">
        <f>AU25/AQ25-1</f>
        <v>-0.53270016881580551</v>
      </c>
      <c r="AV26" s="91">
        <f>AV25/AR25-1</f>
        <v>-0.51004417289353099</v>
      </c>
      <c r="AW26" s="91">
        <f>AW25/AS25-1</f>
        <v>-0.51346827213106794</v>
      </c>
      <c r="AX26" s="91">
        <f>AX25/AT25-1</f>
        <v>-0.51786297854828756</v>
      </c>
      <c r="AY26" s="91">
        <f>AY25/AU25-1</f>
        <v>0.11508004432392505</v>
      </c>
      <c r="AZ26" s="91">
        <f>AZ25/AV25-1</f>
        <v>9.28868741679445E-2</v>
      </c>
      <c r="BA26" s="93">
        <f>BA25/AW25-1</f>
        <v>0.11833291780935751</v>
      </c>
      <c r="BB26" s="92">
        <f>BB25/AX25-1</f>
        <v>0.10458625228246743</v>
      </c>
      <c r="BC26" s="91">
        <f>BC25/AY25-1</f>
        <v>0.11967079274089909</v>
      </c>
      <c r="BD26" s="91">
        <f>BD25/AZ25-1</f>
        <v>0.12774742475966261</v>
      </c>
      <c r="BE26" s="91">
        <f>BE25/BA25-1</f>
        <v>0.1397192590592069</v>
      </c>
      <c r="BF26" s="91">
        <f>BF25/BB25-1</f>
        <v>0.18824319858494709</v>
      </c>
      <c r="BG26" s="91">
        <f>BG25/BC25-1</f>
        <v>0.19709038835117987</v>
      </c>
      <c r="BH26" s="91">
        <f>BH25/BD25-1</f>
        <v>0.21732964668829768</v>
      </c>
      <c r="BI26" s="91">
        <f>BI25/BE25-1</f>
        <v>0.20998773249988822</v>
      </c>
      <c r="BJ26" s="91">
        <f>BJ25/BF25-1</f>
        <v>0.20576964253654317</v>
      </c>
      <c r="BK26" s="91">
        <f>BK25/BG25-1</f>
        <v>0.20127860830908628</v>
      </c>
      <c r="BL26" s="91">
        <f>BL25/BH25-1</f>
        <v>0.22117457404102758</v>
      </c>
      <c r="BM26" s="91">
        <f>BM25/BI25-1</f>
        <v>0.21930642661507549</v>
      </c>
      <c r="BN26" s="91">
        <f>BN25/BJ25-1</f>
        <v>0.21586348977800474</v>
      </c>
      <c r="BO26" s="91">
        <f>BO25/BK25-1</f>
        <v>0.2240112495036628</v>
      </c>
      <c r="BP26" s="91">
        <f>BP25/BL25-1</f>
        <v>0.24495136644993343</v>
      </c>
      <c r="BQ26" s="91">
        <f>BQ25/BM25-1</f>
        <v>0.2395489349856561</v>
      </c>
      <c r="BR26" s="91">
        <f>BR25/BN25-1</f>
        <v>0.23154250472097537</v>
      </c>
    </row>
    <row r="27" spans="1:70" x14ac:dyDescent="0.2">
      <c r="A27" s="161" t="s">
        <v>5</v>
      </c>
      <c r="B27" s="12"/>
      <c r="C27" s="163"/>
      <c r="D27" s="163"/>
      <c r="E27" s="163"/>
      <c r="F27" s="163"/>
      <c r="G27" s="163"/>
      <c r="H27" s="163"/>
      <c r="I27" s="163"/>
      <c r="J27" s="163"/>
      <c r="K27" s="163"/>
      <c r="L27" s="173"/>
      <c r="M27" s="92"/>
      <c r="N27" s="91"/>
      <c r="O27" s="91"/>
      <c r="P27" s="91"/>
      <c r="Q27" s="91"/>
      <c r="R27" s="300"/>
      <c r="S27" s="91"/>
      <c r="T27" s="91">
        <f>T25/S25-1</f>
        <v>4.9334394928155501E-3</v>
      </c>
      <c r="U27" s="91">
        <f>U25/T25-1</f>
        <v>1.3594763498504303E-2</v>
      </c>
      <c r="V27" s="91">
        <f>V25/U25-1</f>
        <v>6.1802349365898124E-3</v>
      </c>
      <c r="W27" s="91">
        <f>W25/V25-1</f>
        <v>9.6788011674677765E-2</v>
      </c>
      <c r="X27" s="91">
        <f>X25/W25-1</f>
        <v>-2.3830801310694039E-2</v>
      </c>
      <c r="Y27" s="91">
        <f>Y25/X25-1</f>
        <v>1.5997016241142026E-2</v>
      </c>
      <c r="Z27" s="91">
        <f>Z25/Y25-1</f>
        <v>-9.1387227680478467E-2</v>
      </c>
      <c r="AA27" s="91">
        <f>AA25/Z25-1</f>
        <v>7.8526724061939834E-2</v>
      </c>
      <c r="AB27" s="91">
        <f>AB25/AA25-1</f>
        <v>1.5283813052539896E-2</v>
      </c>
      <c r="AC27" s="91">
        <f>AC25/AB25-1</f>
        <v>-1.9890518293910087E-2</v>
      </c>
      <c r="AD27" s="91">
        <f>AD25/AC25-1</f>
        <v>-3.86444993531877E-2</v>
      </c>
      <c r="AE27" s="91">
        <f>AE25/AD25-1</f>
        <v>7.2023067886512138E-2</v>
      </c>
      <c r="AF27" s="91">
        <f>AF25/AE25-1</f>
        <v>-3.7357791340962065E-2</v>
      </c>
      <c r="AG27" s="91">
        <f>AG25/AF25-1</f>
        <v>3.6910297628081068E-3</v>
      </c>
      <c r="AH27" s="91">
        <f>AH25/AG25-1</f>
        <v>4.518803142678407E-2</v>
      </c>
      <c r="AI27" s="91">
        <f>AI25/AH25-1</f>
        <v>0.36446022820689916</v>
      </c>
      <c r="AJ27" s="91">
        <f>AJ25/AI25-1</f>
        <v>-5.3452738428615421E-3</v>
      </c>
      <c r="AK27" s="91">
        <f>AK25/AJ25-1</f>
        <v>1.1542710937954226E-2</v>
      </c>
      <c r="AL27" s="91">
        <f>AL25/AK25-1</f>
        <v>-2.0742912439040806E-2</v>
      </c>
      <c r="AM27" s="91">
        <f>AM25/AL25-1</f>
        <v>6.6188556668753673E-3</v>
      </c>
      <c r="AN27" s="91">
        <f>AN25/AM25-1</f>
        <v>4.0001166356448126E-2</v>
      </c>
      <c r="AO27" s="91">
        <f>AO25/AN25-1</f>
        <v>3.8210280373831784E-2</v>
      </c>
      <c r="AP27" s="91">
        <f>AP25/AO25-1</f>
        <v>-2.1001273759210015E-2</v>
      </c>
      <c r="AQ27" s="91">
        <f>AQ25/AP25-1</f>
        <v>9.2068906859883004E-2</v>
      </c>
      <c r="AR27" s="91">
        <f>AR25/AQ25-1</f>
        <v>1.9756922079507522E-2</v>
      </c>
      <c r="AS27" s="91">
        <f>AS25/AR25-1</f>
        <v>2.1021343351360411E-2</v>
      </c>
      <c r="AT27" s="91">
        <f>AT25/AS25-1</f>
        <v>2.1712585212800839E-3</v>
      </c>
      <c r="AU27" s="91">
        <f>AU25/AT25-1</f>
        <v>-0.55216070427138009</v>
      </c>
      <c r="AV27" s="91">
        <f>AV25/AU25-1</f>
        <v>6.9197574796623362E-2</v>
      </c>
      <c r="AW27" s="91">
        <f>AW25/AV25-1</f>
        <v>1.3885846210882846E-2</v>
      </c>
      <c r="AX27" s="91">
        <f>AX25/AW25-1</f>
        <v>-6.8810770381451114E-3</v>
      </c>
      <c r="AY27" s="91">
        <f>AY25/AX25-1</f>
        <v>3.5756723736841245E-2</v>
      </c>
      <c r="AZ27" s="91">
        <f>AZ25/AY25-1</f>
        <v>4.7917592405574583E-2</v>
      </c>
      <c r="BA27" s="93">
        <f>BA25/AZ25-1</f>
        <v>3.7492483000015397E-2</v>
      </c>
      <c r="BB27" s="92">
        <f>BB25/BA25-1</f>
        <v>-1.9088599006759188E-2</v>
      </c>
      <c r="BC27" s="91">
        <f>BC25/BB25-1</f>
        <v>4.990130879936272E-2</v>
      </c>
      <c r="BD27" s="91">
        <f>BD25/BC25-1</f>
        <v>5.5476639970912789E-2</v>
      </c>
      <c r="BE27" s="91">
        <f>BE25/BD25-1</f>
        <v>4.8506197437134135E-2</v>
      </c>
      <c r="BF27" s="91">
        <f>BF25/BE25-1</f>
        <v>2.2674041330822847E-2</v>
      </c>
      <c r="BG27" s="91">
        <f>BG25/BF25-1</f>
        <v>5.7718459468372174E-2</v>
      </c>
      <c r="BH27" s="91">
        <f>BH25/BG25-1</f>
        <v>7.3321628614241074E-2</v>
      </c>
      <c r="BI27" s="91">
        <f>BI25/BH25-1</f>
        <v>4.2182485081535992E-2</v>
      </c>
      <c r="BJ27" s="91">
        <f>BJ25/BI25-1</f>
        <v>1.9108938153620469E-2</v>
      </c>
      <c r="BK27" s="91">
        <f>BK25/BJ25-1</f>
        <v>5.3778859699968207E-2</v>
      </c>
      <c r="BL27" s="91">
        <f>BL25/BK25-1</f>
        <v>9.1098329368381137E-2</v>
      </c>
      <c r="BM27" s="91">
        <f>BM25/BL25-1</f>
        <v>4.0588158956291753E-2</v>
      </c>
      <c r="BN27" s="91">
        <f>BN25/BM25-1</f>
        <v>1.6231295891127484E-2</v>
      </c>
      <c r="BO27" s="91">
        <f>BO25/BN25-1</f>
        <v>6.0840455861870035E-2</v>
      </c>
      <c r="BP27" s="91">
        <f>BP25/BO25-1</f>
        <v>0.10976460112537612</v>
      </c>
      <c r="BQ27" s="91">
        <f>BQ25/BP25-1</f>
        <v>3.6072555887128877E-2</v>
      </c>
      <c r="BR27" s="91">
        <f>BR25/BQ25-1</f>
        <v>9.6673073516733155E-3</v>
      </c>
    </row>
    <row r="28" spans="1:70" x14ac:dyDescent="0.2">
      <c r="A28" s="267"/>
      <c r="B28" s="9"/>
      <c r="C28" s="101"/>
      <c r="D28" s="101"/>
      <c r="E28" s="101"/>
      <c r="F28" s="101"/>
      <c r="G28" s="101"/>
      <c r="H28" s="101"/>
      <c r="I28" s="101"/>
      <c r="J28" s="101"/>
      <c r="K28" s="101"/>
      <c r="L28" s="102"/>
      <c r="M28" s="176"/>
      <c r="N28" s="101"/>
      <c r="O28" s="101"/>
      <c r="P28" s="101"/>
      <c r="Q28" s="101"/>
      <c r="R28" s="46"/>
      <c r="S28" s="101"/>
      <c r="T28" s="101"/>
      <c r="U28" s="101"/>
      <c r="V28" s="101"/>
      <c r="W28" s="101"/>
      <c r="X28" s="101"/>
      <c r="Y28" s="101"/>
      <c r="Z28" s="101"/>
      <c r="AA28" s="101"/>
      <c r="AB28" s="101"/>
      <c r="AC28" s="101"/>
      <c r="AD28" s="101"/>
      <c r="AE28" s="101"/>
      <c r="AF28" s="101"/>
      <c r="AG28" s="101"/>
      <c r="AH28" s="101"/>
      <c r="AI28" s="101"/>
      <c r="AJ28" s="101"/>
      <c r="AK28" s="101"/>
      <c r="AL28" s="101"/>
      <c r="AM28" s="101"/>
      <c r="AN28" s="101"/>
      <c r="AO28" s="101"/>
      <c r="AP28" s="101"/>
      <c r="AQ28" s="101"/>
      <c r="AR28" s="101"/>
      <c r="AS28" s="101"/>
      <c r="AT28" s="101"/>
      <c r="AU28" s="101"/>
      <c r="AV28" s="101"/>
      <c r="AW28" s="101"/>
      <c r="AX28" s="101"/>
      <c r="AY28" s="101"/>
      <c r="AZ28" s="101"/>
      <c r="BA28" s="102"/>
      <c r="BB28" s="176"/>
      <c r="BC28" s="101"/>
      <c r="BD28" s="101"/>
      <c r="BE28" s="101"/>
      <c r="BF28" s="101"/>
      <c r="BG28" s="101"/>
      <c r="BH28" s="101"/>
      <c r="BI28" s="101"/>
      <c r="BJ28" s="101"/>
      <c r="BK28" s="101"/>
      <c r="BL28" s="101"/>
      <c r="BM28" s="101"/>
      <c r="BN28" s="101"/>
      <c r="BO28" s="101"/>
      <c r="BP28" s="101"/>
      <c r="BQ28" s="101"/>
      <c r="BR28" s="101"/>
    </row>
    <row r="29" spans="1:70" x14ac:dyDescent="0.2">
      <c r="A29" s="168" t="s">
        <v>242</v>
      </c>
      <c r="B29" s="11" t="s">
        <v>325</v>
      </c>
      <c r="C29" s="146">
        <f>IS!C8</f>
        <v>501.81</v>
      </c>
      <c r="D29" s="146">
        <f>IS!D8</f>
        <v>463.04500000000002</v>
      </c>
      <c r="E29" s="146">
        <f>IS!E8</f>
        <v>419.60599999999999</v>
      </c>
      <c r="F29" s="146">
        <f>IS!F8</f>
        <v>436.05900000000003</v>
      </c>
      <c r="G29" s="146">
        <f>IS!G8</f>
        <v>439.79399999999998</v>
      </c>
      <c r="H29" s="146">
        <f>IS!H8</f>
        <v>440.07100000000003</v>
      </c>
      <c r="I29" s="146">
        <f>IS!I8</f>
        <v>510.39699999999999</v>
      </c>
      <c r="J29" s="146">
        <f>IS!J8</f>
        <v>549.01400000000001</v>
      </c>
      <c r="K29" s="146">
        <f>IS!K8</f>
        <v>638.54499999999996</v>
      </c>
      <c r="L29" s="146">
        <f>IS!L8</f>
        <v>94.436999999999998</v>
      </c>
      <c r="M29" s="77">
        <f>IS!M8</f>
        <v>106.69421259728685</v>
      </c>
      <c r="N29" s="76">
        <f>IS!N8</f>
        <v>125.04910719370667</v>
      </c>
      <c r="O29" s="76">
        <f>IS!O8</f>
        <v>151.01893281695058</v>
      </c>
      <c r="P29" s="76">
        <f>IS!P8</f>
        <v>183.44294136756989</v>
      </c>
      <c r="Q29" s="76">
        <f>IS!Q8</f>
        <v>226.59578181604144</v>
      </c>
      <c r="R29" s="305"/>
      <c r="S29" s="146">
        <f>IS!S8</f>
        <v>105.233</v>
      </c>
      <c r="T29" s="146">
        <f>IS!T8</f>
        <v>105.714</v>
      </c>
      <c r="U29" s="146">
        <f>IS!U8</f>
        <v>106.953</v>
      </c>
      <c r="V29" s="146">
        <f>IS!V8</f>
        <v>101.70600000000002</v>
      </c>
      <c r="W29" s="146">
        <f>IS!W8</f>
        <v>113.815</v>
      </c>
      <c r="X29" s="146">
        <f>IS!X8</f>
        <v>108.378</v>
      </c>
      <c r="Y29" s="146">
        <f>IS!Y8</f>
        <v>111.373</v>
      </c>
      <c r="Z29" s="146">
        <f>IS!Z8</f>
        <v>102.49300000000005</v>
      </c>
      <c r="AA29" s="146">
        <f>IS!AA8</f>
        <v>111.099</v>
      </c>
      <c r="AB29" s="146">
        <f>IS!AB8</f>
        <v>111.724</v>
      </c>
      <c r="AC29" s="146">
        <f>IS!AC8</f>
        <v>111.10599999999999</v>
      </c>
      <c r="AD29" s="146">
        <f>IS!AD8</f>
        <v>105.86499999999999</v>
      </c>
      <c r="AE29" s="146">
        <f>IS!AE8</f>
        <v>113.238</v>
      </c>
      <c r="AF29" s="146">
        <f>IS!AF8</f>
        <v>109.375</v>
      </c>
      <c r="AG29" s="146">
        <f>IS!AG8</f>
        <v>108.568</v>
      </c>
      <c r="AH29" s="146">
        <f>IS!AH8</f>
        <v>108.89000000000004</v>
      </c>
      <c r="AI29" s="146">
        <f>IS!AI8</f>
        <v>127.023</v>
      </c>
      <c r="AJ29" s="146">
        <f>IS!AJ8</f>
        <v>127.22199999999999</v>
      </c>
      <c r="AK29" s="146">
        <f>IS!AK8</f>
        <v>129.81700000000001</v>
      </c>
      <c r="AL29" s="146">
        <f>IS!AL8</f>
        <v>126.33499999999999</v>
      </c>
      <c r="AM29" s="146">
        <f>IS!AM8</f>
        <v>131.09300000000002</v>
      </c>
      <c r="AN29" s="146">
        <f>IS!AN8</f>
        <v>136.46600000000001</v>
      </c>
      <c r="AO29" s="146">
        <f>IS!AO8</f>
        <v>142.678</v>
      </c>
      <c r="AP29" s="146">
        <f>IS!AP8</f>
        <v>138.77600000000001</v>
      </c>
      <c r="AQ29" s="146">
        <f>IS!AQ8</f>
        <v>153.24299999999999</v>
      </c>
      <c r="AR29" s="146">
        <f>IS!AR8</f>
        <v>158.70599999999999</v>
      </c>
      <c r="AS29" s="146">
        <f>IS!AS8</f>
        <v>163.65799999999999</v>
      </c>
      <c r="AT29" s="146">
        <f>IS!AT8</f>
        <v>162.93800000000002</v>
      </c>
      <c r="AU29" s="146">
        <f>IS!AU8</f>
        <v>20.884</v>
      </c>
      <c r="AV29" s="146">
        <f>IS!AV8</f>
        <v>23.667000000000002</v>
      </c>
      <c r="AW29" s="146">
        <f>IS!AW8</f>
        <v>24.602</v>
      </c>
      <c r="AX29" s="146">
        <f>IS!AX8</f>
        <v>25.283999999999999</v>
      </c>
      <c r="AY29" s="146">
        <f>IS!AY8</f>
        <v>24.638000000000002</v>
      </c>
      <c r="AZ29" s="146">
        <f>IS!AZ8</f>
        <v>26.04</v>
      </c>
      <c r="BA29" s="154">
        <f>IS!BA8</f>
        <v>28.277999999999999</v>
      </c>
      <c r="BB29" s="166">
        <f>IS!BB8</f>
        <v>27.738212597286861</v>
      </c>
      <c r="BC29" s="146">
        <f>IS!BC8</f>
        <v>29.122385709646448</v>
      </c>
      <c r="BD29" s="146">
        <f>IS!BD8</f>
        <v>30.737997816754557</v>
      </c>
      <c r="BE29" s="146">
        <f>IS!BE8</f>
        <v>32.228981207676249</v>
      </c>
      <c r="BF29" s="146">
        <f>IS!BF8</f>
        <v>32.95974245962941</v>
      </c>
      <c r="BG29" s="146">
        <f>IS!BG8</f>
        <v>34.862128018873513</v>
      </c>
      <c r="BH29" s="146">
        <f>IS!BH8</f>
        <v>37.41827602217549</v>
      </c>
      <c r="BI29" s="146">
        <f>IS!BI8</f>
        <v>38.996671892257694</v>
      </c>
      <c r="BJ29" s="146">
        <f>IS!BJ8</f>
        <v>39.741856883643884</v>
      </c>
      <c r="BK29" s="146">
        <f>IS!BK8</f>
        <v>41.879128629205582</v>
      </c>
      <c r="BL29" s="146">
        <f>IS!BL8</f>
        <v>45.694247282729748</v>
      </c>
      <c r="BM29" s="146">
        <f>IS!BM8</f>
        <v>47.548892654829288</v>
      </c>
      <c r="BN29" s="146">
        <f>IS!BN8</f>
        <v>48.320672800805276</v>
      </c>
      <c r="BO29" s="146">
        <f>IS!BO8</f>
        <v>51.260524561558533</v>
      </c>
      <c r="BP29" s="146">
        <f>IS!BP8</f>
        <v>56.887115593535555</v>
      </c>
      <c r="BQ29" s="146">
        <f>IS!BQ8</f>
        <v>58.93917925004093</v>
      </c>
      <c r="BR29" s="146">
        <f>IS!BR8</f>
        <v>59.508962410906435</v>
      </c>
    </row>
    <row r="30" spans="1:70" x14ac:dyDescent="0.2">
      <c r="A30" s="161" t="s">
        <v>6</v>
      </c>
      <c r="B30" s="12"/>
      <c r="C30" s="91">
        <f>C29/C25</f>
        <v>0.75152758641346673</v>
      </c>
      <c r="D30" s="91">
        <f>D29/D25</f>
        <v>0.76461797585825397</v>
      </c>
      <c r="E30" s="91">
        <f>E29/E25</f>
        <v>0.77124524181942167</v>
      </c>
      <c r="F30" s="91">
        <f>F29/F25</f>
        <v>0.74605550860071934</v>
      </c>
      <c r="G30" s="91">
        <f>G29/G25</f>
        <v>0.75508375054082455</v>
      </c>
      <c r="H30" s="91">
        <f>H29/H25</f>
        <v>0.74204329124041191</v>
      </c>
      <c r="I30" s="91">
        <f>I29/I25</f>
        <v>0.61716761447111779</v>
      </c>
      <c r="J30" s="91">
        <f>J29/J25</f>
        <v>0.63879244545386848</v>
      </c>
      <c r="K30" s="91">
        <f>K29/K25</f>
        <v>0.6549528795381907</v>
      </c>
      <c r="L30" s="93">
        <f>L29/L25</f>
        <v>0.20113734385482893</v>
      </c>
      <c r="M30" s="174">
        <f>M29/M25</f>
        <v>0.20516134594493601</v>
      </c>
      <c r="N30" s="163">
        <f>N29/N25</f>
        <v>0.21013755025303002</v>
      </c>
      <c r="O30" s="163">
        <f>O29/O25</f>
        <v>0.21013755025303008</v>
      </c>
      <c r="P30" s="163">
        <f>P29/P25</f>
        <v>0.21013755025303005</v>
      </c>
      <c r="Q30" s="163">
        <f>Q29/Q25</f>
        <v>0.21013755025303008</v>
      </c>
      <c r="R30" s="300"/>
      <c r="S30" s="91">
        <f>S29/S25</f>
        <v>0.78304771967943798</v>
      </c>
      <c r="T30" s="91">
        <f>T29/T25</f>
        <v>0.7827651571246631</v>
      </c>
      <c r="U30" s="91">
        <f>U29/U25</f>
        <v>0.78131757349073694</v>
      </c>
      <c r="V30" s="91">
        <f>V29/V25</f>
        <v>0.73842333773795921</v>
      </c>
      <c r="W30" s="91">
        <f>W29/W25</f>
        <v>0.7534174031046238</v>
      </c>
      <c r="X30" s="91">
        <f>X29/X25</f>
        <v>0.73494049435459263</v>
      </c>
      <c r="Y30" s="91">
        <f>Y29/Y25</f>
        <v>0.74335887441264414</v>
      </c>
      <c r="Z30" s="91">
        <f>Z29/Z25</f>
        <v>0.75289424969882213</v>
      </c>
      <c r="AA30" s="91">
        <f>AA29/AA25</f>
        <v>0.75669177643677377</v>
      </c>
      <c r="AB30" s="91">
        <f>AB29/AB25</f>
        <v>0.74949351294057664</v>
      </c>
      <c r="AC30" s="91">
        <f>AC29/AC25</f>
        <v>0.76047391872745562</v>
      </c>
      <c r="AD30" s="91">
        <f>AD29/AD25</f>
        <v>0.75372895233348791</v>
      </c>
      <c r="AE30" s="91">
        <f>AE29/AE25</f>
        <v>0.75205716904317566</v>
      </c>
      <c r="AF30" s="91">
        <f>AF29/AF25</f>
        <v>0.75459136506009139</v>
      </c>
      <c r="AG30" s="91">
        <f>AG29/AG25</f>
        <v>0.74626927227610484</v>
      </c>
      <c r="AH30" s="91">
        <f>AH29/AH25</f>
        <v>0.71612245569037558</v>
      </c>
      <c r="AI30" s="91">
        <f>AI29/AI25</f>
        <v>0.61223870093939925</v>
      </c>
      <c r="AJ30" s="91">
        <f>AJ29/AJ25</f>
        <v>0.61649318679614662</v>
      </c>
      <c r="AK30" s="91">
        <f>AK29/AK25</f>
        <v>0.62188976076188285</v>
      </c>
      <c r="AL30" s="91">
        <f>AL29/AL25</f>
        <v>0.61802892141515342</v>
      </c>
      <c r="AM30" s="91">
        <f>AM29/AM25</f>
        <v>0.63708819112694337</v>
      </c>
      <c r="AN30" s="91">
        <f>AN29/AN25</f>
        <v>0.63769158878504673</v>
      </c>
      <c r="AO30" s="91">
        <f>AO29/AO25</f>
        <v>0.64218168397268849</v>
      </c>
      <c r="AP30" s="91">
        <f>AP29/AP25</f>
        <v>0.63801830712009977</v>
      </c>
      <c r="AQ30" s="91">
        <f>AQ29/AQ25</f>
        <v>0.64513317925207436</v>
      </c>
      <c r="AR30" s="91">
        <f>AR29/AR25</f>
        <v>0.65518721875903063</v>
      </c>
      <c r="AS30" s="91">
        <f>AS29/AS25</f>
        <v>0.66172034837175819</v>
      </c>
      <c r="AT30" s="91">
        <f>AT29/AT25</f>
        <v>0.65738181788839622</v>
      </c>
      <c r="AU30" s="91">
        <f>AU29/AU25</f>
        <v>0.18814244916712461</v>
      </c>
      <c r="AV30" s="91">
        <f>AV29/AV25</f>
        <v>0.19941524409767278</v>
      </c>
      <c r="AW30" s="91">
        <f>AW29/AW25</f>
        <v>0.20445441701986206</v>
      </c>
      <c r="AX30" s="91">
        <f>AX29/AX25</f>
        <v>0.21157804890294724</v>
      </c>
      <c r="AY30" s="91">
        <f>AY29/AY25</f>
        <v>0.19905473641688548</v>
      </c>
      <c r="AZ30" s="91">
        <f>AZ29/AZ25</f>
        <v>0.20076172266510417</v>
      </c>
      <c r="BA30" s="93">
        <f>BA29/BA25</f>
        <v>0.21013755025303005</v>
      </c>
      <c r="BB30" s="92">
        <f>BB29/BB25</f>
        <v>0.21013755025303005</v>
      </c>
      <c r="BC30" s="91">
        <f>BC29/BC25</f>
        <v>0.21013755025303005</v>
      </c>
      <c r="BD30" s="91">
        <f>BD29/BD25</f>
        <v>0.21013755025303005</v>
      </c>
      <c r="BE30" s="91">
        <f>BE29/BE25</f>
        <v>0.21013755025303005</v>
      </c>
      <c r="BF30" s="91">
        <f>BF29/BF25</f>
        <v>0.21013755025303005</v>
      </c>
      <c r="BG30" s="91">
        <f>BG29/BG25</f>
        <v>0.21013755025303002</v>
      </c>
      <c r="BH30" s="91">
        <f>BH29/BH25</f>
        <v>0.21013755025303005</v>
      </c>
      <c r="BI30" s="91">
        <f>BI29/BI25</f>
        <v>0.21013755025303002</v>
      </c>
      <c r="BJ30" s="91">
        <f>BJ29/BJ25</f>
        <v>0.21013755025303005</v>
      </c>
      <c r="BK30" s="91">
        <f>BK29/BK25</f>
        <v>0.21013755025303005</v>
      </c>
      <c r="BL30" s="91">
        <f>BL29/BL25</f>
        <v>0.21013755025303005</v>
      </c>
      <c r="BM30" s="91">
        <f>BM29/BM25</f>
        <v>0.21013755025303005</v>
      </c>
      <c r="BN30" s="91">
        <f>BN29/BN25</f>
        <v>0.21013755025303005</v>
      </c>
      <c r="BO30" s="91">
        <f>BO29/BO25</f>
        <v>0.21013755025303005</v>
      </c>
      <c r="BP30" s="91">
        <f>BP29/BP25</f>
        <v>0.21013755025303005</v>
      </c>
      <c r="BQ30" s="91">
        <f>BQ29/BQ25</f>
        <v>0.21013755025303005</v>
      </c>
      <c r="BR30" s="91">
        <f>BR29/BR25</f>
        <v>0.21013755025303005</v>
      </c>
    </row>
    <row r="31" spans="1:70" x14ac:dyDescent="0.2">
      <c r="A31" s="267"/>
      <c r="B31" s="9"/>
      <c r="C31" s="101"/>
      <c r="D31" s="101"/>
      <c r="E31" s="101"/>
      <c r="F31" s="101"/>
      <c r="G31" s="101"/>
      <c r="H31" s="101"/>
      <c r="I31" s="101"/>
      <c r="J31" s="101"/>
      <c r="K31" s="101"/>
      <c r="L31" s="102"/>
      <c r="M31" s="176"/>
      <c r="N31" s="101"/>
      <c r="O31" s="101"/>
      <c r="P31" s="101"/>
      <c r="Q31" s="101"/>
      <c r="R31" s="46"/>
      <c r="S31" s="101"/>
      <c r="T31" s="101"/>
      <c r="U31" s="101"/>
      <c r="V31" s="101"/>
      <c r="W31" s="101"/>
      <c r="X31" s="101"/>
      <c r="Y31" s="101"/>
      <c r="Z31" s="101"/>
      <c r="AA31" s="101"/>
      <c r="AB31" s="101"/>
      <c r="AC31" s="101"/>
      <c r="AD31" s="101"/>
      <c r="AE31" s="101"/>
      <c r="AF31" s="101"/>
      <c r="AG31" s="101"/>
      <c r="AH31" s="101"/>
      <c r="AI31" s="101"/>
      <c r="AJ31" s="101"/>
      <c r="AK31" s="101"/>
      <c r="AL31" s="101"/>
      <c r="AM31" s="101"/>
      <c r="AN31" s="101"/>
      <c r="AO31" s="101"/>
      <c r="AP31" s="101"/>
      <c r="AQ31" s="101"/>
      <c r="AR31" s="101"/>
      <c r="AS31" s="101"/>
      <c r="AT31" s="101"/>
      <c r="AU31" s="101"/>
      <c r="AV31" s="101"/>
      <c r="AW31" s="101"/>
      <c r="AX31" s="101"/>
      <c r="AY31" s="101"/>
      <c r="AZ31" s="101"/>
      <c r="BA31" s="102"/>
      <c r="BB31" s="176"/>
      <c r="BC31" s="101"/>
      <c r="BD31" s="101"/>
      <c r="BE31" s="101"/>
      <c r="BF31" s="101"/>
      <c r="BG31" s="101"/>
      <c r="BH31" s="101"/>
      <c r="BI31" s="101"/>
      <c r="BJ31" s="101"/>
      <c r="BK31" s="101"/>
      <c r="BL31" s="101"/>
      <c r="BM31" s="101"/>
      <c r="BN31" s="101"/>
      <c r="BO31" s="101"/>
      <c r="BP31" s="101"/>
      <c r="BQ31" s="101"/>
      <c r="BR31" s="101"/>
    </row>
    <row r="32" spans="1:70" x14ac:dyDescent="0.2">
      <c r="A32" s="189" t="s">
        <v>243</v>
      </c>
      <c r="B32" s="205" t="s">
        <v>326</v>
      </c>
      <c r="C32" s="144">
        <f>C25-C29</f>
        <v>165.91000000000003</v>
      </c>
      <c r="D32" s="144">
        <f>D25-D29</f>
        <v>142.54500000000002</v>
      </c>
      <c r="E32" s="144">
        <f>E25-E29</f>
        <v>124.45699999999999</v>
      </c>
      <c r="F32" s="144">
        <f>F25-F29</f>
        <v>148.42699999999996</v>
      </c>
      <c r="G32" s="144">
        <f>G25-G29</f>
        <v>142.64999999999998</v>
      </c>
      <c r="H32" s="144">
        <f>H25-H29</f>
        <v>152.98199999999997</v>
      </c>
      <c r="I32" s="144">
        <f>I25-I29</f>
        <v>316.60200000000003</v>
      </c>
      <c r="J32" s="144">
        <f>J25-J29</f>
        <v>310.44200000000001</v>
      </c>
      <c r="K32" s="144">
        <f>K25-K29</f>
        <v>336.40300000000002</v>
      </c>
      <c r="L32" s="175">
        <f>L25-L29</f>
        <v>375.07799999999997</v>
      </c>
      <c r="M32" s="86">
        <f>M25-M29</f>
        <v>413.35605372297255</v>
      </c>
      <c r="N32" s="72">
        <f>N25-N29</f>
        <v>470.03305229246331</v>
      </c>
      <c r="O32" s="72">
        <f>O25-O29</f>
        <v>567.64811471979954</v>
      </c>
      <c r="P32" s="72">
        <f>P25-P29</f>
        <v>689.52308087206904</v>
      </c>
      <c r="Q32" s="72">
        <f>Q25-Q29</f>
        <v>851.72544893588156</v>
      </c>
      <c r="R32" s="52"/>
      <c r="S32" s="144">
        <f>S25-S29</f>
        <v>29.156000000000006</v>
      </c>
      <c r="T32" s="144">
        <f>T25-T29</f>
        <v>29.337999999999994</v>
      </c>
      <c r="U32" s="144">
        <f>U25-U29</f>
        <v>29.935000000000002</v>
      </c>
      <c r="V32" s="144">
        <f>V25-V29</f>
        <v>36.027999999999906</v>
      </c>
      <c r="W32" s="144">
        <f>W25-W29</f>
        <v>37.25</v>
      </c>
      <c r="X32" s="144">
        <f>X25-X29</f>
        <v>39.087000000000003</v>
      </c>
      <c r="Y32" s="144">
        <f>Y25-Y29</f>
        <v>38.451000000000008</v>
      </c>
      <c r="Z32" s="144">
        <f>Z25-Z29</f>
        <v>33.638999999999953</v>
      </c>
      <c r="AA32" s="144">
        <f>AA25-AA29</f>
        <v>35.722999999999999</v>
      </c>
      <c r="AB32" s="144">
        <f>AB25-AB29</f>
        <v>37.341999999999999</v>
      </c>
      <c r="AC32" s="144">
        <f>AC25-AC29</f>
        <v>34.995000000000005</v>
      </c>
      <c r="AD32" s="144">
        <f>AD25-AD29</f>
        <v>34.589999999999932</v>
      </c>
      <c r="AE32" s="144">
        <f>AE25-AE29</f>
        <v>37.332999999999998</v>
      </c>
      <c r="AF32" s="144">
        <f>AF25-AF29</f>
        <v>35.570999999999998</v>
      </c>
      <c r="AG32" s="144">
        <f>AG25-AG29</f>
        <v>36.912999999999997</v>
      </c>
      <c r="AH32" s="144">
        <f>AH25-AH29</f>
        <v>43.164999999999935</v>
      </c>
      <c r="AI32" s="144">
        <f>AI25-AI29</f>
        <v>80.450000000000017</v>
      </c>
      <c r="AJ32" s="144">
        <f>AJ25-AJ29</f>
        <v>79.14200000000001</v>
      </c>
      <c r="AK32" s="144">
        <f>AK25-AK29</f>
        <v>78.929000000000002</v>
      </c>
      <c r="AL32" s="144">
        <f>AL25-AL29</f>
        <v>78.081000000000003</v>
      </c>
      <c r="AM32" s="144">
        <f>AM25-AM29</f>
        <v>74.675999999999988</v>
      </c>
      <c r="AN32" s="144">
        <f>AN25-AN29</f>
        <v>77.533999999999992</v>
      </c>
      <c r="AO32" s="144">
        <f>AO25-AO29</f>
        <v>79.498999999999995</v>
      </c>
      <c r="AP32" s="144">
        <f>AP25-AP29</f>
        <v>78.734999999999985</v>
      </c>
      <c r="AQ32" s="144">
        <f>AQ25-AQ29</f>
        <v>84.294000000000011</v>
      </c>
      <c r="AR32" s="144">
        <f>AR25-AR29</f>
        <v>83.524000000000001</v>
      </c>
      <c r="AS32" s="144">
        <f>AS25-AS29</f>
        <v>83.664000000000016</v>
      </c>
      <c r="AT32" s="144">
        <f>AT25-AT29</f>
        <v>84.920999999999992</v>
      </c>
      <c r="AU32" s="144">
        <f>AU25-AU29</f>
        <v>90.117000000000004</v>
      </c>
      <c r="AV32" s="144">
        <f>AV25-AV29</f>
        <v>95.015000000000001</v>
      </c>
      <c r="AW32" s="144">
        <f>AW25-AW29</f>
        <v>95.727999999999994</v>
      </c>
      <c r="AX32" s="144">
        <f>AX25-AX29</f>
        <v>94.217999999999989</v>
      </c>
      <c r="AY32" s="144">
        <f>AY25-AY29</f>
        <v>99.137</v>
      </c>
      <c r="AZ32" s="144">
        <f>AZ25-AZ29</f>
        <v>103.666</v>
      </c>
      <c r="BA32" s="175">
        <f>BA25-BA29</f>
        <v>106.291</v>
      </c>
      <c r="BB32" s="257">
        <f>BB25-BB29</f>
        <v>104.26205372297255</v>
      </c>
      <c r="BC32" s="144">
        <f>BC25-BC29</f>
        <v>109.46486666185835</v>
      </c>
      <c r="BD32" s="144">
        <f>BD25-BD29</f>
        <v>115.53760965912224</v>
      </c>
      <c r="BE32" s="144">
        <f>BE25-BE29</f>
        <v>121.14189976466216</v>
      </c>
      <c r="BF32" s="144">
        <f>BF25-BF29</f>
        <v>123.88867620682049</v>
      </c>
      <c r="BG32" s="144">
        <f>BG25-BG29</f>
        <v>131.03933974305414</v>
      </c>
      <c r="BH32" s="144">
        <f>BH25-BH29</f>
        <v>140.64735754554971</v>
      </c>
      <c r="BI32" s="144">
        <f>BI25-BI29</f>
        <v>146.58021260697231</v>
      </c>
      <c r="BJ32" s="144">
        <f>BJ25-BJ29</f>
        <v>149.38120482422349</v>
      </c>
      <c r="BK32" s="144">
        <f>BK25-BK29</f>
        <v>157.41475568027761</v>
      </c>
      <c r="BL32" s="144">
        <f>BL25-BL29</f>
        <v>171.75497694068278</v>
      </c>
      <c r="BM32" s="144">
        <f>BM25-BM29</f>
        <v>178.72619524628544</v>
      </c>
      <c r="BN32" s="144">
        <f>BN25-BN29</f>
        <v>181.6271530048233</v>
      </c>
      <c r="BO32" s="144">
        <f>BO25-BO29</f>
        <v>192.67743179053039</v>
      </c>
      <c r="BP32" s="144">
        <f>BP25-BP29</f>
        <v>213.82659323687983</v>
      </c>
      <c r="BQ32" s="144">
        <f>BQ25-BQ29</f>
        <v>221.53986497157155</v>
      </c>
      <c r="BR32" s="144">
        <f>BR25-BR29</f>
        <v>223.6815589368999</v>
      </c>
    </row>
    <row r="33" spans="1:70" x14ac:dyDescent="0.2">
      <c r="A33" s="161" t="s">
        <v>6</v>
      </c>
      <c r="B33" s="12"/>
      <c r="C33" s="91">
        <f>C32/C25</f>
        <v>0.2484724135865333</v>
      </c>
      <c r="D33" s="91">
        <f>D32/D25</f>
        <v>0.23538202414174608</v>
      </c>
      <c r="E33" s="91">
        <f>E32/E25</f>
        <v>0.22875475818057833</v>
      </c>
      <c r="F33" s="91">
        <f>F32/F25</f>
        <v>0.25394449139928066</v>
      </c>
      <c r="G33" s="91">
        <f>G32/G25</f>
        <v>0.24491624945917545</v>
      </c>
      <c r="H33" s="91">
        <f>H32/H25</f>
        <v>0.25795670875958804</v>
      </c>
      <c r="I33" s="91">
        <f>I32/I25</f>
        <v>0.38283238552888216</v>
      </c>
      <c r="J33" s="91">
        <f>J32/J25</f>
        <v>0.36120755454613152</v>
      </c>
      <c r="K33" s="91">
        <f>K32/K25</f>
        <v>0.3450471204618093</v>
      </c>
      <c r="L33" s="93">
        <f>L32/L25</f>
        <v>0.79886265614517105</v>
      </c>
      <c r="M33" s="174">
        <f>M32/M25</f>
        <v>0.79483865405506393</v>
      </c>
      <c r="N33" s="163">
        <f>N32/N25</f>
        <v>0.78986244974696995</v>
      </c>
      <c r="O33" s="163">
        <f>O32/O25</f>
        <v>0.78986244974696984</v>
      </c>
      <c r="P33" s="163">
        <f>P32/P25</f>
        <v>0.78986244974696995</v>
      </c>
      <c r="Q33" s="163">
        <f>Q32/Q25</f>
        <v>0.78986244974696995</v>
      </c>
      <c r="R33" s="300"/>
      <c r="S33" s="91">
        <f>S32/S25</f>
        <v>0.21695228032056199</v>
      </c>
      <c r="T33" s="91">
        <f>T32/T25</f>
        <v>0.21723484287533687</v>
      </c>
      <c r="U33" s="91">
        <f>U32/U25</f>
        <v>0.21868242650926306</v>
      </c>
      <c r="V33" s="91">
        <f>V32/V25</f>
        <v>0.26157666226204079</v>
      </c>
      <c r="W33" s="91">
        <f>W32/W25</f>
        <v>0.24658259689537618</v>
      </c>
      <c r="X33" s="91">
        <f>X32/X25</f>
        <v>0.26505950564540742</v>
      </c>
      <c r="Y33" s="91">
        <f>Y32/Y25</f>
        <v>0.25664112558735586</v>
      </c>
      <c r="Z33" s="91">
        <f>Z32/Z25</f>
        <v>0.24710575030117793</v>
      </c>
      <c r="AA33" s="91">
        <f>AA32/AA25</f>
        <v>0.24330822356322621</v>
      </c>
      <c r="AB33" s="91">
        <f>AB32/AB25</f>
        <v>0.25050648705942336</v>
      </c>
      <c r="AC33" s="91">
        <f>AC32/AC25</f>
        <v>0.23952608127254438</v>
      </c>
      <c r="AD33" s="91">
        <f>AD32/AD25</f>
        <v>0.24627104766651206</v>
      </c>
      <c r="AE33" s="91">
        <f>AE32/AE25</f>
        <v>0.24794283095682434</v>
      </c>
      <c r="AF33" s="91">
        <f>AF32/AF25</f>
        <v>0.24540863493990864</v>
      </c>
      <c r="AG33" s="91">
        <f>AG32/AG25</f>
        <v>0.25373072772389521</v>
      </c>
      <c r="AH33" s="91">
        <f>AH32/AH25</f>
        <v>0.28387754430962442</v>
      </c>
      <c r="AI33" s="91">
        <f>AI32/AI25</f>
        <v>0.38776129906060069</v>
      </c>
      <c r="AJ33" s="91">
        <f>AJ32/AJ25</f>
        <v>0.38350681320385344</v>
      </c>
      <c r="AK33" s="91">
        <f>AK32/AK25</f>
        <v>0.37811023923811715</v>
      </c>
      <c r="AL33" s="91">
        <f>AL32/AL25</f>
        <v>0.38197107858484664</v>
      </c>
      <c r="AM33" s="91">
        <f>AM32/AM25</f>
        <v>0.36291180887305663</v>
      </c>
      <c r="AN33" s="91">
        <f>AN32/AN25</f>
        <v>0.36230841121495322</v>
      </c>
      <c r="AO33" s="91">
        <f>AO32/AO25</f>
        <v>0.35781831602731157</v>
      </c>
      <c r="AP33" s="91">
        <f>AP32/AP25</f>
        <v>0.36198169287990029</v>
      </c>
      <c r="AQ33" s="91">
        <f>AQ32/AQ25</f>
        <v>0.35486682074792564</v>
      </c>
      <c r="AR33" s="91">
        <f>AR32/AR25</f>
        <v>0.34481278124096937</v>
      </c>
      <c r="AS33" s="91">
        <f>AS32/AS25</f>
        <v>0.33827965162824181</v>
      </c>
      <c r="AT33" s="91">
        <f>AT32/AT25</f>
        <v>0.34261818211160372</v>
      </c>
      <c r="AU33" s="91">
        <f>AU32/AU25</f>
        <v>0.81185755083287536</v>
      </c>
      <c r="AV33" s="91">
        <f>AV32/AV25</f>
        <v>0.80058475590232725</v>
      </c>
      <c r="AW33" s="91">
        <f>AW32/AW25</f>
        <v>0.79554558298013789</v>
      </c>
      <c r="AX33" s="91">
        <f>AX32/AX25</f>
        <v>0.78842195109705271</v>
      </c>
      <c r="AY33" s="91">
        <f>AY32/AY25</f>
        <v>0.80094526358311446</v>
      </c>
      <c r="AZ33" s="91">
        <f>AZ32/AZ25</f>
        <v>0.79923827733489583</v>
      </c>
      <c r="BA33" s="93">
        <f>BA32/BA25</f>
        <v>0.78986244974696995</v>
      </c>
      <c r="BB33" s="92">
        <f>BB32/BB25</f>
        <v>0.78986244974696995</v>
      </c>
      <c r="BC33" s="91">
        <f>BC32/BC25</f>
        <v>0.78986244974696995</v>
      </c>
      <c r="BD33" s="91">
        <f>BD32/BD25</f>
        <v>0.78986244974696995</v>
      </c>
      <c r="BE33" s="91">
        <f>BE32/BE25</f>
        <v>0.78986244974696995</v>
      </c>
      <c r="BF33" s="91">
        <f>BF32/BF25</f>
        <v>0.78986244974696995</v>
      </c>
      <c r="BG33" s="91">
        <f>BG32/BG25</f>
        <v>0.78986244974697006</v>
      </c>
      <c r="BH33" s="91">
        <f>BH32/BH25</f>
        <v>0.78986244974696995</v>
      </c>
      <c r="BI33" s="91">
        <f>BI32/BI25</f>
        <v>0.78986244974696995</v>
      </c>
      <c r="BJ33" s="91">
        <f>BJ32/BJ25</f>
        <v>0.78986244974696995</v>
      </c>
      <c r="BK33" s="91">
        <f>BK32/BK25</f>
        <v>0.78986244974696995</v>
      </c>
      <c r="BL33" s="91">
        <f>BL32/BL25</f>
        <v>0.78986244974696995</v>
      </c>
      <c r="BM33" s="91">
        <f>BM32/BM25</f>
        <v>0.78986244974696995</v>
      </c>
      <c r="BN33" s="91">
        <f>BN32/BN25</f>
        <v>0.78986244974696995</v>
      </c>
      <c r="BO33" s="91">
        <f>BO32/BO25</f>
        <v>0.78986244974696995</v>
      </c>
      <c r="BP33" s="91">
        <f>BP32/BP25</f>
        <v>0.78986244974696995</v>
      </c>
      <c r="BQ33" s="91">
        <f>BQ32/BQ25</f>
        <v>0.78986244974696995</v>
      </c>
      <c r="BR33" s="91">
        <f>BR32/BR25</f>
        <v>0.78986244974696995</v>
      </c>
    </row>
    <row r="34" spans="1:70" x14ac:dyDescent="0.2">
      <c r="A34" s="267"/>
      <c r="B34" s="9"/>
      <c r="C34" s="101"/>
      <c r="D34" s="101"/>
      <c r="E34" s="101"/>
      <c r="F34" s="101"/>
      <c r="G34" s="101"/>
      <c r="H34" s="101"/>
      <c r="I34" s="101"/>
      <c r="J34" s="101"/>
      <c r="K34" s="101"/>
      <c r="L34" s="102"/>
      <c r="M34" s="176"/>
      <c r="N34" s="101"/>
      <c r="O34" s="101"/>
      <c r="P34" s="101"/>
      <c r="Q34" s="101"/>
      <c r="R34" s="46"/>
      <c r="S34" s="101"/>
      <c r="T34" s="101"/>
      <c r="U34" s="101"/>
      <c r="V34" s="101"/>
      <c r="W34" s="101"/>
      <c r="X34" s="101"/>
      <c r="Y34" s="101"/>
      <c r="Z34" s="101"/>
      <c r="AA34" s="101"/>
      <c r="AB34" s="101"/>
      <c r="AC34" s="101"/>
      <c r="AD34" s="101"/>
      <c r="AE34" s="101"/>
      <c r="AF34" s="101"/>
      <c r="AG34" s="101"/>
      <c r="AH34" s="101"/>
      <c r="AI34" s="101"/>
      <c r="AJ34" s="101"/>
      <c r="AK34" s="101"/>
      <c r="AL34" s="101"/>
      <c r="AM34" s="101"/>
      <c r="AN34" s="101"/>
      <c r="AO34" s="101"/>
      <c r="AP34" s="101"/>
      <c r="AQ34" s="101"/>
      <c r="AR34" s="101"/>
      <c r="AS34" s="101"/>
      <c r="AT34" s="101"/>
      <c r="AU34" s="101"/>
      <c r="AV34" s="101"/>
      <c r="AW34" s="101"/>
      <c r="AX34" s="101"/>
      <c r="AY34" s="101"/>
      <c r="AZ34" s="101"/>
      <c r="BA34" s="102"/>
      <c r="BB34" s="176"/>
      <c r="BC34" s="101"/>
      <c r="BD34" s="101"/>
      <c r="BE34" s="101"/>
      <c r="BF34" s="101"/>
      <c r="BG34" s="101"/>
      <c r="BH34" s="101"/>
      <c r="BI34" s="101"/>
      <c r="BJ34" s="101"/>
      <c r="BK34" s="101"/>
      <c r="BL34" s="101"/>
      <c r="BM34" s="101"/>
      <c r="BN34" s="101"/>
      <c r="BO34" s="101"/>
      <c r="BP34" s="101"/>
      <c r="BQ34" s="101"/>
      <c r="BR34" s="101"/>
    </row>
    <row r="35" spans="1:70" x14ac:dyDescent="0.2">
      <c r="A35" s="274" t="s">
        <v>23</v>
      </c>
      <c r="B35" s="10"/>
      <c r="C35" s="76"/>
      <c r="D35" s="76"/>
      <c r="E35" s="76"/>
      <c r="F35" s="76"/>
      <c r="G35" s="76"/>
      <c r="H35" s="76"/>
      <c r="I35" s="76"/>
      <c r="J35" s="76"/>
      <c r="K35" s="76"/>
      <c r="L35" s="107"/>
      <c r="M35" s="77"/>
      <c r="N35" s="76"/>
      <c r="O35" s="76"/>
      <c r="P35" s="76"/>
      <c r="Q35" s="76"/>
      <c r="R35" s="51"/>
      <c r="S35" s="76"/>
      <c r="T35" s="76"/>
      <c r="U35" s="76"/>
      <c r="V35" s="76"/>
      <c r="W35" s="76"/>
      <c r="X35" s="76"/>
      <c r="Y35" s="76"/>
      <c r="Z35" s="76"/>
      <c r="AA35" s="76"/>
      <c r="AB35" s="76"/>
      <c r="AC35" s="76"/>
      <c r="AD35" s="76"/>
      <c r="AE35" s="76"/>
      <c r="AF35" s="76"/>
      <c r="AG35" s="76"/>
      <c r="AH35" s="76"/>
      <c r="AI35" s="76"/>
      <c r="AJ35" s="76"/>
      <c r="AK35" s="76"/>
      <c r="AL35" s="76"/>
      <c r="AM35" s="76"/>
      <c r="AN35" s="76"/>
      <c r="AO35" s="76"/>
      <c r="AP35" s="76"/>
      <c r="AQ35" s="76"/>
      <c r="AR35" s="76"/>
      <c r="AS35" s="76"/>
      <c r="AT35" s="76"/>
      <c r="AU35" s="76"/>
      <c r="AV35" s="76"/>
      <c r="AW35" s="76"/>
      <c r="AX35" s="76"/>
      <c r="AY35" s="76"/>
      <c r="AZ35" s="76"/>
      <c r="BA35" s="107"/>
      <c r="BB35" s="77"/>
      <c r="BC35" s="76"/>
      <c r="BD35" s="76"/>
      <c r="BE35" s="76"/>
      <c r="BF35" s="76"/>
      <c r="BG35" s="76"/>
      <c r="BH35" s="76"/>
      <c r="BI35" s="76"/>
      <c r="BJ35" s="76"/>
      <c r="BK35" s="76"/>
      <c r="BL35" s="76"/>
      <c r="BM35" s="76"/>
      <c r="BN35" s="76"/>
      <c r="BO35" s="76"/>
      <c r="BP35" s="76"/>
      <c r="BQ35" s="76"/>
      <c r="BR35" s="76"/>
    </row>
    <row r="36" spans="1:70" x14ac:dyDescent="0.2">
      <c r="A36" s="168" t="s">
        <v>213</v>
      </c>
      <c r="B36" s="10" t="s">
        <v>328</v>
      </c>
      <c r="C36" s="146">
        <f>IS!C15-SUM(IS_NG!C12,IS_NG!C14:C22)</f>
        <v>67.550999999999988</v>
      </c>
      <c r="D36" s="146">
        <f>IS!D15-SUM(IS_NG!D12,IS_NG!D14:D22)</f>
        <v>65.784999999999997</v>
      </c>
      <c r="E36" s="146">
        <f>IS!E15-SUM(IS_NG!E12,IS_NG!E14:E22)</f>
        <v>62.707999999999998</v>
      </c>
      <c r="F36" s="146">
        <f>IS!F15-SUM(IS_NG!F12,IS_NG!F14:F22)</f>
        <v>69.150999999999996</v>
      </c>
      <c r="G36" s="146">
        <f>IS!G15-SUM(IS_NG!G12,IS_NG!G14:G22)</f>
        <v>71.483999999999995</v>
      </c>
      <c r="H36" s="146">
        <f>IS!H15-SUM(IS_NG!H12,IS_NG!H14:H22)</f>
        <v>39.274000000000001</v>
      </c>
      <c r="I36" s="146">
        <f>IS!I15-SUM(IS_NG!I12,IS_NG!I14:I22)</f>
        <v>97.064999999999998</v>
      </c>
      <c r="J36" s="146">
        <f>IS!J15-SUM(IS_NG!J12,IS_NG!J14:J22)</f>
        <v>93.072000000000003</v>
      </c>
      <c r="K36" s="146">
        <f>IS!K15-SUM(IS_NG!K12,IS_NG!K14:K22)</f>
        <v>104.705</v>
      </c>
      <c r="L36" s="146">
        <f>IS!L15-SUM(IS_NG!L12,IS_NG!L14:L22)</f>
        <v>124.193</v>
      </c>
      <c r="M36" s="77">
        <f>IS!M15-SUM(IS_NG!M12,IS_NG!M14:M22)</f>
        <v>133.56167693077666</v>
      </c>
      <c r="N36" s="76">
        <f>IS!N15-SUM(IS_NG!N12,IS_NG!N14:N22)</f>
        <v>166.40932713792972</v>
      </c>
      <c r="O36" s="76">
        <f>IS!O15-SUM(IS_NG!O12,IS_NG!O14:O22)</f>
        <v>200.96871988240568</v>
      </c>
      <c r="P36" s="76">
        <f>IS!P15-SUM(IS_NG!P12,IS_NG!P14:P22)</f>
        <v>244.11702831186872</v>
      </c>
      <c r="Q36" s="76">
        <f>IS!Q15-SUM(IS_NG!Q12,IS_NG!Q14:Q22)</f>
        <v>301.54274932878764</v>
      </c>
      <c r="R36" s="51"/>
      <c r="S36" s="146">
        <f>IS!S15-SUM(IS_NG!S12,IS_NG!S14:S22)</f>
        <v>15.008000000000001</v>
      </c>
      <c r="T36" s="146">
        <f>IS!T15-SUM(IS_NG!T12,IS_NG!T14:T22)</f>
        <v>15.051000000000002</v>
      </c>
      <c r="U36" s="146">
        <f>IS!U15-SUM(IS_NG!U12,IS_NG!U14:U22)</f>
        <v>16.626999999999999</v>
      </c>
      <c r="V36" s="146">
        <f>IS!V15-SUM(IS_NG!V12,IS_NG!V14:V22)</f>
        <v>16.021999999999998</v>
      </c>
      <c r="W36" s="146">
        <f>IS!W15-SUM(IS_NG!W12,IS_NG!W14:W22)</f>
        <v>16.645</v>
      </c>
      <c r="X36" s="146">
        <f>IS!X15-SUM(IS_NG!X12,IS_NG!X14:X22)</f>
        <v>17.692</v>
      </c>
      <c r="Y36" s="146">
        <f>IS!Y15-SUM(IS_NG!Y12,IS_NG!Y14:Y22)</f>
        <v>17.621000000000002</v>
      </c>
      <c r="Z36" s="146">
        <f>IS!Z15-SUM(IS_NG!Z12,IS_NG!Z14:Z22)</f>
        <v>17.192999999999998</v>
      </c>
      <c r="AA36" s="146">
        <f>IS!AA15-SUM(IS_NG!AA12,IS_NG!AA14:AA22)</f>
        <v>17.813000000000002</v>
      </c>
      <c r="AB36" s="146">
        <f>IS!AB15-SUM(IS_NG!AB12,IS_NG!AB14:AB22)</f>
        <v>18.195</v>
      </c>
      <c r="AC36" s="146">
        <f>IS!AC15-SUM(IS_NG!AC12,IS_NG!AC14:AC22)</f>
        <v>18.001000000000001</v>
      </c>
      <c r="AD36" s="146">
        <f>IS!AD15-SUM(IS_NG!AD12,IS_NG!AD14:AD22)</f>
        <v>17.474999999999991</v>
      </c>
      <c r="AE36" s="146">
        <f>IS!AE15-SUM(IS_NG!AE12,IS_NG!AE14:AE22)</f>
        <v>14.247000000000002</v>
      </c>
      <c r="AF36" s="146">
        <f>IS!AF15-SUM(IS_NG!AF12,IS_NG!AF14:AF22)</f>
        <v>13.613999999999999</v>
      </c>
      <c r="AG36" s="146">
        <f>IS!AG15-SUM(IS_NG!AG12,IS_NG!AG14:AG22)</f>
        <v>7.7250000000000014</v>
      </c>
      <c r="AH36" s="146">
        <f>IS!AH15-SUM(IS_NG!AH12,IS_NG!AH14:AH22)</f>
        <v>6.8170000000000037</v>
      </c>
      <c r="AI36" s="146">
        <f>IS!AI15-SUM(IS_NG!AI12,IS_NG!AI14:AI22)</f>
        <v>24.390999999999998</v>
      </c>
      <c r="AJ36" s="146">
        <f>IS!AJ15-SUM(IS_NG!AJ12,IS_NG!AJ14:AJ22)</f>
        <v>22.273000000000003</v>
      </c>
      <c r="AK36" s="146">
        <f>IS!AK15-SUM(IS_NG!AK12,IS_NG!AK14:AK22)</f>
        <v>21.995000000000001</v>
      </c>
      <c r="AL36" s="146">
        <f>IS!AL15-SUM(IS_NG!AL12,IS_NG!AL14:AL22)</f>
        <v>28.406999999999996</v>
      </c>
      <c r="AM36" s="146">
        <f>IS!AM15-SUM(IS_NG!AM12,IS_NG!AM14:AM22)</f>
        <v>23.573</v>
      </c>
      <c r="AN36" s="146">
        <f>IS!AN15-SUM(IS_NG!AN12,IS_NG!AN14:AN22)</f>
        <v>21.617000000000001</v>
      </c>
      <c r="AO36" s="146">
        <f>IS!AO15-SUM(IS_NG!AO12,IS_NG!AO14:AO22)</f>
        <v>23.434999999999999</v>
      </c>
      <c r="AP36" s="146">
        <f>IS!AP15-SUM(IS_NG!AP12,IS_NG!AP14:AP22)</f>
        <v>24.445</v>
      </c>
      <c r="AQ36" s="146">
        <f>IS!AQ15-SUM(IS_NG!AQ12,IS_NG!AQ14:AQ22)</f>
        <v>25.58</v>
      </c>
      <c r="AR36" s="146">
        <f>IS!AR15-SUM(IS_NG!AR12,IS_NG!AR14:AR22)</f>
        <v>24.803000000000001</v>
      </c>
      <c r="AS36" s="146">
        <f>IS!AS15-SUM(IS_NG!AS12,IS_NG!AS14:AS22)</f>
        <v>25.882000000000001</v>
      </c>
      <c r="AT36" s="146">
        <f>IS!AT15-SUM(IS_NG!AT12,IS_NG!AT14:AT22)</f>
        <v>28.437999999999999</v>
      </c>
      <c r="AU36" s="146">
        <f>IS!AU15-SUM(IS_NG!AU12,IS_NG!AU14:AU22)</f>
        <v>27.779999999999998</v>
      </c>
      <c r="AV36" s="146">
        <f>IS!AV15-SUM(IS_NG!AV12,IS_NG!AV14:AV22)</f>
        <v>30.919</v>
      </c>
      <c r="AW36" s="146">
        <f>IS!AW15-SUM(IS_NG!AW12,IS_NG!AW14:AW22)</f>
        <v>32.035999999999994</v>
      </c>
      <c r="AX36" s="146">
        <f>IS!AX15-SUM(IS_NG!AX12,IS_NG!AX14:AX22)</f>
        <v>33.459000000000003</v>
      </c>
      <c r="AY36" s="146">
        <f>IS!AY15-SUM(IS_NG!AY12,IS_NG!AY14:AY22)</f>
        <v>30.296000000000003</v>
      </c>
      <c r="AZ36" s="146">
        <f>IS!AZ15-SUM(IS_NG!AZ12,IS_NG!AZ14:AZ22)</f>
        <v>32.923999999999999</v>
      </c>
      <c r="BA36" s="154">
        <f>IS!BA15-SUM(IS_NG!BA12,IS_NG!BA14:BA22)</f>
        <v>33.429000000000002</v>
      </c>
      <c r="BB36" s="166">
        <f>IS!BB15-SUM(IS_NG!BB12,IS_NG!BB14:BB22)</f>
        <v>36.912676930776648</v>
      </c>
      <c r="BC36" s="146">
        <f>IS!BC15-SUM(IS_NG!BC12,IS_NG!BC14:BC22)</f>
        <v>38.754667820910448</v>
      </c>
      <c r="BD36" s="146">
        <f>IS!BD15-SUM(IS_NG!BD12,IS_NG!BD14:BD22)</f>
        <v>40.904646574803415</v>
      </c>
      <c r="BE36" s="146">
        <f>IS!BE15-SUM(IS_NG!BE12,IS_NG!BE14:BE22)</f>
        <v>42.888775437657017</v>
      </c>
      <c r="BF36" s="146">
        <f>IS!BF15-SUM(IS_NG!BF12,IS_NG!BF14:BF22)</f>
        <v>43.861237304558834</v>
      </c>
      <c r="BG36" s="146">
        <f>IS!BG15-SUM(IS_NG!BG12,IS_NG!BG14:BG22)</f>
        <v>46.392840352154657</v>
      </c>
      <c r="BH36" s="146">
        <f>IS!BH15-SUM(IS_NG!BH12,IS_NG!BH14:BH22)</f>
        <v>49.794438962815121</v>
      </c>
      <c r="BI36" s="146">
        <f>IS!BI15-SUM(IS_NG!BI12,IS_NG!BI14:BI22)</f>
        <v>51.894892141507519</v>
      </c>
      <c r="BJ36" s="146">
        <f>IS!BJ15-SUM(IS_NG!BJ12,IS_NG!BJ14:BJ22)</f>
        <v>52.886548425928396</v>
      </c>
      <c r="BK36" s="146">
        <f>IS!BK15-SUM(IS_NG!BK12,IS_NG!BK14:BK22)</f>
        <v>55.730726693741971</v>
      </c>
      <c r="BL36" s="146">
        <f>IS!BL15-SUM(IS_NG!BL12,IS_NG!BL14:BL22)</f>
        <v>60.807702790027705</v>
      </c>
      <c r="BM36" s="146">
        <f>IS!BM15-SUM(IS_NG!BM12,IS_NG!BM14:BM22)</f>
        <v>63.275775496636292</v>
      </c>
      <c r="BN36" s="146">
        <f>IS!BN15-SUM(IS_NG!BN12,IS_NG!BN14:BN22)</f>
        <v>64.302823331462747</v>
      </c>
      <c r="BO36" s="146">
        <f>IS!BO15-SUM(IS_NG!BO12,IS_NG!BO14:BO22)</f>
        <v>68.215036416154234</v>
      </c>
      <c r="BP36" s="146">
        <f>IS!BP15-SUM(IS_NG!BP12,IS_NG!BP14:BP22)</f>
        <v>75.702632679126424</v>
      </c>
      <c r="BQ36" s="146">
        <f>IS!BQ15-SUM(IS_NG!BQ12,IS_NG!BQ14:BQ22)</f>
        <v>78.43342012724699</v>
      </c>
      <c r="BR36" s="146">
        <f>IS!BR15-SUM(IS_NG!BR12,IS_NG!BR14:BR22)</f>
        <v>79.191660106260002</v>
      </c>
    </row>
    <row r="37" spans="1:70" x14ac:dyDescent="0.2">
      <c r="A37" s="68" t="s">
        <v>6</v>
      </c>
      <c r="B37" s="15"/>
      <c r="C37" s="91">
        <f>C36/C25</f>
        <v>0.10116665668244172</v>
      </c>
      <c r="D37" s="91">
        <f>D36/D25</f>
        <v>0.10862960088508726</v>
      </c>
      <c r="E37" s="91">
        <f>E36/E25</f>
        <v>0.1152587108478246</v>
      </c>
      <c r="F37" s="91">
        <f>F36/F25</f>
        <v>0.11831078930889705</v>
      </c>
      <c r="G37" s="91">
        <f>G36/G25</f>
        <v>0.12273111234728146</v>
      </c>
      <c r="H37" s="91">
        <f>H36/H25</f>
        <v>6.6223423538874268E-2</v>
      </c>
      <c r="I37" s="91">
        <f>I36/I25</f>
        <v>0.1173701540146965</v>
      </c>
      <c r="J37" s="91">
        <f>J36/J25</f>
        <v>0.10829175664606448</v>
      </c>
      <c r="K37" s="91">
        <f>K36/K25</f>
        <v>0.10739547134821549</v>
      </c>
      <c r="L37" s="93">
        <f>L36/L25</f>
        <v>0.26451338082915349</v>
      </c>
      <c r="M37" s="92">
        <f>M36/M25</f>
        <v>0.2568245525107109</v>
      </c>
      <c r="N37" s="91">
        <f>N36/N25</f>
        <v>0.27964092770251697</v>
      </c>
      <c r="O37" s="91">
        <f>O36/O25</f>
        <v>0.27964092770251697</v>
      </c>
      <c r="P37" s="91">
        <f>P36/P25</f>
        <v>0.27964092770251697</v>
      </c>
      <c r="Q37" s="91">
        <f>Q36/Q25</f>
        <v>0.27964092770251703</v>
      </c>
      <c r="R37" s="47"/>
      <c r="S37" s="91">
        <f>S36/S25</f>
        <v>0.11167580679966366</v>
      </c>
      <c r="T37" s="91">
        <f>T36/T25</f>
        <v>0.11144596155554899</v>
      </c>
      <c r="U37" s="91">
        <f>U36/U25</f>
        <v>0.12146426275495294</v>
      </c>
      <c r="V37" s="91">
        <f>V36/V25</f>
        <v>0.11632567122133974</v>
      </c>
      <c r="W37" s="91">
        <f>W36/W25</f>
        <v>0.11018435772680633</v>
      </c>
      <c r="X37" s="91">
        <f>X36/X25</f>
        <v>0.1199742311734988</v>
      </c>
      <c r="Y37" s="91">
        <f>Y36/Y25</f>
        <v>0.11761133062793679</v>
      </c>
      <c r="Z37" s="91">
        <f>Z36/Z25</f>
        <v>0.12629653571533508</v>
      </c>
      <c r="AA37" s="91">
        <f>AA36/AA25</f>
        <v>0.12132377981501412</v>
      </c>
      <c r="AB37" s="91">
        <f>AB36/AB25</f>
        <v>0.12206002710208901</v>
      </c>
      <c r="AC37" s="91">
        <f>AC36/AC25</f>
        <v>0.12320928672630578</v>
      </c>
      <c r="AD37" s="91">
        <f>AD36/AD25</f>
        <v>0.12441707308390587</v>
      </c>
      <c r="AE37" s="91">
        <f>AE36/AE25</f>
        <v>9.461981390838875E-2</v>
      </c>
      <c r="AF37" s="91">
        <f>AF36/AF25</f>
        <v>9.3924634001628191E-2</v>
      </c>
      <c r="AG37" s="91">
        <f>AG36/AG25</f>
        <v>5.3099717488881724E-2</v>
      </c>
      <c r="AH37" s="91">
        <f>AH36/AH25</f>
        <v>4.4832461938114528E-2</v>
      </c>
      <c r="AI37" s="91">
        <f>AI36/AI25</f>
        <v>0.11756228521301565</v>
      </c>
      <c r="AJ37" s="91">
        <f>AJ36/AJ25</f>
        <v>0.10793064681824351</v>
      </c>
      <c r="AK37" s="91">
        <f>AK36/AK25</f>
        <v>0.10536728847498875</v>
      </c>
      <c r="AL37" s="91">
        <f>AL36/AL25</f>
        <v>0.13896661709455227</v>
      </c>
      <c r="AM37" s="91">
        <f>AM36/AM25</f>
        <v>0.11456050231084371</v>
      </c>
      <c r="AN37" s="91">
        <f>AN36/AN25</f>
        <v>0.10101401869158878</v>
      </c>
      <c r="AO37" s="91">
        <f>AO36/AO25</f>
        <v>0.10547896496937126</v>
      </c>
      <c r="AP37" s="91">
        <f>AP36/AP25</f>
        <v>0.11238512075251367</v>
      </c>
      <c r="AQ37" s="91">
        <f>AQ36/AQ25</f>
        <v>0.10768848642527268</v>
      </c>
      <c r="AR37" s="91">
        <f>AR36/AR25</f>
        <v>0.10239441852784545</v>
      </c>
      <c r="AS37" s="91">
        <f>AS36/AS25</f>
        <v>0.10464900008895286</v>
      </c>
      <c r="AT37" s="91">
        <f>AT36/AT25</f>
        <v>0.1147345870030945</v>
      </c>
      <c r="AU37" s="91">
        <f>AU36/AU25</f>
        <v>0.25026801560346301</v>
      </c>
      <c r="AV37" s="91">
        <f>AV36/AV25</f>
        <v>0.2605197081276015</v>
      </c>
      <c r="AW37" s="91">
        <f>AW36/AW25</f>
        <v>0.26623452173190387</v>
      </c>
      <c r="AX37" s="91">
        <f>AX36/AX25</f>
        <v>0.27998694582517453</v>
      </c>
      <c r="AY37" s="91">
        <f>AY36/AY25</f>
        <v>0.24476671379519291</v>
      </c>
      <c r="AZ37" s="91">
        <f>AZ36/AZ25</f>
        <v>0.25383559742802958</v>
      </c>
      <c r="BA37" s="93">
        <f>BA36/BA25</f>
        <v>0.24841531110434056</v>
      </c>
      <c r="BB37" s="92">
        <f>BB36/BB25</f>
        <v>0.27964092770251697</v>
      </c>
      <c r="BC37" s="91">
        <f>BC36/BC25</f>
        <v>0.27964092770251697</v>
      </c>
      <c r="BD37" s="91">
        <f>BD36/BD25</f>
        <v>0.27964092770251697</v>
      </c>
      <c r="BE37" s="91">
        <f>BE36/BE25</f>
        <v>0.27964092770251697</v>
      </c>
      <c r="BF37" s="91">
        <f>BF36/BF25</f>
        <v>0.27964092770251697</v>
      </c>
      <c r="BG37" s="91">
        <f>BG36/BG25</f>
        <v>0.27964092770251697</v>
      </c>
      <c r="BH37" s="91">
        <f>BH36/BH25</f>
        <v>0.27964092770251697</v>
      </c>
      <c r="BI37" s="91">
        <f>BI36/BI25</f>
        <v>0.27964092770251697</v>
      </c>
      <c r="BJ37" s="91">
        <f>BJ36/BJ25</f>
        <v>0.27964092770251697</v>
      </c>
      <c r="BK37" s="91">
        <f>BK36/BK25</f>
        <v>0.27964092770251697</v>
      </c>
      <c r="BL37" s="91">
        <f>BL36/BL25</f>
        <v>0.27964092770251697</v>
      </c>
      <c r="BM37" s="91">
        <f>BM36/BM25</f>
        <v>0.27964092770251697</v>
      </c>
      <c r="BN37" s="91">
        <f>BN36/BN25</f>
        <v>0.27964092770251697</v>
      </c>
      <c r="BO37" s="91">
        <f>BO36/BO25</f>
        <v>0.27964092770251697</v>
      </c>
      <c r="BP37" s="91">
        <f>BP36/BP25</f>
        <v>0.27964092770251697</v>
      </c>
      <c r="BQ37" s="91">
        <f>BQ36/BQ25</f>
        <v>0.27964092770251697</v>
      </c>
      <c r="BR37" s="91">
        <f>BR36/BR25</f>
        <v>0.27964092770251697</v>
      </c>
    </row>
    <row r="38" spans="1:70" x14ac:dyDescent="0.2">
      <c r="A38" s="168" t="s">
        <v>214</v>
      </c>
      <c r="B38" s="10" t="s">
        <v>327</v>
      </c>
      <c r="C38" s="146">
        <f>IS!C17</f>
        <v>0</v>
      </c>
      <c r="D38" s="146">
        <f>IS!D17</f>
        <v>0</v>
      </c>
      <c r="E38" s="146">
        <f>IS!E17</f>
        <v>0</v>
      </c>
      <c r="F38" s="146">
        <f>IS!F17</f>
        <v>0</v>
      </c>
      <c r="G38" s="146">
        <f>IS!G17</f>
        <v>0</v>
      </c>
      <c r="H38" s="146">
        <f>IS!H17</f>
        <v>0.80400000000000005</v>
      </c>
      <c r="I38" s="146">
        <f>IS!I17</f>
        <v>19.097999999999999</v>
      </c>
      <c r="J38" s="146">
        <f>IS!J17</f>
        <v>19.356000000000002</v>
      </c>
      <c r="K38" s="146">
        <f>IS!K17</f>
        <v>18.861999999999998</v>
      </c>
      <c r="L38" s="146">
        <f>IS!L17</f>
        <v>20.497</v>
      </c>
      <c r="M38" s="77">
        <f>IS!M17</f>
        <v>30.438549842540603</v>
      </c>
      <c r="N38" s="76">
        <f>IS!N17</f>
        <v>36.243810826777704</v>
      </c>
      <c r="O38" s="76">
        <f>IS!O17</f>
        <v>43.770817362180033</v>
      </c>
      <c r="P38" s="76">
        <f>IS!P17</f>
        <v>53.168482475726819</v>
      </c>
      <c r="Q38" s="76">
        <f>IS!Q17</f>
        <v>65.675755985723029</v>
      </c>
      <c r="R38" s="51"/>
      <c r="S38" s="146">
        <f>IS!S17</f>
        <v>0</v>
      </c>
      <c r="T38" s="146">
        <f>IS!T17</f>
        <v>0</v>
      </c>
      <c r="U38" s="146">
        <f>IS!U17</f>
        <v>0</v>
      </c>
      <c r="V38" s="146">
        <f>IS!V17</f>
        <v>0</v>
      </c>
      <c r="W38" s="146">
        <f>IS!W17</f>
        <v>0</v>
      </c>
      <c r="X38" s="146">
        <f>IS!X17</f>
        <v>0</v>
      </c>
      <c r="Y38" s="146">
        <f>IS!Y17</f>
        <v>0</v>
      </c>
      <c r="Z38" s="146">
        <f>IS!Z17</f>
        <v>0</v>
      </c>
      <c r="AA38" s="146">
        <f>IS!AA17</f>
        <v>0</v>
      </c>
      <c r="AB38" s="146">
        <f>IS!AB17</f>
        <v>0</v>
      </c>
      <c r="AC38" s="146">
        <f>IS!AC17</f>
        <v>0</v>
      </c>
      <c r="AD38" s="146">
        <f>IS!AD17</f>
        <v>0</v>
      </c>
      <c r="AE38" s="146">
        <f>IS!AE17</f>
        <v>0</v>
      </c>
      <c r="AF38" s="146">
        <f>IS!AF17</f>
        <v>0</v>
      </c>
      <c r="AG38" s="146">
        <f>IS!AG17</f>
        <v>0</v>
      </c>
      <c r="AH38" s="146">
        <f>IS!AH17</f>
        <v>0.80400000000000005</v>
      </c>
      <c r="AI38" s="146">
        <f>IS!AI17</f>
        <v>5.4359999999999999</v>
      </c>
      <c r="AJ38" s="146">
        <f>IS!AJ17</f>
        <v>4.47</v>
      </c>
      <c r="AK38" s="146">
        <f>IS!AK17</f>
        <v>5.4630000000000001</v>
      </c>
      <c r="AL38" s="146">
        <f>IS!AL17</f>
        <v>3.7290000000000001</v>
      </c>
      <c r="AM38" s="146">
        <f>IS!AM17</f>
        <v>5.3680000000000003</v>
      </c>
      <c r="AN38" s="146">
        <f>IS!AN17</f>
        <v>4.6710000000000003</v>
      </c>
      <c r="AO38" s="146">
        <f>IS!AO17</f>
        <v>4.46</v>
      </c>
      <c r="AP38" s="146">
        <f>IS!AP17</f>
        <v>4.8559999999999999</v>
      </c>
      <c r="AQ38" s="146">
        <f>IS!AQ17</f>
        <v>4.5430000000000001</v>
      </c>
      <c r="AR38" s="146">
        <f>IS!AR17</f>
        <v>4.6180000000000003</v>
      </c>
      <c r="AS38" s="146">
        <f>IS!AS17</f>
        <v>4.5449999999999999</v>
      </c>
      <c r="AT38" s="146">
        <f>IS!AT17</f>
        <v>5.1559999999999997</v>
      </c>
      <c r="AU38" s="146">
        <f>IS!AU17</f>
        <v>4.3109999999999999</v>
      </c>
      <c r="AV38" s="146">
        <f>IS!AV17</f>
        <v>4.5949999999999998</v>
      </c>
      <c r="AW38" s="146">
        <f>IS!AW17</f>
        <v>5.407</v>
      </c>
      <c r="AX38" s="146">
        <f>IS!AX17</f>
        <v>6.1840000000000002</v>
      </c>
      <c r="AY38" s="146">
        <f>IS!AY17</f>
        <v>7.5309999999999997</v>
      </c>
      <c r="AZ38" s="146">
        <f>IS!AZ17</f>
        <v>6.6719999999999997</v>
      </c>
      <c r="BA38" s="154">
        <f>IS!BA17</f>
        <v>8.1959999999999997</v>
      </c>
      <c r="BB38" s="166">
        <f>IS!BB17</f>
        <v>8.0395498425406018</v>
      </c>
      <c r="BC38" s="146">
        <f>IS!BC17</f>
        <v>8.4407339018410887</v>
      </c>
      <c r="BD38" s="146">
        <f>IS!BD17</f>
        <v>8.9089974576038049</v>
      </c>
      <c r="BE38" s="146">
        <f>IS!BE17</f>
        <v>9.3411390472492588</v>
      </c>
      <c r="BF38" s="146">
        <f>IS!BF17</f>
        <v>9.5529404200835515</v>
      </c>
      <c r="BG38" s="146">
        <f>IS!BG17</f>
        <v>10.104321424523917</v>
      </c>
      <c r="BH38" s="146">
        <f>IS!BH17</f>
        <v>10.845186727411781</v>
      </c>
      <c r="BI38" s="146">
        <f>IS!BI17</f>
        <v>11.302663654747299</v>
      </c>
      <c r="BJ38" s="146">
        <f>IS!BJ17</f>
        <v>11.51864555549704</v>
      </c>
      <c r="BK38" s="146">
        <f>IS!BK17</f>
        <v>12.138105178759776</v>
      </c>
      <c r="BL38" s="146">
        <f>IS!BL17</f>
        <v>13.243866282242486</v>
      </c>
      <c r="BM38" s="146">
        <f>IS!BM17</f>
        <v>13.781410432102017</v>
      </c>
      <c r="BN38" s="146">
        <f>IS!BN17</f>
        <v>14.005100582622536</v>
      </c>
      <c r="BO38" s="146">
        <f>IS!BO17</f>
        <v>14.857177286460633</v>
      </c>
      <c r="BP38" s="146">
        <f>IS!BP17</f>
        <v>16.487969425157985</v>
      </c>
      <c r="BQ38" s="146">
        <f>IS!BQ17</f>
        <v>17.082732623712268</v>
      </c>
      <c r="BR38" s="146">
        <f>IS!BR17</f>
        <v>17.247876650392147</v>
      </c>
    </row>
    <row r="39" spans="1:70" x14ac:dyDescent="0.2">
      <c r="A39" s="68" t="s">
        <v>6</v>
      </c>
      <c r="B39" s="15"/>
      <c r="C39" s="91">
        <f>C38/C25</f>
        <v>0</v>
      </c>
      <c r="D39" s="91">
        <f>D38/D25</f>
        <v>0</v>
      </c>
      <c r="E39" s="91">
        <f>E38/E25</f>
        <v>0</v>
      </c>
      <c r="F39" s="91">
        <f>F38/F25</f>
        <v>0</v>
      </c>
      <c r="G39" s="91">
        <f>G38/G25</f>
        <v>0</v>
      </c>
      <c r="H39" s="91">
        <f>H38/H25</f>
        <v>1.3556967083886264E-3</v>
      </c>
      <c r="I39" s="91">
        <f>I38/I25</f>
        <v>2.3093135541880944E-2</v>
      </c>
      <c r="J39" s="91">
        <f>J38/J25</f>
        <v>2.2521222726934249E-2</v>
      </c>
      <c r="K39" s="91">
        <f>K38/K25</f>
        <v>1.9346672848192928E-2</v>
      </c>
      <c r="L39" s="93">
        <f>L38/L25</f>
        <v>4.3655687251738497E-2</v>
      </c>
      <c r="M39" s="92">
        <f>M38/M25</f>
        <v>5.8530014911665894E-2</v>
      </c>
      <c r="N39" s="91">
        <f>N38/N25</f>
        <v>6.0905557743611081E-2</v>
      </c>
      <c r="O39" s="91">
        <f>O38/O25</f>
        <v>6.0905557743611088E-2</v>
      </c>
      <c r="P39" s="91">
        <f>P38/P25</f>
        <v>6.0905557743611095E-2</v>
      </c>
      <c r="Q39" s="91">
        <f>Q38/Q25</f>
        <v>6.0905557743611095E-2</v>
      </c>
      <c r="R39" s="47"/>
      <c r="S39" s="91">
        <f>S38/S25</f>
        <v>0</v>
      </c>
      <c r="T39" s="91">
        <f>T38/T25</f>
        <v>0</v>
      </c>
      <c r="U39" s="91">
        <f>U38/U25</f>
        <v>0</v>
      </c>
      <c r="V39" s="91">
        <f>V38/V25</f>
        <v>0</v>
      </c>
      <c r="W39" s="91">
        <f>W38/W25</f>
        <v>0</v>
      </c>
      <c r="X39" s="91">
        <f>X38/X25</f>
        <v>0</v>
      </c>
      <c r="Y39" s="91">
        <f>Y38/Y25</f>
        <v>0</v>
      </c>
      <c r="Z39" s="91">
        <f>Z38/Z25</f>
        <v>0</v>
      </c>
      <c r="AA39" s="91">
        <f>AA38/AA25</f>
        <v>0</v>
      </c>
      <c r="AB39" s="91">
        <f>AB38/AB25</f>
        <v>0</v>
      </c>
      <c r="AC39" s="91">
        <f>AC38/AC25</f>
        <v>0</v>
      </c>
      <c r="AD39" s="91">
        <f>AD38/AD25</f>
        <v>0</v>
      </c>
      <c r="AE39" s="91">
        <f>AE38/AE25</f>
        <v>0</v>
      </c>
      <c r="AF39" s="91">
        <f>AF38/AF25</f>
        <v>0</v>
      </c>
      <c r="AG39" s="91">
        <f>AG38/AG25</f>
        <v>0</v>
      </c>
      <c r="AH39" s="91">
        <f>AH38/AH25</f>
        <v>5.2875604222156463E-3</v>
      </c>
      <c r="AI39" s="91">
        <f>AI38/AI25</f>
        <v>2.6200999648146987E-2</v>
      </c>
      <c r="AJ39" s="91">
        <f>AJ38/AJ25</f>
        <v>2.1660754782810952E-2</v>
      </c>
      <c r="AK39" s="91">
        <f>AK38/AK25</f>
        <v>2.6170561352073813E-2</v>
      </c>
      <c r="AL39" s="91">
        <f>AL38/AL25</f>
        <v>1.824221195992486E-2</v>
      </c>
      <c r="AM39" s="91">
        <f>AM38/AM25</f>
        <v>2.6087505892529974E-2</v>
      </c>
      <c r="AN39" s="91">
        <f>AN38/AN25</f>
        <v>2.182710280373832E-2</v>
      </c>
      <c r="AO39" s="91">
        <f>AO38/AO25</f>
        <v>2.0074085076313031E-2</v>
      </c>
      <c r="AP39" s="91">
        <f>AP38/AP25</f>
        <v>2.2325307685588314E-2</v>
      </c>
      <c r="AQ39" s="91">
        <f>AQ38/AQ25</f>
        <v>1.9125441510164733E-2</v>
      </c>
      <c r="AR39" s="91">
        <f>AR38/AR25</f>
        <v>1.9064525451017628E-2</v>
      </c>
      <c r="AS39" s="91">
        <f>AS38/AS25</f>
        <v>1.837685284770461E-2</v>
      </c>
      <c r="AT39" s="91">
        <f>AT38/AT25</f>
        <v>2.0802149609253646E-2</v>
      </c>
      <c r="AU39" s="91">
        <f>AU38/AU25</f>
        <v>3.8837487950559003E-2</v>
      </c>
      <c r="AV39" s="91">
        <f>AV38/AV25</f>
        <v>3.8716907365902158E-2</v>
      </c>
      <c r="AW39" s="91">
        <f>AW38/AW25</f>
        <v>4.4934762735809854E-2</v>
      </c>
      <c r="AX39" s="91">
        <f>AX38/AX25</f>
        <v>5.1748087898110494E-2</v>
      </c>
      <c r="AY39" s="91">
        <f>AY38/AY25</f>
        <v>6.0844273884063819E-2</v>
      </c>
      <c r="AZ39" s="91">
        <f>AZ38/AZ25</f>
        <v>5.1439409125252494E-2</v>
      </c>
      <c r="BA39" s="93">
        <f>BA38/BA25</f>
        <v>6.0905557743611088E-2</v>
      </c>
      <c r="BB39" s="92">
        <f>BB38/BB25</f>
        <v>6.0905557743611088E-2</v>
      </c>
      <c r="BC39" s="91">
        <f>BC38/BC25</f>
        <v>6.0905557743611088E-2</v>
      </c>
      <c r="BD39" s="91">
        <f>BD38/BD25</f>
        <v>6.0905557743611095E-2</v>
      </c>
      <c r="BE39" s="91">
        <f>BE38/BE25</f>
        <v>6.0905557743611081E-2</v>
      </c>
      <c r="BF39" s="91">
        <f>BF38/BF25</f>
        <v>6.0905557743611088E-2</v>
      </c>
      <c r="BG39" s="91">
        <f>BG38/BG25</f>
        <v>6.0905557743611081E-2</v>
      </c>
      <c r="BH39" s="91">
        <f>BH38/BH25</f>
        <v>6.0905557743611088E-2</v>
      </c>
      <c r="BI39" s="91">
        <f>BI38/BI25</f>
        <v>6.0905557743611088E-2</v>
      </c>
      <c r="BJ39" s="91">
        <f>BJ38/BJ25</f>
        <v>6.0905557743611088E-2</v>
      </c>
      <c r="BK39" s="91">
        <f>BK38/BK25</f>
        <v>6.0905557743611088E-2</v>
      </c>
      <c r="BL39" s="91">
        <f>BL38/BL25</f>
        <v>6.0905557743611081E-2</v>
      </c>
      <c r="BM39" s="91">
        <f>BM38/BM25</f>
        <v>6.0905557743611088E-2</v>
      </c>
      <c r="BN39" s="91">
        <f>BN38/BN25</f>
        <v>6.0905557743611088E-2</v>
      </c>
      <c r="BO39" s="91">
        <f>BO38/BO25</f>
        <v>6.0905557743611088E-2</v>
      </c>
      <c r="BP39" s="91">
        <f>BP38/BP25</f>
        <v>6.0905557743611095E-2</v>
      </c>
      <c r="BQ39" s="91">
        <f>BQ38/BQ25</f>
        <v>6.0905557743611095E-2</v>
      </c>
      <c r="BR39" s="91">
        <f>BR38/BR25</f>
        <v>6.0905557743611088E-2</v>
      </c>
    </row>
    <row r="40" spans="1:70" x14ac:dyDescent="0.2">
      <c r="A40" s="275" t="s">
        <v>216</v>
      </c>
      <c r="B40" s="10"/>
      <c r="C40" s="146">
        <f>IS!C21</f>
        <v>9.74</v>
      </c>
      <c r="D40" s="146">
        <f>IS!D21</f>
        <v>9.3230000000000004</v>
      </c>
      <c r="E40" s="146">
        <f>IS!E21</f>
        <v>7.9710000000000001</v>
      </c>
      <c r="F40" s="146">
        <f>IS!F21</f>
        <v>6.843</v>
      </c>
      <c r="G40" s="146">
        <f>IS!G21</f>
        <v>7.35</v>
      </c>
      <c r="H40" s="146">
        <f>IS!H21</f>
        <v>8.7449999999999992</v>
      </c>
      <c r="I40" s="146">
        <f>IS!I21</f>
        <v>45.551000000000002</v>
      </c>
      <c r="J40" s="146">
        <f>IS!J21</f>
        <v>49.994999999999997</v>
      </c>
      <c r="K40" s="146">
        <f>IS!K21</f>
        <v>47.281999999999996</v>
      </c>
      <c r="L40" s="146">
        <f>IS!L21</f>
        <v>61.225000000000001</v>
      </c>
      <c r="M40" s="77">
        <f>IS!M21</f>
        <v>61.771296086906752</v>
      </c>
      <c r="N40" s="76">
        <f>IS!N21</f>
        <v>70.82047710966873</v>
      </c>
      <c r="O40" s="76">
        <f>IS!O21</f>
        <v>85.528262573854718</v>
      </c>
      <c r="P40" s="76">
        <f>IS!P21</f>
        <v>103.89131855158186</v>
      </c>
      <c r="Q40" s="76">
        <f>IS!Q21</f>
        <v>128.330555406461</v>
      </c>
      <c r="R40" s="51"/>
      <c r="S40" s="146">
        <f>IS!S21</f>
        <v>2.121</v>
      </c>
      <c r="T40" s="146">
        <f>IS!T21</f>
        <v>2.2120000000000002</v>
      </c>
      <c r="U40" s="146">
        <f>IS!U21</f>
        <v>1.867</v>
      </c>
      <c r="V40" s="146">
        <f>IS!V21</f>
        <v>1.7709999999999999</v>
      </c>
      <c r="W40" s="146">
        <f>IS!W21</f>
        <v>1.7450000000000001</v>
      </c>
      <c r="X40" s="146">
        <f>IS!X21</f>
        <v>1.82</v>
      </c>
      <c r="Y40" s="146">
        <f>IS!Y21</f>
        <v>1.6950000000000001</v>
      </c>
      <c r="Z40" s="146">
        <f>IS!Z21</f>
        <v>1.5829999999999993</v>
      </c>
      <c r="AA40" s="146">
        <f>IS!AA21</f>
        <v>1.5680000000000001</v>
      </c>
      <c r="AB40" s="146">
        <f>IS!AB21</f>
        <v>1.9450000000000001</v>
      </c>
      <c r="AC40" s="146">
        <f>IS!AC21</f>
        <v>1.9079999999999999</v>
      </c>
      <c r="AD40" s="146">
        <f>IS!AD21</f>
        <v>1.9289999999999998</v>
      </c>
      <c r="AE40" s="146">
        <f>IS!AE21</f>
        <v>1.927</v>
      </c>
      <c r="AF40" s="146">
        <f>IS!AF21</f>
        <v>1.919</v>
      </c>
      <c r="AG40" s="146">
        <f>IS!AG21</f>
        <v>1.8560000000000001</v>
      </c>
      <c r="AH40" s="146">
        <f>IS!AH21</f>
        <v>3.0429999999999988</v>
      </c>
      <c r="AI40" s="146">
        <f>IS!AI21</f>
        <v>10.377000000000001</v>
      </c>
      <c r="AJ40" s="146">
        <f>IS!AJ21</f>
        <v>10.717000000000001</v>
      </c>
      <c r="AK40" s="146">
        <f>IS!AK21</f>
        <v>10.943</v>
      </c>
      <c r="AL40" s="146">
        <f>IS!AL21</f>
        <v>13.513</v>
      </c>
      <c r="AM40" s="146">
        <f>IS!AM21</f>
        <v>12.335000000000001</v>
      </c>
      <c r="AN40" s="146">
        <f>IS!AN21</f>
        <v>12.47</v>
      </c>
      <c r="AO40" s="146">
        <f>IS!AO21</f>
        <v>12.367000000000001</v>
      </c>
      <c r="AP40" s="146">
        <f>IS!AP21</f>
        <v>12.824</v>
      </c>
      <c r="AQ40" s="146">
        <f>IS!AQ21</f>
        <v>10.83</v>
      </c>
      <c r="AR40" s="146">
        <f>IS!AR21</f>
        <v>11.396000000000001</v>
      </c>
      <c r="AS40" s="146">
        <f>IS!AS21</f>
        <v>12.539</v>
      </c>
      <c r="AT40" s="146">
        <f>IS!AT21</f>
        <v>12.516999999999999</v>
      </c>
      <c r="AU40" s="146">
        <f>IS!AU21</f>
        <v>12.824999999999999</v>
      </c>
      <c r="AV40" s="146">
        <f>IS!AV21</f>
        <v>13.701000000000001</v>
      </c>
      <c r="AW40" s="146">
        <f>IS!AW21</f>
        <v>17.303999999999998</v>
      </c>
      <c r="AX40" s="146">
        <f>IS!AX21</f>
        <v>17.395</v>
      </c>
      <c r="AY40" s="146">
        <f>IS!AY21</f>
        <v>14.789</v>
      </c>
      <c r="AZ40" s="146">
        <f>IS!AZ21</f>
        <v>15.257999999999999</v>
      </c>
      <c r="BA40" s="154">
        <f>IS!BA21</f>
        <v>16.015000000000001</v>
      </c>
      <c r="BB40" s="166">
        <f>IS!BB21</f>
        <v>15.709296086906752</v>
      </c>
      <c r="BC40" s="146">
        <f>IS!BC21</f>
        <v>16.493210521960108</v>
      </c>
      <c r="BD40" s="146">
        <f>IS!BD21</f>
        <v>17.408198424051356</v>
      </c>
      <c r="BE40" s="146">
        <f>IS!BE21</f>
        <v>18.2526039338332</v>
      </c>
      <c r="BF40" s="146">
        <f>IS!BF21</f>
        <v>18.666464229824072</v>
      </c>
      <c r="BG40" s="146">
        <f>IS!BG21</f>
        <v>19.743863788890991</v>
      </c>
      <c r="BH40" s="146">
        <f>IS!BH21</f>
        <v>21.191516037030219</v>
      </c>
      <c r="BI40" s="146">
        <f>IS!BI21</f>
        <v>22.085426846117372</v>
      </c>
      <c r="BJ40" s="146">
        <f>IS!BJ21</f>
        <v>22.50745590181614</v>
      </c>
      <c r="BK40" s="146">
        <f>IS!BK21</f>
        <v>23.717881214963132</v>
      </c>
      <c r="BL40" s="146">
        <f>IS!BL21</f>
        <v>25.878540569803981</v>
      </c>
      <c r="BM40" s="146">
        <f>IS!BM21</f>
        <v>26.928902888008029</v>
      </c>
      <c r="BN40" s="146">
        <f>IS!BN21</f>
        <v>27.365993878806723</v>
      </c>
      <c r="BO40" s="146">
        <f>IS!BO21</f>
        <v>29.030953421506471</v>
      </c>
      <c r="BP40" s="146">
        <f>IS!BP21</f>
        <v>32.217524444107504</v>
      </c>
      <c r="BQ40" s="146">
        <f>IS!BQ21</f>
        <v>33.379692895162513</v>
      </c>
      <c r="BR40" s="146">
        <f>IS!BR21</f>
        <v>33.702384645684511</v>
      </c>
    </row>
    <row r="41" spans="1:70" x14ac:dyDescent="0.2">
      <c r="A41" s="68" t="s">
        <v>6</v>
      </c>
      <c r="B41" s="15"/>
      <c r="C41" s="91">
        <f>C40/C25</f>
        <v>1.4586952614868507E-2</v>
      </c>
      <c r="D41" s="91">
        <f>D40/D25</f>
        <v>1.5394904143067092E-2</v>
      </c>
      <c r="E41" s="91">
        <f>E40/E25</f>
        <v>1.465087682860257E-2</v>
      </c>
      <c r="F41" s="91">
        <f>F40/F25</f>
        <v>1.1707722682835859E-2</v>
      </c>
      <c r="G41" s="91">
        <f>G40/G25</f>
        <v>1.261923893112471E-2</v>
      </c>
      <c r="H41" s="91">
        <f>H40/H25</f>
        <v>1.474573098863002E-2</v>
      </c>
      <c r="I41" s="91">
        <f>I40/I25</f>
        <v>5.5079873131648284E-2</v>
      </c>
      <c r="J41" s="91">
        <f>J40/J25</f>
        <v>5.8170517164345813E-2</v>
      </c>
      <c r="K41" s="91">
        <f>K40/K25</f>
        <v>4.8496945478117802E-2</v>
      </c>
      <c r="L41" s="93">
        <f>L40/L25</f>
        <v>0.13040051968520708</v>
      </c>
      <c r="M41" s="92">
        <f>M40/M25</f>
        <v>0.11877947207677518</v>
      </c>
      <c r="N41" s="91">
        <f>N40/N25</f>
        <v>0.11900957872912779</v>
      </c>
      <c r="O41" s="91">
        <f>O40/O25</f>
        <v>0.11900957872912783</v>
      </c>
      <c r="P41" s="91">
        <f>P40/P25</f>
        <v>0.11900957872912782</v>
      </c>
      <c r="Q41" s="91">
        <f>Q40/Q25</f>
        <v>0.11900957872912785</v>
      </c>
      <c r="R41" s="47"/>
      <c r="S41" s="91">
        <f>S40/S25</f>
        <v>1.57825417258853E-2</v>
      </c>
      <c r="T41" s="91">
        <f>T40/T25</f>
        <v>1.6378876284690345E-2</v>
      </c>
      <c r="U41" s="91">
        <f>U40/U25</f>
        <v>1.3638887265501724E-2</v>
      </c>
      <c r="V41" s="91">
        <f>V40/V25</f>
        <v>1.2858117821307745E-2</v>
      </c>
      <c r="W41" s="91">
        <f>W40/W25</f>
        <v>1.1551318968655877E-2</v>
      </c>
      <c r="X41" s="91">
        <f>X40/X25</f>
        <v>1.2341911640050182E-2</v>
      </c>
      <c r="Y41" s="91">
        <f>Y40/Y25</f>
        <v>1.1313274241777018E-2</v>
      </c>
      <c r="Z41" s="91">
        <f>Z40/Z25</f>
        <v>1.1628419475215227E-2</v>
      </c>
      <c r="AA41" s="91">
        <f>AA40/AA25</f>
        <v>1.067959842530411E-2</v>
      </c>
      <c r="AB41" s="91">
        <f>AB40/AB25</f>
        <v>1.3047911663290087E-2</v>
      </c>
      <c r="AC41" s="91">
        <f>AC40/AC25</f>
        <v>1.3059458867495773E-2</v>
      </c>
      <c r="AD41" s="91">
        <f>AD40/AD25</f>
        <v>1.3733936136129015E-2</v>
      </c>
      <c r="AE41" s="91">
        <f>AE40/AE25</f>
        <v>1.2797949140272696E-2</v>
      </c>
      <c r="AF41" s="91">
        <f>AF40/AF25</f>
        <v>1.323941329874574E-2</v>
      </c>
      <c r="AG41" s="91">
        <f>AG40/AG25</f>
        <v>1.2757679697005109E-2</v>
      </c>
      <c r="AH41" s="91">
        <f>AH40/AH25</f>
        <v>2.0012495478609709E-2</v>
      </c>
      <c r="AI41" s="91">
        <f>AI40/AI25</f>
        <v>5.0016146679326946E-2</v>
      </c>
      <c r="AJ41" s="91">
        <f>AJ40/AJ25</f>
        <v>5.1932507607916109E-2</v>
      </c>
      <c r="AK41" s="91">
        <f>AK40/AK25</f>
        <v>5.2422561390397894E-2</v>
      </c>
      <c r="AL41" s="91">
        <f>AL40/AL25</f>
        <v>6.6105392924232939E-2</v>
      </c>
      <c r="AM41" s="91">
        <f>AM40/AM25</f>
        <v>5.9945861621527055E-2</v>
      </c>
      <c r="AN41" s="91">
        <f>AN40/AN25</f>
        <v>5.8271028037383182E-2</v>
      </c>
      <c r="AO41" s="91">
        <f>AO40/AO25</f>
        <v>5.5662827385372926E-2</v>
      </c>
      <c r="AP41" s="91">
        <f>AP40/AP25</f>
        <v>5.8957937759469635E-2</v>
      </c>
      <c r="AQ41" s="91">
        <f>AQ40/AQ25</f>
        <v>4.5592897106556028E-2</v>
      </c>
      <c r="AR41" s="91">
        <f>AR40/AR25</f>
        <v>4.7046195764356195E-2</v>
      </c>
      <c r="AS41" s="91">
        <f>AS40/AS25</f>
        <v>5.0699088637484735E-2</v>
      </c>
      <c r="AT41" s="91">
        <f>AT40/AT25</f>
        <v>5.0500486163504249E-2</v>
      </c>
      <c r="AU41" s="91">
        <f>AU40/AU25</f>
        <v>0.11553949964414734</v>
      </c>
      <c r="AV41" s="91">
        <f>AV40/AV25</f>
        <v>0.1154429483830741</v>
      </c>
      <c r="AW41" s="91">
        <f>AW40/AW25</f>
        <v>0.14380453752181499</v>
      </c>
      <c r="AX41" s="91">
        <f>AX40/AX25</f>
        <v>0.14556241736539974</v>
      </c>
      <c r="AY41" s="91">
        <f>AY40/AY25</f>
        <v>0.11948293274086043</v>
      </c>
      <c r="AZ41" s="91">
        <f>AZ40/AZ25</f>
        <v>0.11763526745100458</v>
      </c>
      <c r="BA41" s="93">
        <f>BA40/BA25</f>
        <v>0.11900957872912782</v>
      </c>
      <c r="BB41" s="92">
        <f>BB40/BB25</f>
        <v>0.11900957872912782</v>
      </c>
      <c r="BC41" s="91">
        <f>BC40/BC25</f>
        <v>0.11900957872912783</v>
      </c>
      <c r="BD41" s="91">
        <f>BD40/BD25</f>
        <v>0.11900957872912782</v>
      </c>
      <c r="BE41" s="91">
        <f>BE40/BE25</f>
        <v>0.11900957872912783</v>
      </c>
      <c r="BF41" s="91">
        <f>BF40/BF25</f>
        <v>0.11900957872912783</v>
      </c>
      <c r="BG41" s="91">
        <f>BG40/BG25</f>
        <v>0.11900957872912783</v>
      </c>
      <c r="BH41" s="91">
        <f>BH40/BH25</f>
        <v>0.11900957872912783</v>
      </c>
      <c r="BI41" s="91">
        <f>BI40/BI25</f>
        <v>0.1190095787291278</v>
      </c>
      <c r="BJ41" s="91">
        <f>BJ40/BJ25</f>
        <v>0.11900957872912782</v>
      </c>
      <c r="BK41" s="91">
        <f>BK40/BK25</f>
        <v>0.11900957872912782</v>
      </c>
      <c r="BL41" s="91">
        <f>BL40/BL25</f>
        <v>0.11900957872912782</v>
      </c>
      <c r="BM41" s="91">
        <f>BM40/BM25</f>
        <v>0.11900957872912782</v>
      </c>
      <c r="BN41" s="91">
        <f>BN40/BN25</f>
        <v>0.11900957872912782</v>
      </c>
      <c r="BO41" s="91">
        <f>BO40/BO25</f>
        <v>0.11900957872912782</v>
      </c>
      <c r="BP41" s="91">
        <f>BP40/BP25</f>
        <v>0.11900957872912782</v>
      </c>
      <c r="BQ41" s="91">
        <f>BQ40/BQ25</f>
        <v>0.11900957872912782</v>
      </c>
      <c r="BR41" s="91">
        <f>BR40/BR25</f>
        <v>0.11900957872912782</v>
      </c>
    </row>
    <row r="42" spans="1:70" x14ac:dyDescent="0.2">
      <c r="A42" s="275" t="s">
        <v>217</v>
      </c>
      <c r="B42" s="10"/>
      <c r="C42" s="146">
        <f>IS!C23</f>
        <v>8.1959999999999997</v>
      </c>
      <c r="D42" s="146">
        <f>IS!D23</f>
        <v>6.8719999999999999</v>
      </c>
      <c r="E42" s="146">
        <f>IS!E23</f>
        <v>8.673</v>
      </c>
      <c r="F42" s="146">
        <f>IS!F23</f>
        <v>9.7959999999999994</v>
      </c>
      <c r="G42" s="146">
        <f>IS!G23</f>
        <v>9.5879999999999992</v>
      </c>
      <c r="H42" s="146">
        <f>IS!H23</f>
        <v>14.199</v>
      </c>
      <c r="I42" s="146">
        <f>IS!I23</f>
        <v>85.472999999999999</v>
      </c>
      <c r="J42" s="146">
        <f>IS!J23</f>
        <v>94.638000000000005</v>
      </c>
      <c r="K42" s="146">
        <f>IS!K23</f>
        <v>69.504999999999995</v>
      </c>
      <c r="L42" s="146">
        <f>IS!L23</f>
        <v>65.245000000000005</v>
      </c>
      <c r="M42" s="77">
        <f>IS!M23</f>
        <v>67.971515995440029</v>
      </c>
      <c r="N42" s="76">
        <f>IS!N23</f>
        <v>75.866132082015397</v>
      </c>
      <c r="O42" s="76">
        <f>IS!O23</f>
        <v>91.621784122201149</v>
      </c>
      <c r="P42" s="76">
        <f>IS!P23</f>
        <v>111.29312900848818</v>
      </c>
      <c r="Q42" s="76">
        <f>IS!Q23</f>
        <v>137.47355657528846</v>
      </c>
      <c r="R42" s="51"/>
      <c r="S42" s="146">
        <f>IS!S23</f>
        <v>1.625</v>
      </c>
      <c r="T42" s="146">
        <f>IS!T23</f>
        <v>2.6949999999999998</v>
      </c>
      <c r="U42" s="146">
        <f>IS!U23</f>
        <v>1.929</v>
      </c>
      <c r="V42" s="146">
        <f>IS!V23</f>
        <v>2.4239999999999995</v>
      </c>
      <c r="W42" s="146">
        <f>IS!W23</f>
        <v>2.3210000000000002</v>
      </c>
      <c r="X42" s="146">
        <f>IS!X23</f>
        <v>2.3460000000000001</v>
      </c>
      <c r="Y42" s="146">
        <f>IS!Y23</f>
        <v>2.65</v>
      </c>
      <c r="Z42" s="146">
        <f>IS!Z23</f>
        <v>2.4789999999999988</v>
      </c>
      <c r="AA42" s="146">
        <f>IS!AA23</f>
        <v>2.27</v>
      </c>
      <c r="AB42" s="146">
        <f>IS!AB23</f>
        <v>2.2850000000000001</v>
      </c>
      <c r="AC42" s="146">
        <f>IS!AC23</f>
        <v>2.419</v>
      </c>
      <c r="AD42" s="146">
        <f>IS!AD23</f>
        <v>2.6139999999999985</v>
      </c>
      <c r="AE42" s="146">
        <f>IS!AE23</f>
        <v>2.3540000000000001</v>
      </c>
      <c r="AF42" s="146">
        <f>IS!AF23</f>
        <v>2.7690000000000001</v>
      </c>
      <c r="AG42" s="146">
        <f>IS!AG23</f>
        <v>3.3519999999999999</v>
      </c>
      <c r="AH42" s="146">
        <f>IS!AH23</f>
        <v>5.7239999999999993</v>
      </c>
      <c r="AI42" s="146">
        <f>IS!AI23</f>
        <v>20.655000000000001</v>
      </c>
      <c r="AJ42" s="146">
        <f>IS!AJ23</f>
        <v>20.771999999999998</v>
      </c>
      <c r="AK42" s="146">
        <f>IS!AK23</f>
        <v>21.512</v>
      </c>
      <c r="AL42" s="146">
        <f>IS!AL23</f>
        <v>22.533000000000001</v>
      </c>
      <c r="AM42" s="146">
        <f>IS!AM23</f>
        <v>23.183</v>
      </c>
      <c r="AN42" s="146">
        <f>IS!AN23</f>
        <v>23.6</v>
      </c>
      <c r="AO42" s="146">
        <f>IS!AO23</f>
        <v>24.103999999999999</v>
      </c>
      <c r="AP42" s="146">
        <f>IS!AP23</f>
        <v>23.751000000000001</v>
      </c>
      <c r="AQ42" s="146">
        <f>IS!AQ23</f>
        <v>17.324999999999999</v>
      </c>
      <c r="AR42" s="146">
        <f>IS!AR23</f>
        <v>17.439</v>
      </c>
      <c r="AS42" s="146">
        <f>IS!AS23</f>
        <v>17.321999999999999</v>
      </c>
      <c r="AT42" s="146">
        <f>IS!AT23</f>
        <v>17.419</v>
      </c>
      <c r="AU42" s="146">
        <f>IS!AU23</f>
        <v>16.303000000000001</v>
      </c>
      <c r="AV42" s="146">
        <f>IS!AV23</f>
        <v>16.552</v>
      </c>
      <c r="AW42" s="146">
        <f>IS!AW23</f>
        <v>16.088000000000001</v>
      </c>
      <c r="AX42" s="146">
        <f>IS!AX23</f>
        <v>16.302</v>
      </c>
      <c r="AY42" s="146">
        <f>IS!AY23</f>
        <v>16.297000000000001</v>
      </c>
      <c r="AZ42" s="146">
        <f>IS!AZ23</f>
        <v>17.690000000000001</v>
      </c>
      <c r="BA42" s="154">
        <f>IS!BA23</f>
        <v>17.155999999999999</v>
      </c>
      <c r="BB42" s="166">
        <f>IS!BB23</f>
        <v>16.828515995440036</v>
      </c>
      <c r="BC42" s="146">
        <f>IS!BC23</f>
        <v>17.668280968763508</v>
      </c>
      <c r="BD42" s="146">
        <f>IS!BD23</f>
        <v>18.648457830972529</v>
      </c>
      <c r="BE42" s="146">
        <f>IS!BE23</f>
        <v>19.55302360841975</v>
      </c>
      <c r="BF42" s="146">
        <f>IS!BF23</f>
        <v>19.996369673859615</v>
      </c>
      <c r="BG42" s="146">
        <f>IS!BG23</f>
        <v>21.150529326394864</v>
      </c>
      <c r="BH42" s="146">
        <f>IS!BH23</f>
        <v>22.701320582659402</v>
      </c>
      <c r="BI42" s="146">
        <f>IS!BI23</f>
        <v>23.658918699468597</v>
      </c>
      <c r="BJ42" s="146">
        <f>IS!BJ23</f>
        <v>24.111015513678282</v>
      </c>
      <c r="BK42" s="146">
        <f>IS!BK23</f>
        <v>25.407678434212141</v>
      </c>
      <c r="BL42" s="146">
        <f>IS!BL23</f>
        <v>27.722275492697911</v>
      </c>
      <c r="BM42" s="146">
        <f>IS!BM23</f>
        <v>28.847471617025644</v>
      </c>
      <c r="BN42" s="146">
        <f>IS!BN23</f>
        <v>29.315703464552488</v>
      </c>
      <c r="BO42" s="146">
        <f>IS!BO23</f>
        <v>31.099284227247264</v>
      </c>
      <c r="BP42" s="146">
        <f>IS!BP23</f>
        <v>34.512884755735762</v>
      </c>
      <c r="BQ42" s="146">
        <f>IS!BQ23</f>
        <v>35.757852719913082</v>
      </c>
      <c r="BR42" s="146">
        <f>IS!BR23</f>
        <v>36.103534872392345</v>
      </c>
    </row>
    <row r="43" spans="1:70" x14ac:dyDescent="0.2">
      <c r="A43" s="73" t="s">
        <v>6</v>
      </c>
      <c r="B43" s="169"/>
      <c r="C43" s="122">
        <f>C42/C25</f>
        <v>1.2274606122326722E-2</v>
      </c>
      <c r="D43" s="122">
        <f>D42/D25</f>
        <v>1.1347611420267837E-2</v>
      </c>
      <c r="E43" s="122">
        <f>E42/E25</f>
        <v>1.5941168577903661E-2</v>
      </c>
      <c r="F43" s="122">
        <f>F42/F25</f>
        <v>1.6760025047648702E-2</v>
      </c>
      <c r="G43" s="122">
        <f>G42/G25</f>
        <v>1.6461668417907988E-2</v>
      </c>
      <c r="H43" s="122">
        <f>H42/H25</f>
        <v>2.3942210898520031E-2</v>
      </c>
      <c r="I43" s="122">
        <f>I42/I25</f>
        <v>0.10335320840774898</v>
      </c>
      <c r="J43" s="122">
        <f>J42/J25</f>
        <v>0.11011383945193239</v>
      </c>
      <c r="K43" s="122">
        <f>K42/K25</f>
        <v>7.1290981672868708E-2</v>
      </c>
      <c r="L43" s="123">
        <f>L42/L25</f>
        <v>0.13896254645751469</v>
      </c>
      <c r="M43" s="177">
        <f>M42/M25</f>
        <v>0.13070181941524386</v>
      </c>
      <c r="N43" s="122">
        <f>N42/N25</f>
        <v>0.12748850032325421</v>
      </c>
      <c r="O43" s="122">
        <f>O42/O25</f>
        <v>0.12748850032325426</v>
      </c>
      <c r="P43" s="122">
        <f>P42/P25</f>
        <v>0.12748850032325423</v>
      </c>
      <c r="Q43" s="122">
        <f>Q42/Q25</f>
        <v>0.12748850032325426</v>
      </c>
      <c r="R43" s="58"/>
      <c r="S43" s="122">
        <f>S42/S25</f>
        <v>1.2091763462783411E-2</v>
      </c>
      <c r="T43" s="122">
        <f>T42/T25</f>
        <v>1.9955276486094246E-2</v>
      </c>
      <c r="U43" s="122">
        <f>U42/U25</f>
        <v>1.4091812284495353E-2</v>
      </c>
      <c r="V43" s="122">
        <f>V42/V25</f>
        <v>1.7599140372021437E-2</v>
      </c>
      <c r="W43" s="122">
        <f>W42/W25</f>
        <v>1.536424717836693E-2</v>
      </c>
      <c r="X43" s="122">
        <f>X42/X25</f>
        <v>1.5908859729427322E-2</v>
      </c>
      <c r="Y43" s="122">
        <f>Y42/Y25</f>
        <v>1.7687419906023065E-2</v>
      </c>
      <c r="Z43" s="122">
        <f>Z42/Z25</f>
        <v>1.8210266506038249E-2</v>
      </c>
      <c r="AA43" s="122">
        <f>AA42/AA25</f>
        <v>1.5460898230510414E-2</v>
      </c>
      <c r="AB43" s="122">
        <f>AB42/AB25</f>
        <v>1.5328780540163418E-2</v>
      </c>
      <c r="AC43" s="122">
        <f>AC42/AC25</f>
        <v>1.6557039308423626E-2</v>
      </c>
      <c r="AD43" s="122">
        <f>AD42/AD25</f>
        <v>1.8610943006656937E-2</v>
      </c>
      <c r="AE43" s="122">
        <f>AE42/AE25</f>
        <v>1.5633820589622174E-2</v>
      </c>
      <c r="AF43" s="122">
        <f>AF42/AF25</f>
        <v>1.9103666192927023E-2</v>
      </c>
      <c r="AG43" s="122">
        <f>AG42/AG25</f>
        <v>2.3040809452780777E-2</v>
      </c>
      <c r="AH43" s="122">
        <f>AH42/AH25</f>
        <v>3.7644273453684519E-2</v>
      </c>
      <c r="AI43" s="122">
        <f>AI42/AI25</f>
        <v>9.9555122835260496E-2</v>
      </c>
      <c r="AJ43" s="122">
        <f>AJ42/AJ25</f>
        <v>0.10065709135314298</v>
      </c>
      <c r="AK43" s="122">
        <f>AK42/AK25</f>
        <v>0.10305347168328974</v>
      </c>
      <c r="AL43" s="122">
        <f>AL42/AL25</f>
        <v>0.11023109737006889</v>
      </c>
      <c r="AM43" s="122">
        <f>AM42/AM25</f>
        <v>0.11266517308243709</v>
      </c>
      <c r="AN43" s="122">
        <f>AN42/AN25</f>
        <v>0.1102803738317757</v>
      </c>
      <c r="AO43" s="122">
        <f>AO42/AO25</f>
        <v>0.10849007773081822</v>
      </c>
      <c r="AP43" s="122">
        <f>AP42/AP25</f>
        <v>0.10919447752067712</v>
      </c>
      <c r="AQ43" s="122">
        <f>AQ42/AQ25</f>
        <v>7.2936005759102793E-2</v>
      </c>
      <c r="AR43" s="122">
        <f>AR42/AR25</f>
        <v>7.1993559839821655E-2</v>
      </c>
      <c r="AS43" s="122">
        <f>AS42/AS25</f>
        <v>7.0038249731119745E-2</v>
      </c>
      <c r="AT43" s="122">
        <f>AT42/AT25</f>
        <v>7.0277859589524691E-2</v>
      </c>
      <c r="AU43" s="122">
        <f>AU42/AU25</f>
        <v>0.14687255069774147</v>
      </c>
      <c r="AV43" s="122">
        <f>AV42/AV25</f>
        <v>0.13946512529279925</v>
      </c>
      <c r="AW43" s="122">
        <f>AW42/AW25</f>
        <v>0.13369899443197875</v>
      </c>
      <c r="AX43" s="122">
        <f>AX42/AX25</f>
        <v>0.13641612692674598</v>
      </c>
      <c r="AY43" s="122">
        <f>AY42/AY25</f>
        <v>0.1316663300343365</v>
      </c>
      <c r="AZ43" s="122">
        <f>AZ42/AZ25</f>
        <v>0.13638536382279928</v>
      </c>
      <c r="BA43" s="123">
        <f>BA42/BA25</f>
        <v>0.12748850032325423</v>
      </c>
      <c r="BB43" s="177">
        <f>BB42/BB25</f>
        <v>0.12748850032325423</v>
      </c>
      <c r="BC43" s="122">
        <f>BC42/BC25</f>
        <v>0.12748850032325423</v>
      </c>
      <c r="BD43" s="122">
        <f>BD42/BD25</f>
        <v>0.12748850032325423</v>
      </c>
      <c r="BE43" s="122">
        <f>BE42/BE25</f>
        <v>0.12748850032325423</v>
      </c>
      <c r="BF43" s="122">
        <f>BF42/BF25</f>
        <v>0.12748850032325423</v>
      </c>
      <c r="BG43" s="122">
        <f>BG42/BG25</f>
        <v>0.12748850032325423</v>
      </c>
      <c r="BH43" s="122">
        <f>BH42/BH25</f>
        <v>0.12748850032325423</v>
      </c>
      <c r="BI43" s="122">
        <f>BI42/BI25</f>
        <v>0.12748850032325423</v>
      </c>
      <c r="BJ43" s="122">
        <f>BJ42/BJ25</f>
        <v>0.12748850032325423</v>
      </c>
      <c r="BK43" s="122">
        <f>BK42/BK25</f>
        <v>0.12748850032325423</v>
      </c>
      <c r="BL43" s="122">
        <f>BL42/BL25</f>
        <v>0.12748850032325423</v>
      </c>
      <c r="BM43" s="122">
        <f>BM42/BM25</f>
        <v>0.12748850032325423</v>
      </c>
      <c r="BN43" s="122">
        <f>BN42/BN25</f>
        <v>0.12748850032325423</v>
      </c>
      <c r="BO43" s="122">
        <f>BO42/BO25</f>
        <v>0.12748850032325423</v>
      </c>
      <c r="BP43" s="122">
        <f>BP42/BP25</f>
        <v>0.12748850032325423</v>
      </c>
      <c r="BQ43" s="122">
        <f>BQ42/BQ25</f>
        <v>0.12748850032325423</v>
      </c>
      <c r="BR43" s="122">
        <f>BR42/BR25</f>
        <v>0.12748850032325423</v>
      </c>
    </row>
    <row r="44" spans="1:70" x14ac:dyDescent="0.2">
      <c r="A44" s="274" t="s">
        <v>24</v>
      </c>
      <c r="B44" s="10"/>
      <c r="C44" s="72">
        <f>SUM(C36,C42,C40,C38)</f>
        <v>85.486999999999981</v>
      </c>
      <c r="D44" s="72">
        <f>SUM(D36,D42,D40,D38)</f>
        <v>81.97999999999999</v>
      </c>
      <c r="E44" s="72">
        <f>SUM(E36,E42,E40,E38)</f>
        <v>79.352000000000004</v>
      </c>
      <c r="F44" s="72">
        <f>SUM(F36,F42,F40,F38)</f>
        <v>85.79</v>
      </c>
      <c r="G44" s="72">
        <f>SUM(G36,G42,G40,G38)</f>
        <v>88.421999999999983</v>
      </c>
      <c r="H44" s="72">
        <f>SUM(H36,H42,H40,H38)</f>
        <v>63.021999999999998</v>
      </c>
      <c r="I44" s="72">
        <f>SUM(I36,I42,I40,I38)</f>
        <v>247.18700000000001</v>
      </c>
      <c r="J44" s="72">
        <f>SUM(J36,J42,J40,J38)</f>
        <v>257.06100000000004</v>
      </c>
      <c r="K44" s="72">
        <f>SUM(K36,K42,K40,K38)</f>
        <v>240.35399999999996</v>
      </c>
      <c r="L44" s="98">
        <f>SUM(L36,L42,L40,L38)</f>
        <v>271.15999999999997</v>
      </c>
      <c r="M44" s="86">
        <f>SUM(M36,M42,M40,M38)</f>
        <v>293.74303885566405</v>
      </c>
      <c r="N44" s="72">
        <f>SUM(N36,N42,N40,N38)</f>
        <v>349.33974715639152</v>
      </c>
      <c r="O44" s="72">
        <f>SUM(O36,O42,O40,O38)</f>
        <v>421.88958394064156</v>
      </c>
      <c r="P44" s="72">
        <f>SUM(P36,P42,P40,P38)</f>
        <v>512.46995834766562</v>
      </c>
      <c r="Q44" s="72">
        <f>SUM(Q36,Q42,Q40,Q38)</f>
        <v>633.02261729626014</v>
      </c>
      <c r="R44" s="51"/>
      <c r="S44" s="72">
        <f>SUM(S36,S42,S40,S38)</f>
        <v>18.754000000000001</v>
      </c>
      <c r="T44" s="72">
        <f>SUM(T36,T42,T40,T38)</f>
        <v>19.958000000000002</v>
      </c>
      <c r="U44" s="72">
        <f>SUM(U36,U42,U40,U38)</f>
        <v>20.422999999999998</v>
      </c>
      <c r="V44" s="72">
        <f>SUM(V36,V42,V40,V38)</f>
        <v>20.216999999999999</v>
      </c>
      <c r="W44" s="72">
        <f>SUM(W36,W42,W40,W38)</f>
        <v>20.711000000000002</v>
      </c>
      <c r="X44" s="72">
        <f>SUM(X36,X42,X40,X38)</f>
        <v>21.858000000000001</v>
      </c>
      <c r="Y44" s="72">
        <f>SUM(Y36,Y42,Y40,Y38)</f>
        <v>21.966000000000001</v>
      </c>
      <c r="Z44" s="72">
        <f>SUM(Z36,Z42,Z40,Z38)</f>
        <v>21.254999999999995</v>
      </c>
      <c r="AA44" s="72">
        <f>SUM(AA36,AA42,AA40,AA38)</f>
        <v>21.651000000000003</v>
      </c>
      <c r="AB44" s="72">
        <f>SUM(AB36,AB42,AB40,AB38)</f>
        <v>22.425000000000001</v>
      </c>
      <c r="AC44" s="72">
        <f>SUM(AC36,AC42,AC40,AC38)</f>
        <v>22.328000000000003</v>
      </c>
      <c r="AD44" s="72">
        <f>SUM(AD36,AD42,AD40,AD38)</f>
        <v>22.017999999999986</v>
      </c>
      <c r="AE44" s="72">
        <f>SUM(AE36,AE42,AE40,AE38)</f>
        <v>18.528000000000002</v>
      </c>
      <c r="AF44" s="72">
        <f>SUM(AF36,AF42,AF40,AF38)</f>
        <v>18.302</v>
      </c>
      <c r="AG44" s="72">
        <f>SUM(AG36,AG42,AG40,AG38)</f>
        <v>12.933000000000002</v>
      </c>
      <c r="AH44" s="72">
        <f>SUM(AH36,AH42,AH40,AH38)</f>
        <v>16.388000000000002</v>
      </c>
      <c r="AI44" s="72">
        <f>SUM(AI36,AI42,AI40,AI38)</f>
        <v>60.859000000000002</v>
      </c>
      <c r="AJ44" s="72">
        <f>SUM(AJ36,AJ42,AJ40,AJ38)</f>
        <v>58.231999999999999</v>
      </c>
      <c r="AK44" s="72">
        <f>SUM(AK36,AK42,AK40,AK38)</f>
        <v>59.913000000000004</v>
      </c>
      <c r="AL44" s="72">
        <f>SUM(AL36,AL42,AL40,AL38)</f>
        <v>68.182000000000002</v>
      </c>
      <c r="AM44" s="72">
        <f>SUM(AM36,AM42,AM40,AM38)</f>
        <v>64.459000000000003</v>
      </c>
      <c r="AN44" s="72">
        <f>SUM(AN36,AN42,AN40,AN38)</f>
        <v>62.357999999999997</v>
      </c>
      <c r="AO44" s="72">
        <f>SUM(AO36,AO42,AO40,AO38)</f>
        <v>64.366</v>
      </c>
      <c r="AP44" s="72">
        <f>SUM(AP36,AP42,AP40,AP38)</f>
        <v>65.875999999999991</v>
      </c>
      <c r="AQ44" s="72">
        <f>SUM(AQ36,AQ42,AQ40,AQ38)</f>
        <v>58.277999999999999</v>
      </c>
      <c r="AR44" s="72">
        <f>SUM(AR36,AR42,AR40,AR38)</f>
        <v>58.256000000000007</v>
      </c>
      <c r="AS44" s="72">
        <f>SUM(AS36,AS42,AS40,AS38)</f>
        <v>60.288000000000004</v>
      </c>
      <c r="AT44" s="72">
        <f>SUM(AT36,AT42,AT40,AT38)</f>
        <v>63.529999999999994</v>
      </c>
      <c r="AU44" s="72">
        <f>SUM(AU36,AU42,AU40,AU38)</f>
        <v>61.219000000000001</v>
      </c>
      <c r="AV44" s="72">
        <f>SUM(AV36,AV42,AV40,AV38)</f>
        <v>65.76700000000001</v>
      </c>
      <c r="AW44" s="72">
        <f>SUM(AW36,AW42,AW40,AW38)</f>
        <v>70.834999999999994</v>
      </c>
      <c r="AX44" s="72">
        <f>SUM(AX36,AX42,AX40,AX38)</f>
        <v>73.34</v>
      </c>
      <c r="AY44" s="72">
        <f>SUM(AY36,AY42,AY40,AY38)</f>
        <v>68.913000000000011</v>
      </c>
      <c r="AZ44" s="72">
        <f>SUM(AZ36,AZ42,AZ40,AZ38)</f>
        <v>72.543999999999997</v>
      </c>
      <c r="BA44" s="98">
        <f>SUM(BA36,BA42,BA40,BA38)</f>
        <v>74.795999999999992</v>
      </c>
      <c r="BB44" s="86">
        <f>SUM(BB36,BB42,BB40,BB38)</f>
        <v>77.490038855664039</v>
      </c>
      <c r="BC44" s="72">
        <f>SUM(BC36,BC42,BC40,BC38)</f>
        <v>81.356893213475146</v>
      </c>
      <c r="BD44" s="72">
        <f>SUM(BD36,BD42,BD40,BD38)</f>
        <v>85.870300287431107</v>
      </c>
      <c r="BE44" s="72">
        <f>SUM(BE36,BE42,BE40,BE38)</f>
        <v>90.035542027159224</v>
      </c>
      <c r="BF44" s="72">
        <f>SUM(BF36,BF42,BF40,BF38)</f>
        <v>92.077011628326062</v>
      </c>
      <c r="BG44" s="72">
        <f>SUM(BG36,BG42,BG40,BG38)</f>
        <v>97.391554891964432</v>
      </c>
      <c r="BH44" s="72">
        <f>SUM(BH36,BH42,BH40,BH38)</f>
        <v>104.53246230991654</v>
      </c>
      <c r="BI44" s="72">
        <f>SUM(BI36,BI42,BI40,BI38)</f>
        <v>108.94190134184078</v>
      </c>
      <c r="BJ44" s="72">
        <f>SUM(BJ36,BJ42,BJ40,BJ38)</f>
        <v>111.02366539691987</v>
      </c>
      <c r="BK44" s="72">
        <f>SUM(BK36,BK42,BK40,BK38)</f>
        <v>116.99439152167702</v>
      </c>
      <c r="BL44" s="72">
        <f>SUM(BL36,BL42,BL40,BL38)</f>
        <v>127.65238513477209</v>
      </c>
      <c r="BM44" s="72">
        <f>SUM(BM36,BM42,BM40,BM38)</f>
        <v>132.83356043377196</v>
      </c>
      <c r="BN44" s="72">
        <f>SUM(BN36,BN42,BN40,BN38)</f>
        <v>134.9896212574445</v>
      </c>
      <c r="BO44" s="72">
        <f>SUM(BO36,BO42,BO40,BO38)</f>
        <v>143.20245135136861</v>
      </c>
      <c r="BP44" s="72">
        <f>SUM(BP36,BP42,BP40,BP38)</f>
        <v>158.92101130412769</v>
      </c>
      <c r="BQ44" s="72">
        <f>SUM(BQ36,BQ42,BQ40,BQ38)</f>
        <v>164.65369836603486</v>
      </c>
      <c r="BR44" s="72">
        <f>SUM(BR36,BR42,BR40,BR38)</f>
        <v>166.24545627472901</v>
      </c>
    </row>
    <row r="45" spans="1:70" x14ac:dyDescent="0.2">
      <c r="A45" s="68" t="s">
        <v>6</v>
      </c>
      <c r="B45" s="15"/>
      <c r="C45" s="91">
        <f>C44/C25</f>
        <v>0.12802821541963694</v>
      </c>
      <c r="D45" s="91">
        <f>D44/D25</f>
        <v>0.13537211644842218</v>
      </c>
      <c r="E45" s="91">
        <f>E44/E25</f>
        <v>0.14585075625433086</v>
      </c>
      <c r="F45" s="91">
        <f>F44/F25</f>
        <v>0.14677853703938162</v>
      </c>
      <c r="G45" s="91">
        <f>G44/G25</f>
        <v>0.15181201969631414</v>
      </c>
      <c r="H45" s="91">
        <f>H44/H25</f>
        <v>0.10626706213441295</v>
      </c>
      <c r="I45" s="91">
        <f>I44/I25</f>
        <v>0.29889637109597472</v>
      </c>
      <c r="J45" s="91">
        <f>J44/J25</f>
        <v>0.29909733598927696</v>
      </c>
      <c r="K45" s="91">
        <f>K44/K25</f>
        <v>0.24653007134739491</v>
      </c>
      <c r="L45" s="93">
        <f>L44/L25</f>
        <v>0.57753213422361371</v>
      </c>
      <c r="M45" s="92">
        <f>M44/M25</f>
        <v>0.56483585891439592</v>
      </c>
      <c r="N45" s="91">
        <f>N44/N25</f>
        <v>0.58704456449850995</v>
      </c>
      <c r="O45" s="91">
        <f>O44/O25</f>
        <v>0.58704456449851017</v>
      </c>
      <c r="P45" s="91">
        <f>P44/P25</f>
        <v>0.58704456449851017</v>
      </c>
      <c r="Q45" s="91">
        <f>Q44/Q25</f>
        <v>0.58704456449851017</v>
      </c>
      <c r="R45" s="47"/>
      <c r="S45" s="91">
        <f>S44/S25</f>
        <v>0.13955011198833236</v>
      </c>
      <c r="T45" s="91">
        <f>T44/T25</f>
        <v>0.14778011432633359</v>
      </c>
      <c r="U45" s="91">
        <f>U44/U25</f>
        <v>0.14919496230495002</v>
      </c>
      <c r="V45" s="91">
        <f>V44/V25</f>
        <v>0.14678292941466892</v>
      </c>
      <c r="W45" s="91">
        <f>W44/W25</f>
        <v>0.13709992387382916</v>
      </c>
      <c r="X45" s="91">
        <f>X44/X25</f>
        <v>0.1482250025429763</v>
      </c>
      <c r="Y45" s="91">
        <f>Y44/Y25</f>
        <v>0.14661202477573687</v>
      </c>
      <c r="Z45" s="91">
        <f>Z44/Z25</f>
        <v>0.15613522169658856</v>
      </c>
      <c r="AA45" s="91">
        <f>AA44/AA25</f>
        <v>0.14746427647082863</v>
      </c>
      <c r="AB45" s="91">
        <f>AB44/AB25</f>
        <v>0.1504367193055425</v>
      </c>
      <c r="AC45" s="91">
        <f>AC44/AC25</f>
        <v>0.1528257849022252</v>
      </c>
      <c r="AD45" s="91">
        <f>AD44/AD25</f>
        <v>0.15676195222669181</v>
      </c>
      <c r="AE45" s="91">
        <f>AE44/AE25</f>
        <v>0.12305158363828361</v>
      </c>
      <c r="AF45" s="91">
        <f>AF44/AF25</f>
        <v>0.12626771349330096</v>
      </c>
      <c r="AG45" s="91">
        <f>AG44/AG25</f>
        <v>8.8898206638667612E-2</v>
      </c>
      <c r="AH45" s="91">
        <f>AH44/AH25</f>
        <v>0.10777679129262441</v>
      </c>
      <c r="AI45" s="91">
        <f>AI44/AI25</f>
        <v>0.29333455437575007</v>
      </c>
      <c r="AJ45" s="91">
        <f>AJ44/AJ25</f>
        <v>0.28218100056211354</v>
      </c>
      <c r="AK45" s="91">
        <f>AK44/AK25</f>
        <v>0.28701388290075019</v>
      </c>
      <c r="AL45" s="91">
        <f>AL44/AL25</f>
        <v>0.33354531934877896</v>
      </c>
      <c r="AM45" s="91">
        <f>AM44/AM25</f>
        <v>0.31325904290733786</v>
      </c>
      <c r="AN45" s="91">
        <f>AN44/AN25</f>
        <v>0.29139252336448596</v>
      </c>
      <c r="AO45" s="91">
        <f>AO44/AO25</f>
        <v>0.28970595516187547</v>
      </c>
      <c r="AP45" s="91">
        <f>AP44/AP25</f>
        <v>0.30286284371824868</v>
      </c>
      <c r="AQ45" s="91">
        <f>AQ44/AQ25</f>
        <v>0.24534283080109623</v>
      </c>
      <c r="AR45" s="91">
        <f>AR44/AR25</f>
        <v>0.24049869958304096</v>
      </c>
      <c r="AS45" s="91">
        <f>AS44/AS25</f>
        <v>0.24376319130526197</v>
      </c>
      <c r="AT45" s="91">
        <f>AT44/AT25</f>
        <v>0.25631508236537703</v>
      </c>
      <c r="AU45" s="91">
        <f>AU44/AU25</f>
        <v>0.55151755389591084</v>
      </c>
      <c r="AV45" s="91">
        <f>AV44/AV25</f>
        <v>0.55414468916937709</v>
      </c>
      <c r="AW45" s="91">
        <f>AW44/AW25</f>
        <v>0.58867281642150748</v>
      </c>
      <c r="AX45" s="91">
        <f>AX44/AX25</f>
        <v>0.61371357801543081</v>
      </c>
      <c r="AY45" s="91">
        <f>AY44/AY25</f>
        <v>0.55676025045445365</v>
      </c>
      <c r="AZ45" s="91">
        <f>AZ44/AZ25</f>
        <v>0.55929563782708591</v>
      </c>
      <c r="BA45" s="93">
        <f>BA44/BA25</f>
        <v>0.55581894790033359</v>
      </c>
      <c r="BB45" s="92">
        <f>BB44/BB25</f>
        <v>0.58704456449851006</v>
      </c>
      <c r="BC45" s="91">
        <f>BC44/BC25</f>
        <v>0.58704456449851006</v>
      </c>
      <c r="BD45" s="91">
        <f>BD44/BD25</f>
        <v>0.58704456449851017</v>
      </c>
      <c r="BE45" s="91">
        <f>BE44/BE25</f>
        <v>0.58704456449851006</v>
      </c>
      <c r="BF45" s="91">
        <f>BF44/BF25</f>
        <v>0.58704456449851006</v>
      </c>
      <c r="BG45" s="91">
        <f>BG44/BG25</f>
        <v>0.58704456449851017</v>
      </c>
      <c r="BH45" s="91">
        <f>BH44/BH25</f>
        <v>0.58704456449851017</v>
      </c>
      <c r="BI45" s="91">
        <f>BI44/BI25</f>
        <v>0.58704456449851006</v>
      </c>
      <c r="BJ45" s="91">
        <f>BJ44/BJ25</f>
        <v>0.58704456449851017</v>
      </c>
      <c r="BK45" s="91">
        <f>BK44/BK25</f>
        <v>0.58704456449851006</v>
      </c>
      <c r="BL45" s="91">
        <f>BL44/BL25</f>
        <v>0.58704456449851017</v>
      </c>
      <c r="BM45" s="91">
        <f>BM44/BM25</f>
        <v>0.58704456449851006</v>
      </c>
      <c r="BN45" s="91">
        <f>BN44/BN25</f>
        <v>0.58704456449851017</v>
      </c>
      <c r="BO45" s="91">
        <f>BO44/BO25</f>
        <v>0.58704456449851017</v>
      </c>
      <c r="BP45" s="91">
        <f>BP44/BP25</f>
        <v>0.58704456449851017</v>
      </c>
      <c r="BQ45" s="91">
        <f>BQ44/BQ25</f>
        <v>0.58704456449851017</v>
      </c>
      <c r="BR45" s="91">
        <f>BR44/BR25</f>
        <v>0.58704456449851017</v>
      </c>
    </row>
    <row r="46" spans="1:70" x14ac:dyDescent="0.2">
      <c r="A46" s="267"/>
      <c r="B46" s="9"/>
      <c r="C46" s="101"/>
      <c r="D46" s="101"/>
      <c r="E46" s="101"/>
      <c r="F46" s="101"/>
      <c r="G46" s="101"/>
      <c r="H46" s="101"/>
      <c r="I46" s="101"/>
      <c r="J46" s="101"/>
      <c r="K46" s="101"/>
      <c r="L46" s="102"/>
      <c r="M46" s="176"/>
      <c r="N46" s="101"/>
      <c r="O46" s="101"/>
      <c r="P46" s="101"/>
      <c r="Q46" s="101"/>
      <c r="R46" s="46"/>
      <c r="S46" s="101"/>
      <c r="T46" s="101"/>
      <c r="U46" s="101"/>
      <c r="V46" s="101"/>
      <c r="W46" s="101"/>
      <c r="X46" s="101"/>
      <c r="Y46" s="101"/>
      <c r="Z46" s="101"/>
      <c r="AA46" s="101"/>
      <c r="AB46" s="101"/>
      <c r="AC46" s="101"/>
      <c r="AD46" s="101"/>
      <c r="AE46" s="101"/>
      <c r="AF46" s="101"/>
      <c r="AG46" s="101"/>
      <c r="AH46" s="101"/>
      <c r="AI46" s="101"/>
      <c r="AJ46" s="101"/>
      <c r="AK46" s="101"/>
      <c r="AL46" s="101"/>
      <c r="AM46" s="101"/>
      <c r="AN46" s="101"/>
      <c r="AO46" s="101"/>
      <c r="AP46" s="101"/>
      <c r="AQ46" s="101"/>
      <c r="AR46" s="101"/>
      <c r="AS46" s="101"/>
      <c r="AT46" s="101"/>
      <c r="AU46" s="101"/>
      <c r="AV46" s="101"/>
      <c r="AW46" s="101"/>
      <c r="AX46" s="101"/>
      <c r="AY46" s="101"/>
      <c r="AZ46" s="101"/>
      <c r="BA46" s="102"/>
      <c r="BB46" s="176"/>
      <c r="BC46" s="101"/>
      <c r="BD46" s="101"/>
      <c r="BE46" s="101"/>
      <c r="BF46" s="101"/>
      <c r="BG46" s="101"/>
      <c r="BH46" s="101"/>
      <c r="BI46" s="101"/>
      <c r="BJ46" s="101"/>
      <c r="BK46" s="101"/>
      <c r="BL46" s="101"/>
      <c r="BM46" s="101"/>
      <c r="BN46" s="101"/>
      <c r="BO46" s="101"/>
      <c r="BP46" s="101"/>
      <c r="BQ46" s="101"/>
      <c r="BR46" s="101"/>
    </row>
    <row r="47" spans="1:70" x14ac:dyDescent="0.2">
      <c r="A47" s="274" t="s">
        <v>218</v>
      </c>
      <c r="B47" s="10"/>
      <c r="C47" s="72">
        <f>C44+C29</f>
        <v>587.29700000000003</v>
      </c>
      <c r="D47" s="72">
        <f>D44+D29</f>
        <v>545.02499999999998</v>
      </c>
      <c r="E47" s="72">
        <f>E44+E29</f>
        <v>498.95799999999997</v>
      </c>
      <c r="F47" s="72">
        <f>F44+F29</f>
        <v>521.84900000000005</v>
      </c>
      <c r="G47" s="72">
        <f>G44+G29</f>
        <v>528.21600000000001</v>
      </c>
      <c r="H47" s="72">
        <f>H44+H29</f>
        <v>503.09300000000002</v>
      </c>
      <c r="I47" s="72">
        <f>I44+I29</f>
        <v>757.58400000000006</v>
      </c>
      <c r="J47" s="72">
        <f>J44+J29</f>
        <v>806.07500000000005</v>
      </c>
      <c r="K47" s="72">
        <f>K44+K29</f>
        <v>878.89899999999989</v>
      </c>
      <c r="L47" s="72">
        <f>L44+L29</f>
        <v>365.59699999999998</v>
      </c>
      <c r="M47" s="86">
        <f>M44+M29</f>
        <v>400.43725145295093</v>
      </c>
      <c r="N47" s="72">
        <f>N44+N29</f>
        <v>474.3888543500982</v>
      </c>
      <c r="O47" s="72">
        <f>O44+O29</f>
        <v>572.90851675759211</v>
      </c>
      <c r="P47" s="72">
        <f>P44+P29</f>
        <v>695.91289971523554</v>
      </c>
      <c r="Q47" s="72">
        <f>Q44+Q29</f>
        <v>859.61839911230163</v>
      </c>
      <c r="R47" s="51"/>
      <c r="S47" s="72">
        <f>S44+S29</f>
        <v>123.98700000000001</v>
      </c>
      <c r="T47" s="72">
        <f>T44+T29</f>
        <v>125.672</v>
      </c>
      <c r="U47" s="72">
        <f>U44+U29</f>
        <v>127.376</v>
      </c>
      <c r="V47" s="72">
        <f>V44+V29</f>
        <v>121.92300000000002</v>
      </c>
      <c r="W47" s="72">
        <f>W44+W29</f>
        <v>134.52600000000001</v>
      </c>
      <c r="X47" s="72">
        <f>X44+X29</f>
        <v>130.23599999999999</v>
      </c>
      <c r="Y47" s="72">
        <f>Y44+Y29</f>
        <v>133.339</v>
      </c>
      <c r="Z47" s="72">
        <f>Z44+Z29</f>
        <v>123.74800000000005</v>
      </c>
      <c r="AA47" s="72">
        <f>AA44+AA29</f>
        <v>132.75</v>
      </c>
      <c r="AB47" s="72">
        <f>AB44+AB29</f>
        <v>134.149</v>
      </c>
      <c r="AC47" s="72">
        <f>AC44+AC29</f>
        <v>133.434</v>
      </c>
      <c r="AD47" s="72">
        <f>AD44+AD29</f>
        <v>127.88299999999998</v>
      </c>
      <c r="AE47" s="72">
        <f>AE44+AE29</f>
        <v>131.76599999999999</v>
      </c>
      <c r="AF47" s="72">
        <f>AF44+AF29</f>
        <v>127.67699999999999</v>
      </c>
      <c r="AG47" s="72">
        <f>AG44+AG29</f>
        <v>121.501</v>
      </c>
      <c r="AH47" s="72">
        <f>AH44+AH29</f>
        <v>125.27800000000005</v>
      </c>
      <c r="AI47" s="72">
        <f>AI44+AI29</f>
        <v>187.88200000000001</v>
      </c>
      <c r="AJ47" s="72">
        <f>AJ44+AJ29</f>
        <v>185.45400000000001</v>
      </c>
      <c r="AK47" s="72">
        <f>AK44+AK29</f>
        <v>189.73000000000002</v>
      </c>
      <c r="AL47" s="72">
        <f>AL44+AL29</f>
        <v>194.517</v>
      </c>
      <c r="AM47" s="72">
        <f>AM44+AM29</f>
        <v>195.55200000000002</v>
      </c>
      <c r="AN47" s="72">
        <f>AN44+AN29</f>
        <v>198.82400000000001</v>
      </c>
      <c r="AO47" s="72">
        <f>AO44+AO29</f>
        <v>207.04399999999998</v>
      </c>
      <c r="AP47" s="72">
        <f>AP44+AP29</f>
        <v>204.65199999999999</v>
      </c>
      <c r="AQ47" s="72">
        <f>AQ44+AQ29</f>
        <v>211.52099999999999</v>
      </c>
      <c r="AR47" s="72">
        <f>AR44+AR29</f>
        <v>216.96199999999999</v>
      </c>
      <c r="AS47" s="72">
        <f>AS44+AS29</f>
        <v>223.946</v>
      </c>
      <c r="AT47" s="72">
        <f>AT44+AT29</f>
        <v>226.46800000000002</v>
      </c>
      <c r="AU47" s="72">
        <f>AU44+AU29</f>
        <v>82.103000000000009</v>
      </c>
      <c r="AV47" s="72">
        <f>AV44+AV29</f>
        <v>89.434000000000012</v>
      </c>
      <c r="AW47" s="72">
        <f>AW44+AW29</f>
        <v>95.436999999999998</v>
      </c>
      <c r="AX47" s="72">
        <f>AX44+AX29</f>
        <v>98.623999999999995</v>
      </c>
      <c r="AY47" s="72">
        <f>AY44+AY29</f>
        <v>93.551000000000016</v>
      </c>
      <c r="AZ47" s="72">
        <f>AZ44+AZ29</f>
        <v>98.584000000000003</v>
      </c>
      <c r="BA47" s="98">
        <f>BA44+BA29</f>
        <v>103.07399999999998</v>
      </c>
      <c r="BB47" s="86">
        <f>BB44+BB29</f>
        <v>105.2282514529509</v>
      </c>
      <c r="BC47" s="72">
        <f>BC44+BC29</f>
        <v>110.4792789231216</v>
      </c>
      <c r="BD47" s="72">
        <f>BD44+BD29</f>
        <v>116.60829810418566</v>
      </c>
      <c r="BE47" s="72">
        <f>BE44+BE29</f>
        <v>122.26452323483548</v>
      </c>
      <c r="BF47" s="72">
        <f>BF44+BF29</f>
        <v>125.03675408795547</v>
      </c>
      <c r="BG47" s="72">
        <f>BG44+BG29</f>
        <v>132.25368291083794</v>
      </c>
      <c r="BH47" s="72">
        <f>BH44+BH29</f>
        <v>141.95073833209204</v>
      </c>
      <c r="BI47" s="72">
        <f>BI44+BI29</f>
        <v>147.93857323409847</v>
      </c>
      <c r="BJ47" s="72">
        <f>BJ44+BJ29</f>
        <v>150.76552228056374</v>
      </c>
      <c r="BK47" s="72">
        <f>BK44+BK29</f>
        <v>158.8735201508826</v>
      </c>
      <c r="BL47" s="72">
        <f>BL44+BL29</f>
        <v>173.34663241750184</v>
      </c>
      <c r="BM47" s="72">
        <f>BM44+BM29</f>
        <v>180.38245308860127</v>
      </c>
      <c r="BN47" s="72">
        <f>BN44+BN29</f>
        <v>183.31029405824978</v>
      </c>
      <c r="BO47" s="72">
        <f>BO44+BO29</f>
        <v>194.46297591292713</v>
      </c>
      <c r="BP47" s="72">
        <f>BP44+BP29</f>
        <v>215.80812689766324</v>
      </c>
      <c r="BQ47" s="72">
        <f>BQ44+BQ29</f>
        <v>223.59287761607578</v>
      </c>
      <c r="BR47" s="72">
        <f>BR44+BR29</f>
        <v>225.75441868563544</v>
      </c>
    </row>
    <row r="48" spans="1:70" x14ac:dyDescent="0.2">
      <c r="A48" s="68" t="s">
        <v>6</v>
      </c>
      <c r="B48" s="15"/>
      <c r="C48" s="91">
        <f>C47/C25</f>
        <v>0.87955580183310367</v>
      </c>
      <c r="D48" s="91">
        <f>D47/D25</f>
        <v>0.89999009230667604</v>
      </c>
      <c r="E48" s="91">
        <f>E47/E25</f>
        <v>0.91709599807375242</v>
      </c>
      <c r="F48" s="91">
        <f>F47/F25</f>
        <v>0.89283404564010094</v>
      </c>
      <c r="G48" s="91">
        <f>G47/G25</f>
        <v>0.90689577023713874</v>
      </c>
      <c r="H48" s="91">
        <f>H47/H25</f>
        <v>0.84831035337482485</v>
      </c>
      <c r="I48" s="91">
        <f>I47/I25</f>
        <v>0.91606398556709268</v>
      </c>
      <c r="J48" s="91">
        <f>J47/J25</f>
        <v>0.9378897814431455</v>
      </c>
      <c r="K48" s="91">
        <f>K47/K25</f>
        <v>0.90148295088558561</v>
      </c>
      <c r="L48" s="93">
        <f>L47/L25</f>
        <v>0.77866947807844267</v>
      </c>
      <c r="M48" s="92">
        <f>M47/M25</f>
        <v>0.76999720485933199</v>
      </c>
      <c r="N48" s="91">
        <f>N47/N25</f>
        <v>0.79718211475153999</v>
      </c>
      <c r="O48" s="91">
        <f>O47/O25</f>
        <v>0.79718211475154011</v>
      </c>
      <c r="P48" s="91">
        <f>P47/P25</f>
        <v>0.79718211475154033</v>
      </c>
      <c r="Q48" s="91">
        <f>Q47/Q25</f>
        <v>0.79718211475154033</v>
      </c>
      <c r="R48" s="47"/>
      <c r="S48" s="91">
        <f>S47/S25</f>
        <v>0.92259783166777043</v>
      </c>
      <c r="T48" s="91">
        <f>T47/T25</f>
        <v>0.93054527145099664</v>
      </c>
      <c r="U48" s="91">
        <f>U47/U25</f>
        <v>0.93051253579568693</v>
      </c>
      <c r="V48" s="91">
        <f>V47/V25</f>
        <v>0.88520626715262818</v>
      </c>
      <c r="W48" s="91">
        <f>W47/W25</f>
        <v>0.89051732697845309</v>
      </c>
      <c r="X48" s="91">
        <f>X47/X25</f>
        <v>0.88316549689756885</v>
      </c>
      <c r="Y48" s="91">
        <f>Y47/Y25</f>
        <v>0.8899708991883809</v>
      </c>
      <c r="Z48" s="91">
        <f>Z47/Z25</f>
        <v>0.90902947139541068</v>
      </c>
      <c r="AA48" s="91">
        <f>AA47/AA25</f>
        <v>0.90415605290760237</v>
      </c>
      <c r="AB48" s="91">
        <f>AB47/AB25</f>
        <v>0.89993023224611912</v>
      </c>
      <c r="AC48" s="91">
        <f>AC47/AC25</f>
        <v>0.91329970362968083</v>
      </c>
      <c r="AD48" s="91">
        <f>AD47/AD25</f>
        <v>0.91049090456017978</v>
      </c>
      <c r="AE48" s="91">
        <f>AE47/AE25</f>
        <v>0.87510875268145916</v>
      </c>
      <c r="AF48" s="91">
        <f>AF47/AF25</f>
        <v>0.88085907855339229</v>
      </c>
      <c r="AG48" s="91">
        <f>AG47/AG25</f>
        <v>0.83516747891477239</v>
      </c>
      <c r="AH48" s="91">
        <f>AH47/AH25</f>
        <v>0.82389924698299999</v>
      </c>
      <c r="AI48" s="91">
        <f>AI47/AI25</f>
        <v>0.90557325531514943</v>
      </c>
      <c r="AJ48" s="91">
        <f>AJ47/AJ25</f>
        <v>0.89867418735826021</v>
      </c>
      <c r="AK48" s="91">
        <f>AK47/AK25</f>
        <v>0.9089036436626331</v>
      </c>
      <c r="AL48" s="91">
        <f>AL47/AL25</f>
        <v>0.95157424076393238</v>
      </c>
      <c r="AM48" s="91">
        <f>AM47/AM25</f>
        <v>0.95034723403428123</v>
      </c>
      <c r="AN48" s="91">
        <f>AN47/AN25</f>
        <v>0.92908411214953279</v>
      </c>
      <c r="AO48" s="91">
        <f>AO47/AO25</f>
        <v>0.93188763913456385</v>
      </c>
      <c r="AP48" s="91">
        <f>AP47/AP25</f>
        <v>0.94088115083834833</v>
      </c>
      <c r="AQ48" s="91">
        <f>AQ47/AQ25</f>
        <v>0.89047601005317056</v>
      </c>
      <c r="AR48" s="91">
        <f>AR47/AR25</f>
        <v>0.89568591834207156</v>
      </c>
      <c r="AS48" s="91">
        <f>AS47/AS25</f>
        <v>0.90548353967702022</v>
      </c>
      <c r="AT48" s="91">
        <f>AT47/AT25</f>
        <v>0.91369690025377337</v>
      </c>
      <c r="AU48" s="91">
        <f>AU47/AU25</f>
        <v>0.73966000306303548</v>
      </c>
      <c r="AV48" s="91">
        <f>AV47/AV25</f>
        <v>0.75355993326704984</v>
      </c>
      <c r="AW48" s="91">
        <f>AW47/AW25</f>
        <v>0.79312723344136959</v>
      </c>
      <c r="AX48" s="91">
        <f>AX47/AX25</f>
        <v>0.82529162691837787</v>
      </c>
      <c r="AY48" s="91">
        <f>AY47/AY25</f>
        <v>0.75581498687133919</v>
      </c>
      <c r="AZ48" s="91">
        <f>AZ47/AZ25</f>
        <v>0.76005736049219008</v>
      </c>
      <c r="BA48" s="93">
        <f>BA47/BA25</f>
        <v>0.76595649815336364</v>
      </c>
      <c r="BB48" s="92">
        <f>BB47/BB25</f>
        <v>0.79718211475154011</v>
      </c>
      <c r="BC48" s="91">
        <f>BC47/BC25</f>
        <v>0.79718211475154011</v>
      </c>
      <c r="BD48" s="91">
        <f>BD47/BD25</f>
        <v>0.79718211475154022</v>
      </c>
      <c r="BE48" s="91">
        <f>BE47/BE25</f>
        <v>0.79718211475154022</v>
      </c>
      <c r="BF48" s="91">
        <f>BF47/BF25</f>
        <v>0.79718211475154011</v>
      </c>
      <c r="BG48" s="91">
        <f>BG47/BG25</f>
        <v>0.79718211475154011</v>
      </c>
      <c r="BH48" s="91">
        <f>BH47/BH25</f>
        <v>0.79718211475154033</v>
      </c>
      <c r="BI48" s="91">
        <f>BI47/BI25</f>
        <v>0.79718211475154011</v>
      </c>
      <c r="BJ48" s="91">
        <f>BJ47/BJ25</f>
        <v>0.79718211475154011</v>
      </c>
      <c r="BK48" s="91">
        <f>BK47/BK25</f>
        <v>0.79718211475154022</v>
      </c>
      <c r="BL48" s="91">
        <f>BL47/BL25</f>
        <v>0.79718211475154022</v>
      </c>
      <c r="BM48" s="91">
        <f>BM47/BM25</f>
        <v>0.79718211475154011</v>
      </c>
      <c r="BN48" s="91">
        <f>BN47/BN25</f>
        <v>0.79718211475154022</v>
      </c>
      <c r="BO48" s="91">
        <f>BO47/BO25</f>
        <v>0.79718211475154011</v>
      </c>
      <c r="BP48" s="91">
        <f>BP47/BP25</f>
        <v>0.79718211475154022</v>
      </c>
      <c r="BQ48" s="91">
        <f>BQ47/BQ25</f>
        <v>0.79718211475154022</v>
      </c>
      <c r="BR48" s="91">
        <f>BR47/BR25</f>
        <v>0.79718211475154022</v>
      </c>
    </row>
    <row r="49" spans="1:70" x14ac:dyDescent="0.2">
      <c r="A49" s="267"/>
      <c r="B49" s="9"/>
      <c r="C49" s="101"/>
      <c r="D49" s="101"/>
      <c r="E49" s="101"/>
      <c r="F49" s="101"/>
      <c r="G49" s="101"/>
      <c r="H49" s="101"/>
      <c r="I49" s="101"/>
      <c r="J49" s="101"/>
      <c r="K49" s="101"/>
      <c r="L49" s="102"/>
      <c r="M49" s="176"/>
      <c r="N49" s="101"/>
      <c r="O49" s="101"/>
      <c r="P49" s="101"/>
      <c r="Q49" s="101"/>
      <c r="R49" s="46"/>
      <c r="S49" s="101"/>
      <c r="T49" s="101"/>
      <c r="U49" s="101"/>
      <c r="V49" s="101"/>
      <c r="W49" s="101"/>
      <c r="X49" s="101"/>
      <c r="Y49" s="101"/>
      <c r="Z49" s="101"/>
      <c r="AA49" s="101"/>
      <c r="AB49" s="101"/>
      <c r="AC49" s="101"/>
      <c r="AD49" s="101"/>
      <c r="AE49" s="101"/>
      <c r="AF49" s="101"/>
      <c r="AG49" s="101"/>
      <c r="AH49" s="101"/>
      <c r="AI49" s="101"/>
      <c r="AJ49" s="101"/>
      <c r="AK49" s="101"/>
      <c r="AL49" s="101"/>
      <c r="AM49" s="101"/>
      <c r="AN49" s="101"/>
      <c r="AO49" s="101"/>
      <c r="AP49" s="101"/>
      <c r="AQ49" s="101"/>
      <c r="AR49" s="101"/>
      <c r="AS49" s="101"/>
      <c r="AT49" s="101"/>
      <c r="AU49" s="101"/>
      <c r="AV49" s="101"/>
      <c r="AW49" s="101"/>
      <c r="AX49" s="101"/>
      <c r="AY49" s="101"/>
      <c r="AZ49" s="101"/>
      <c r="BA49" s="102"/>
      <c r="BB49" s="176"/>
      <c r="BC49" s="101"/>
      <c r="BD49" s="101"/>
      <c r="BE49" s="101"/>
      <c r="BF49" s="101"/>
      <c r="BG49" s="101"/>
      <c r="BH49" s="101"/>
      <c r="BI49" s="101"/>
      <c r="BJ49" s="101"/>
      <c r="BK49" s="101"/>
      <c r="BL49" s="101"/>
      <c r="BM49" s="101"/>
      <c r="BN49" s="101"/>
      <c r="BO49" s="101"/>
      <c r="BP49" s="101"/>
      <c r="BQ49" s="101"/>
      <c r="BR49" s="101"/>
    </row>
    <row r="50" spans="1:70" x14ac:dyDescent="0.2">
      <c r="A50" s="276" t="s">
        <v>117</v>
      </c>
      <c r="B50" s="11" t="s">
        <v>329</v>
      </c>
      <c r="C50" s="72">
        <f>C32-C44</f>
        <v>80.423000000000044</v>
      </c>
      <c r="D50" s="72">
        <f>D32-D44</f>
        <v>60.565000000000026</v>
      </c>
      <c r="E50" s="72">
        <f>E32-E44</f>
        <v>45.10499999999999</v>
      </c>
      <c r="F50" s="72">
        <f>F32-F44</f>
        <v>62.636999999999958</v>
      </c>
      <c r="G50" s="72">
        <f>G32-G44</f>
        <v>54.227999999999994</v>
      </c>
      <c r="H50" s="72">
        <f>H32-H44</f>
        <v>89.95999999999998</v>
      </c>
      <c r="I50" s="72">
        <f>I32-I44</f>
        <v>69.41500000000002</v>
      </c>
      <c r="J50" s="72">
        <f>J32-J44</f>
        <v>53.380999999999972</v>
      </c>
      <c r="K50" s="72">
        <f>K32-K44</f>
        <v>96.049000000000063</v>
      </c>
      <c r="L50" s="72">
        <f>L32-L44</f>
        <v>103.91800000000001</v>
      </c>
      <c r="M50" s="86">
        <f>M32-M44</f>
        <v>119.61301486730849</v>
      </c>
      <c r="N50" s="72">
        <f>N32-N44</f>
        <v>120.69330513607179</v>
      </c>
      <c r="O50" s="72">
        <f>O32-O44</f>
        <v>145.75853077915798</v>
      </c>
      <c r="P50" s="72">
        <f>P32-P44</f>
        <v>177.05312252440342</v>
      </c>
      <c r="Q50" s="72">
        <f>Q32-Q44</f>
        <v>218.70283163962142</v>
      </c>
      <c r="R50" s="52"/>
      <c r="S50" s="72">
        <f>S32-S44</f>
        <v>10.402000000000005</v>
      </c>
      <c r="T50" s="72">
        <f>T32-T44</f>
        <v>9.3799999999999919</v>
      </c>
      <c r="U50" s="72">
        <f>U32-U44</f>
        <v>9.512000000000004</v>
      </c>
      <c r="V50" s="72">
        <f>V32-V44</f>
        <v>15.810999999999908</v>
      </c>
      <c r="W50" s="72">
        <f>W32-W44</f>
        <v>16.538999999999998</v>
      </c>
      <c r="X50" s="72">
        <f>X32-X44</f>
        <v>17.229000000000003</v>
      </c>
      <c r="Y50" s="72">
        <f>Y32-Y44</f>
        <v>16.485000000000007</v>
      </c>
      <c r="Z50" s="72">
        <f>Z32-Z44</f>
        <v>12.383999999999958</v>
      </c>
      <c r="AA50" s="72">
        <f>AA32-AA44</f>
        <v>14.071999999999996</v>
      </c>
      <c r="AB50" s="72">
        <f>AB32-AB44</f>
        <v>14.916999999999998</v>
      </c>
      <c r="AC50" s="72">
        <f>AC32-AC44</f>
        <v>12.667000000000002</v>
      </c>
      <c r="AD50" s="72">
        <f>AD32-AD44</f>
        <v>12.571999999999946</v>
      </c>
      <c r="AE50" s="72">
        <f>AE32-AE44</f>
        <v>18.804999999999996</v>
      </c>
      <c r="AF50" s="72">
        <f>AF32-AF44</f>
        <v>17.268999999999998</v>
      </c>
      <c r="AG50" s="72">
        <f>AG32-AG44</f>
        <v>23.979999999999997</v>
      </c>
      <c r="AH50" s="72">
        <f>AH32-AH44</f>
        <v>26.776999999999934</v>
      </c>
      <c r="AI50" s="72">
        <f>AI32-AI44</f>
        <v>19.591000000000015</v>
      </c>
      <c r="AJ50" s="72">
        <f>AJ32-AJ44</f>
        <v>20.910000000000011</v>
      </c>
      <c r="AK50" s="72">
        <f>AK32-AK44</f>
        <v>19.015999999999998</v>
      </c>
      <c r="AL50" s="72">
        <f>AL32-AL44</f>
        <v>9.8990000000000009</v>
      </c>
      <c r="AM50" s="72">
        <f>AM32-AM44</f>
        <v>10.216999999999985</v>
      </c>
      <c r="AN50" s="72">
        <f>AN32-AN44</f>
        <v>15.175999999999995</v>
      </c>
      <c r="AO50" s="72">
        <f>AO32-AO44</f>
        <v>15.132999999999996</v>
      </c>
      <c r="AP50" s="72">
        <f>AP32-AP44</f>
        <v>12.858999999999995</v>
      </c>
      <c r="AQ50" s="72">
        <f>AQ32-AQ44</f>
        <v>26.016000000000012</v>
      </c>
      <c r="AR50" s="72">
        <f>AR32-AR44</f>
        <v>25.267999999999994</v>
      </c>
      <c r="AS50" s="72">
        <f>AS32-AS44</f>
        <v>23.376000000000012</v>
      </c>
      <c r="AT50" s="72">
        <f>AT32-AT44</f>
        <v>21.390999999999998</v>
      </c>
      <c r="AU50" s="72">
        <f>AU32-AU44</f>
        <v>28.898000000000003</v>
      </c>
      <c r="AV50" s="72">
        <f>AV32-AV44</f>
        <v>29.24799999999999</v>
      </c>
      <c r="AW50" s="72">
        <f>AW32-AW44</f>
        <v>24.893000000000001</v>
      </c>
      <c r="AX50" s="72">
        <f>AX32-AX44</f>
        <v>20.877999999999986</v>
      </c>
      <c r="AY50" s="72">
        <f>AY32-AY44</f>
        <v>30.22399999999999</v>
      </c>
      <c r="AZ50" s="72">
        <f>AZ32-AZ44</f>
        <v>31.122</v>
      </c>
      <c r="BA50" s="98">
        <f>BA32-BA44</f>
        <v>31.495000000000005</v>
      </c>
      <c r="BB50" s="86">
        <f>BB32-BB44</f>
        <v>26.772014867308513</v>
      </c>
      <c r="BC50" s="72">
        <f>BC32-BC44</f>
        <v>28.107973448383206</v>
      </c>
      <c r="BD50" s="72">
        <f>BD32-BD44</f>
        <v>29.667309371691132</v>
      </c>
      <c r="BE50" s="72">
        <f>BE32-BE44</f>
        <v>31.106357737502933</v>
      </c>
      <c r="BF50" s="72">
        <f>BF32-BF44</f>
        <v>31.81166457849443</v>
      </c>
      <c r="BG50" s="72">
        <f>BG32-BG44</f>
        <v>33.64778485108971</v>
      </c>
      <c r="BH50" s="72">
        <f>BH32-BH44</f>
        <v>36.114895235633171</v>
      </c>
      <c r="BI50" s="72">
        <f>BI32-BI44</f>
        <v>37.638311265131534</v>
      </c>
      <c r="BJ50" s="72">
        <f>BJ32-BJ44</f>
        <v>38.357539427303621</v>
      </c>
      <c r="BK50" s="72">
        <f>BK32-BK44</f>
        <v>40.420364158600592</v>
      </c>
      <c r="BL50" s="72">
        <f>BL32-BL44</f>
        <v>44.102591805910691</v>
      </c>
      <c r="BM50" s="72">
        <f>BM32-BM44</f>
        <v>45.892634812513478</v>
      </c>
      <c r="BN50" s="72">
        <f>BN32-BN44</f>
        <v>46.637531747378802</v>
      </c>
      <c r="BO50" s="72">
        <f>BO32-BO44</f>
        <v>49.474980439161783</v>
      </c>
      <c r="BP50" s="72">
        <f>BP32-BP44</f>
        <v>54.905581932752142</v>
      </c>
      <c r="BQ50" s="72">
        <f>BQ32-BQ44</f>
        <v>56.886166605536687</v>
      </c>
      <c r="BR50" s="72">
        <f>BR32-BR44</f>
        <v>57.436102662170896</v>
      </c>
    </row>
    <row r="51" spans="1:70" x14ac:dyDescent="0.2">
      <c r="A51" s="291" t="s">
        <v>6</v>
      </c>
      <c r="B51" s="27"/>
      <c r="C51" s="225">
        <f>C50/C25</f>
        <v>0.12044419816689636</v>
      </c>
      <c r="D51" s="225">
        <f>D50/D25</f>
        <v>0.10000990769332391</v>
      </c>
      <c r="E51" s="225">
        <f>E50/E25</f>
        <v>8.29040019262475E-2</v>
      </c>
      <c r="F51" s="225">
        <f>F50/F25</f>
        <v>0.10716595435989905</v>
      </c>
      <c r="G51" s="225">
        <f>G50/G25</f>
        <v>9.3104229762861312E-2</v>
      </c>
      <c r="H51" s="225">
        <f>H50/H25</f>
        <v>0.15168964662517512</v>
      </c>
      <c r="I51" s="225">
        <f>I50/I25</f>
        <v>8.3936014432907435E-2</v>
      </c>
      <c r="J51" s="225">
        <f>J50/J25</f>
        <v>6.2110218556854536E-2</v>
      </c>
      <c r="K51" s="225">
        <f>K50/K25</f>
        <v>9.8517049114414376E-2</v>
      </c>
      <c r="L51" s="109">
        <f>L50/L25</f>
        <v>0.22133052192155736</v>
      </c>
      <c r="M51" s="104">
        <f>M50/M25</f>
        <v>0.23000279514066807</v>
      </c>
      <c r="N51" s="105">
        <f>N50/N25</f>
        <v>0.20281788524845998</v>
      </c>
      <c r="O51" s="105">
        <f>O50/O25</f>
        <v>0.20281788524845978</v>
      </c>
      <c r="P51" s="105">
        <f>P50/P25</f>
        <v>0.2028178852484597</v>
      </c>
      <c r="Q51" s="105">
        <f>Q50/Q25</f>
        <v>0.20281788524845978</v>
      </c>
      <c r="R51" s="53"/>
      <c r="S51" s="225">
        <f>S50/S25</f>
        <v>7.7402168332229598E-2</v>
      </c>
      <c r="T51" s="225">
        <f>T50/T25</f>
        <v>6.9454728549003295E-2</v>
      </c>
      <c r="U51" s="225">
        <f>U50/U25</f>
        <v>6.9487464204313037E-2</v>
      </c>
      <c r="V51" s="225">
        <f>V50/V25</f>
        <v>0.11479373284737186</v>
      </c>
      <c r="W51" s="225">
        <f>W50/W25</f>
        <v>0.109482673021547</v>
      </c>
      <c r="X51" s="225">
        <f>X50/X25</f>
        <v>0.1168345031024311</v>
      </c>
      <c r="Y51" s="225">
        <f>Y50/Y25</f>
        <v>0.110029100811619</v>
      </c>
      <c r="Z51" s="225">
        <f>Z50/Z25</f>
        <v>9.0970528604589346E-2</v>
      </c>
      <c r="AA51" s="225">
        <f>AA50/AA25</f>
        <v>9.5843947092397561E-2</v>
      </c>
      <c r="AB51" s="225">
        <f>AB50/AB25</f>
        <v>0.10006976775388082</v>
      </c>
      <c r="AC51" s="225">
        <f>AC50/AC25</f>
        <v>8.6700296370319174E-2</v>
      </c>
      <c r="AD51" s="225">
        <f>AD50/AD25</f>
        <v>8.9509095439820247E-2</v>
      </c>
      <c r="AE51" s="225">
        <f>AE50/AE25</f>
        <v>0.12489124731854073</v>
      </c>
      <c r="AF51" s="225">
        <f>AF50/AF25</f>
        <v>0.11914092144660769</v>
      </c>
      <c r="AG51" s="225">
        <f>AG50/AG25</f>
        <v>0.16483252108522761</v>
      </c>
      <c r="AH51" s="225">
        <f>AH50/AH25</f>
        <v>0.17610075301700001</v>
      </c>
      <c r="AI51" s="225">
        <f>AI50/AI25</f>
        <v>9.4426744684850628E-2</v>
      </c>
      <c r="AJ51" s="225">
        <f>AJ50/AJ25</f>
        <v>0.10132581264173988</v>
      </c>
      <c r="AK51" s="225">
        <f>AK50/AK25</f>
        <v>9.1096356337366929E-2</v>
      </c>
      <c r="AL51" s="225">
        <f>AL50/AL25</f>
        <v>4.8425759236067629E-2</v>
      </c>
      <c r="AM51" s="225">
        <f>AM50/AM25</f>
        <v>4.9652765965718763E-2</v>
      </c>
      <c r="AN51" s="225">
        <f>AN50/AN25</f>
        <v>7.0915887850467263E-2</v>
      </c>
      <c r="AO51" s="225">
        <f>AO50/AO25</f>
        <v>6.8112360865436095E-2</v>
      </c>
      <c r="AP51" s="225">
        <f>AP50/AP25</f>
        <v>5.9118849161651568E-2</v>
      </c>
      <c r="AQ51" s="225">
        <f>AQ50/AQ25</f>
        <v>0.10952398994682938</v>
      </c>
      <c r="AR51" s="225">
        <f>AR50/AR25</f>
        <v>0.1043140816579284</v>
      </c>
      <c r="AS51" s="225">
        <f>AS50/AS25</f>
        <v>9.4516460322979806E-2</v>
      </c>
      <c r="AT51" s="225">
        <f>AT50/AT25</f>
        <v>8.6303099746226672E-2</v>
      </c>
      <c r="AU51" s="225">
        <f>AU50/AU25</f>
        <v>0.26033999693696452</v>
      </c>
      <c r="AV51" s="225">
        <f>AV50/AV25</f>
        <v>0.24644006673295016</v>
      </c>
      <c r="AW51" s="225">
        <f>AW50/AW25</f>
        <v>0.20687276655863043</v>
      </c>
      <c r="AX51" s="225">
        <f>AX50/AX25</f>
        <v>0.17470837308162196</v>
      </c>
      <c r="AY51" s="225">
        <f>AY50/AY25</f>
        <v>0.24418501312866078</v>
      </c>
      <c r="AZ51" s="225">
        <f>AZ50/AZ25</f>
        <v>0.23994263950781</v>
      </c>
      <c r="BA51" s="109">
        <f>BA50/BA25</f>
        <v>0.23404350184663636</v>
      </c>
      <c r="BB51" s="258">
        <f>BB50/BB25</f>
        <v>0.20281788524845984</v>
      </c>
      <c r="BC51" s="225">
        <f>BC50/BC25</f>
        <v>0.20281788524845984</v>
      </c>
      <c r="BD51" s="225">
        <f>BD50/BD25</f>
        <v>0.20281788524845984</v>
      </c>
      <c r="BE51" s="225">
        <f>BE50/BE25</f>
        <v>0.20281788524845992</v>
      </c>
      <c r="BF51" s="225">
        <f>BF50/BF25</f>
        <v>0.20281788524845989</v>
      </c>
      <c r="BG51" s="225">
        <f>BG50/BG25</f>
        <v>0.20281788524845989</v>
      </c>
      <c r="BH51" s="225">
        <f>BH50/BH25</f>
        <v>0.20281788524845973</v>
      </c>
      <c r="BI51" s="225">
        <f>BI50/BI25</f>
        <v>0.20281788524845992</v>
      </c>
      <c r="BJ51" s="225">
        <f>BJ50/BJ25</f>
        <v>0.20281788524845976</v>
      </c>
      <c r="BK51" s="225">
        <f>BK50/BK25</f>
        <v>0.20281788524845984</v>
      </c>
      <c r="BL51" s="225">
        <f>BL50/BL25</f>
        <v>0.20281788524845981</v>
      </c>
      <c r="BM51" s="225">
        <f>BM50/BM25</f>
        <v>0.20281788524845998</v>
      </c>
      <c r="BN51" s="225">
        <f>BN50/BN25</f>
        <v>0.20281788524845981</v>
      </c>
      <c r="BO51" s="225">
        <f>BO50/BO25</f>
        <v>0.20281788524845987</v>
      </c>
      <c r="BP51" s="225">
        <f>BP50/BP25</f>
        <v>0.20281788524845978</v>
      </c>
      <c r="BQ51" s="225">
        <f>BQ50/BQ25</f>
        <v>0.20281788524845984</v>
      </c>
      <c r="BR51" s="225">
        <f>BR50/BR25</f>
        <v>0.20281788524845981</v>
      </c>
    </row>
    <row r="52" spans="1:70" x14ac:dyDescent="0.2">
      <c r="A52" s="267"/>
      <c r="B52" s="9"/>
      <c r="C52" s="101"/>
      <c r="D52" s="101"/>
      <c r="E52" s="101"/>
      <c r="F52" s="101"/>
      <c r="G52" s="101"/>
      <c r="H52" s="101"/>
      <c r="I52" s="101"/>
      <c r="J52" s="101"/>
      <c r="K52" s="101"/>
      <c r="L52" s="102"/>
      <c r="M52" s="176"/>
      <c r="N52" s="101"/>
      <c r="O52" s="101"/>
      <c r="P52" s="101"/>
      <c r="Q52" s="101"/>
      <c r="R52" s="46"/>
      <c r="S52" s="101"/>
      <c r="T52" s="101"/>
      <c r="U52" s="101"/>
      <c r="V52" s="101"/>
      <c r="W52" s="101"/>
      <c r="X52" s="101"/>
      <c r="Y52" s="101"/>
      <c r="Z52" s="101"/>
      <c r="AA52" s="101"/>
      <c r="AB52" s="101"/>
      <c r="AC52" s="101"/>
      <c r="AD52" s="101"/>
      <c r="AE52" s="101"/>
      <c r="AF52" s="101"/>
      <c r="AG52" s="101"/>
      <c r="AH52" s="101"/>
      <c r="AI52" s="101"/>
      <c r="AJ52" s="101"/>
      <c r="AK52" s="101"/>
      <c r="AL52" s="101"/>
      <c r="AM52" s="101"/>
      <c r="AN52" s="101"/>
      <c r="AO52" s="101"/>
      <c r="AP52" s="101"/>
      <c r="AQ52" s="101"/>
      <c r="AR52" s="101"/>
      <c r="AS52" s="101"/>
      <c r="AT52" s="101"/>
      <c r="AU52" s="101"/>
      <c r="AV52" s="101"/>
      <c r="AW52" s="101"/>
      <c r="AX52" s="101"/>
      <c r="AY52" s="101"/>
      <c r="AZ52" s="101"/>
      <c r="BA52" s="102"/>
      <c r="BB52" s="176"/>
      <c r="BC52" s="101"/>
      <c r="BD52" s="101"/>
      <c r="BE52" s="101"/>
      <c r="BF52" s="101"/>
      <c r="BG52" s="101"/>
      <c r="BH52" s="101"/>
      <c r="BI52" s="101"/>
      <c r="BJ52" s="101"/>
      <c r="BK52" s="101"/>
      <c r="BL52" s="101"/>
      <c r="BM52" s="101"/>
      <c r="BN52" s="101"/>
      <c r="BO52" s="101"/>
      <c r="BP52" s="101"/>
      <c r="BQ52" s="101"/>
      <c r="BR52" s="101"/>
    </row>
    <row r="53" spans="1:70" x14ac:dyDescent="0.2">
      <c r="A53" s="275" t="s">
        <v>244</v>
      </c>
      <c r="B53" s="10"/>
      <c r="C53" s="146">
        <f>IS!C37</f>
        <v>-17.96</v>
      </c>
      <c r="D53" s="146">
        <f>IS!D37</f>
        <v>-16.329000000000001</v>
      </c>
      <c r="E53" s="146">
        <f>IS!E37</f>
        <v>-18.638000000000002</v>
      </c>
      <c r="F53" s="146">
        <f>IS!F37</f>
        <v>-15.519</v>
      </c>
      <c r="G53" s="146">
        <f>IS!G37</f>
        <v>-10.265000000000001</v>
      </c>
      <c r="H53" s="146">
        <f>IS!H37</f>
        <v>-10.756</v>
      </c>
      <c r="I53" s="146">
        <f>IS!I37</f>
        <v>-100.29</v>
      </c>
      <c r="J53" s="146">
        <f>IS!J37</f>
        <v>-99.227999999999994</v>
      </c>
      <c r="K53" s="146">
        <f>IS!K37</f>
        <v>-102.136</v>
      </c>
      <c r="L53" s="146">
        <f>IS!L37</f>
        <v>-83.001000000000005</v>
      </c>
      <c r="M53" s="77">
        <f>IS!M37</f>
        <v>-79.426999999999992</v>
      </c>
      <c r="N53" s="76">
        <f>IS!N37</f>
        <v>-77.188000000000002</v>
      </c>
      <c r="O53" s="76">
        <f>IS!O37</f>
        <v>-77.188000000000002</v>
      </c>
      <c r="P53" s="76">
        <f>IS!P37</f>
        <v>-77.188000000000002</v>
      </c>
      <c r="Q53" s="76">
        <f>IS!Q37</f>
        <v>-77.188000000000002</v>
      </c>
      <c r="R53" s="51"/>
      <c r="S53" s="146">
        <f>IS!S37</f>
        <v>-5.1470000000000002</v>
      </c>
      <c r="T53" s="146">
        <f>IS!T37</f>
        <v>-4.6070000000000002</v>
      </c>
      <c r="U53" s="146">
        <f>IS!U37</f>
        <v>-4.4139999999999997</v>
      </c>
      <c r="V53" s="146">
        <f>IS!V37</f>
        <v>-4.4700000000000006</v>
      </c>
      <c r="W53" s="146">
        <f>IS!W37</f>
        <v>-4.4829999999999997</v>
      </c>
      <c r="X53" s="146">
        <f>IS!X37</f>
        <v>-4.0629999999999997</v>
      </c>
      <c r="Y53" s="146">
        <f>IS!Y37</f>
        <v>-3.5859999999999999</v>
      </c>
      <c r="Z53" s="146">
        <f>IS!Z37</f>
        <v>-3.3870000000000005</v>
      </c>
      <c r="AA53" s="146">
        <f>IS!AA37</f>
        <v>-3.1629999999999998</v>
      </c>
      <c r="AB53" s="146">
        <f>IS!AB37</f>
        <v>-2.7330000000000001</v>
      </c>
      <c r="AC53" s="146">
        <f>IS!AC37</f>
        <v>-2.2549999999999999</v>
      </c>
      <c r="AD53" s="146">
        <f>IS!AD37</f>
        <v>-2.1140000000000012</v>
      </c>
      <c r="AE53" s="146">
        <f>IS!AE37</f>
        <v>-1.546</v>
      </c>
      <c r="AF53" s="146">
        <f>IS!AF37</f>
        <v>-2.0830000000000002</v>
      </c>
      <c r="AG53" s="146">
        <f>IS!AG37</f>
        <v>-1.996</v>
      </c>
      <c r="AH53" s="146">
        <f>IS!AH37</f>
        <v>-5.1309999999999993</v>
      </c>
      <c r="AI53" s="146">
        <f>IS!AI37</f>
        <v>-25.655000000000001</v>
      </c>
      <c r="AJ53" s="146">
        <f>IS!AJ37</f>
        <v>-24.957999999999998</v>
      </c>
      <c r="AK53" s="146">
        <f>IS!AK37</f>
        <v>-24.696000000000002</v>
      </c>
      <c r="AL53" s="146">
        <f>IS!AL37</f>
        <v>-24.981000000000002</v>
      </c>
      <c r="AM53" s="146">
        <f>IS!AM37</f>
        <v>-24.992000000000001</v>
      </c>
      <c r="AN53" s="146">
        <f>IS!AN37</f>
        <v>-24.742000000000001</v>
      </c>
      <c r="AO53" s="146">
        <f>IS!AO37</f>
        <v>-24.815000000000001</v>
      </c>
      <c r="AP53" s="146">
        <f>IS!AP37</f>
        <v>-24.68</v>
      </c>
      <c r="AQ53" s="146">
        <f>IS!AQ37</f>
        <v>-25.056999999999999</v>
      </c>
      <c r="AR53" s="146">
        <f>IS!AR37</f>
        <v>-23.881</v>
      </c>
      <c r="AS53" s="146">
        <f>IS!AS37</f>
        <v>-23.367999999999999</v>
      </c>
      <c r="AT53" s="146">
        <f>IS!AT37</f>
        <v>-29.83</v>
      </c>
      <c r="AU53" s="146">
        <f>IS!AU37</f>
        <v>-20.306999999999999</v>
      </c>
      <c r="AV53" s="146">
        <f>IS!AV37</f>
        <v>-22.122</v>
      </c>
      <c r="AW53" s="146">
        <f>IS!AW37</f>
        <v>-20.16</v>
      </c>
      <c r="AX53" s="146">
        <f>IS!AX37</f>
        <v>-20.411999999999999</v>
      </c>
      <c r="AY53" s="146">
        <f>IS!AY37</f>
        <v>-20.399999999999999</v>
      </c>
      <c r="AZ53" s="146">
        <f>IS!AZ37</f>
        <v>-20.433</v>
      </c>
      <c r="BA53" s="154">
        <f>IS!BA37</f>
        <v>-19.297000000000001</v>
      </c>
      <c r="BB53" s="166">
        <f>IS!BB37</f>
        <v>-19.297000000000001</v>
      </c>
      <c r="BC53" s="146">
        <f>IS!BC37</f>
        <v>-19.297000000000001</v>
      </c>
      <c r="BD53" s="146">
        <f>IS!BD37</f>
        <v>-19.297000000000001</v>
      </c>
      <c r="BE53" s="146">
        <f>IS!BE37</f>
        <v>-19.297000000000001</v>
      </c>
      <c r="BF53" s="146">
        <f>IS!BF37</f>
        <v>-19.297000000000001</v>
      </c>
      <c r="BG53" s="146">
        <f>IS!BG37</f>
        <v>-19.297000000000001</v>
      </c>
      <c r="BH53" s="146">
        <f>IS!BH37</f>
        <v>-19.297000000000001</v>
      </c>
      <c r="BI53" s="146">
        <f>IS!BI37</f>
        <v>-19.297000000000001</v>
      </c>
      <c r="BJ53" s="146">
        <f>IS!BJ37</f>
        <v>-19.297000000000001</v>
      </c>
      <c r="BK53" s="146">
        <f>IS!BK37</f>
        <v>-19.297000000000001</v>
      </c>
      <c r="BL53" s="146">
        <f>IS!BL37</f>
        <v>-19.297000000000001</v>
      </c>
      <c r="BM53" s="146">
        <f>IS!BM37</f>
        <v>-19.297000000000001</v>
      </c>
      <c r="BN53" s="146">
        <f>IS!BN37</f>
        <v>-19.297000000000001</v>
      </c>
      <c r="BO53" s="146">
        <f>IS!BO37</f>
        <v>-19.297000000000001</v>
      </c>
      <c r="BP53" s="146">
        <f>IS!BP37</f>
        <v>-19.297000000000001</v>
      </c>
      <c r="BQ53" s="146">
        <f>IS!BQ37</f>
        <v>-19.297000000000001</v>
      </c>
      <c r="BR53" s="146">
        <f>IS!BR37</f>
        <v>-19.297000000000001</v>
      </c>
    </row>
    <row r="54" spans="1:70" x14ac:dyDescent="0.2">
      <c r="A54" s="267"/>
      <c r="B54" s="9"/>
      <c r="C54" s="101"/>
      <c r="D54" s="101"/>
      <c r="E54" s="101"/>
      <c r="F54" s="101"/>
      <c r="G54" s="101"/>
      <c r="H54" s="101"/>
      <c r="I54" s="101"/>
      <c r="J54" s="101"/>
      <c r="K54" s="101"/>
      <c r="L54" s="102"/>
      <c r="M54" s="176"/>
      <c r="N54" s="101"/>
      <c r="O54" s="101"/>
      <c r="P54" s="101"/>
      <c r="Q54" s="101"/>
      <c r="R54" s="46"/>
      <c r="S54" s="101"/>
      <c r="T54" s="101"/>
      <c r="U54" s="101"/>
      <c r="V54" s="101"/>
      <c r="W54" s="101"/>
      <c r="X54" s="101"/>
      <c r="Y54" s="101"/>
      <c r="Z54" s="101"/>
      <c r="AA54" s="101"/>
      <c r="AB54" s="101"/>
      <c r="AC54" s="101"/>
      <c r="AD54" s="101"/>
      <c r="AE54" s="101"/>
      <c r="AF54" s="101"/>
      <c r="AG54" s="101"/>
      <c r="AH54" s="101"/>
      <c r="AI54" s="101"/>
      <c r="AJ54" s="101"/>
      <c r="AK54" s="101"/>
      <c r="AL54" s="101"/>
      <c r="AM54" s="101"/>
      <c r="AN54" s="101"/>
      <c r="AO54" s="101"/>
      <c r="AP54" s="101"/>
      <c r="AQ54" s="101"/>
      <c r="AR54" s="101"/>
      <c r="AS54" s="101"/>
      <c r="AT54" s="101"/>
      <c r="AU54" s="101"/>
      <c r="AV54" s="101"/>
      <c r="AW54" s="101"/>
      <c r="AX54" s="101"/>
      <c r="AY54" s="101"/>
      <c r="AZ54" s="101"/>
      <c r="BA54" s="102"/>
      <c r="BB54" s="176"/>
      <c r="BC54" s="101"/>
      <c r="BD54" s="101"/>
      <c r="BE54" s="101"/>
      <c r="BF54" s="101"/>
      <c r="BG54" s="101"/>
      <c r="BH54" s="101"/>
      <c r="BI54" s="101"/>
      <c r="BJ54" s="101"/>
      <c r="BK54" s="101"/>
      <c r="BL54" s="101"/>
      <c r="BM54" s="101"/>
      <c r="BN54" s="101"/>
      <c r="BO54" s="101"/>
      <c r="BP54" s="101"/>
      <c r="BQ54" s="101"/>
      <c r="BR54" s="101"/>
    </row>
    <row r="55" spans="1:70" x14ac:dyDescent="0.2">
      <c r="A55" s="277" t="s">
        <v>120</v>
      </c>
      <c r="B55" s="16" t="s">
        <v>332</v>
      </c>
      <c r="C55" s="144">
        <f>C50+C53</f>
        <v>62.463000000000044</v>
      </c>
      <c r="D55" s="144">
        <f>D50+D53</f>
        <v>44.236000000000026</v>
      </c>
      <c r="E55" s="144">
        <f>E50+E53</f>
        <v>26.466999999999988</v>
      </c>
      <c r="F55" s="144">
        <f>F50+F53</f>
        <v>47.117999999999959</v>
      </c>
      <c r="G55" s="144">
        <f>G50+G53</f>
        <v>43.962999999999994</v>
      </c>
      <c r="H55" s="144">
        <f>H50+H53</f>
        <v>79.203999999999979</v>
      </c>
      <c r="I55" s="144">
        <f>I50+I53</f>
        <v>-30.874999999999986</v>
      </c>
      <c r="J55" s="144">
        <f>J50+J53</f>
        <v>-45.847000000000023</v>
      </c>
      <c r="K55" s="144">
        <f>K50+K53</f>
        <v>-6.0869999999999322</v>
      </c>
      <c r="L55" s="144">
        <f>L50+L53</f>
        <v>20.917000000000002</v>
      </c>
      <c r="M55" s="110">
        <f>M50+M53</f>
        <v>40.186014867308501</v>
      </c>
      <c r="N55" s="111">
        <f>N50+N53</f>
        <v>43.505305136071783</v>
      </c>
      <c r="O55" s="111">
        <f>O50+O53</f>
        <v>68.570530779157977</v>
      </c>
      <c r="P55" s="111">
        <f>P50+P53</f>
        <v>99.865122524403418</v>
      </c>
      <c r="Q55" s="111">
        <f>Q50+Q53</f>
        <v>141.51483163962143</v>
      </c>
      <c r="R55" s="55"/>
      <c r="S55" s="144">
        <f>S50+S53</f>
        <v>5.2550000000000043</v>
      </c>
      <c r="T55" s="144">
        <f>T50+T53</f>
        <v>4.7729999999999917</v>
      </c>
      <c r="U55" s="144">
        <f>U50+U53</f>
        <v>5.0980000000000043</v>
      </c>
      <c r="V55" s="144">
        <f>V50+V53</f>
        <v>11.340999999999907</v>
      </c>
      <c r="W55" s="144">
        <f>W50+W53</f>
        <v>12.055999999999997</v>
      </c>
      <c r="X55" s="144">
        <f>X50+X53</f>
        <v>13.166000000000004</v>
      </c>
      <c r="Y55" s="144">
        <f>Y50+Y53</f>
        <v>12.899000000000006</v>
      </c>
      <c r="Z55" s="144">
        <f>Z50+Z53</f>
        <v>8.9969999999999573</v>
      </c>
      <c r="AA55" s="144">
        <f>AA50+AA53</f>
        <v>10.908999999999995</v>
      </c>
      <c r="AB55" s="144">
        <f>AB50+AB53</f>
        <v>12.183999999999997</v>
      </c>
      <c r="AC55" s="144">
        <f>AC50+AC53</f>
        <v>10.412000000000003</v>
      </c>
      <c r="AD55" s="144">
        <f>AD50+AD53</f>
        <v>10.457999999999945</v>
      </c>
      <c r="AE55" s="144">
        <f>AE50+AE53</f>
        <v>17.258999999999997</v>
      </c>
      <c r="AF55" s="144">
        <f>AF50+AF53</f>
        <v>15.185999999999998</v>
      </c>
      <c r="AG55" s="144">
        <f>AG50+AG53</f>
        <v>21.983999999999998</v>
      </c>
      <c r="AH55" s="144">
        <f>AH50+AH53</f>
        <v>21.645999999999933</v>
      </c>
      <c r="AI55" s="144">
        <f>AI50+AI53</f>
        <v>-6.0639999999999858</v>
      </c>
      <c r="AJ55" s="144">
        <f>AJ50+AJ53</f>
        <v>-4.0479999999999876</v>
      </c>
      <c r="AK55" s="144">
        <f>AK50+AK53</f>
        <v>-5.6800000000000033</v>
      </c>
      <c r="AL55" s="144">
        <f>AL50+AL53</f>
        <v>-15.082000000000001</v>
      </c>
      <c r="AM55" s="144">
        <f>AM50+AM53</f>
        <v>-14.775000000000016</v>
      </c>
      <c r="AN55" s="144">
        <f>AN50+AN53</f>
        <v>-9.5660000000000061</v>
      </c>
      <c r="AO55" s="144">
        <f>AO50+AO53</f>
        <v>-9.6820000000000057</v>
      </c>
      <c r="AP55" s="144">
        <f>AP50+AP53</f>
        <v>-11.821000000000005</v>
      </c>
      <c r="AQ55" s="144">
        <f>AQ50+AQ53</f>
        <v>0.95900000000001384</v>
      </c>
      <c r="AR55" s="144">
        <f>AR50+AR53</f>
        <v>1.3869999999999933</v>
      </c>
      <c r="AS55" s="144">
        <f>AS50+AS53</f>
        <v>8.0000000000133298E-3</v>
      </c>
      <c r="AT55" s="144">
        <f>AT50+AT53</f>
        <v>-8.4390000000000001</v>
      </c>
      <c r="AU55" s="144">
        <f>AU50+AU53</f>
        <v>8.5910000000000046</v>
      </c>
      <c r="AV55" s="144">
        <f>AV50+AV53</f>
        <v>7.1259999999999906</v>
      </c>
      <c r="AW55" s="144">
        <f>AW50+AW53</f>
        <v>4.7330000000000005</v>
      </c>
      <c r="AX55" s="144">
        <f>AX50+AX53</f>
        <v>0.46599999999998687</v>
      </c>
      <c r="AY55" s="144">
        <f>AY50+AY53</f>
        <v>9.823999999999991</v>
      </c>
      <c r="AZ55" s="144">
        <f>AZ50+AZ53</f>
        <v>10.689</v>
      </c>
      <c r="BA55" s="175">
        <f>BA50+BA53</f>
        <v>12.198000000000004</v>
      </c>
      <c r="BB55" s="257">
        <f>BB50+BB53</f>
        <v>7.4750148673085128</v>
      </c>
      <c r="BC55" s="144">
        <f>BC50+BC53</f>
        <v>8.810973448383205</v>
      </c>
      <c r="BD55" s="144">
        <f>BD50+BD53</f>
        <v>10.370309371691132</v>
      </c>
      <c r="BE55" s="144">
        <f>BE50+BE53</f>
        <v>11.809357737502932</v>
      </c>
      <c r="BF55" s="144">
        <f>BF50+BF53</f>
        <v>12.514664578494429</v>
      </c>
      <c r="BG55" s="144">
        <f>BG50+BG53</f>
        <v>14.35078485108971</v>
      </c>
      <c r="BH55" s="144">
        <f>BH50+BH53</f>
        <v>16.81789523563317</v>
      </c>
      <c r="BI55" s="144">
        <f>BI50+BI53</f>
        <v>18.341311265131534</v>
      </c>
      <c r="BJ55" s="144">
        <f>BJ50+BJ53</f>
        <v>19.06053942730362</v>
      </c>
      <c r="BK55" s="144">
        <f>BK50+BK53</f>
        <v>21.123364158600591</v>
      </c>
      <c r="BL55" s="144">
        <f>BL50+BL53</f>
        <v>24.805591805910691</v>
      </c>
      <c r="BM55" s="144">
        <f>BM50+BM53</f>
        <v>26.595634812513477</v>
      </c>
      <c r="BN55" s="144">
        <f>BN50+BN53</f>
        <v>27.340531747378801</v>
      </c>
      <c r="BO55" s="144">
        <f>BO50+BO53</f>
        <v>30.177980439161782</v>
      </c>
      <c r="BP55" s="144">
        <f>BP50+BP53</f>
        <v>35.608581932752145</v>
      </c>
      <c r="BQ55" s="144">
        <f>BQ50+BQ53</f>
        <v>37.58916660553669</v>
      </c>
      <c r="BR55" s="144">
        <f>BR50+BR53</f>
        <v>38.139102662170899</v>
      </c>
    </row>
    <row r="56" spans="1:70" x14ac:dyDescent="0.2">
      <c r="A56" s="267" t="s">
        <v>121</v>
      </c>
      <c r="B56" s="9" t="s">
        <v>333</v>
      </c>
      <c r="C56" s="146">
        <f>IS!C44+SUM(IS_NG!C7,IS_NG!C12:C22)*IS!C45</f>
        <v>23.76856375938182</v>
      </c>
      <c r="D56" s="146">
        <f>IS!D44+SUM(IS_NG!D7,IS_NG!D12:D22)*IS!D45</f>
        <v>22.849762706261536</v>
      </c>
      <c r="E56" s="146">
        <f>IS!E44+SUM(IS_NG!E7,IS_NG!E12:E22)*IS!E45</f>
        <v>13.556647715736041</v>
      </c>
      <c r="F56" s="146">
        <f>IS!F44+SUM(IS_NG!F7,IS_NG!F12:F22)*IS!F45</f>
        <v>17.203898178582904</v>
      </c>
      <c r="G56" s="146">
        <f>IS!G44+SUM(IS_NG!G7,IS_NG!G12:G22)*IS!G45</f>
        <v>16.378860254596887</v>
      </c>
      <c r="H56" s="146">
        <f>IS!H44+SUM(IS_NG!H7,IS_NG!H12:H22)*IS!H45</f>
        <v>31.840000197034634</v>
      </c>
      <c r="I56" s="146">
        <f>IS!I44+SUM(IS_NG!I7,IS_NG!I12:I22)*IS!I45</f>
        <v>-4.5430898255648628</v>
      </c>
      <c r="J56" s="146">
        <f>IS!J44+SUM(IS_NG!J7,IS_NG!J12:J22)*IS!J45</f>
        <v>6.6725433665621274</v>
      </c>
      <c r="K56" s="146">
        <f>IS!K44+SUM(IS_NG!K7,IS_NG!K12:K22)*IS!K45</f>
        <v>-1.7031133251002508</v>
      </c>
      <c r="L56" s="146">
        <f>IS!L44+SUM(IS_NG!L7,IS_NG!L12:L22)*IS!L45</f>
        <v>-76.758907785336362</v>
      </c>
      <c r="M56" s="77">
        <f>IS!M44+SUM(IS_NG!M7,IS_NG!M12:M22)*IS!M45</f>
        <v>-6.299682572854219</v>
      </c>
      <c r="N56" s="76">
        <f>IS!N44+SUM(IS_NG!N7,IS_NG!N12:N22)*IS!N45</f>
        <v>-7.1765254470333328</v>
      </c>
      <c r="O56" s="76">
        <f>IS!O44+SUM(IS_NG!O7,IS_NG!O12:O22)*IS!O45</f>
        <v>-11.311221873150254</v>
      </c>
      <c r="P56" s="76">
        <f>IS!P44+SUM(IS_NG!P7,IS_NG!P12:P22)*IS!P45</f>
        <v>-16.473498825623842</v>
      </c>
      <c r="Q56" s="76">
        <f>IS!Q44+SUM(IS_NG!Q7,IS_NG!Q12:Q22)*IS!Q45</f>
        <v>-23.34392983149835</v>
      </c>
      <c r="R56" s="46"/>
      <c r="S56" s="146">
        <f>IS!S44+SUM(IS_NG!S7,IS_NG!S12:S22)*IS!S45</f>
        <v>2.4076562986003114</v>
      </c>
      <c r="T56" s="146">
        <f>IS!T44+SUM(IS_NG!T7,IS_NG!T12:T22)*IS!T45</f>
        <v>2.8732142011834316</v>
      </c>
      <c r="U56" s="146">
        <f>IS!U44+SUM(IS_NG!U7,IS_NG!U12:U22)*IS!U45</f>
        <v>2.1629812265331667</v>
      </c>
      <c r="V56" s="146">
        <f>IS!V44+SUM(IS_NG!V7,IS_NG!V12:V22)*IS!V45</f>
        <v>6.0727578053024889</v>
      </c>
      <c r="W56" s="146">
        <f>IS!W44+SUM(IS_NG!W7,IS_NG!W12:W22)*IS!W45</f>
        <v>4.3921127262998301</v>
      </c>
      <c r="X56" s="146">
        <f>IS!X44+SUM(IS_NG!X7,IS_NG!X12:X22)*IS!X45</f>
        <v>5.328357647058823</v>
      </c>
      <c r="Y56" s="146">
        <f>IS!Y44+SUM(IS_NG!Y7,IS_NG!Y12:Y22)*IS!Y45</f>
        <v>4.639533598625305</v>
      </c>
      <c r="Z56" s="146">
        <f>IS!Z44+SUM(IS_NG!Z7,IS_NG!Z12:Z22)*IS!Z45</f>
        <v>2.7106804385825507</v>
      </c>
      <c r="AA56" s="146">
        <f>IS!AA44+SUM(IS_NG!AA7,IS_NG!AA12:AA22)*IS!AA45</f>
        <v>4.0351425344013148</v>
      </c>
      <c r="AB56" s="146">
        <f>IS!AB44+SUM(IS_NG!AB7,IS_NG!AB12:AB22)*IS!AB45</f>
        <v>4.6097996330275226</v>
      </c>
      <c r="AC56" s="146">
        <f>IS!AC44+SUM(IS_NG!AC7,IS_NG!AC12:AC22)*IS!AC45</f>
        <v>3.843294708128751</v>
      </c>
      <c r="AD56" s="146">
        <f>IS!AD44+SUM(IS_NG!AD7,IS_NG!AD12:AD22)*IS!AD45</f>
        <v>3.8897956397269322</v>
      </c>
      <c r="AE56" s="146">
        <f>IS!AE44+SUM(IS_NG!AE7,IS_NG!AE12:AE22)*IS!AE45</f>
        <v>5.9872941484259181</v>
      </c>
      <c r="AF56" s="146">
        <f>IS!AF44+SUM(IS_NG!AF7,IS_NG!AF12:AF22)*IS!AF45</f>
        <v>5.6703263032232396</v>
      </c>
      <c r="AG56" s="146">
        <f>IS!AG44+SUM(IS_NG!AG7,IS_NG!AG12:AG22)*IS!AG45</f>
        <v>7.7639220512820515</v>
      </c>
      <c r="AH56" s="146">
        <f>IS!AH44+SUM(IS_NG!AH7,IS_NG!AH12:AH22)*IS!AH45</f>
        <v>5.0092548128342242</v>
      </c>
      <c r="AI56" s="146">
        <f>IS!AI44+SUM(IS_NG!AI7,IS_NG!AI12:AI22)*IS!AI45</f>
        <v>-4.9199871279163307</v>
      </c>
      <c r="AJ56" s="146">
        <f>IS!AJ44+SUM(IS_NG!AJ7,IS_NG!AJ12:AJ22)*IS!AJ45</f>
        <v>-1.6601316727626276</v>
      </c>
      <c r="AK56" s="146">
        <f>IS!AK44+SUM(IS_NG!AK7,IS_NG!AK12:AK22)*IS!AK45</f>
        <v>-2.2326174629979141</v>
      </c>
      <c r="AL56" s="146">
        <f>IS!AL44+SUM(IS_NG!AL7,IS_NG!AL12:AL22)*IS!AL45</f>
        <v>-1.174547048049071</v>
      </c>
      <c r="AM56" s="146">
        <f>IS!AM44+SUM(IS_NG!AM7,IS_NG!AM12:AM22)*IS!AM45</f>
        <v>-5.6126467675767433</v>
      </c>
      <c r="AN56" s="146">
        <f>IS!AN44+SUM(IS_NG!AN7,IS_NG!AN12:AN22)*IS!AN45</f>
        <v>-4.0379764479177815</v>
      </c>
      <c r="AO56" s="146">
        <f>IS!AO44+SUM(IS_NG!AO7,IS_NG!AO12:AO22)*IS!AO45</f>
        <v>-3.6474739862568906</v>
      </c>
      <c r="AP56" s="146">
        <f>IS!AP44+SUM(IS_NG!AP7,IS_NG!AP12:AP22)*IS!AP45</f>
        <v>3.7782687276040079</v>
      </c>
      <c r="AQ56" s="146">
        <f>IS!AQ44+SUM(IS_NG!AQ7,IS_NG!AQ12:AQ22)*IS!AQ45</f>
        <v>-0.41189323553382207</v>
      </c>
      <c r="AR56" s="146">
        <f>IS!AR44+SUM(IS_NG!AR7,IS_NG!AR12:AR22)*IS!AR45</f>
        <v>-0.14939031620553345</v>
      </c>
      <c r="AS56" s="146">
        <f>IS!AS44+SUM(IS_NG!AS7,IS_NG!AS12:AS22)*IS!AS45</f>
        <v>-1.6031346207668884E-3</v>
      </c>
      <c r="AT56" s="146">
        <f>IS!AT44+SUM(IS_NG!AT7,IS_NG!AT12:AT22)*IS!AT45</f>
        <v>-4.1104614014251766</v>
      </c>
      <c r="AU56" s="146">
        <f>IS!AU44+SUM(IS_NG!AU7,IS_NG!AU12:AU22)*IS!AU45</f>
        <v>-0.87265176864244742</v>
      </c>
      <c r="AV56" s="146">
        <f>IS!AV44+SUM(IS_NG!AV7,IS_NG!AV12:AV22)*IS!AV45</f>
        <v>-26.889695792880257</v>
      </c>
      <c r="AW56" s="146">
        <f>IS!AW44+SUM(IS_NG!AW7,IS_NG!AW12:AW22)*IS!AW45</f>
        <v>-2.5207607407407404</v>
      </c>
      <c r="AX56" s="146">
        <f>IS!AX44+SUM(IS_NG!AX7,IS_NG!AX12:AX22)*IS!AX45</f>
        <v>1.0786362214576162</v>
      </c>
      <c r="AY56" s="146">
        <f>IS!AY44+SUM(IS_NG!AY7,IS_NG!AY12:AY22)*IS!AY45</f>
        <v>-0.69658479532163742</v>
      </c>
      <c r="AZ56" s="146">
        <f>IS!AZ44+SUM(IS_NG!AZ7,IS_NG!AZ12:AZ22)*IS!AZ45</f>
        <v>-2.5003508771929828</v>
      </c>
      <c r="BA56" s="154">
        <f>IS!BA44+SUM(IS_NG!BA7,IS_NG!BA12:BA22)*IS!BA45</f>
        <v>-2.0121513256628312</v>
      </c>
      <c r="BB56" s="166">
        <f>IS!BB44+SUM(IS_NG!BB7,IS_NG!BB12:BB22)*IS!BB45</f>
        <v>-1.2330596060505161</v>
      </c>
      <c r="BC56" s="146">
        <f>IS!BC44+SUM(IS_NG!BC7,IS_NG!BC12:BC22)*IS!BC45</f>
        <v>-1.4534359652848208</v>
      </c>
      <c r="BD56" s="146">
        <f>IS!BD44+SUM(IS_NG!BD7,IS_NG!BD12:BD22)*IS!BD45</f>
        <v>-1.7106600877014282</v>
      </c>
      <c r="BE56" s="146">
        <f>IS!BE44+SUM(IS_NG!BE7,IS_NG!BE12:BE22)*IS!BE45</f>
        <v>-1.9480418779097481</v>
      </c>
      <c r="BF56" s="146">
        <f>IS!BF44+SUM(IS_NG!BF7,IS_NG!BF12:BF22)*IS!BF45</f>
        <v>-2.0643875161373351</v>
      </c>
      <c r="BG56" s="146">
        <f>IS!BG44+SUM(IS_NG!BG7,IS_NG!BG12:BG22)*IS!BG45</f>
        <v>-2.367269286966899</v>
      </c>
      <c r="BH56" s="146">
        <f>IS!BH44+SUM(IS_NG!BH7,IS_NG!BH12:BH22)*IS!BH45</f>
        <v>-2.7742375957729073</v>
      </c>
      <c r="BI56" s="146">
        <f>IS!BI44+SUM(IS_NG!BI7,IS_NG!BI12:BI22)*IS!BI45</f>
        <v>-3.0255364630700918</v>
      </c>
      <c r="BJ56" s="146">
        <f>IS!BJ44+SUM(IS_NG!BJ7,IS_NG!BJ12:BJ22)*IS!BJ45</f>
        <v>-3.1441785273403564</v>
      </c>
      <c r="BK56" s="146">
        <f>IS!BK44+SUM(IS_NG!BK7,IS_NG!BK12:BK22)*IS!BK45</f>
        <v>-3.4844568940963203</v>
      </c>
      <c r="BL56" s="146">
        <f>IS!BL44+SUM(IS_NG!BL7,IS_NG!BL12:BL22)*IS!BL45</f>
        <v>-4.0918678829409956</v>
      </c>
      <c r="BM56" s="146">
        <f>IS!BM44+SUM(IS_NG!BM7,IS_NG!BM12:BM22)*IS!BM45</f>
        <v>-4.3871488641452272</v>
      </c>
      <c r="BN56" s="146">
        <f>IS!BN44+SUM(IS_NG!BN7,IS_NG!BN12:BN22)*IS!BN45</f>
        <v>-4.5100251844413002</v>
      </c>
      <c r="BO56" s="146">
        <f>IS!BO44+SUM(IS_NG!BO7,IS_NG!BO12:BO22)*IS!BO45</f>
        <v>-4.9780835666901435</v>
      </c>
      <c r="BP56" s="146">
        <f>IS!BP44+SUM(IS_NG!BP7,IS_NG!BP12:BP22)*IS!BP45</f>
        <v>-5.8739018971110699</v>
      </c>
      <c r="BQ56" s="146">
        <f>IS!BQ44+SUM(IS_NG!BQ7,IS_NG!BQ12:BQ22)*IS!BQ45</f>
        <v>-6.2006141511634425</v>
      </c>
      <c r="BR56" s="146">
        <f>IS!BR44+SUM(IS_NG!BR7,IS_NG!BR12:BR22)*IS!BR45</f>
        <v>-6.2913302165336935</v>
      </c>
    </row>
    <row r="57" spans="1:70" x14ac:dyDescent="0.2">
      <c r="A57" s="161" t="s">
        <v>69</v>
      </c>
      <c r="B57" s="12" t="s">
        <v>334</v>
      </c>
      <c r="C57" s="91">
        <f>C56/C55</f>
        <v>0.38052228934540133</v>
      </c>
      <c r="D57" s="91">
        <f>D56/D55</f>
        <v>0.51654224401531612</v>
      </c>
      <c r="E57" s="91">
        <f>E56/E55</f>
        <v>0.51220945765428827</v>
      </c>
      <c r="F57" s="91">
        <f>F56/F55</f>
        <v>0.36512369325062438</v>
      </c>
      <c r="G57" s="91">
        <f>G56/G55</f>
        <v>0.37256011315417259</v>
      </c>
      <c r="H57" s="91">
        <f>H56/H55</f>
        <v>0.40199990148268577</v>
      </c>
      <c r="I57" s="91">
        <f>I56/I55</f>
        <v>0.1471446097348944</v>
      </c>
      <c r="J57" s="91">
        <f>J56/J55</f>
        <v>-0.14553936716823618</v>
      </c>
      <c r="K57" s="91">
        <f>K56/K55</f>
        <v>0.27979519058654012</v>
      </c>
      <c r="L57" s="93">
        <f>L56/L55</f>
        <v>-3.6696900982615266</v>
      </c>
      <c r="M57" s="92">
        <f>M56/M55</f>
        <v>-0.15676305783629813</v>
      </c>
      <c r="N57" s="91">
        <f>N56/N55</f>
        <v>-0.16495747873936925</v>
      </c>
      <c r="O57" s="91">
        <f>O56/O55</f>
        <v>-0.16495747873936981</v>
      </c>
      <c r="P57" s="91">
        <f>P56/P55</f>
        <v>-0.16495747873936986</v>
      </c>
      <c r="Q57" s="91">
        <f>Q56/Q55</f>
        <v>-0.16495747873936981</v>
      </c>
      <c r="R57" s="47"/>
      <c r="S57" s="91">
        <f>S56/S55</f>
        <v>0.4581648522550541</v>
      </c>
      <c r="T57" s="91">
        <f>T56/T55</f>
        <v>0.60197238658777219</v>
      </c>
      <c r="U57" s="91">
        <f>U56/U55</f>
        <v>0.42428035043804724</v>
      </c>
      <c r="V57" s="91">
        <f>V56/V55</f>
        <v>0.53546934179548</v>
      </c>
      <c r="W57" s="91">
        <f>W56/W55</f>
        <v>0.36430928386694017</v>
      </c>
      <c r="X57" s="91">
        <f>X56/X55</f>
        <v>0.40470588235294103</v>
      </c>
      <c r="Y57" s="91">
        <f>Y56/Y55</f>
        <v>0.35968164963371602</v>
      </c>
      <c r="Z57" s="91">
        <f>Z56/Z55</f>
        <v>0.30128714444621135</v>
      </c>
      <c r="AA57" s="91">
        <f>AA56/AA55</f>
        <v>0.36989114807968798</v>
      </c>
      <c r="AB57" s="91">
        <f>AB56/AB55</f>
        <v>0.37834862385321105</v>
      </c>
      <c r="AC57" s="91">
        <f>AC56/AC55</f>
        <v>0.36912165848336054</v>
      </c>
      <c r="AD57" s="91">
        <f>AD56/AD55</f>
        <v>0.37194450561550513</v>
      </c>
      <c r="AE57" s="91">
        <f>AE56/AE55</f>
        <v>0.34690852010115991</v>
      </c>
      <c r="AF57" s="91">
        <f>AF56/AF55</f>
        <v>0.37339169651147375</v>
      </c>
      <c r="AG57" s="91">
        <f>AG56/AG55</f>
        <v>0.35316239316239317</v>
      </c>
      <c r="AH57" s="91">
        <f>AH56/AH55</f>
        <v>0.23141711229946593</v>
      </c>
      <c r="AI57" s="91">
        <f>AI56/AI55</f>
        <v>0.81134352373290608</v>
      </c>
      <c r="AJ57" s="91">
        <f>AJ56/AJ55</f>
        <v>0.41011157923978081</v>
      </c>
      <c r="AK57" s="91">
        <f>AK56/AK55</f>
        <v>0.39306645475315366</v>
      </c>
      <c r="AL57" s="91">
        <f>AL56/AL55</f>
        <v>7.787740671323902E-2</v>
      </c>
      <c r="AM57" s="91">
        <f>AM56/AM55</f>
        <v>0.37987456971754568</v>
      </c>
      <c r="AN57" s="91">
        <f>AN56/AN55</f>
        <v>0.42211754630125226</v>
      </c>
      <c r="AO57" s="91">
        <f>AO56/AO55</f>
        <v>0.37672732764479328</v>
      </c>
      <c r="AP57" s="91">
        <f>AP56/AP55</f>
        <v>-0.3196234436683873</v>
      </c>
      <c r="AQ57" s="91">
        <f>AQ56/AQ55</f>
        <v>-0.42950285248573111</v>
      </c>
      <c r="AR57" s="91">
        <f>AR56/AR55</f>
        <v>-0.10770750988142333</v>
      </c>
      <c r="AS57" s="91">
        <f>AS56/AS55</f>
        <v>-0.20039182759552715</v>
      </c>
      <c r="AT57" s="91">
        <f>AT56/AT55</f>
        <v>0.48707920386600029</v>
      </c>
      <c r="AU57" s="91">
        <f>AU56/AU55</f>
        <v>-0.10157743785850855</v>
      </c>
      <c r="AV57" s="91">
        <f>AV56/AV55</f>
        <v>-3.7734627831715257</v>
      </c>
      <c r="AW57" s="91">
        <f>AW56/AW55</f>
        <v>-0.53259259259259251</v>
      </c>
      <c r="AX57" s="91">
        <f>AX56/AX55</f>
        <v>2.314670003127997</v>
      </c>
      <c r="AY57" s="91">
        <f>AY56/AY55</f>
        <v>-7.090643274853807E-2</v>
      </c>
      <c r="AZ57" s="91">
        <f>AZ56/AZ55</f>
        <v>-0.23391812865497078</v>
      </c>
      <c r="BA57" s="93">
        <f>BA56/BA55</f>
        <v>-0.16495747873936961</v>
      </c>
      <c r="BB57" s="92">
        <f>BB56/BB55</f>
        <v>-0.16495747873936967</v>
      </c>
      <c r="BC57" s="91">
        <f>BC56/BC55</f>
        <v>-0.16495747873936939</v>
      </c>
      <c r="BD57" s="91">
        <f>BD56/BD55</f>
        <v>-0.16495747873936989</v>
      </c>
      <c r="BE57" s="91">
        <f>BE56/BE55</f>
        <v>-0.16495747873936947</v>
      </c>
      <c r="BF57" s="91">
        <f>BF56/BF55</f>
        <v>-0.16495747873936947</v>
      </c>
      <c r="BG57" s="91">
        <f>BG56/BG55</f>
        <v>-0.16495747873936967</v>
      </c>
      <c r="BH57" s="91">
        <f>BH56/BH55</f>
        <v>-0.16495747873936981</v>
      </c>
      <c r="BI57" s="91">
        <f>BI56/BI55</f>
        <v>-0.16495747873936942</v>
      </c>
      <c r="BJ57" s="91">
        <f>BJ56/BJ55</f>
        <v>-0.16495747873936978</v>
      </c>
      <c r="BK57" s="91">
        <f>BK56/BK55</f>
        <v>-0.16495747873936967</v>
      </c>
      <c r="BL57" s="91">
        <f>BL56/BL55</f>
        <v>-0.1649574787393697</v>
      </c>
      <c r="BM57" s="91">
        <f>BM56/BM55</f>
        <v>-0.1649574787393695</v>
      </c>
      <c r="BN57" s="91">
        <f>BN56/BN55</f>
        <v>-0.16495747873936967</v>
      </c>
      <c r="BO57" s="91">
        <f>BO56/BO55</f>
        <v>-0.16495747873936967</v>
      </c>
      <c r="BP57" s="91">
        <f>BP56/BP55</f>
        <v>-0.16495747873936981</v>
      </c>
      <c r="BQ57" s="91">
        <f>BQ56/BQ55</f>
        <v>-0.16495747873936967</v>
      </c>
      <c r="BR57" s="91">
        <f>BR56/BR55</f>
        <v>-0.16495747873936967</v>
      </c>
    </row>
    <row r="58" spans="1:70" x14ac:dyDescent="0.2">
      <c r="A58" s="267"/>
      <c r="B58" s="9"/>
      <c r="C58" s="101"/>
      <c r="D58" s="101"/>
      <c r="E58" s="101"/>
      <c r="F58" s="101"/>
      <c r="G58" s="101"/>
      <c r="H58" s="101"/>
      <c r="I58" s="101"/>
      <c r="J58" s="101"/>
      <c r="K58" s="101"/>
      <c r="L58" s="102"/>
      <c r="M58" s="176"/>
      <c r="N58" s="101"/>
      <c r="O58" s="101"/>
      <c r="P58" s="101"/>
      <c r="Q58" s="101"/>
      <c r="R58" s="46"/>
      <c r="S58" s="101"/>
      <c r="T58" s="101"/>
      <c r="U58" s="101"/>
      <c r="V58" s="101"/>
      <c r="W58" s="101"/>
      <c r="X58" s="101"/>
      <c r="Y58" s="101"/>
      <c r="Z58" s="101"/>
      <c r="AA58" s="101"/>
      <c r="AB58" s="101"/>
      <c r="AC58" s="101"/>
      <c r="AD58" s="101"/>
      <c r="AE58" s="101"/>
      <c r="AF58" s="101"/>
      <c r="AG58" s="101"/>
      <c r="AH58" s="101"/>
      <c r="AI58" s="101"/>
      <c r="AJ58" s="101"/>
      <c r="AK58" s="101"/>
      <c r="AL58" s="101"/>
      <c r="AM58" s="101"/>
      <c r="AN58" s="101"/>
      <c r="AO58" s="101"/>
      <c r="AP58" s="101"/>
      <c r="AQ58" s="101"/>
      <c r="AR58" s="101"/>
      <c r="AS58" s="101"/>
      <c r="AT58" s="101"/>
      <c r="AU58" s="101"/>
      <c r="AV58" s="101"/>
      <c r="AW58" s="101"/>
      <c r="AX58" s="101"/>
      <c r="AY58" s="101"/>
      <c r="AZ58" s="101"/>
      <c r="BA58" s="102"/>
      <c r="BB58" s="176"/>
      <c r="BC58" s="101"/>
      <c r="BD58" s="101"/>
      <c r="BE58" s="101"/>
      <c r="BF58" s="101"/>
      <c r="BG58" s="101"/>
      <c r="BH58" s="101"/>
      <c r="BI58" s="101"/>
      <c r="BJ58" s="101"/>
      <c r="BK58" s="101"/>
      <c r="BL58" s="101"/>
      <c r="BM58" s="101"/>
      <c r="BN58" s="101"/>
      <c r="BO58" s="101"/>
      <c r="BP58" s="101"/>
      <c r="BQ58" s="101"/>
      <c r="BR58" s="101"/>
    </row>
    <row r="59" spans="1:70" x14ac:dyDescent="0.2">
      <c r="A59" s="278" t="s">
        <v>307</v>
      </c>
      <c r="B59" s="17" t="s">
        <v>335</v>
      </c>
      <c r="C59" s="144">
        <f>C55-C56</f>
        <v>38.694436240618224</v>
      </c>
      <c r="D59" s="144">
        <f>D55-D56</f>
        <v>21.386237293738489</v>
      </c>
      <c r="E59" s="144">
        <f>E55-E56</f>
        <v>12.910352284263947</v>
      </c>
      <c r="F59" s="144">
        <f>F55-F56</f>
        <v>29.914101821417056</v>
      </c>
      <c r="G59" s="144">
        <f>G55-G56</f>
        <v>27.584139745403107</v>
      </c>
      <c r="H59" s="144">
        <f>H55-H56</f>
        <v>47.363999802965346</v>
      </c>
      <c r="I59" s="144">
        <f>I55-I56</f>
        <v>-26.331910174435123</v>
      </c>
      <c r="J59" s="144">
        <f>J55-J56</f>
        <v>-52.519543366562147</v>
      </c>
      <c r="K59" s="144">
        <f>K55-K56</f>
        <v>-4.3838866748996814</v>
      </c>
      <c r="L59" s="144">
        <f>L55-L56</f>
        <v>97.675907785336364</v>
      </c>
      <c r="M59" s="86">
        <f>M55-M56</f>
        <v>46.485697440162717</v>
      </c>
      <c r="N59" s="72">
        <f>N55-N56</f>
        <v>50.681830583105118</v>
      </c>
      <c r="O59" s="72">
        <f>O55-O56</f>
        <v>79.881752652308236</v>
      </c>
      <c r="P59" s="72">
        <f>P55-P56</f>
        <v>116.33862135002727</v>
      </c>
      <c r="Q59" s="72">
        <f>Q55-Q56</f>
        <v>164.85876147111978</v>
      </c>
      <c r="R59" s="56"/>
      <c r="S59" s="144">
        <f>S55-S56</f>
        <v>2.847343701399693</v>
      </c>
      <c r="T59" s="144">
        <f>T55-T56</f>
        <v>1.8997857988165601</v>
      </c>
      <c r="U59" s="144">
        <f>U55-U56</f>
        <v>2.9350187734668376</v>
      </c>
      <c r="V59" s="144">
        <f>V55-V56</f>
        <v>5.2682421946974181</v>
      </c>
      <c r="W59" s="144">
        <f>W55-W56</f>
        <v>7.6638872737001673</v>
      </c>
      <c r="X59" s="144">
        <f>X55-X56</f>
        <v>7.8376423529411809</v>
      </c>
      <c r="Y59" s="144">
        <f>Y55-Y56</f>
        <v>8.2594664013747021</v>
      </c>
      <c r="Z59" s="144">
        <f>Z55-Z56</f>
        <v>6.2863195614174066</v>
      </c>
      <c r="AA59" s="144">
        <f>AA55-AA56</f>
        <v>6.8738574655986806</v>
      </c>
      <c r="AB59" s="144">
        <f>AB55-AB56</f>
        <v>7.5742003669724749</v>
      </c>
      <c r="AC59" s="144">
        <f>AC55-AC56</f>
        <v>6.5687052918712521</v>
      </c>
      <c r="AD59" s="144">
        <f>AD55-AD56</f>
        <v>6.5682043602730129</v>
      </c>
      <c r="AE59" s="144">
        <f>AE55-AE56</f>
        <v>11.27170585157408</v>
      </c>
      <c r="AF59" s="144">
        <f>AF55-AF56</f>
        <v>9.5156736967767586</v>
      </c>
      <c r="AG59" s="144">
        <f>AG55-AG56</f>
        <v>14.220077948717947</v>
      </c>
      <c r="AH59" s="144">
        <f>AH55-AH56</f>
        <v>16.636745187165708</v>
      </c>
      <c r="AI59" s="144">
        <f>AI55-AI56</f>
        <v>-1.1440128720836551</v>
      </c>
      <c r="AJ59" s="144">
        <f>AJ55-AJ56</f>
        <v>-2.38786832723736</v>
      </c>
      <c r="AK59" s="144">
        <f>AK55-AK56</f>
        <v>-3.4473825370020892</v>
      </c>
      <c r="AL59" s="144">
        <f>AL55-AL56</f>
        <v>-13.90745295195093</v>
      </c>
      <c r="AM59" s="144">
        <f>AM55-AM56</f>
        <v>-9.162353232423273</v>
      </c>
      <c r="AN59" s="144">
        <f>AN55-AN56</f>
        <v>-5.5280235520822245</v>
      </c>
      <c r="AO59" s="144">
        <f>AO55-AO56</f>
        <v>-6.0345260137431147</v>
      </c>
      <c r="AP59" s="144">
        <f>AP55-AP56</f>
        <v>-15.599268727604013</v>
      </c>
      <c r="AQ59" s="144">
        <f>AQ55-AQ56</f>
        <v>1.3708932355338359</v>
      </c>
      <c r="AR59" s="144">
        <f>AR55-AR56</f>
        <v>1.5363903162055268</v>
      </c>
      <c r="AS59" s="144">
        <f>AS55-AS56</f>
        <v>9.6031346207802182E-3</v>
      </c>
      <c r="AT59" s="144">
        <f>AT55-AT56</f>
        <v>-4.3285385985748235</v>
      </c>
      <c r="AU59" s="144">
        <f>AU55-AU56</f>
        <v>9.4636517686424515</v>
      </c>
      <c r="AV59" s="144">
        <f>AV55-AV56</f>
        <v>34.015695792880251</v>
      </c>
      <c r="AW59" s="144">
        <f>AW55-AW56</f>
        <v>7.2537607407407414</v>
      </c>
      <c r="AX59" s="144">
        <f>AX55-AX56</f>
        <v>-0.6126362214576293</v>
      </c>
      <c r="AY59" s="144">
        <f>AY55-AY56</f>
        <v>10.520584795321628</v>
      </c>
      <c r="AZ59" s="144">
        <f>AZ55-AZ56</f>
        <v>13.189350877192982</v>
      </c>
      <c r="BA59" s="175">
        <f>BA55-BA56</f>
        <v>14.210151325662835</v>
      </c>
      <c r="BB59" s="257">
        <f>BB55-BB56</f>
        <v>8.7080744733590283</v>
      </c>
      <c r="BC59" s="144">
        <f>BC55-BC56</f>
        <v>10.264409413668027</v>
      </c>
      <c r="BD59" s="144">
        <f>BD55-BD56</f>
        <v>12.080969459392559</v>
      </c>
      <c r="BE59" s="144">
        <f>BE55-BE56</f>
        <v>13.75739961541268</v>
      </c>
      <c r="BF59" s="144">
        <f>BF55-BF56</f>
        <v>14.579052094631765</v>
      </c>
      <c r="BG59" s="144">
        <f>BG55-BG56</f>
        <v>16.718054138056608</v>
      </c>
      <c r="BH59" s="144">
        <f>BH55-BH56</f>
        <v>19.592132831406076</v>
      </c>
      <c r="BI59" s="144">
        <f>BI55-BI56</f>
        <v>21.366847728201627</v>
      </c>
      <c r="BJ59" s="144">
        <f>BJ55-BJ56</f>
        <v>22.204717954643975</v>
      </c>
      <c r="BK59" s="144">
        <f>BK55-BK56</f>
        <v>24.607821052696913</v>
      </c>
      <c r="BL59" s="144">
        <f>BL55-BL56</f>
        <v>28.897459688851686</v>
      </c>
      <c r="BM59" s="144">
        <f>BM55-BM56</f>
        <v>30.982783676658705</v>
      </c>
      <c r="BN59" s="144">
        <f>BN55-BN56</f>
        <v>31.850556931820101</v>
      </c>
      <c r="BO59" s="144">
        <f>BO55-BO56</f>
        <v>35.156064005851924</v>
      </c>
      <c r="BP59" s="144">
        <f>BP55-BP56</f>
        <v>41.482483829863213</v>
      </c>
      <c r="BQ59" s="144">
        <f>BQ55-BQ56</f>
        <v>43.789780756700132</v>
      </c>
      <c r="BR59" s="144">
        <f>BR55-BR56</f>
        <v>44.430432878704593</v>
      </c>
    </row>
    <row r="60" spans="1:70" x14ac:dyDescent="0.2">
      <c r="A60" s="291" t="s">
        <v>6</v>
      </c>
      <c r="B60" s="26"/>
      <c r="C60" s="225">
        <f>C59/C25</f>
        <v>5.7950093213649766E-2</v>
      </c>
      <c r="D60" s="225">
        <f>D59/D25</f>
        <v>3.5314713409631084E-2</v>
      </c>
      <c r="E60" s="225">
        <f>E59/E25</f>
        <v>2.3729517140963358E-2</v>
      </c>
      <c r="F60" s="225">
        <f>F59/F25</f>
        <v>5.1180185361868476E-2</v>
      </c>
      <c r="G60" s="225">
        <f>G59/G25</f>
        <v>4.735929934105787E-2</v>
      </c>
      <c r="H60" s="225">
        <f>H59/H25</f>
        <v>7.9864699787313018E-2</v>
      </c>
      <c r="I60" s="225">
        <f>I59/I25</f>
        <v>-3.1840316825576719E-2</v>
      </c>
      <c r="J60" s="225">
        <f>J59/J25</f>
        <v>-6.1107890766440805E-2</v>
      </c>
      <c r="K60" s="225">
        <f>K59/K25</f>
        <v>-4.4965338406763042E-3</v>
      </c>
      <c r="L60" s="109">
        <f>L59/L25</f>
        <v>0.20803575558892978</v>
      </c>
      <c r="M60" s="104">
        <f>M59/M25</f>
        <v>8.9386931323165039E-2</v>
      </c>
      <c r="N60" s="105">
        <f>N59/N25</f>
        <v>8.516778696048774E-2</v>
      </c>
      <c r="O60" s="105">
        <f>O59/O25</f>
        <v>0.1111526581413535</v>
      </c>
      <c r="P60" s="105">
        <f>P59/P25</f>
        <v>0.13326821249188436</v>
      </c>
      <c r="Q60" s="105">
        <f>Q59/Q25</f>
        <v>0.15288464770016844</v>
      </c>
      <c r="R60" s="53"/>
      <c r="S60" s="225">
        <f>S59/S25</f>
        <v>2.1187327098197716E-2</v>
      </c>
      <c r="T60" s="225">
        <f>T59/T25</f>
        <v>1.4067068972074164E-2</v>
      </c>
      <c r="U60" s="225">
        <f>U59/U25</f>
        <v>2.1441023124502058E-2</v>
      </c>
      <c r="V60" s="225">
        <f>V59/V25</f>
        <v>3.8249395172560305E-2</v>
      </c>
      <c r="W60" s="225">
        <f>W59/W25</f>
        <v>5.0732381913084879E-2</v>
      </c>
      <c r="X60" s="225">
        <f>X59/X25</f>
        <v>5.3149169992480795E-2</v>
      </c>
      <c r="Y60" s="225">
        <f>Y59/Y25</f>
        <v>5.5127792619171168E-2</v>
      </c>
      <c r="Z60" s="225">
        <f>Z59/Z25</f>
        <v>4.6178118013526621E-2</v>
      </c>
      <c r="AA60" s="225">
        <f>AA59/AA25</f>
        <v>4.6817625870773323E-2</v>
      </c>
      <c r="AB60" s="225">
        <f>AB59/AB25</f>
        <v>5.0811052600676712E-2</v>
      </c>
      <c r="AC60" s="225">
        <f>AC59/AC25</f>
        <v>4.4960029649839854E-2</v>
      </c>
      <c r="AD60" s="225">
        <f>AD59/AD25</f>
        <v>4.6763763200121149E-2</v>
      </c>
      <c r="AE60" s="225">
        <f>AE59/AE25</f>
        <v>7.4859739601743233E-2</v>
      </c>
      <c r="AF60" s="225">
        <f>AF59/AF25</f>
        <v>6.564978472518565E-2</v>
      </c>
      <c r="AG60" s="225">
        <f>AG59/AG25</f>
        <v>9.7745258478550104E-2</v>
      </c>
      <c r="AH60" s="225">
        <f>AH59/AH25</f>
        <v>0.10941268085341298</v>
      </c>
      <c r="AI60" s="225">
        <f>AI59/AI25</f>
        <v>-5.5140325347570766E-3</v>
      </c>
      <c r="AJ60" s="225">
        <f>AJ59/AJ25</f>
        <v>-1.1571147715867884E-2</v>
      </c>
      <c r="AK60" s="225">
        <f>AK59/AK25</f>
        <v>-1.6514723812681868E-2</v>
      </c>
      <c r="AL60" s="225">
        <f>AL59/AL25</f>
        <v>-6.8035050837267783E-2</v>
      </c>
      <c r="AM60" s="225">
        <f>AM59/AM25</f>
        <v>-4.4527374057429799E-2</v>
      </c>
      <c r="AN60" s="225">
        <f>AN59/AN25</f>
        <v>-2.5831885757393574E-2</v>
      </c>
      <c r="AO60" s="225">
        <f>AO59/AO25</f>
        <v>-2.7160894303834848E-2</v>
      </c>
      <c r="AP60" s="225">
        <f>AP59/AP25</f>
        <v>-7.1717148684912552E-2</v>
      </c>
      <c r="AQ60" s="225">
        <f>AQ59/AQ25</f>
        <v>5.771282939221409E-3</v>
      </c>
      <c r="AR60" s="225">
        <f>AR59/AR25</f>
        <v>6.3426921364221067E-3</v>
      </c>
      <c r="AS60" s="225">
        <f>AS59/AS25</f>
        <v>3.8828469043515008E-5</v>
      </c>
      <c r="AT60" s="225">
        <f>AT59/AT25</f>
        <v>-1.7463713637894219E-2</v>
      </c>
      <c r="AU60" s="225">
        <f>AU59/AU25</f>
        <v>8.5257355957535974E-2</v>
      </c>
      <c r="AV60" s="225">
        <f>AV59/AV25</f>
        <v>0.28661208770395047</v>
      </c>
      <c r="AW60" s="225">
        <f>AW59/AW25</f>
        <v>6.0282230040228882E-2</v>
      </c>
      <c r="AX60" s="225">
        <f>AX59/AX25</f>
        <v>-5.1265771406137917E-3</v>
      </c>
      <c r="AY60" s="225">
        <f>AY59/AY25</f>
        <v>8.4997655385349452E-2</v>
      </c>
      <c r="AZ60" s="225">
        <f>AZ59/AZ25</f>
        <v>0.10168651316972988</v>
      </c>
      <c r="BA60" s="109">
        <f>BA59/BA25</f>
        <v>0.10559751001837597</v>
      </c>
      <c r="BB60" s="258">
        <f>BB59/BB25</f>
        <v>6.5970128061950073E-2</v>
      </c>
      <c r="BC60" s="225">
        <f>BC59/BC25</f>
        <v>7.4064600012075224E-2</v>
      </c>
      <c r="BD60" s="225">
        <f>BD59/BD25</f>
        <v>8.259045829896762E-2</v>
      </c>
      <c r="BE60" s="225">
        <f>BE59/BE25</f>
        <v>8.9700205985606435E-2</v>
      </c>
      <c r="BF60" s="225">
        <f>BF59/BF25</f>
        <v>9.2949946314952833E-2</v>
      </c>
      <c r="BG60" s="225">
        <f>BG59/BG25</f>
        <v>0.10077098390743229</v>
      </c>
      <c r="BH60" s="225">
        <f>BH59/BH25</f>
        <v>0.11002759173040785</v>
      </c>
      <c r="BI60" s="225">
        <f>BI59/BI25</f>
        <v>0.11513744174474641</v>
      </c>
      <c r="BJ60" s="225">
        <f>BJ59/BJ25</f>
        <v>0.11740883292669471</v>
      </c>
      <c r="BK60" s="225">
        <f>BK59/BK25</f>
        <v>0.12347504359182172</v>
      </c>
      <c r="BL60" s="225">
        <f>BL59/BL25</f>
        <v>0.1328929077215826</v>
      </c>
      <c r="BM60" s="225">
        <f>BM59/BM25</f>
        <v>0.13692529727443351</v>
      </c>
      <c r="BN60" s="225">
        <f>BN59/BN25</f>
        <v>0.1385121029965419</v>
      </c>
      <c r="BO60" s="225">
        <f>BO59/BO25</f>
        <v>0.14411887568291859</v>
      </c>
      <c r="BP60" s="225">
        <f>BP59/BP25</f>
        <v>0.1532337760399467</v>
      </c>
      <c r="BQ60" s="225">
        <f>BQ59/BQ25</f>
        <v>0.1561249642668523</v>
      </c>
      <c r="BR60" s="225">
        <f>BR59/BR25</f>
        <v>0.15689237290585878</v>
      </c>
    </row>
    <row r="61" spans="1:70" x14ac:dyDescent="0.2">
      <c r="A61" s="267"/>
      <c r="B61" s="9"/>
      <c r="C61" s="101"/>
      <c r="D61" s="101"/>
      <c r="E61" s="101"/>
      <c r="F61" s="101"/>
      <c r="G61" s="101"/>
      <c r="H61" s="101"/>
      <c r="I61" s="101"/>
      <c r="J61" s="101"/>
      <c r="K61" s="101"/>
      <c r="L61" s="102"/>
      <c r="M61" s="176"/>
      <c r="N61" s="101"/>
      <c r="O61" s="101"/>
      <c r="P61" s="101"/>
      <c r="Q61" s="101"/>
      <c r="R61" s="46"/>
      <c r="S61" s="101"/>
      <c r="T61" s="101"/>
      <c r="U61" s="101"/>
      <c r="V61" s="101"/>
      <c r="W61" s="101"/>
      <c r="X61" s="101"/>
      <c r="Y61" s="101"/>
      <c r="Z61" s="101"/>
      <c r="AA61" s="101"/>
      <c r="AB61" s="101"/>
      <c r="AC61" s="101"/>
      <c r="AD61" s="101"/>
      <c r="AE61" s="101"/>
      <c r="AF61" s="101"/>
      <c r="AG61" s="101"/>
      <c r="AH61" s="101"/>
      <c r="AI61" s="101"/>
      <c r="AJ61" s="101"/>
      <c r="AK61" s="101"/>
      <c r="AL61" s="101"/>
      <c r="AM61" s="101"/>
      <c r="AN61" s="101"/>
      <c r="AO61" s="101"/>
      <c r="AP61" s="101"/>
      <c r="AQ61" s="101"/>
      <c r="AR61" s="101"/>
      <c r="AS61" s="101"/>
      <c r="AT61" s="101"/>
      <c r="AU61" s="101"/>
      <c r="AV61" s="101"/>
      <c r="AW61" s="101"/>
      <c r="AX61" s="101"/>
      <c r="AY61" s="101"/>
      <c r="AZ61" s="101"/>
      <c r="BA61" s="102"/>
      <c r="BB61" s="176"/>
      <c r="BC61" s="101"/>
      <c r="BD61" s="101"/>
      <c r="BE61" s="101"/>
      <c r="BF61" s="101"/>
      <c r="BG61" s="101"/>
      <c r="BH61" s="101"/>
      <c r="BI61" s="101"/>
      <c r="BJ61" s="101"/>
      <c r="BK61" s="101"/>
      <c r="BL61" s="101"/>
      <c r="BM61" s="101"/>
      <c r="BN61" s="101"/>
      <c r="BO61" s="101"/>
      <c r="BP61" s="101"/>
      <c r="BQ61" s="101"/>
      <c r="BR61" s="101"/>
    </row>
    <row r="62" spans="1:70" x14ac:dyDescent="0.2">
      <c r="A62" s="279" t="s">
        <v>35</v>
      </c>
      <c r="B62" s="18"/>
      <c r="C62" s="114"/>
      <c r="D62" s="114"/>
      <c r="E62" s="114"/>
      <c r="F62" s="114"/>
      <c r="G62" s="114"/>
      <c r="H62" s="114"/>
      <c r="I62" s="114"/>
      <c r="J62" s="114"/>
      <c r="K62" s="114"/>
      <c r="L62" s="115"/>
      <c r="M62" s="178"/>
      <c r="N62" s="114"/>
      <c r="O62" s="114"/>
      <c r="P62" s="114"/>
      <c r="Q62" s="114"/>
      <c r="R62" s="57"/>
      <c r="S62" s="114"/>
      <c r="T62" s="114"/>
      <c r="U62" s="114"/>
      <c r="V62" s="114"/>
      <c r="W62" s="114"/>
      <c r="X62" s="114"/>
      <c r="Y62" s="114"/>
      <c r="Z62" s="114"/>
      <c r="AA62" s="114"/>
      <c r="AB62" s="114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5"/>
      <c r="BB62" s="178"/>
      <c r="BC62" s="114"/>
      <c r="BD62" s="114"/>
      <c r="BE62" s="114"/>
      <c r="BF62" s="114"/>
      <c r="BG62" s="114"/>
      <c r="BH62" s="114"/>
      <c r="BI62" s="114"/>
      <c r="BJ62" s="114"/>
      <c r="BK62" s="114"/>
      <c r="BL62" s="114"/>
      <c r="BM62" s="114"/>
      <c r="BN62" s="114"/>
      <c r="BO62" s="114"/>
      <c r="BP62" s="114"/>
      <c r="BQ62" s="114"/>
      <c r="BR62" s="114"/>
    </row>
    <row r="63" spans="1:70" x14ac:dyDescent="0.2">
      <c r="A63" s="280" t="s">
        <v>27</v>
      </c>
      <c r="B63" s="18"/>
      <c r="C63" s="209">
        <f>C59/C69</f>
        <v>0.52126355534834334</v>
      </c>
      <c r="D63" s="209">
        <f>D59/D69</f>
        <v>0.32451083097489475</v>
      </c>
      <c r="E63" s="209">
        <f>E59/E69</f>
        <v>0.19962507204341762</v>
      </c>
      <c r="F63" s="209">
        <f>F59/F69</f>
        <v>0.45370454584831649</v>
      </c>
      <c r="G63" s="209">
        <f>G59/G69</f>
        <v>0.41785287583547592</v>
      </c>
      <c r="H63" s="209">
        <f>H59/H69</f>
        <v>0.72003648225851846</v>
      </c>
      <c r="I63" s="209">
        <f>I59/I69</f>
        <v>-0.39985285896733869</v>
      </c>
      <c r="J63" s="209">
        <f>J59/J69</f>
        <v>-0.79514827201456695</v>
      </c>
      <c r="K63" s="209">
        <f>K59/K69</f>
        <v>-6.5611330742631729E-2</v>
      </c>
      <c r="L63" s="209">
        <f>L59/L69</f>
        <v>1.4061371039003854</v>
      </c>
      <c r="M63" s="117">
        <f>M59/M69</f>
        <v>0.64943886502062731</v>
      </c>
      <c r="N63" s="118">
        <f>N59/N69</f>
        <v>0.70146891507529463</v>
      </c>
      <c r="O63" s="118">
        <f>O59/O69</f>
        <v>1.1056144918728907</v>
      </c>
      <c r="P63" s="118">
        <f>P59/P69</f>
        <v>1.6102008463554451</v>
      </c>
      <c r="Q63" s="118">
        <f>Q59/Q69</f>
        <v>2.2817505843672721</v>
      </c>
      <c r="R63" s="57"/>
      <c r="S63" s="209">
        <f>S59/S69</f>
        <v>4.4523137687635932E-2</v>
      </c>
      <c r="T63" s="209">
        <f>T59/T69</f>
        <v>2.9698538336015257E-2</v>
      </c>
      <c r="U63" s="209">
        <f>U59/U69</f>
        <v>4.5355092926610788E-2</v>
      </c>
      <c r="V63" s="209">
        <f>V59/V69</f>
        <v>7.9750559268190802E-2</v>
      </c>
      <c r="W63" s="209">
        <f>W59/W69</f>
        <v>0.11766339045199385</v>
      </c>
      <c r="X63" s="209">
        <f>X59/X69</f>
        <v>0.11916019024145073</v>
      </c>
      <c r="Y63" s="209">
        <f>Y59/Y69</f>
        <v>0.12493898471251137</v>
      </c>
      <c r="Z63" s="209">
        <f>Z59/Z69</f>
        <v>9.4225066871775953E-2</v>
      </c>
      <c r="AA63" s="209">
        <f>AA59/AA69</f>
        <v>0.10306096924297466</v>
      </c>
      <c r="AB63" s="209">
        <f>AB59/AB69</f>
        <v>0.11455926503376603</v>
      </c>
      <c r="AC63" s="209">
        <f>AC59/AC69</f>
        <v>0.10024731464130106</v>
      </c>
      <c r="AD63" s="209">
        <f>AD59/AD69</f>
        <v>9.9945286835768241E-2</v>
      </c>
      <c r="AE63" s="209">
        <f>AE59/AE69</f>
        <v>0.17101662648420696</v>
      </c>
      <c r="AF63" s="209">
        <f>AF59/AF69</f>
        <v>0.14424243893855931</v>
      </c>
      <c r="AG63" s="209">
        <f>AG59/AG69</f>
        <v>0.21680583556263927</v>
      </c>
      <c r="AH63" s="209">
        <f>AH59/AH69</f>
        <v>0.25341190822935988</v>
      </c>
      <c r="AI63" s="209">
        <f>AI59/AI69</f>
        <v>-1.7433108393149582E-2</v>
      </c>
      <c r="AJ63" s="209">
        <f>AJ59/AJ69</f>
        <v>-3.6265541693052676E-2</v>
      </c>
      <c r="AK63" s="209">
        <f>AK59/AK69</f>
        <v>-5.2279803718507288E-2</v>
      </c>
      <c r="AL63" s="209">
        <f>AL59/AL69</f>
        <v>-0.21070621404689002</v>
      </c>
      <c r="AM63" s="209">
        <f>AM59/AM69</f>
        <v>-0.13875205549297745</v>
      </c>
      <c r="AN63" s="209">
        <f>AN59/AN69</f>
        <v>-8.3705933466819468E-2</v>
      </c>
      <c r="AO63" s="209">
        <f>AO59/AO69</f>
        <v>-9.1364381197945682E-2</v>
      </c>
      <c r="AP63" s="209">
        <f>AP59/AP69</f>
        <v>-0.23608785191760773</v>
      </c>
      <c r="AQ63" s="209">
        <f>AQ59/AQ69</f>
        <v>2.074282396026382E-2</v>
      </c>
      <c r="AR63" s="209">
        <f>AR59/AR69</f>
        <v>2.3155845006865516E-2</v>
      </c>
      <c r="AS63" s="209">
        <f>AS59/AS69</f>
        <v>1.4355105043245911E-4</v>
      </c>
      <c r="AT63" s="209">
        <f>AT59/AT69</f>
        <v>-6.3885153842149267E-2</v>
      </c>
      <c r="AU63" s="209">
        <f>AU59/AU69</f>
        <v>0.13778137857267056</v>
      </c>
      <c r="AV63" s="209">
        <f>AV59/AV69</f>
        <v>0.49153498826467423</v>
      </c>
      <c r="AW63" s="209">
        <f>AW59/AW69</f>
        <v>0.10399656975972389</v>
      </c>
      <c r="AX63" s="209">
        <f>AX59/AX69</f>
        <v>-8.7275089956354961E-3</v>
      </c>
      <c r="AY63" s="209">
        <f>AY59/AY69</f>
        <v>0.14958035651778126</v>
      </c>
      <c r="AZ63" s="209">
        <f>AZ59/AZ69</f>
        <v>0.18452580378573502</v>
      </c>
      <c r="BA63" s="259">
        <f>BA59/BA69</f>
        <v>0.19667757298394256</v>
      </c>
      <c r="BB63" s="260">
        <f>BB59/BB69</f>
        <v>0.12052531415979056</v>
      </c>
      <c r="BC63" s="209">
        <f>BC59/BC69</f>
        <v>0.14206598405098927</v>
      </c>
      <c r="BD63" s="209">
        <f>BD59/BD69</f>
        <v>0.16720833565476684</v>
      </c>
      <c r="BE63" s="209">
        <f>BE59/BE69</f>
        <v>0.19041120005830617</v>
      </c>
      <c r="BF63" s="209">
        <f>BF59/BF69</f>
        <v>0.20178339531123118</v>
      </c>
      <c r="BG63" s="209">
        <f>BG59/BG69</f>
        <v>0.23138855016617912</v>
      </c>
      <c r="BH63" s="209">
        <f>BH59/BH69</f>
        <v>0.27116763548471406</v>
      </c>
      <c r="BI63" s="209">
        <f>BI59/BI69</f>
        <v>0.29573082349312296</v>
      </c>
      <c r="BJ63" s="209">
        <f>BJ59/BJ69</f>
        <v>0.30732748272887533</v>
      </c>
      <c r="BK63" s="209">
        <f>BK59/BK69</f>
        <v>0.34058796490978549</v>
      </c>
      <c r="BL63" s="209">
        <f>BL59/BL69</f>
        <v>0.39995930421518988</v>
      </c>
      <c r="BM63" s="209">
        <f>BM59/BM69</f>
        <v>0.42882152048634209</v>
      </c>
      <c r="BN63" s="209">
        <f>BN59/BN69</f>
        <v>0.44083205674412945</v>
      </c>
      <c r="BO63" s="209">
        <f>BO59/BO69</f>
        <v>0.48658238648395069</v>
      </c>
      <c r="BP63" s="209">
        <f>BP59/BP69</f>
        <v>0.57414407869597939</v>
      </c>
      <c r="BQ63" s="209">
        <f>BQ59/BQ69</f>
        <v>0.60607854225824043</v>
      </c>
      <c r="BR63" s="209">
        <f>BR59/BR69</f>
        <v>0.61494557692910257</v>
      </c>
    </row>
    <row r="64" spans="1:70" x14ac:dyDescent="0.2">
      <c r="A64" s="280" t="s">
        <v>28</v>
      </c>
      <c r="B64" s="18" t="s">
        <v>336</v>
      </c>
      <c r="C64" s="209">
        <f>C59/C70</f>
        <v>0.51348845799429677</v>
      </c>
      <c r="D64" s="209">
        <f>D59/D70</f>
        <v>0.31790696417140096</v>
      </c>
      <c r="E64" s="209">
        <f>E59/E70</f>
        <v>0.19905259538790218</v>
      </c>
      <c r="F64" s="209">
        <f>F59/F70</f>
        <v>0.44424464739173197</v>
      </c>
      <c r="G64" s="209">
        <f>G59/G70</f>
        <v>0.41044773075519836</v>
      </c>
      <c r="H64" s="209">
        <f>H59/H70</f>
        <v>0.70837383609717397</v>
      </c>
      <c r="I64" s="209">
        <f>I59/I70</f>
        <v>-0.39985285896733869</v>
      </c>
      <c r="J64" s="209">
        <f>J59/J70</f>
        <v>-0.79514827201456695</v>
      </c>
      <c r="K64" s="209">
        <f>K59/K70</f>
        <v>-6.5611330742631729E-2</v>
      </c>
      <c r="L64" s="209">
        <f>L59/L70</f>
        <v>1.3235935251956252</v>
      </c>
      <c r="M64" s="117">
        <f>M59/M70</f>
        <v>0.59470482614132381</v>
      </c>
      <c r="N64" s="118">
        <f>N59/N70</f>
        <v>0.64052866455741064</v>
      </c>
      <c r="O64" s="118">
        <f>O59/O70</f>
        <v>1.0095640145631373</v>
      </c>
      <c r="P64" s="118">
        <f>P59/P70</f>
        <v>1.4703143298581645</v>
      </c>
      <c r="Q64" s="118">
        <f>Q59/Q70</f>
        <v>2.0835230517677066</v>
      </c>
      <c r="R64" s="57"/>
      <c r="S64" s="209">
        <f>S59/S70</f>
        <v>4.4363586385586191E-2</v>
      </c>
      <c r="T64" s="209">
        <f>T59/T70</f>
        <v>2.9640618448163014E-2</v>
      </c>
      <c r="U64" s="209">
        <f>U59/U70</f>
        <v>4.5327775223036514E-2</v>
      </c>
      <c r="V64" s="209">
        <f>V59/V70</f>
        <v>7.9330244314737758E-2</v>
      </c>
      <c r="W64" s="209">
        <f>W59/W70</f>
        <v>0.11578618029460896</v>
      </c>
      <c r="X64" s="209">
        <f>X59/X70</f>
        <v>0.11631483241976733</v>
      </c>
      <c r="Y64" s="209">
        <f>Y59/Y70</f>
        <v>0.12217964825039129</v>
      </c>
      <c r="Z64" s="209">
        <f>Z59/Z70</f>
        <v>9.2209926972414757E-2</v>
      </c>
      <c r="AA64" s="209">
        <f>AA59/AA70</f>
        <v>0.1012618583070428</v>
      </c>
      <c r="AB64" s="209">
        <f>AB59/AB70</f>
        <v>0.11305957886603787</v>
      </c>
      <c r="AC64" s="209">
        <f>AC59/AC70</f>
        <v>9.8584801018629029E-2</v>
      </c>
      <c r="AD64" s="209">
        <f>AD59/AD70</f>
        <v>9.7574156729896944E-2</v>
      </c>
      <c r="AE64" s="209">
        <f>AE59/AE70</f>
        <v>0.16731046239534034</v>
      </c>
      <c r="AF64" s="209">
        <f>AF59/AF70</f>
        <v>0.14184079921261583</v>
      </c>
      <c r="AG64" s="209">
        <f>AG59/AG70</f>
        <v>0.2130444506677146</v>
      </c>
      <c r="AH64" s="209">
        <f>AH59/AH70</f>
        <v>0.25112826330101606</v>
      </c>
      <c r="AI64" s="209">
        <f>AI59/AI70</f>
        <v>-1.7205270890989218E-2</v>
      </c>
      <c r="AJ64" s="209">
        <f>AJ59/AJ70</f>
        <v>-3.6265541693052676E-2</v>
      </c>
      <c r="AK64" s="209">
        <f>AK59/AK70</f>
        <v>-5.2279803718507288E-2</v>
      </c>
      <c r="AL64" s="209">
        <f>AL59/AL70</f>
        <v>-0.21070621404689002</v>
      </c>
      <c r="AM64" s="209">
        <f>AM59/AM70</f>
        <v>-0.13875205549297745</v>
      </c>
      <c r="AN64" s="209">
        <f>AN59/AN70</f>
        <v>-8.3705933466819468E-2</v>
      </c>
      <c r="AO64" s="209">
        <f>AO59/AO70</f>
        <v>-9.1364381197945682E-2</v>
      </c>
      <c r="AP64" s="209">
        <f>AP59/AP70</f>
        <v>-0.23608785191760773</v>
      </c>
      <c r="AQ64" s="209">
        <f>AQ59/AQ70</f>
        <v>2.074282396026382E-2</v>
      </c>
      <c r="AR64" s="209">
        <f>AR59/AR70</f>
        <v>2.3155845006865516E-2</v>
      </c>
      <c r="AS64" s="209">
        <f>AS59/AS70</f>
        <v>1.4355105043245911E-4</v>
      </c>
      <c r="AT64" s="209">
        <f>AT59/AT70</f>
        <v>-6.3885153842149267E-2</v>
      </c>
      <c r="AU64" s="209">
        <f>AU59/AU70</f>
        <v>0.12913490848935597</v>
      </c>
      <c r="AV64" s="209">
        <f>AV59/AV70</f>
        <v>0.46317668563290104</v>
      </c>
      <c r="AW64" s="209">
        <f>AW59/AW70</f>
        <v>9.7243219839943454E-2</v>
      </c>
      <c r="AX64" s="209">
        <f>AX59/AX70</f>
        <v>-8.2761836898523362E-3</v>
      </c>
      <c r="AY64" s="209">
        <f>AY59/AY70</f>
        <v>0.13979728919051806</v>
      </c>
      <c r="AZ64" s="209">
        <f>AZ59/AZ70</f>
        <v>0.1666205674371887</v>
      </c>
      <c r="BA64" s="259">
        <f>BA59/BA70</f>
        <v>0.17959116999257926</v>
      </c>
      <c r="BB64" s="260">
        <f>BB59/BB70</f>
        <v>0.11005465369174128</v>
      </c>
      <c r="BC64" s="209">
        <f>BC59/BC70</f>
        <v>0.1297239736324553</v>
      </c>
      <c r="BD64" s="209">
        <f>BD59/BD70</f>
        <v>0.15268207847573534</v>
      </c>
      <c r="BE64" s="209">
        <f>BE59/BE70</f>
        <v>0.17386918945229296</v>
      </c>
      <c r="BF64" s="209">
        <f>BF59/BF70</f>
        <v>0.18425342299692593</v>
      </c>
      <c r="BG64" s="209">
        <f>BG59/BG70</f>
        <v>0.21128662417765065</v>
      </c>
      <c r="BH64" s="209">
        <f>BH59/BH70</f>
        <v>0.24760989360386826</v>
      </c>
      <c r="BI64" s="209">
        <f>BI59/BI70</f>
        <v>0.27003914980349608</v>
      </c>
      <c r="BJ64" s="209">
        <f>BJ59/BJ70</f>
        <v>0.28062834697812289</v>
      </c>
      <c r="BK64" s="209">
        <f>BK59/BK70</f>
        <v>0.31099931820154075</v>
      </c>
      <c r="BL64" s="209">
        <f>BL59/BL70</f>
        <v>0.36521276068059005</v>
      </c>
      <c r="BM64" s="209">
        <f>BM59/BM70</f>
        <v>0.39156756621369609</v>
      </c>
      <c r="BN64" s="209">
        <f>BN59/BN70</f>
        <v>0.40253468476233933</v>
      </c>
      <c r="BO64" s="209">
        <f>BO59/BO70</f>
        <v>0.44431044557158828</v>
      </c>
      <c r="BP64" s="209">
        <f>BP59/BP70</f>
        <v>0.52426519848168363</v>
      </c>
      <c r="BQ64" s="209">
        <f>BQ59/BQ70</f>
        <v>0.55342534921579944</v>
      </c>
      <c r="BR64" s="209">
        <f>BR59/BR70</f>
        <v>0.56152205849863623</v>
      </c>
    </row>
    <row r="65" spans="1:70" x14ac:dyDescent="0.2">
      <c r="A65" s="161" t="s">
        <v>4</v>
      </c>
      <c r="B65" s="12" t="s">
        <v>337</v>
      </c>
      <c r="C65" s="163"/>
      <c r="D65" s="163">
        <f>D64/C64-1</f>
        <v>-0.38088780921550547</v>
      </c>
      <c r="E65" s="163">
        <f>E64/D64-1</f>
        <v>-0.37386525675297233</v>
      </c>
      <c r="F65" s="163">
        <f>F64/E64-1</f>
        <v>1.2317953027741924</v>
      </c>
      <c r="G65" s="163">
        <f>G64/F64-1</f>
        <v>-7.6077262461041517E-2</v>
      </c>
      <c r="H65" s="163">
        <f>H64/G64-1</f>
        <v>0.72585638320818591</v>
      </c>
      <c r="I65" s="163">
        <f>I64/H64-1</f>
        <v>-1.5644658774671165</v>
      </c>
      <c r="J65" s="163">
        <f>J64/I64-1</f>
        <v>0.98860219248680492</v>
      </c>
      <c r="K65" s="212" t="s">
        <v>99</v>
      </c>
      <c r="L65" s="226" t="s">
        <v>99</v>
      </c>
      <c r="M65" s="174">
        <f>M64/L64-1</f>
        <v>-0.55068922987257185</v>
      </c>
      <c r="N65" s="163">
        <f>N64/M64-1</f>
        <v>7.7053079783141687E-2</v>
      </c>
      <c r="O65" s="163">
        <f>O64/N64-1</f>
        <v>0.57614181913423157</v>
      </c>
      <c r="P65" s="163">
        <f>P64/O64-1</f>
        <v>0.45638543831656375</v>
      </c>
      <c r="Q65" s="163">
        <f>Q64/P64-1</f>
        <v>0.41705961062672636</v>
      </c>
      <c r="R65" s="300"/>
      <c r="S65" s="91"/>
      <c r="T65" s="91"/>
      <c r="U65" s="91"/>
      <c r="V65" s="91"/>
      <c r="W65" s="91">
        <f>W64/S64-1</f>
        <v>1.6099373321230876</v>
      </c>
      <c r="X65" s="91">
        <f>X64/T64-1</f>
        <v>2.924170226852199</v>
      </c>
      <c r="Y65" s="91">
        <f>Y64/U64-1</f>
        <v>1.6954697787218347</v>
      </c>
      <c r="Z65" s="91">
        <f>Z64/V64-1</f>
        <v>0.16235526272398282</v>
      </c>
      <c r="AA65" s="91">
        <f>AA64/W64-1</f>
        <v>-0.12544089416034065</v>
      </c>
      <c r="AB65" s="91">
        <f>AB64/X64-1</f>
        <v>-2.7986573044971652E-2</v>
      </c>
      <c r="AC65" s="91">
        <f>AC64/Y64-1</f>
        <v>-0.19311601866300754</v>
      </c>
      <c r="AD65" s="91">
        <f>AD64/Z64-1</f>
        <v>5.8174102654770854E-2</v>
      </c>
      <c r="AE65" s="91">
        <f>AE64/AA64-1</f>
        <v>0.65225550066469418</v>
      </c>
      <c r="AF65" s="91">
        <f>AF64/AB64-1</f>
        <v>0.25456684550966058</v>
      </c>
      <c r="AG65" s="91">
        <f>AG64/AC64-1</f>
        <v>1.1610273436313654</v>
      </c>
      <c r="AH65" s="91">
        <f>AH64/AD64-1</f>
        <v>1.5737169729909621</v>
      </c>
      <c r="AI65" s="112" t="s">
        <v>99</v>
      </c>
      <c r="AJ65" s="112" t="s">
        <v>99</v>
      </c>
      <c r="AK65" s="112" t="s">
        <v>99</v>
      </c>
      <c r="AL65" s="91">
        <f>AL64/AH64-1</f>
        <v>-1.8390382320062719</v>
      </c>
      <c r="AM65" s="112" t="s">
        <v>99</v>
      </c>
      <c r="AN65" s="112" t="s">
        <v>99</v>
      </c>
      <c r="AO65" s="112" t="s">
        <v>99</v>
      </c>
      <c r="AP65" s="91">
        <f>AP64/AL64-1</f>
        <v>0.12045984493399575</v>
      </c>
      <c r="AQ65" s="112" t="s">
        <v>99</v>
      </c>
      <c r="AR65" s="112" t="s">
        <v>99</v>
      </c>
      <c r="AS65" s="112" t="s">
        <v>99</v>
      </c>
      <c r="AT65" s="112" t="s">
        <v>99</v>
      </c>
      <c r="AU65" s="91">
        <f>AU64/AQ64-1</f>
        <v>5.2255220762965751</v>
      </c>
      <c r="AV65" s="112" t="s">
        <v>99</v>
      </c>
      <c r="AW65" s="112" t="s">
        <v>99</v>
      </c>
      <c r="AX65" s="112" t="s">
        <v>99</v>
      </c>
      <c r="AY65" s="91">
        <f>AY64/AU64-1</f>
        <v>8.2567764409272382E-2</v>
      </c>
      <c r="AZ65" s="91">
        <f>AZ64/AV64-1</f>
        <v>-0.6402656424523776</v>
      </c>
      <c r="BA65" s="93">
        <f>BA64/AW64-1</f>
        <v>0.84682459392208154</v>
      </c>
      <c r="BB65" s="261" t="s">
        <v>99</v>
      </c>
      <c r="BC65" s="91">
        <f>BC64/AY64-1</f>
        <v>-7.2056587194152866E-2</v>
      </c>
      <c r="BD65" s="91">
        <f>BD64/AZ64-1</f>
        <v>-8.3654072098318766E-2</v>
      </c>
      <c r="BE65" s="91">
        <f>BE64/BA64-1</f>
        <v>-3.1861146294234532E-2</v>
      </c>
      <c r="BF65" s="91">
        <f>BF64/BB64-1</f>
        <v>0.67419928931867301</v>
      </c>
      <c r="BG65" s="91">
        <f>BG64/BC64-1</f>
        <v>0.62873999509362388</v>
      </c>
      <c r="BH65" s="91">
        <f>BH64/BD64-1</f>
        <v>0.62173515107877653</v>
      </c>
      <c r="BI65" s="91">
        <f>BI64/BE64-1</f>
        <v>0.55311674629731145</v>
      </c>
      <c r="BJ65" s="91">
        <f>BJ64/BF64-1</f>
        <v>0.52305635582577414</v>
      </c>
      <c r="BK65" s="91">
        <f>BK64/BG64-1</f>
        <v>0.47193093463432523</v>
      </c>
      <c r="BL65" s="91">
        <f>BL64/BH64-1</f>
        <v>0.47495221360122808</v>
      </c>
      <c r="BM65" s="91">
        <f>BM64/BI64-1</f>
        <v>0.450039990492618</v>
      </c>
      <c r="BN65" s="91">
        <f>BN64/BJ64-1</f>
        <v>0.43440493127987523</v>
      </c>
      <c r="BO65" s="91">
        <f>BO64/BK64-1</f>
        <v>0.42865408239787928</v>
      </c>
      <c r="BP65" s="91">
        <f>BP64/BL64-1</f>
        <v>0.43550624437298513</v>
      </c>
      <c r="BQ65" s="91">
        <f>BQ64/BM64-1</f>
        <v>0.41335850302210742</v>
      </c>
      <c r="BR65" s="91">
        <f>BR64/BN64-1</f>
        <v>0.39496565079892365</v>
      </c>
    </row>
    <row r="66" spans="1:70" x14ac:dyDescent="0.2">
      <c r="A66" s="161" t="s">
        <v>5</v>
      </c>
      <c r="B66" s="12"/>
      <c r="C66" s="163"/>
      <c r="D66" s="163"/>
      <c r="E66" s="163"/>
      <c r="F66" s="163"/>
      <c r="G66" s="163"/>
      <c r="H66" s="163"/>
      <c r="I66" s="163"/>
      <c r="J66" s="163"/>
      <c r="K66" s="163"/>
      <c r="L66" s="173"/>
      <c r="M66" s="92"/>
      <c r="N66" s="91"/>
      <c r="O66" s="91"/>
      <c r="P66" s="91"/>
      <c r="Q66" s="91"/>
      <c r="R66" s="300"/>
      <c r="S66" s="91"/>
      <c r="T66" s="91">
        <f>T64/S64-1</f>
        <v>-0.33187055278756039</v>
      </c>
      <c r="U66" s="91">
        <f>U64/T64-1</f>
        <v>0.5292452585733991</v>
      </c>
      <c r="V66" s="91">
        <f>V64/U64-1</f>
        <v>0.75014643724275465</v>
      </c>
      <c r="W66" s="91">
        <f>W64/V64-1</f>
        <v>0.45954649824642635</v>
      </c>
      <c r="X66" s="91">
        <f>X64/W64-1</f>
        <v>4.5657618535583921E-3</v>
      </c>
      <c r="Y66" s="91">
        <f>Y64/X64-1</f>
        <v>5.0421908441208085E-2</v>
      </c>
      <c r="Z66" s="91">
        <f>Z64/Y64-1</f>
        <v>-0.24529225371935504</v>
      </c>
      <c r="AA66" s="91">
        <f>AA64/Z64-1</f>
        <v>9.8166560063928765E-2</v>
      </c>
      <c r="AB66" s="91">
        <f>AB64/AA64-1</f>
        <v>0.1165070516800355</v>
      </c>
      <c r="AC66" s="91">
        <f>AC64/AB64-1</f>
        <v>-0.1280278769175297</v>
      </c>
      <c r="AD66" s="91">
        <f>AD64/AC64-1</f>
        <v>-1.0251522326865659E-2</v>
      </c>
      <c r="AE66" s="91">
        <f>AE64/AD64-1</f>
        <v>0.71470057239117324</v>
      </c>
      <c r="AF66" s="91">
        <f>AF64/AE64-1</f>
        <v>-0.15222994915011268</v>
      </c>
      <c r="AG66" s="91">
        <f>AG64/AF64-1</f>
        <v>0.50199697019731437</v>
      </c>
      <c r="AH66" s="91">
        <f>AH64/AG64-1</f>
        <v>0.17875993725225348</v>
      </c>
      <c r="AI66" s="112" t="s">
        <v>99</v>
      </c>
      <c r="AJ66" s="112" t="s">
        <v>99</v>
      </c>
      <c r="AK66" s="112" t="s">
        <v>99</v>
      </c>
      <c r="AL66" s="112" t="s">
        <v>99</v>
      </c>
      <c r="AM66" s="112" t="s">
        <v>99</v>
      </c>
      <c r="AN66" s="112" t="s">
        <v>99</v>
      </c>
      <c r="AO66" s="112" t="s">
        <v>99</v>
      </c>
      <c r="AP66" s="112" t="s">
        <v>99</v>
      </c>
      <c r="AQ66" s="91">
        <f>AQ64/AP64-1</f>
        <v>-1.0878606154098216</v>
      </c>
      <c r="AR66" s="91">
        <f>AR64/AQ64-1</f>
        <v>0.11633040184037724</v>
      </c>
      <c r="AS66" s="91">
        <f>AS64/AR64-1</f>
        <v>-0.99380065592985711</v>
      </c>
      <c r="AT66" s="112" t="s">
        <v>99</v>
      </c>
      <c r="AU66" s="112" t="s">
        <v>99</v>
      </c>
      <c r="AV66" s="91">
        <f>AV64/AU64-1</f>
        <v>2.5867658950722738</v>
      </c>
      <c r="AW66" s="91">
        <f>AW64/AV64-1</f>
        <v>-0.79005156594385384</v>
      </c>
      <c r="AX66" s="112" t="s">
        <v>99</v>
      </c>
      <c r="AY66" s="112" t="s">
        <v>99</v>
      </c>
      <c r="AZ66" s="91">
        <f>AZ64/AY64-1</f>
        <v>0.19187266364024724</v>
      </c>
      <c r="BA66" s="93">
        <f>BA64/AZ64-1</f>
        <v>7.7845146940098697E-2</v>
      </c>
      <c r="BB66" s="261">
        <f>BB64/BA64-1</f>
        <v>-0.38719340323753804</v>
      </c>
      <c r="BC66" s="112">
        <f>BC64/BB64-1</f>
        <v>0.17872320052732182</v>
      </c>
      <c r="BD66" s="112">
        <f>BD64/BC64-1</f>
        <v>0.17697657726957106</v>
      </c>
      <c r="BE66" s="112">
        <f>BE64/BD64-1</f>
        <v>0.13876619435675774</v>
      </c>
      <c r="BF66" s="112">
        <f>BF64/BE64-1</f>
        <v>5.9724403025886552E-2</v>
      </c>
      <c r="BG66" s="112">
        <f>BG64/BF64-1</f>
        <v>0.14671749778659882</v>
      </c>
      <c r="BH66" s="112">
        <f>BH64/BG64-1</f>
        <v>0.17191466600212646</v>
      </c>
      <c r="BI66" s="112">
        <f>BI64/BH64-1</f>
        <v>9.0583037184736481E-2</v>
      </c>
      <c r="BJ66" s="112">
        <f>BJ64/BI64-1</f>
        <v>3.9213562856839079E-2</v>
      </c>
      <c r="BK66" s="112">
        <f>BK64/BJ64-1</f>
        <v>0.10822488729474466</v>
      </c>
      <c r="BL66" s="112">
        <f>BL64/BK64-1</f>
        <v>0.17432013289468595</v>
      </c>
      <c r="BM66" s="112">
        <f>BM64/BL64-1</f>
        <v>7.2162882490723224E-2</v>
      </c>
      <c r="BN66" s="112">
        <f>BN64/BM64-1</f>
        <v>2.8008240454363786E-2</v>
      </c>
      <c r="BO66" s="112">
        <f>BO64/BN64-1</f>
        <v>0.1037817668654164</v>
      </c>
      <c r="BP66" s="112">
        <f>BP64/BO64-1</f>
        <v>0.17995244925479215</v>
      </c>
      <c r="BQ66" s="112">
        <f>BQ64/BP64-1</f>
        <v>5.5620992617030574E-2</v>
      </c>
      <c r="BR66" s="112">
        <f>BR64/BQ64-1</f>
        <v>1.4630174230923387E-2</v>
      </c>
    </row>
    <row r="67" spans="1:70" x14ac:dyDescent="0.2">
      <c r="A67" s="267"/>
      <c r="B67" s="9"/>
      <c r="C67" s="101"/>
      <c r="D67" s="101"/>
      <c r="E67" s="101"/>
      <c r="F67" s="101"/>
      <c r="G67" s="101"/>
      <c r="H67" s="101"/>
      <c r="I67" s="101"/>
      <c r="J67" s="101"/>
      <c r="K67" s="101"/>
      <c r="L67" s="102"/>
      <c r="M67" s="176"/>
      <c r="N67" s="101"/>
      <c r="O67" s="101"/>
      <c r="P67" s="101"/>
      <c r="Q67" s="101"/>
      <c r="R67" s="46"/>
      <c r="S67" s="101"/>
      <c r="T67" s="101"/>
      <c r="U67" s="101"/>
      <c r="V67" s="101"/>
      <c r="W67" s="101"/>
      <c r="X67" s="101"/>
      <c r="Y67" s="101"/>
      <c r="Z67" s="101"/>
      <c r="AA67" s="101"/>
      <c r="AB67" s="101"/>
      <c r="AC67" s="101"/>
      <c r="AD67" s="101"/>
      <c r="AE67" s="101"/>
      <c r="AF67" s="101"/>
      <c r="AG67" s="101"/>
      <c r="AH67" s="101"/>
      <c r="AI67" s="101"/>
      <c r="AJ67" s="101"/>
      <c r="AK67" s="101"/>
      <c r="AL67" s="101"/>
      <c r="AM67" s="101"/>
      <c r="AN67" s="101"/>
      <c r="AO67" s="101"/>
      <c r="AP67" s="101"/>
      <c r="AQ67" s="101"/>
      <c r="AR67" s="101"/>
      <c r="AS67" s="101"/>
      <c r="AT67" s="101"/>
      <c r="AU67" s="101"/>
      <c r="AV67" s="101"/>
      <c r="AW67" s="101"/>
      <c r="AX67" s="101"/>
      <c r="AY67" s="101"/>
      <c r="AZ67" s="101"/>
      <c r="BA67" s="102"/>
      <c r="BB67" s="176"/>
      <c r="BC67" s="101"/>
      <c r="BD67" s="101"/>
      <c r="BE67" s="101"/>
      <c r="BF67" s="101"/>
      <c r="BG67" s="101"/>
      <c r="BH67" s="101"/>
      <c r="BI67" s="101"/>
      <c r="BJ67" s="101"/>
      <c r="BK67" s="101"/>
      <c r="BL67" s="101"/>
      <c r="BM67" s="101"/>
      <c r="BN67" s="101"/>
      <c r="BO67" s="101"/>
      <c r="BP67" s="101"/>
      <c r="BQ67" s="101"/>
      <c r="BR67" s="101"/>
    </row>
    <row r="68" spans="1:70" x14ac:dyDescent="0.2">
      <c r="A68" s="266" t="s">
        <v>36</v>
      </c>
      <c r="B68" s="9"/>
      <c r="C68" s="76"/>
      <c r="D68" s="76"/>
      <c r="E68" s="76"/>
      <c r="F68" s="76"/>
      <c r="G68" s="76"/>
      <c r="H68" s="76"/>
      <c r="I68" s="76"/>
      <c r="J68" s="76"/>
      <c r="K68" s="76"/>
      <c r="L68" s="107"/>
      <c r="M68" s="77"/>
      <c r="N68" s="76"/>
      <c r="O68" s="76"/>
      <c r="P68" s="76"/>
      <c r="Q68" s="76"/>
      <c r="R68" s="46"/>
      <c r="S68" s="76"/>
      <c r="T68" s="76"/>
      <c r="U68" s="76"/>
      <c r="V68" s="76"/>
      <c r="W68" s="76"/>
      <c r="X68" s="76"/>
      <c r="Y68" s="76"/>
      <c r="Z68" s="76"/>
      <c r="AA68" s="76"/>
      <c r="AB68" s="76"/>
      <c r="AC68" s="76"/>
      <c r="AD68" s="76"/>
      <c r="AE68" s="76"/>
      <c r="AF68" s="76"/>
      <c r="AG68" s="76"/>
      <c r="AH68" s="76"/>
      <c r="AI68" s="76"/>
      <c r="AJ68" s="76"/>
      <c r="AK68" s="76"/>
      <c r="AL68" s="76"/>
      <c r="AM68" s="76"/>
      <c r="AN68" s="76"/>
      <c r="AO68" s="76"/>
      <c r="AP68" s="76"/>
      <c r="AQ68" s="76"/>
      <c r="AR68" s="76"/>
      <c r="AS68" s="76"/>
      <c r="AT68" s="76"/>
      <c r="AU68" s="76"/>
      <c r="AV68" s="76"/>
      <c r="AW68" s="76"/>
      <c r="AX68" s="76"/>
      <c r="AY68" s="76"/>
      <c r="AZ68" s="76"/>
      <c r="BA68" s="107"/>
      <c r="BB68" s="77"/>
      <c r="BC68" s="76"/>
      <c r="BD68" s="76"/>
      <c r="BE68" s="76"/>
      <c r="BF68" s="76"/>
      <c r="BG68" s="76"/>
      <c r="BH68" s="76"/>
      <c r="BI68" s="76"/>
      <c r="BJ68" s="76"/>
      <c r="BK68" s="76"/>
      <c r="BL68" s="76"/>
      <c r="BM68" s="76"/>
      <c r="BN68" s="76"/>
      <c r="BO68" s="76"/>
      <c r="BP68" s="76"/>
      <c r="BQ68" s="76"/>
      <c r="BR68" s="76"/>
    </row>
    <row r="69" spans="1:70" x14ac:dyDescent="0.2">
      <c r="A69" s="280" t="s">
        <v>27</v>
      </c>
      <c r="B69" s="9"/>
      <c r="C69" s="146">
        <f>IS!C65</f>
        <v>74.231999999999999</v>
      </c>
      <c r="D69" s="146">
        <f>IS!D65</f>
        <v>65.903000000000006</v>
      </c>
      <c r="E69" s="146">
        <f>IS!E65</f>
        <v>64.673000000000002</v>
      </c>
      <c r="F69" s="146">
        <f>IS!F65</f>
        <v>65.933000000000007</v>
      </c>
      <c r="G69" s="146">
        <f>IS!G65</f>
        <v>66.013999999999996</v>
      </c>
      <c r="H69" s="146">
        <f>IS!H65</f>
        <v>65.78</v>
      </c>
      <c r="I69" s="146">
        <f>IS!I65</f>
        <v>65.853999999999999</v>
      </c>
      <c r="J69" s="146">
        <f>IS!J65</f>
        <v>66.05</v>
      </c>
      <c r="K69" s="146">
        <f>IS!K65</f>
        <v>66.816000000000003</v>
      </c>
      <c r="L69" s="146">
        <f>IS!L65</f>
        <v>69.463999999999999</v>
      </c>
      <c r="M69" s="77">
        <f>IS!M65</f>
        <v>71.578249999999997</v>
      </c>
      <c r="N69" s="76">
        <f>IS!N65</f>
        <v>72.251000000000005</v>
      </c>
      <c r="O69" s="76">
        <f>IS!O65</f>
        <v>72.251000000000005</v>
      </c>
      <c r="P69" s="76">
        <f>IS!P65</f>
        <v>72.251000000000005</v>
      </c>
      <c r="Q69" s="76">
        <f>IS!Q65</f>
        <v>72.251000000000005</v>
      </c>
      <c r="R69" s="46"/>
      <c r="S69" s="146">
        <f>IS!S65</f>
        <v>63.951999999999998</v>
      </c>
      <c r="T69" s="146">
        <f>IS!T65</f>
        <v>63.969000000000001</v>
      </c>
      <c r="U69" s="146">
        <f>IS!U65</f>
        <v>64.712000000000003</v>
      </c>
      <c r="V69" s="146">
        <f>IS!V65</f>
        <v>66.059000000000026</v>
      </c>
      <c r="W69" s="146">
        <f>IS!W65</f>
        <v>65.134</v>
      </c>
      <c r="X69" s="146">
        <f>IS!X65</f>
        <v>65.774000000000001</v>
      </c>
      <c r="Y69" s="146">
        <f>IS!Y65</f>
        <v>66.108000000000004</v>
      </c>
      <c r="Z69" s="146">
        <f>IS!Z65</f>
        <v>66.716000000000022</v>
      </c>
      <c r="AA69" s="146">
        <f>IS!AA65</f>
        <v>66.697000000000003</v>
      </c>
      <c r="AB69" s="146">
        <f>IS!AB65</f>
        <v>66.116</v>
      </c>
      <c r="AC69" s="146">
        <f>IS!AC65</f>
        <v>65.525000000000006</v>
      </c>
      <c r="AD69" s="146">
        <f>IS!AD65</f>
        <v>65.717999999999961</v>
      </c>
      <c r="AE69" s="146">
        <f>IS!AE65</f>
        <v>65.91</v>
      </c>
      <c r="AF69" s="146">
        <f>IS!AF65</f>
        <v>65.97</v>
      </c>
      <c r="AG69" s="146">
        <f>IS!AG65</f>
        <v>65.588999999999999</v>
      </c>
      <c r="AH69" s="146">
        <f>IS!AH65</f>
        <v>65.65100000000001</v>
      </c>
      <c r="AI69" s="146">
        <f>IS!AI65</f>
        <v>65.623000000000005</v>
      </c>
      <c r="AJ69" s="146">
        <f>IS!AJ65</f>
        <v>65.843999999999994</v>
      </c>
      <c r="AK69" s="146">
        <f>IS!AK65</f>
        <v>65.941000000000003</v>
      </c>
      <c r="AL69" s="146">
        <f>IS!AL65</f>
        <v>66.004000000000005</v>
      </c>
      <c r="AM69" s="146">
        <f>IS!AM65</f>
        <v>66.034000000000006</v>
      </c>
      <c r="AN69" s="146">
        <f>IS!AN65</f>
        <v>66.040999999999997</v>
      </c>
      <c r="AO69" s="146">
        <f>IS!AO65</f>
        <v>66.049000000000007</v>
      </c>
      <c r="AP69" s="146">
        <f>IS!AP65</f>
        <v>66.073999999999998</v>
      </c>
      <c r="AQ69" s="146">
        <f>IS!AQ65</f>
        <v>66.09</v>
      </c>
      <c r="AR69" s="146">
        <f>IS!AR65</f>
        <v>66.349999999999994</v>
      </c>
      <c r="AS69" s="146">
        <f>IS!AS65</f>
        <v>66.897000000000006</v>
      </c>
      <c r="AT69" s="146">
        <f>IS!AT65</f>
        <v>67.754999999999995</v>
      </c>
      <c r="AU69" s="146">
        <f>IS!AU65</f>
        <v>68.686000000000007</v>
      </c>
      <c r="AV69" s="146">
        <f>IS!AV65</f>
        <v>69.203000000000003</v>
      </c>
      <c r="AW69" s="146">
        <f>IS!AW65</f>
        <v>69.75</v>
      </c>
      <c r="AX69" s="146">
        <f>IS!AX65</f>
        <v>70.195999999999998</v>
      </c>
      <c r="AY69" s="146">
        <f>IS!AY65</f>
        <v>70.334000000000003</v>
      </c>
      <c r="AZ69" s="146">
        <f>IS!AZ65</f>
        <v>71.477000000000004</v>
      </c>
      <c r="BA69" s="154">
        <f>IS!BA65</f>
        <v>72.251000000000005</v>
      </c>
      <c r="BB69" s="166">
        <f>IS!BB65</f>
        <v>72.251000000000005</v>
      </c>
      <c r="BC69" s="146">
        <f>IS!BC65</f>
        <v>72.251000000000005</v>
      </c>
      <c r="BD69" s="146">
        <f>IS!BD65</f>
        <v>72.251000000000005</v>
      </c>
      <c r="BE69" s="146">
        <f>IS!BE65</f>
        <v>72.251000000000005</v>
      </c>
      <c r="BF69" s="146">
        <f>IS!BF65</f>
        <v>72.251000000000005</v>
      </c>
      <c r="BG69" s="146">
        <f>IS!BG65</f>
        <v>72.251000000000005</v>
      </c>
      <c r="BH69" s="146">
        <f>IS!BH65</f>
        <v>72.251000000000005</v>
      </c>
      <c r="BI69" s="146">
        <f>IS!BI65</f>
        <v>72.251000000000005</v>
      </c>
      <c r="BJ69" s="146">
        <f>IS!BJ65</f>
        <v>72.251000000000005</v>
      </c>
      <c r="BK69" s="146">
        <f>IS!BK65</f>
        <v>72.251000000000005</v>
      </c>
      <c r="BL69" s="146">
        <f>IS!BL65</f>
        <v>72.251000000000005</v>
      </c>
      <c r="BM69" s="146">
        <f>IS!BM65</f>
        <v>72.251000000000005</v>
      </c>
      <c r="BN69" s="146">
        <f>IS!BN65</f>
        <v>72.251000000000005</v>
      </c>
      <c r="BO69" s="146">
        <f>IS!BO65</f>
        <v>72.251000000000005</v>
      </c>
      <c r="BP69" s="146">
        <f>IS!BP65</f>
        <v>72.251000000000005</v>
      </c>
      <c r="BQ69" s="146">
        <f>IS!BQ65</f>
        <v>72.251000000000005</v>
      </c>
      <c r="BR69" s="146">
        <f>IS!BR65</f>
        <v>72.251000000000005</v>
      </c>
    </row>
    <row r="70" spans="1:70" x14ac:dyDescent="0.2">
      <c r="A70" s="280" t="s">
        <v>28</v>
      </c>
      <c r="B70" s="17" t="s">
        <v>338</v>
      </c>
      <c r="C70" s="146">
        <f>IS!C66</f>
        <v>75.355999999999995</v>
      </c>
      <c r="D70" s="146">
        <f>IS!D66</f>
        <v>67.272000000000006</v>
      </c>
      <c r="E70" s="146">
        <f>IS!E66</f>
        <v>64.858999999999995</v>
      </c>
      <c r="F70" s="146">
        <f>IS!F66</f>
        <v>67.337000000000003</v>
      </c>
      <c r="G70" s="146">
        <f>IS!G66</f>
        <v>67.204999999999998</v>
      </c>
      <c r="H70" s="146">
        <f>IS!H66</f>
        <v>66.863</v>
      </c>
      <c r="I70" s="146">
        <f>IS!I66</f>
        <v>65.853999999999999</v>
      </c>
      <c r="J70" s="146">
        <f>IS!J66</f>
        <v>66.05</v>
      </c>
      <c r="K70" s="146">
        <f>IS!K66</f>
        <v>66.816000000000003</v>
      </c>
      <c r="L70" s="146">
        <f>IS!L66</f>
        <v>73.796000000000006</v>
      </c>
      <c r="M70" s="77">
        <f>IS!M66</f>
        <v>78.165999999999997</v>
      </c>
      <c r="N70" s="76">
        <f>IS!N66</f>
        <v>79.125</v>
      </c>
      <c r="O70" s="76">
        <f>IS!O66</f>
        <v>79.125</v>
      </c>
      <c r="P70" s="76">
        <f>IS!P66</f>
        <v>79.125</v>
      </c>
      <c r="Q70" s="76">
        <f>IS!Q66</f>
        <v>79.125</v>
      </c>
      <c r="R70" s="56"/>
      <c r="S70" s="146">
        <f>IS!S66</f>
        <v>64.182000000000002</v>
      </c>
      <c r="T70" s="146">
        <f>IS!T66</f>
        <v>64.093999999999994</v>
      </c>
      <c r="U70" s="146">
        <f>IS!U66</f>
        <v>64.751000000000005</v>
      </c>
      <c r="V70" s="146">
        <f>IS!V66</f>
        <v>66.408999999999978</v>
      </c>
      <c r="W70" s="146">
        <f>IS!W66</f>
        <v>66.19</v>
      </c>
      <c r="X70" s="146">
        <f>IS!X66</f>
        <v>67.382999999999996</v>
      </c>
      <c r="Y70" s="146">
        <f>IS!Y66</f>
        <v>67.600999999999999</v>
      </c>
      <c r="Z70" s="146">
        <f>IS!Z66</f>
        <v>68.174000000000035</v>
      </c>
      <c r="AA70" s="146">
        <f>IS!AA66</f>
        <v>67.882000000000005</v>
      </c>
      <c r="AB70" s="146">
        <f>IS!AB66</f>
        <v>66.992999999999995</v>
      </c>
      <c r="AC70" s="146">
        <f>IS!AC66</f>
        <v>66.63</v>
      </c>
      <c r="AD70" s="146">
        <f>IS!AD66</f>
        <v>67.314999999999998</v>
      </c>
      <c r="AE70" s="146">
        <f>IS!AE66</f>
        <v>67.37</v>
      </c>
      <c r="AF70" s="146">
        <f>IS!AF66</f>
        <v>67.087000000000003</v>
      </c>
      <c r="AG70" s="146">
        <f>IS!AG66</f>
        <v>66.747</v>
      </c>
      <c r="AH70" s="146">
        <f>IS!AH66</f>
        <v>66.24799999999999</v>
      </c>
      <c r="AI70" s="146">
        <f>IS!AI66</f>
        <v>66.492000000000004</v>
      </c>
      <c r="AJ70" s="146">
        <f>IS!AJ66</f>
        <v>65.843999999999994</v>
      </c>
      <c r="AK70" s="146">
        <f>IS!AK66</f>
        <v>65.941000000000003</v>
      </c>
      <c r="AL70" s="146">
        <f>IS!AL66</f>
        <v>66.004000000000005</v>
      </c>
      <c r="AM70" s="146">
        <f>IS!AM66</f>
        <v>66.034000000000006</v>
      </c>
      <c r="AN70" s="146">
        <f>IS!AN66</f>
        <v>66.040999999999997</v>
      </c>
      <c r="AO70" s="146">
        <f>IS!AO66</f>
        <v>66.049000000000007</v>
      </c>
      <c r="AP70" s="146">
        <f>IS!AP66</f>
        <v>66.073999999999998</v>
      </c>
      <c r="AQ70" s="146">
        <f>IS!AQ66</f>
        <v>66.09</v>
      </c>
      <c r="AR70" s="146">
        <f>IS!AR66</f>
        <v>66.349999999999994</v>
      </c>
      <c r="AS70" s="146">
        <f>IS!AS66</f>
        <v>66.897000000000006</v>
      </c>
      <c r="AT70" s="146">
        <f>IS!AT66</f>
        <v>67.754999999999995</v>
      </c>
      <c r="AU70" s="146">
        <f>IS!AU66</f>
        <v>73.284999999999997</v>
      </c>
      <c r="AV70" s="146">
        <f>IS!AV66</f>
        <v>73.44</v>
      </c>
      <c r="AW70" s="146">
        <f>IS!AW66</f>
        <v>74.593999999999994</v>
      </c>
      <c r="AX70" s="146">
        <f>IS!AX66</f>
        <v>74.024000000000001</v>
      </c>
      <c r="AY70" s="146">
        <f>IS!AY66</f>
        <v>75.256</v>
      </c>
      <c r="AZ70" s="146">
        <f>IS!AZ66</f>
        <v>79.158000000000001</v>
      </c>
      <c r="BA70" s="154">
        <f>IS!BA66</f>
        <v>79.125</v>
      </c>
      <c r="BB70" s="166">
        <f>IS!BB66</f>
        <v>79.125</v>
      </c>
      <c r="BC70" s="146">
        <f>IS!BC66</f>
        <v>79.125</v>
      </c>
      <c r="BD70" s="146">
        <f>IS!BD66</f>
        <v>79.125</v>
      </c>
      <c r="BE70" s="146">
        <f>IS!BE66</f>
        <v>79.125</v>
      </c>
      <c r="BF70" s="146">
        <f>IS!BF66</f>
        <v>79.125</v>
      </c>
      <c r="BG70" s="146">
        <f>IS!BG66</f>
        <v>79.125</v>
      </c>
      <c r="BH70" s="146">
        <f>IS!BH66</f>
        <v>79.125</v>
      </c>
      <c r="BI70" s="146">
        <f>IS!BI66</f>
        <v>79.125</v>
      </c>
      <c r="BJ70" s="146">
        <f>IS!BJ66</f>
        <v>79.125</v>
      </c>
      <c r="BK70" s="146">
        <f>IS!BK66</f>
        <v>79.125</v>
      </c>
      <c r="BL70" s="146">
        <f>IS!BL66</f>
        <v>79.125</v>
      </c>
      <c r="BM70" s="146">
        <f>IS!BM66</f>
        <v>79.125</v>
      </c>
      <c r="BN70" s="146">
        <f>IS!BN66</f>
        <v>79.125</v>
      </c>
      <c r="BO70" s="146">
        <f>IS!BO66</f>
        <v>79.125</v>
      </c>
      <c r="BP70" s="146">
        <f>IS!BP66</f>
        <v>79.125</v>
      </c>
      <c r="BQ70" s="146">
        <f>IS!BQ66</f>
        <v>79.125</v>
      </c>
      <c r="BR70" s="146">
        <f>IS!BR66</f>
        <v>79.125</v>
      </c>
    </row>
  </sheetData>
  <mergeCells count="1">
    <mergeCell ref="B1:B2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R131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/>
    </sheetView>
  </sheetViews>
  <sheetFormatPr defaultRowHeight="12.75" x14ac:dyDescent="0.2"/>
  <cols>
    <col min="1" max="1" width="35.7109375" bestFit="1" customWidth="1"/>
    <col min="2" max="2" width="2.42578125" customWidth="1"/>
    <col min="3" max="4" width="6.42578125" bestFit="1" customWidth="1"/>
    <col min="5" max="5" width="7.42578125" bestFit="1" customWidth="1"/>
    <col min="6" max="7" width="8" bestFit="1" customWidth="1"/>
    <col min="8" max="17" width="8.42578125" bestFit="1" customWidth="1"/>
    <col min="18" max="18" width="9.140625" style="304" customWidth="1"/>
    <col min="19" max="19" width="6.7109375" bestFit="1" customWidth="1"/>
    <col min="20" max="22" width="6.42578125" bestFit="1" customWidth="1"/>
    <col min="23" max="23" width="6.7109375" bestFit="1" customWidth="1"/>
    <col min="24" max="26" width="6.42578125" bestFit="1" customWidth="1"/>
    <col min="27" max="27" width="6.7109375" bestFit="1" customWidth="1"/>
    <col min="28" max="30" width="6.42578125" bestFit="1" customWidth="1"/>
    <col min="31" max="70" width="8.42578125" bestFit="1" customWidth="1"/>
  </cols>
  <sheetData>
    <row r="1" spans="1:70" x14ac:dyDescent="0.2">
      <c r="A1" s="267"/>
      <c r="B1" s="1"/>
      <c r="C1" s="2" t="s">
        <v>177</v>
      </c>
      <c r="D1" s="2" t="s">
        <v>178</v>
      </c>
      <c r="E1" s="2" t="s">
        <v>179</v>
      </c>
      <c r="F1" s="2" t="s">
        <v>180</v>
      </c>
      <c r="G1" s="2" t="s">
        <v>15</v>
      </c>
      <c r="H1" s="2" t="s">
        <v>16</v>
      </c>
      <c r="I1" s="2" t="s">
        <v>17</v>
      </c>
      <c r="J1" s="2" t="s">
        <v>18</v>
      </c>
      <c r="K1" s="2" t="s">
        <v>25</v>
      </c>
      <c r="L1" s="2" t="s">
        <v>37</v>
      </c>
      <c r="M1" s="40" t="s">
        <v>134</v>
      </c>
      <c r="N1" s="40" t="s">
        <v>61</v>
      </c>
      <c r="O1" s="40" t="s">
        <v>62</v>
      </c>
      <c r="P1" s="40" t="s">
        <v>63</v>
      </c>
      <c r="Q1" s="40" t="s">
        <v>64</v>
      </c>
      <c r="R1" s="297"/>
      <c r="S1" s="2" t="s">
        <v>181</v>
      </c>
      <c r="T1" s="2" t="s">
        <v>182</v>
      </c>
      <c r="U1" s="2" t="s">
        <v>183</v>
      </c>
      <c r="V1" s="2" t="s">
        <v>184</v>
      </c>
      <c r="W1" s="2" t="s">
        <v>185</v>
      </c>
      <c r="X1" s="2" t="s">
        <v>186</v>
      </c>
      <c r="Y1" s="2" t="s">
        <v>187</v>
      </c>
      <c r="Z1" s="2" t="s">
        <v>188</v>
      </c>
      <c r="AA1" s="2" t="s">
        <v>189</v>
      </c>
      <c r="AB1" s="2" t="s">
        <v>190</v>
      </c>
      <c r="AC1" s="2" t="s">
        <v>191</v>
      </c>
      <c r="AD1" s="2" t="s">
        <v>192</v>
      </c>
      <c r="AE1" s="2" t="s">
        <v>193</v>
      </c>
      <c r="AF1" s="2" t="s">
        <v>194</v>
      </c>
      <c r="AG1" s="2" t="s">
        <v>195</v>
      </c>
      <c r="AH1" s="2" t="s">
        <v>196</v>
      </c>
      <c r="AI1" s="2" t="s">
        <v>197</v>
      </c>
      <c r="AJ1" s="2" t="s">
        <v>198</v>
      </c>
      <c r="AK1" s="2" t="s">
        <v>199</v>
      </c>
      <c r="AL1" s="2" t="s">
        <v>200</v>
      </c>
      <c r="AM1" s="2" t="s">
        <v>201</v>
      </c>
      <c r="AN1" s="2" t="s">
        <v>202</v>
      </c>
      <c r="AO1" s="2" t="s">
        <v>203</v>
      </c>
      <c r="AP1" s="2" t="s">
        <v>204</v>
      </c>
      <c r="AQ1" s="2" t="s">
        <v>19</v>
      </c>
      <c r="AR1" s="2" t="s">
        <v>20</v>
      </c>
      <c r="AS1" s="2" t="s">
        <v>21</v>
      </c>
      <c r="AT1" s="2" t="s">
        <v>26</v>
      </c>
      <c r="AU1" s="2" t="s">
        <v>38</v>
      </c>
      <c r="AV1" s="2" t="s">
        <v>39</v>
      </c>
      <c r="AW1" s="2" t="s">
        <v>40</v>
      </c>
      <c r="AX1" s="2" t="s">
        <v>41</v>
      </c>
      <c r="AY1" s="2" t="s">
        <v>102</v>
      </c>
      <c r="AZ1" s="2" t="s">
        <v>116</v>
      </c>
      <c r="BA1" s="2" t="s">
        <v>205</v>
      </c>
      <c r="BB1" s="40" t="s">
        <v>133</v>
      </c>
      <c r="BC1" s="40" t="s">
        <v>132</v>
      </c>
      <c r="BD1" s="40" t="s">
        <v>46</v>
      </c>
      <c r="BE1" s="40" t="s">
        <v>47</v>
      </c>
      <c r="BF1" s="40" t="s">
        <v>48</v>
      </c>
      <c r="BG1" s="40" t="s">
        <v>49</v>
      </c>
      <c r="BH1" s="40" t="s">
        <v>50</v>
      </c>
      <c r="BI1" s="40" t="s">
        <v>51</v>
      </c>
      <c r="BJ1" s="40" t="s">
        <v>52</v>
      </c>
      <c r="BK1" s="40" t="s">
        <v>53</v>
      </c>
      <c r="BL1" s="40" t="s">
        <v>54</v>
      </c>
      <c r="BM1" s="40" t="s">
        <v>55</v>
      </c>
      <c r="BN1" s="40" t="s">
        <v>56</v>
      </c>
      <c r="BO1" s="40" t="s">
        <v>57</v>
      </c>
      <c r="BP1" s="40" t="s">
        <v>58</v>
      </c>
      <c r="BQ1" s="40" t="s">
        <v>59</v>
      </c>
      <c r="BR1" s="40" t="s">
        <v>60</v>
      </c>
    </row>
    <row r="2" spans="1:70" x14ac:dyDescent="0.2">
      <c r="A2" s="268"/>
      <c r="B2" s="1"/>
      <c r="C2" s="199">
        <v>40178</v>
      </c>
      <c r="D2" s="199">
        <v>40543</v>
      </c>
      <c r="E2" s="199">
        <v>40908</v>
      </c>
      <c r="F2" s="199">
        <v>41274</v>
      </c>
      <c r="G2" s="199">
        <v>41639</v>
      </c>
      <c r="H2" s="199">
        <v>42004</v>
      </c>
      <c r="I2" s="199">
        <v>42369</v>
      </c>
      <c r="J2" s="199">
        <v>42735</v>
      </c>
      <c r="K2" s="199">
        <v>43100</v>
      </c>
      <c r="L2" s="199">
        <v>43465</v>
      </c>
      <c r="M2" s="200">
        <v>43830</v>
      </c>
      <c r="N2" s="200">
        <v>44196</v>
      </c>
      <c r="O2" s="200">
        <v>44561</v>
      </c>
      <c r="P2" s="200">
        <v>44926</v>
      </c>
      <c r="Q2" s="200">
        <v>45291</v>
      </c>
      <c r="R2" s="298"/>
      <c r="S2" s="199">
        <v>40633</v>
      </c>
      <c r="T2" s="199">
        <v>40724</v>
      </c>
      <c r="U2" s="199">
        <v>40816</v>
      </c>
      <c r="V2" s="199">
        <v>40908</v>
      </c>
      <c r="W2" s="199">
        <v>40999</v>
      </c>
      <c r="X2" s="199">
        <v>41090</v>
      </c>
      <c r="Y2" s="199">
        <v>41182</v>
      </c>
      <c r="Z2" s="199">
        <v>41274</v>
      </c>
      <c r="AA2" s="199">
        <v>41364</v>
      </c>
      <c r="AB2" s="199">
        <v>41455</v>
      </c>
      <c r="AC2" s="199">
        <v>41547</v>
      </c>
      <c r="AD2" s="199">
        <v>41639</v>
      </c>
      <c r="AE2" s="199">
        <v>41729</v>
      </c>
      <c r="AF2" s="199">
        <v>41820</v>
      </c>
      <c r="AG2" s="199">
        <v>41912</v>
      </c>
      <c r="AH2" s="199">
        <v>42004</v>
      </c>
      <c r="AI2" s="199">
        <v>42094</v>
      </c>
      <c r="AJ2" s="199">
        <v>42185</v>
      </c>
      <c r="AK2" s="199">
        <v>42277</v>
      </c>
      <c r="AL2" s="199">
        <v>42369</v>
      </c>
      <c r="AM2" s="199">
        <v>42460</v>
      </c>
      <c r="AN2" s="199">
        <v>42551</v>
      </c>
      <c r="AO2" s="199">
        <v>42643</v>
      </c>
      <c r="AP2" s="199">
        <v>42735</v>
      </c>
      <c r="AQ2" s="199">
        <v>42825</v>
      </c>
      <c r="AR2" s="199">
        <v>42916</v>
      </c>
      <c r="AS2" s="199">
        <v>43008</v>
      </c>
      <c r="AT2" s="199">
        <v>43100</v>
      </c>
      <c r="AU2" s="199">
        <v>43190</v>
      </c>
      <c r="AV2" s="199">
        <v>43281</v>
      </c>
      <c r="AW2" s="199">
        <v>43373</v>
      </c>
      <c r="AX2" s="199">
        <v>43465</v>
      </c>
      <c r="AY2" s="199">
        <v>43555</v>
      </c>
      <c r="AZ2" s="199">
        <v>43646</v>
      </c>
      <c r="BA2" s="199">
        <v>43738</v>
      </c>
      <c r="BB2" s="200">
        <v>43830</v>
      </c>
      <c r="BC2" s="200">
        <v>43921</v>
      </c>
      <c r="BD2" s="200">
        <v>44012</v>
      </c>
      <c r="BE2" s="200">
        <v>44104</v>
      </c>
      <c r="BF2" s="200">
        <v>44196</v>
      </c>
      <c r="BG2" s="200">
        <v>44286</v>
      </c>
      <c r="BH2" s="200">
        <v>44377</v>
      </c>
      <c r="BI2" s="200">
        <v>44469</v>
      </c>
      <c r="BJ2" s="200">
        <v>44561</v>
      </c>
      <c r="BK2" s="200">
        <v>44651</v>
      </c>
      <c r="BL2" s="200">
        <v>44742</v>
      </c>
      <c r="BM2" s="200">
        <v>44834</v>
      </c>
      <c r="BN2" s="200">
        <v>44926</v>
      </c>
      <c r="BO2" s="200">
        <v>45016</v>
      </c>
      <c r="BP2" s="200">
        <v>45107</v>
      </c>
      <c r="BQ2" s="200">
        <v>45199</v>
      </c>
      <c r="BR2" s="200">
        <v>45291</v>
      </c>
    </row>
    <row r="3" spans="1:70" x14ac:dyDescent="0.2">
      <c r="A3" s="292"/>
      <c r="B3" s="9"/>
      <c r="C3" s="293"/>
      <c r="D3" s="293"/>
      <c r="E3" s="293"/>
      <c r="F3" s="293"/>
      <c r="G3" s="293"/>
      <c r="H3" s="293"/>
      <c r="I3" s="293"/>
      <c r="J3" s="293"/>
      <c r="K3" s="293"/>
      <c r="L3" s="294"/>
      <c r="M3" s="295"/>
      <c r="N3" s="293"/>
      <c r="O3" s="293"/>
      <c r="P3" s="293"/>
      <c r="Q3" s="293"/>
      <c r="R3" s="46"/>
      <c r="S3" s="293"/>
      <c r="T3" s="293"/>
      <c r="U3" s="293"/>
      <c r="V3" s="293"/>
      <c r="W3" s="293"/>
      <c r="X3" s="293"/>
      <c r="Y3" s="293"/>
      <c r="Z3" s="293"/>
      <c r="AA3" s="293"/>
      <c r="AB3" s="293"/>
      <c r="AC3" s="293"/>
      <c r="AD3" s="293"/>
      <c r="AE3" s="293"/>
      <c r="AF3" s="293"/>
      <c r="AG3" s="293"/>
      <c r="AH3" s="293"/>
      <c r="AI3" s="293"/>
      <c r="AJ3" s="293"/>
      <c r="AK3" s="293"/>
      <c r="AL3" s="293"/>
      <c r="AM3" s="293"/>
      <c r="AN3" s="293"/>
      <c r="AO3" s="293"/>
      <c r="AP3" s="293"/>
      <c r="AQ3" s="293"/>
      <c r="AR3" s="293"/>
      <c r="AS3" s="293"/>
      <c r="AT3" s="293"/>
      <c r="AU3" s="293"/>
      <c r="AV3" s="293"/>
      <c r="AW3" s="293"/>
      <c r="AX3" s="293"/>
      <c r="AY3" s="293"/>
      <c r="AZ3" s="293"/>
      <c r="BA3" s="294"/>
      <c r="BB3" s="295"/>
      <c r="BC3" s="293"/>
      <c r="BD3" s="293"/>
      <c r="BE3" s="293"/>
      <c r="BF3" s="293"/>
      <c r="BG3" s="293"/>
      <c r="BH3" s="293"/>
      <c r="BI3" s="293"/>
      <c r="BJ3" s="293"/>
      <c r="BK3" s="293"/>
      <c r="BL3" s="293"/>
      <c r="BM3" s="293"/>
      <c r="BN3" s="293"/>
      <c r="BO3" s="296"/>
      <c r="BP3" s="296"/>
      <c r="BQ3" s="296"/>
      <c r="BR3" s="296"/>
    </row>
    <row r="4" spans="1:70" x14ac:dyDescent="0.2">
      <c r="A4" s="269" t="s">
        <v>308</v>
      </c>
      <c r="B4" s="181"/>
      <c r="C4" s="227">
        <v>365</v>
      </c>
      <c r="D4" s="227">
        <v>365</v>
      </c>
      <c r="E4" s="227">
        <v>365</v>
      </c>
      <c r="F4" s="228">
        <v>366</v>
      </c>
      <c r="G4" s="227">
        <v>365</v>
      </c>
      <c r="H4" s="227">
        <v>365</v>
      </c>
      <c r="I4" s="227">
        <v>365</v>
      </c>
      <c r="J4" s="227">
        <v>366</v>
      </c>
      <c r="K4" s="227">
        <v>365</v>
      </c>
      <c r="L4" s="227">
        <v>365</v>
      </c>
      <c r="M4" s="233">
        <v>365</v>
      </c>
      <c r="N4" s="234">
        <v>366</v>
      </c>
      <c r="O4" s="234">
        <v>365</v>
      </c>
      <c r="P4" s="234">
        <v>365</v>
      </c>
      <c r="Q4" s="234">
        <v>365</v>
      </c>
      <c r="R4" s="299"/>
      <c r="S4" s="227">
        <v>90</v>
      </c>
      <c r="T4" s="227">
        <v>91</v>
      </c>
      <c r="U4" s="227">
        <v>92</v>
      </c>
      <c r="V4" s="227">
        <v>92</v>
      </c>
      <c r="W4" s="227">
        <v>91</v>
      </c>
      <c r="X4" s="227">
        <v>91</v>
      </c>
      <c r="Y4" s="227">
        <v>92</v>
      </c>
      <c r="Z4" s="227">
        <v>92</v>
      </c>
      <c r="AA4" s="227">
        <v>90</v>
      </c>
      <c r="AB4" s="227">
        <v>91</v>
      </c>
      <c r="AC4" s="227">
        <v>92</v>
      </c>
      <c r="AD4" s="227">
        <v>92</v>
      </c>
      <c r="AE4" s="227">
        <v>90</v>
      </c>
      <c r="AF4" s="227">
        <v>91</v>
      </c>
      <c r="AG4" s="227">
        <v>92</v>
      </c>
      <c r="AH4" s="227">
        <v>92</v>
      </c>
      <c r="AI4" s="227">
        <v>90</v>
      </c>
      <c r="AJ4" s="227">
        <v>91</v>
      </c>
      <c r="AK4" s="227">
        <v>92</v>
      </c>
      <c r="AL4" s="227">
        <v>92</v>
      </c>
      <c r="AM4" s="227">
        <v>91</v>
      </c>
      <c r="AN4" s="227">
        <v>91</v>
      </c>
      <c r="AO4" s="227">
        <v>92</v>
      </c>
      <c r="AP4" s="227">
        <v>92</v>
      </c>
      <c r="AQ4" s="227">
        <v>90</v>
      </c>
      <c r="AR4" s="227">
        <v>91</v>
      </c>
      <c r="AS4" s="227">
        <v>92</v>
      </c>
      <c r="AT4" s="227">
        <v>92</v>
      </c>
      <c r="AU4" s="227">
        <v>90</v>
      </c>
      <c r="AV4" s="227">
        <v>91</v>
      </c>
      <c r="AW4" s="227">
        <v>92</v>
      </c>
      <c r="AX4" s="227">
        <v>92</v>
      </c>
      <c r="AY4" s="227">
        <v>90</v>
      </c>
      <c r="AZ4" s="227">
        <v>91</v>
      </c>
      <c r="BA4" s="247">
        <v>92</v>
      </c>
      <c r="BB4" s="229">
        <v>92</v>
      </c>
      <c r="BC4" s="230">
        <v>91</v>
      </c>
      <c r="BD4" s="230">
        <v>91</v>
      </c>
      <c r="BE4" s="230">
        <v>92</v>
      </c>
      <c r="BF4" s="230">
        <v>92</v>
      </c>
      <c r="BG4" s="230">
        <v>90</v>
      </c>
      <c r="BH4" s="230">
        <v>91</v>
      </c>
      <c r="BI4" s="230">
        <v>92</v>
      </c>
      <c r="BJ4" s="230">
        <v>92</v>
      </c>
      <c r="BK4" s="230">
        <v>90</v>
      </c>
      <c r="BL4" s="230">
        <v>91</v>
      </c>
      <c r="BM4" s="230">
        <v>92</v>
      </c>
      <c r="BN4" s="230">
        <v>92</v>
      </c>
      <c r="BO4" s="230">
        <v>90</v>
      </c>
      <c r="BP4" s="230">
        <v>91</v>
      </c>
      <c r="BQ4" s="230">
        <v>92</v>
      </c>
      <c r="BR4" s="230">
        <v>92</v>
      </c>
    </row>
    <row r="5" spans="1:70" x14ac:dyDescent="0.2">
      <c r="A5" s="270" t="s">
        <v>297</v>
      </c>
      <c r="B5" s="24"/>
      <c r="C5" s="76"/>
      <c r="D5" s="76"/>
      <c r="E5" s="76"/>
      <c r="F5" s="76"/>
      <c r="G5" s="76"/>
      <c r="H5" s="76"/>
      <c r="I5" s="76"/>
      <c r="J5" s="76"/>
      <c r="K5" s="76"/>
      <c r="L5" s="78"/>
      <c r="M5" s="77"/>
      <c r="N5" s="76"/>
      <c r="O5" s="76"/>
      <c r="P5" s="76"/>
      <c r="Q5" s="76"/>
      <c r="R5" s="48"/>
      <c r="S5" s="76"/>
      <c r="T5" s="76"/>
      <c r="U5" s="76"/>
      <c r="V5" s="76"/>
      <c r="W5" s="76"/>
      <c r="X5" s="76"/>
      <c r="Y5" s="76"/>
      <c r="Z5" s="76"/>
      <c r="AA5" s="76"/>
      <c r="AB5" s="76"/>
      <c r="AC5" s="76"/>
      <c r="AD5" s="76"/>
      <c r="AE5" s="76"/>
      <c r="AF5" s="76"/>
      <c r="AG5" s="76"/>
      <c r="AH5" s="76"/>
      <c r="AI5" s="76"/>
      <c r="AJ5" s="76"/>
      <c r="AK5" s="76"/>
      <c r="AL5" s="76"/>
      <c r="AM5" s="76"/>
      <c r="AN5" s="76"/>
      <c r="AO5" s="76"/>
      <c r="AP5" s="76"/>
      <c r="AQ5" s="76"/>
      <c r="AR5" s="76"/>
      <c r="AS5" s="76"/>
      <c r="AT5" s="76"/>
      <c r="AU5" s="76"/>
      <c r="AV5" s="76"/>
      <c r="AW5" s="76"/>
      <c r="AX5" s="76"/>
      <c r="AY5" s="76"/>
      <c r="AZ5" s="76"/>
      <c r="BA5" s="78"/>
      <c r="BB5" s="79"/>
      <c r="BC5" s="80"/>
      <c r="BD5" s="80"/>
      <c r="BE5" s="80"/>
      <c r="BF5" s="80"/>
      <c r="BG5" s="80"/>
      <c r="BH5" s="80"/>
      <c r="BI5" s="80"/>
      <c r="BJ5" s="80"/>
      <c r="BK5" s="80"/>
      <c r="BL5" s="80"/>
      <c r="BM5" s="80"/>
      <c r="BN5" s="80"/>
      <c r="BO5" s="80"/>
      <c r="BP5" s="80"/>
      <c r="BQ5" s="80"/>
      <c r="BR5" s="80"/>
    </row>
    <row r="6" spans="1:70" x14ac:dyDescent="0.2">
      <c r="A6" s="189" t="s">
        <v>206</v>
      </c>
      <c r="B6" s="24"/>
      <c r="C6" s="76"/>
      <c r="D6" s="76"/>
      <c r="E6" s="76"/>
      <c r="F6" s="76"/>
      <c r="G6" s="76"/>
      <c r="H6" s="76"/>
      <c r="I6" s="76"/>
      <c r="J6" s="76"/>
      <c r="K6" s="76"/>
      <c r="L6" s="78"/>
      <c r="M6" s="77"/>
      <c r="N6" s="76"/>
      <c r="O6" s="76"/>
      <c r="P6" s="76"/>
      <c r="Q6" s="76"/>
      <c r="R6" s="48"/>
      <c r="S6" s="76"/>
      <c r="T6" s="76"/>
      <c r="U6" s="76"/>
      <c r="V6" s="76"/>
      <c r="W6" s="76"/>
      <c r="X6" s="76"/>
      <c r="Y6" s="76"/>
      <c r="Z6" s="76"/>
      <c r="AA6" s="76"/>
      <c r="AB6" s="76"/>
      <c r="AC6" s="76"/>
      <c r="AD6" s="76"/>
      <c r="AE6" s="76"/>
      <c r="AF6" s="76"/>
      <c r="AG6" s="76"/>
      <c r="AH6" s="76"/>
      <c r="AI6" s="76"/>
      <c r="AJ6" s="76"/>
      <c r="AK6" s="76"/>
      <c r="AL6" s="76"/>
      <c r="AM6" s="76"/>
      <c r="AN6" s="76"/>
      <c r="AO6" s="76"/>
      <c r="AP6" s="76"/>
      <c r="AQ6" s="76"/>
      <c r="AR6" s="76"/>
      <c r="AS6" s="76"/>
      <c r="AT6" s="76"/>
      <c r="AU6" s="76"/>
      <c r="AV6" s="76"/>
      <c r="AW6" s="76"/>
      <c r="AX6" s="76"/>
      <c r="AY6" s="76"/>
      <c r="AZ6" s="76"/>
      <c r="BA6" s="78"/>
      <c r="BB6" s="79"/>
      <c r="BC6" s="80"/>
      <c r="BD6" s="80"/>
      <c r="BE6" s="80"/>
      <c r="BF6" s="80"/>
      <c r="BG6" s="80"/>
      <c r="BH6" s="80"/>
      <c r="BI6" s="80"/>
      <c r="BJ6" s="80"/>
      <c r="BK6" s="80"/>
      <c r="BL6" s="80"/>
      <c r="BM6" s="80"/>
      <c r="BN6" s="80"/>
      <c r="BO6" s="80"/>
      <c r="BP6" s="80"/>
      <c r="BQ6" s="80"/>
      <c r="BR6" s="80"/>
    </row>
    <row r="7" spans="1:70" x14ac:dyDescent="0.2">
      <c r="A7" s="168" t="s">
        <v>207</v>
      </c>
      <c r="B7" s="24"/>
      <c r="C7" s="141"/>
      <c r="D7" s="141"/>
      <c r="E7" s="141"/>
      <c r="F7" s="141"/>
      <c r="G7" s="141"/>
      <c r="H7" s="141"/>
      <c r="I7" s="141"/>
      <c r="J7" s="142">
        <v>152.51400000000001</v>
      </c>
      <c r="K7" s="142">
        <v>148.654</v>
      </c>
      <c r="L7" s="142">
        <v>168.14599999999999</v>
      </c>
      <c r="M7" s="77">
        <f>SUM(AY7:BB7)</f>
        <v>179.72153136920261</v>
      </c>
      <c r="N7" s="76">
        <f>SUM(BC7:BF7)</f>
        <v>186.14564914488278</v>
      </c>
      <c r="O7" s="76">
        <f>SUM(BG7:BJ7)</f>
        <v>210.20433351094053</v>
      </c>
      <c r="P7" s="76">
        <f>SUM(BK7:BN7)</f>
        <v>237.99936596847596</v>
      </c>
      <c r="Q7" s="76">
        <f>SUM(BO7:BR7)</f>
        <v>269.46969767608721</v>
      </c>
      <c r="R7" s="48"/>
      <c r="S7" s="141"/>
      <c r="T7" s="141"/>
      <c r="U7" s="141"/>
      <c r="V7" s="141"/>
      <c r="W7" s="141"/>
      <c r="X7" s="141"/>
      <c r="Y7" s="141"/>
      <c r="Z7" s="141"/>
      <c r="AA7" s="141"/>
      <c r="AB7" s="141"/>
      <c r="AC7" s="141"/>
      <c r="AD7" s="141"/>
      <c r="AE7" s="141"/>
      <c r="AF7" s="141"/>
      <c r="AG7" s="141"/>
      <c r="AH7" s="141"/>
      <c r="AI7" s="141"/>
      <c r="AJ7" s="141"/>
      <c r="AK7" s="141"/>
      <c r="AL7" s="141"/>
      <c r="AM7" s="141"/>
      <c r="AN7" s="141"/>
      <c r="AO7" s="141"/>
      <c r="AP7" s="141"/>
      <c r="AQ7" s="142">
        <v>36.530999999999999</v>
      </c>
      <c r="AR7" s="142">
        <v>36.869</v>
      </c>
      <c r="AS7" s="142">
        <v>37.82</v>
      </c>
      <c r="AT7" s="142">
        <v>37.435000000000002</v>
      </c>
      <c r="AU7" s="142">
        <v>40.055999999999997</v>
      </c>
      <c r="AV7" s="142">
        <v>43.021999999999998</v>
      </c>
      <c r="AW7" s="142">
        <v>43.54</v>
      </c>
      <c r="AX7" s="142">
        <v>41.527999999999999</v>
      </c>
      <c r="AY7" s="142">
        <v>44.286000000000001</v>
      </c>
      <c r="AZ7" s="142">
        <v>45.576000000000001</v>
      </c>
      <c r="BA7" s="153">
        <v>48.515000000000001</v>
      </c>
      <c r="BB7" s="77">
        <f>BB60*BB63*BB4/1000000</f>
        <v>41.344531369202599</v>
      </c>
      <c r="BC7" s="76">
        <f>BC60*BC63*BC4/1000000</f>
        <v>44.614837013214235</v>
      </c>
      <c r="BD7" s="76">
        <f>BD60*BD63*BD4/1000000</f>
        <v>45.283973268134183</v>
      </c>
      <c r="BE7" s="76">
        <f>BE60*BE63*BE4/1000000</f>
        <v>49.435376474621037</v>
      </c>
      <c r="BF7" s="76">
        <f>BF60*BF63*BF4/1000000</f>
        <v>46.81146238891332</v>
      </c>
      <c r="BG7" s="76">
        <f>BG60*BG63*BG4/1000000</f>
        <v>49.959095034030511</v>
      </c>
      <c r="BH7" s="76">
        <f>BH60*BH63*BH4/1000000</f>
        <v>51.271811319667243</v>
      </c>
      <c r="BI7" s="76">
        <f>BI60*BI63*BI4/1000000</f>
        <v>55.972148912716648</v>
      </c>
      <c r="BJ7" s="76">
        <f>BJ60*BJ63*BJ4/1000000</f>
        <v>53.001278244526134</v>
      </c>
      <c r="BK7" s="76">
        <f>BK60*BK63*BK4/1000000</f>
        <v>56.56511806327363</v>
      </c>
      <c r="BL7" s="76">
        <f>BL60*BL63*BL4/1000000</f>
        <v>58.051413033789906</v>
      </c>
      <c r="BM7" s="76">
        <f>BM60*BM63*BM4/1000000</f>
        <v>63.37326985899815</v>
      </c>
      <c r="BN7" s="76">
        <f>BN60*BN63*BN4/1000000</f>
        <v>60.009565012414257</v>
      </c>
      <c r="BO7" s="76">
        <f>BO60*BO63*BO4/1000000</f>
        <v>64.044646511963691</v>
      </c>
      <c r="BP7" s="76">
        <f>BP60*BP63*BP4/1000000</f>
        <v>65.727472240228693</v>
      </c>
      <c r="BQ7" s="76">
        <f>BQ60*BQ63*BQ4/1000000</f>
        <v>71.753030938373442</v>
      </c>
      <c r="BR7" s="76">
        <f>BR60*BR63*BR4/1000000</f>
        <v>67.944547985521339</v>
      </c>
    </row>
    <row r="8" spans="1:70" x14ac:dyDescent="0.2">
      <c r="A8" s="161" t="s">
        <v>4</v>
      </c>
      <c r="B8" s="12"/>
      <c r="C8" s="163"/>
      <c r="D8" s="163"/>
      <c r="E8" s="163"/>
      <c r="F8" s="163"/>
      <c r="G8" s="163"/>
      <c r="H8" s="163"/>
      <c r="I8" s="163"/>
      <c r="J8" s="163"/>
      <c r="K8" s="163">
        <f>K7/J7-1</f>
        <v>-2.5309151946706576E-2</v>
      </c>
      <c r="L8" s="173">
        <f>L7/K7-1</f>
        <v>0.1311232795619357</v>
      </c>
      <c r="M8" s="174">
        <f>M7/L7-1</f>
        <v>6.8842145333237958E-2</v>
      </c>
      <c r="N8" s="163">
        <f>N7/M7-1</f>
        <v>3.5744842183005332E-2</v>
      </c>
      <c r="O8" s="163">
        <f>O7/N7-1</f>
        <v>0.12924655761001502</v>
      </c>
      <c r="P8" s="163">
        <f>P7/O7-1</f>
        <v>0.13222863674258534</v>
      </c>
      <c r="Q8" s="163">
        <f>Q7/P7-1</f>
        <v>0.13222863674258534</v>
      </c>
      <c r="R8" s="300"/>
      <c r="S8" s="91"/>
      <c r="T8" s="91"/>
      <c r="U8" s="91"/>
      <c r="V8" s="91"/>
      <c r="W8" s="91"/>
      <c r="X8" s="91"/>
      <c r="Y8" s="91"/>
      <c r="Z8" s="91"/>
      <c r="AA8" s="91"/>
      <c r="AB8" s="91"/>
      <c r="AC8" s="91"/>
      <c r="AD8" s="91"/>
      <c r="AE8" s="91"/>
      <c r="AF8" s="91"/>
      <c r="AG8" s="91"/>
      <c r="AH8" s="91"/>
      <c r="AI8" s="91"/>
      <c r="AJ8" s="91"/>
      <c r="AK8" s="91"/>
      <c r="AL8" s="91"/>
      <c r="AM8" s="91"/>
      <c r="AN8" s="91"/>
      <c r="AO8" s="91"/>
      <c r="AP8" s="91"/>
      <c r="AQ8" s="91"/>
      <c r="AR8" s="91"/>
      <c r="AS8" s="91"/>
      <c r="AT8" s="91"/>
      <c r="AU8" s="91">
        <f>AU7/AQ7-1</f>
        <v>9.6493389176316002E-2</v>
      </c>
      <c r="AV8" s="91">
        <f>AV7/AR7-1</f>
        <v>0.16688817163470659</v>
      </c>
      <c r="AW8" s="91">
        <f>AW7/AS7-1</f>
        <v>0.15124272871496558</v>
      </c>
      <c r="AX8" s="91">
        <f>AX7/AT7-1</f>
        <v>0.10933618271670875</v>
      </c>
      <c r="AY8" s="91">
        <f>AY7/AU7-1</f>
        <v>0.10560215698022768</v>
      </c>
      <c r="AZ8" s="91">
        <f>AZ7/AV7-1</f>
        <v>5.9364976058760677E-2</v>
      </c>
      <c r="BA8" s="93">
        <f>BA7/AW7-1</f>
        <v>0.11426274689940286</v>
      </c>
      <c r="BB8" s="92">
        <f>BB7/AX7-1</f>
        <v>-4.4179500769938596E-3</v>
      </c>
      <c r="BC8" s="91">
        <f>BC7/AY7-1</f>
        <v>7.4253040061020847E-3</v>
      </c>
      <c r="BD8" s="91">
        <f>BD7/AZ7-1</f>
        <v>-6.4074673482933386E-3</v>
      </c>
      <c r="BE8" s="91">
        <f>BE7/BA7-1</f>
        <v>1.8970967218819634E-2</v>
      </c>
      <c r="BF8" s="91">
        <f>BF7/BB7-1</f>
        <v>0.13222863674258556</v>
      </c>
      <c r="BG8" s="91">
        <f>BG7/BC7-1</f>
        <v>0.119786563811348</v>
      </c>
      <c r="BH8" s="91">
        <f>BH7/BD7-1</f>
        <v>0.13222863674258534</v>
      </c>
      <c r="BI8" s="91">
        <f>BI7/BE7-1</f>
        <v>0.13222863674258534</v>
      </c>
      <c r="BJ8" s="91">
        <f>BJ7/BF7-1</f>
        <v>0.13222863674258534</v>
      </c>
      <c r="BK8" s="91">
        <f>BK7/BG7-1</f>
        <v>0.13222863674258534</v>
      </c>
      <c r="BL8" s="91">
        <f>BL7/BH7-1</f>
        <v>0.13222863674258556</v>
      </c>
      <c r="BM8" s="91">
        <f>BM7/BI7-1</f>
        <v>0.13222863674258534</v>
      </c>
      <c r="BN8" s="91">
        <f>BN7/BJ7-1</f>
        <v>0.13222863674258512</v>
      </c>
      <c r="BO8" s="91">
        <f>BO7/BK7-1</f>
        <v>0.13222863674258534</v>
      </c>
      <c r="BP8" s="91">
        <f>BP7/BL7-1</f>
        <v>0.13222863674258534</v>
      </c>
      <c r="BQ8" s="91">
        <f>BQ7/BM7-1</f>
        <v>0.13222863674258534</v>
      </c>
      <c r="BR8" s="91">
        <f>BR7/BN7-1</f>
        <v>0.13222863674258534</v>
      </c>
    </row>
    <row r="9" spans="1:70" x14ac:dyDescent="0.2">
      <c r="A9" s="161" t="s">
        <v>5</v>
      </c>
      <c r="B9" s="12"/>
      <c r="C9" s="163"/>
      <c r="D9" s="163"/>
      <c r="E9" s="163"/>
      <c r="F9" s="163"/>
      <c r="G9" s="163"/>
      <c r="H9" s="163"/>
      <c r="I9" s="163"/>
      <c r="J9" s="163"/>
      <c r="K9" s="163"/>
      <c r="L9" s="173"/>
      <c r="M9" s="174"/>
      <c r="N9" s="163"/>
      <c r="O9" s="163"/>
      <c r="P9" s="163"/>
      <c r="Q9" s="163"/>
      <c r="R9" s="300"/>
      <c r="S9" s="91"/>
      <c r="T9" s="91"/>
      <c r="U9" s="91"/>
      <c r="V9" s="91"/>
      <c r="W9" s="91"/>
      <c r="X9" s="91"/>
      <c r="Y9" s="91"/>
      <c r="Z9" s="91"/>
      <c r="AA9" s="91"/>
      <c r="AB9" s="91"/>
      <c r="AC9" s="91"/>
      <c r="AD9" s="91"/>
      <c r="AE9" s="91"/>
      <c r="AF9" s="91"/>
      <c r="AG9" s="91"/>
      <c r="AH9" s="91"/>
      <c r="AI9" s="91"/>
      <c r="AJ9" s="91"/>
      <c r="AK9" s="91"/>
      <c r="AL9" s="91"/>
      <c r="AM9" s="91"/>
      <c r="AN9" s="91"/>
      <c r="AO9" s="91"/>
      <c r="AP9" s="91"/>
      <c r="AQ9" s="91"/>
      <c r="AR9" s="91">
        <f>AR7/AQ7-1</f>
        <v>9.2524157564808363E-3</v>
      </c>
      <c r="AS9" s="91">
        <f>AS7/AR7-1</f>
        <v>2.5794027502780148E-2</v>
      </c>
      <c r="AT9" s="91">
        <f>AT7/AS7-1</f>
        <v>-1.0179799048122606E-2</v>
      </c>
      <c r="AU9" s="91">
        <f>AU7/AT7-1</f>
        <v>7.0014692133030465E-2</v>
      </c>
      <c r="AV9" s="91">
        <f>AV7/AU7-1</f>
        <v>7.4046335130816932E-2</v>
      </c>
      <c r="AW9" s="91">
        <f>AW7/AV7-1</f>
        <v>1.2040351448096231E-2</v>
      </c>
      <c r="AX9" s="91">
        <f>AX7/AW7-1</f>
        <v>-4.6210381258612765E-2</v>
      </c>
      <c r="AY9" s="91">
        <f>AY7/AX7-1</f>
        <v>6.6413022539009825E-2</v>
      </c>
      <c r="AZ9" s="91">
        <f>AZ7/AY7-1</f>
        <v>2.9128844330036596E-2</v>
      </c>
      <c r="BA9" s="93">
        <f>BA7/AZ7-1</f>
        <v>6.4485694225030699E-2</v>
      </c>
      <c r="BB9" s="92">
        <f>BB7/BA7-1</f>
        <v>-0.14779900300520254</v>
      </c>
      <c r="BC9" s="91">
        <f>BC7/BB7-1</f>
        <v>7.9098868355965246E-2</v>
      </c>
      <c r="BD9" s="91">
        <f>BD7/BC7-1</f>
        <v>1.4998065659676429E-2</v>
      </c>
      <c r="BE9" s="91">
        <f>BE7/BD7-1</f>
        <v>9.1674888638982432E-2</v>
      </c>
      <c r="BF9" s="91">
        <f>BF7/BE7-1</f>
        <v>-5.3077659620024864E-2</v>
      </c>
      <c r="BG9" s="91">
        <f>BG7/BF7-1</f>
        <v>6.7240639033371963E-2</v>
      </c>
      <c r="BH9" s="91">
        <f>BH7/BG7-1</f>
        <v>2.6275821944784061E-2</v>
      </c>
      <c r="BI9" s="91">
        <f>BI7/BH7-1</f>
        <v>9.167488863898221E-2</v>
      </c>
      <c r="BJ9" s="91">
        <f>BJ7/BI7-1</f>
        <v>-5.3077659620024753E-2</v>
      </c>
      <c r="BK9" s="91">
        <f>BK7/BJ7-1</f>
        <v>6.7240639033371963E-2</v>
      </c>
      <c r="BL9" s="91">
        <f>BL7/BK7-1</f>
        <v>2.6275821944784283E-2</v>
      </c>
      <c r="BM9" s="91">
        <f>BM7/BL7-1</f>
        <v>9.1674888638981988E-2</v>
      </c>
      <c r="BN9" s="91">
        <f>BN7/BM7-1</f>
        <v>-5.3077659620024975E-2</v>
      </c>
      <c r="BO9" s="91">
        <f>BO7/BN7-1</f>
        <v>6.7240639033372407E-2</v>
      </c>
      <c r="BP9" s="91">
        <f>BP7/BO7-1</f>
        <v>2.6275821944784283E-2</v>
      </c>
      <c r="BQ9" s="91">
        <f>BQ7/BP7-1</f>
        <v>9.1674888638981988E-2</v>
      </c>
      <c r="BR9" s="91">
        <f>BR7/BQ7-1</f>
        <v>-5.3077659620024864E-2</v>
      </c>
    </row>
    <row r="10" spans="1:70" x14ac:dyDescent="0.2">
      <c r="A10" s="168" t="s">
        <v>208</v>
      </c>
      <c r="B10" s="24"/>
      <c r="C10" s="141"/>
      <c r="D10" s="142"/>
      <c r="E10" s="142"/>
      <c r="F10" s="142"/>
      <c r="G10" s="142"/>
      <c r="H10" s="142"/>
      <c r="I10" s="142"/>
      <c r="J10" s="142">
        <v>56.277000000000001</v>
      </c>
      <c r="K10" s="142">
        <v>70.117999999999995</v>
      </c>
      <c r="L10" s="142">
        <v>87.037999999999997</v>
      </c>
      <c r="M10" s="77">
        <f>SUM(AY10:BB10)</f>
        <v>92.38766800661449</v>
      </c>
      <c r="N10" s="76">
        <f>SUM(BC10:BF10)</f>
        <v>108.53099325514229</v>
      </c>
      <c r="O10" s="76">
        <f>SUM(BG10:BJ10)</f>
        <v>136.5387862947025</v>
      </c>
      <c r="P10" s="76">
        <f>SUM(BK10:BN10)</f>
        <v>163.89977169001912</v>
      </c>
      <c r="Q10" s="76">
        <f>SUM(BO10:BR10)</f>
        <v>198.35635060443684</v>
      </c>
      <c r="R10" s="48"/>
      <c r="S10" s="142"/>
      <c r="T10" s="142"/>
      <c r="U10" s="142"/>
      <c r="V10" s="142"/>
      <c r="W10" s="142"/>
      <c r="X10" s="142"/>
      <c r="Y10" s="142"/>
      <c r="Z10" s="142"/>
      <c r="AA10" s="142"/>
      <c r="AB10" s="142"/>
      <c r="AC10" s="142"/>
      <c r="AD10" s="142"/>
      <c r="AE10" s="142"/>
      <c r="AF10" s="142"/>
      <c r="AG10" s="142"/>
      <c r="AH10" s="142"/>
      <c r="AI10" s="142"/>
      <c r="AJ10" s="142"/>
      <c r="AK10" s="142"/>
      <c r="AL10" s="142"/>
      <c r="AM10" s="142"/>
      <c r="AN10" s="142"/>
      <c r="AO10" s="142"/>
      <c r="AP10" s="142"/>
      <c r="AQ10" s="142">
        <v>18.725000000000001</v>
      </c>
      <c r="AR10" s="142">
        <v>17.556999999999999</v>
      </c>
      <c r="AS10" s="142">
        <v>16.292000000000002</v>
      </c>
      <c r="AT10" s="142">
        <v>17.544</v>
      </c>
      <c r="AU10" s="142">
        <v>20.154</v>
      </c>
      <c r="AV10" s="142">
        <v>22.277999999999999</v>
      </c>
      <c r="AW10" s="142">
        <v>21.068000000000001</v>
      </c>
      <c r="AX10" s="142">
        <v>23.539000000000001</v>
      </c>
      <c r="AY10" s="142">
        <v>23.087</v>
      </c>
      <c r="AZ10" s="142">
        <v>23.411999999999999</v>
      </c>
      <c r="BA10" s="153">
        <v>19.584</v>
      </c>
      <c r="BB10" s="77">
        <f>BB52*BB55/1000000</f>
        <v>26.304668006614495</v>
      </c>
      <c r="BC10" s="76">
        <f>BC52*BC55/1000000</f>
        <v>26.402900741558067</v>
      </c>
      <c r="BD10" s="76">
        <f>BD52*BD55/1000000</f>
        <v>26.700488775972644</v>
      </c>
      <c r="BE10" s="76">
        <f>BE52*BE55/1000000</f>
        <v>23.029108157019603</v>
      </c>
      <c r="BF10" s="76">
        <f>BF52*BF55/1000000</f>
        <v>32.39849558059197</v>
      </c>
      <c r="BG10" s="76">
        <f>BG52*BG55/1000000</f>
        <v>33.385579720381635</v>
      </c>
      <c r="BH10" s="76">
        <f>BH52*BH55/1000000</f>
        <v>33.86390703308566</v>
      </c>
      <c r="BI10" s="76">
        <f>BI52*BI55/1000000</f>
        <v>28.957107942353456</v>
      </c>
      <c r="BJ10" s="76">
        <f>BJ52*BJ55/1000000</f>
        <v>40.332191598881742</v>
      </c>
      <c r="BK10" s="76">
        <f>BK52*BK55/1000000</f>
        <v>39.683805278905865</v>
      </c>
      <c r="BL10" s="76">
        <f>BL52*BL55/1000000</f>
        <v>40.458177396311392</v>
      </c>
      <c r="BM10" s="76">
        <f>BM52*BM55/1000000</f>
        <v>34.830599842986516</v>
      </c>
      <c r="BN10" s="76">
        <f>BN52*BN55/1000000</f>
        <v>48.927189171815336</v>
      </c>
      <c r="BO10" s="76">
        <f>BO52*BO55/1000000</f>
        <v>48.383998322017455</v>
      </c>
      <c r="BP10" s="76">
        <f>BP52*BP55/1000000</f>
        <v>49.254272424800661</v>
      </c>
      <c r="BQ10" s="76">
        <f>BQ52*BQ55/1000000</f>
        <v>42.044527299074971</v>
      </c>
      <c r="BR10" s="76">
        <f>BR52*BR55/1000000</f>
        <v>58.673552558543761</v>
      </c>
    </row>
    <row r="11" spans="1:70" x14ac:dyDescent="0.2">
      <c r="A11" s="161" t="s">
        <v>4</v>
      </c>
      <c r="B11" s="12"/>
      <c r="C11" s="163"/>
      <c r="D11" s="163"/>
      <c r="E11" s="163"/>
      <c r="F11" s="163"/>
      <c r="G11" s="163"/>
      <c r="H11" s="163"/>
      <c r="I11" s="163"/>
      <c r="J11" s="163"/>
      <c r="K11" s="163">
        <f>K10/J10-1</f>
        <v>0.24594416902109195</v>
      </c>
      <c r="L11" s="173">
        <f>L10/K10-1</f>
        <v>0.24130751019709629</v>
      </c>
      <c r="M11" s="174">
        <f>M10/L10-1</f>
        <v>6.1463590691588577E-2</v>
      </c>
      <c r="N11" s="163">
        <f>N10/M10-1</f>
        <v>0.17473463284485136</v>
      </c>
      <c r="O11" s="163">
        <f>O10/N10-1</f>
        <v>0.25806262524215118</v>
      </c>
      <c r="P11" s="163">
        <f>P10/O10-1</f>
        <v>0.20038983894481999</v>
      </c>
      <c r="Q11" s="163">
        <f>Q10/P10-1</f>
        <v>0.21022957237295525</v>
      </c>
      <c r="R11" s="300"/>
      <c r="S11" s="91"/>
      <c r="T11" s="91"/>
      <c r="U11" s="91"/>
      <c r="V11" s="91"/>
      <c r="W11" s="91"/>
      <c r="X11" s="91"/>
      <c r="Y11" s="91"/>
      <c r="Z11" s="91"/>
      <c r="AA11" s="91"/>
      <c r="AB11" s="91"/>
      <c r="AC11" s="91"/>
      <c r="AD11" s="91"/>
      <c r="AE11" s="91"/>
      <c r="AF11" s="91"/>
      <c r="AG11" s="91"/>
      <c r="AH11" s="91"/>
      <c r="AI11" s="91"/>
      <c r="AJ11" s="91"/>
      <c r="AK11" s="91"/>
      <c r="AL11" s="91"/>
      <c r="AM11" s="91"/>
      <c r="AN11" s="91"/>
      <c r="AO11" s="91"/>
      <c r="AP11" s="91"/>
      <c r="AQ11" s="91"/>
      <c r="AR11" s="91"/>
      <c r="AS11" s="91"/>
      <c r="AT11" s="91"/>
      <c r="AU11" s="91">
        <f>AU10/AQ10-1</f>
        <v>7.6315086782376307E-2</v>
      </c>
      <c r="AV11" s="91">
        <f>AV10/AR10-1</f>
        <v>0.26889559719769895</v>
      </c>
      <c r="AW11" s="91">
        <f>AW10/AS10-1</f>
        <v>0.2931500122759636</v>
      </c>
      <c r="AX11" s="91">
        <f>AX10/AT10-1</f>
        <v>0.34171226630186968</v>
      </c>
      <c r="AY11" s="91">
        <f>AY10/AU10-1</f>
        <v>0.14552942343951569</v>
      </c>
      <c r="AZ11" s="91">
        <f>AZ10/AV10-1</f>
        <v>5.0902235389173267E-2</v>
      </c>
      <c r="BA11" s="93">
        <f>BA10/AW10-1</f>
        <v>-7.0438579836719306E-2</v>
      </c>
      <c r="BB11" s="92">
        <f>BB10/AX10-1</f>
        <v>0.11749301187877537</v>
      </c>
      <c r="BC11" s="91">
        <f>BC10/AY10-1</f>
        <v>0.14362631530983094</v>
      </c>
      <c r="BD11" s="91">
        <f>BD10/AZ10-1</f>
        <v>0.1404616767457989</v>
      </c>
      <c r="BE11" s="91">
        <f>BE10/BA10-1</f>
        <v>0.17591442795238987</v>
      </c>
      <c r="BF11" s="91">
        <f>BF10/BB10-1</f>
        <v>0.23166335239224978</v>
      </c>
      <c r="BG11" s="91">
        <f>BG10/BC10-1</f>
        <v>0.26446635720721612</v>
      </c>
      <c r="BH11" s="91">
        <f>BH10/BD10-1</f>
        <v>0.26828790728202945</v>
      </c>
      <c r="BI11" s="91">
        <f>BI10/BE10-1</f>
        <v>0.25741334596697851</v>
      </c>
      <c r="BJ11" s="91">
        <f>BJ10/BF10-1</f>
        <v>0.2448785314291686</v>
      </c>
      <c r="BK11" s="91">
        <f>BK10/BG10-1</f>
        <v>0.18865107664070946</v>
      </c>
      <c r="BL11" s="91">
        <f>BL10/BH10-1</f>
        <v>0.19472857508092645</v>
      </c>
      <c r="BM11" s="91">
        <f>BM10/BI10-1</f>
        <v>0.20283420265330876</v>
      </c>
      <c r="BN11" s="91">
        <f>BN10/BJ10-1</f>
        <v>0.21310514584513429</v>
      </c>
      <c r="BO11" s="91">
        <f>BO10/BK10-1</f>
        <v>0.21923787252671101</v>
      </c>
      <c r="BP11" s="91">
        <f>BP10/BL10-1</f>
        <v>0.21741204361052646</v>
      </c>
      <c r="BQ11" s="91">
        <f>BQ10/BM10-1</f>
        <v>0.20711464886072162</v>
      </c>
      <c r="BR11" s="91">
        <f>BR10/BN10-1</f>
        <v>0.19920137558899143</v>
      </c>
    </row>
    <row r="12" spans="1:70" x14ac:dyDescent="0.2">
      <c r="A12" s="161" t="s">
        <v>5</v>
      </c>
      <c r="B12" s="12"/>
      <c r="C12" s="163"/>
      <c r="D12" s="163"/>
      <c r="E12" s="163"/>
      <c r="F12" s="163"/>
      <c r="G12" s="163"/>
      <c r="H12" s="163"/>
      <c r="I12" s="163"/>
      <c r="J12" s="163"/>
      <c r="K12" s="163"/>
      <c r="L12" s="173"/>
      <c r="M12" s="174"/>
      <c r="N12" s="163"/>
      <c r="O12" s="163"/>
      <c r="P12" s="163"/>
      <c r="Q12" s="163"/>
      <c r="R12" s="300"/>
      <c r="S12" s="91"/>
      <c r="T12" s="91"/>
      <c r="U12" s="91"/>
      <c r="V12" s="91"/>
      <c r="W12" s="91"/>
      <c r="X12" s="91"/>
      <c r="Y12" s="91"/>
      <c r="Z12" s="91"/>
      <c r="AA12" s="91"/>
      <c r="AB12" s="91"/>
      <c r="AC12" s="91"/>
      <c r="AD12" s="91"/>
      <c r="AE12" s="91"/>
      <c r="AF12" s="91"/>
      <c r="AG12" s="91"/>
      <c r="AH12" s="91"/>
      <c r="AI12" s="91"/>
      <c r="AJ12" s="91"/>
      <c r="AK12" s="91"/>
      <c r="AL12" s="91"/>
      <c r="AM12" s="91"/>
      <c r="AN12" s="91"/>
      <c r="AO12" s="91"/>
      <c r="AP12" s="91"/>
      <c r="AQ12" s="91"/>
      <c r="AR12" s="91">
        <f>AR10/AQ10-1</f>
        <v>-6.237650200267042E-2</v>
      </c>
      <c r="AS12" s="91">
        <f>AS10/AR10-1</f>
        <v>-7.2051033775701878E-2</v>
      </c>
      <c r="AT12" s="91">
        <f>AT10/AS10-1</f>
        <v>7.6847532531303608E-2</v>
      </c>
      <c r="AU12" s="91">
        <f>AU10/AT10-1</f>
        <v>0.14876880984952123</v>
      </c>
      <c r="AV12" s="91">
        <f>AV10/AU10-1</f>
        <v>0.10538850848466796</v>
      </c>
      <c r="AW12" s="91">
        <f>AW10/AV10-1</f>
        <v>-5.4313672681569169E-2</v>
      </c>
      <c r="AX12" s="91">
        <f>AX10/AW10-1</f>
        <v>0.11728688057717873</v>
      </c>
      <c r="AY12" s="91">
        <f>AY10/AX10-1</f>
        <v>-1.9202175113641307E-2</v>
      </c>
      <c r="AZ12" s="91">
        <f>AZ10/AY10-1</f>
        <v>1.4077186295317734E-2</v>
      </c>
      <c r="BA12" s="93">
        <f>BA10/AZ10-1</f>
        <v>-0.16350589441312147</v>
      </c>
      <c r="BB12" s="92">
        <f>BB10/BA10-1</f>
        <v>0.34317136471683485</v>
      </c>
      <c r="BC12" s="91">
        <f>BC10/BB10-1</f>
        <v>3.7344221534698629E-3</v>
      </c>
      <c r="BD12" s="91">
        <f>BD10/BC10-1</f>
        <v>1.1271035608075186E-2</v>
      </c>
      <c r="BE12" s="91">
        <f>BE10/BD10-1</f>
        <v>-0.13750237494741513</v>
      </c>
      <c r="BF12" s="91">
        <f>BF10/BE10-1</f>
        <v>0.40684977289128943</v>
      </c>
      <c r="BG12" s="91">
        <f>BG10/BF10-1</f>
        <v>3.0466974533872149E-2</v>
      </c>
      <c r="BH12" s="91">
        <f>BH10/BG10-1</f>
        <v>1.4327362792865062E-2</v>
      </c>
      <c r="BI12" s="91">
        <f>BI10/BH10-1</f>
        <v>-0.14489760693998388</v>
      </c>
      <c r="BJ12" s="91">
        <f>BJ10/BI10-1</f>
        <v>0.39282526691454489</v>
      </c>
      <c r="BK12" s="91">
        <f>BK10/BJ10-1</f>
        <v>-1.6076148958735326E-2</v>
      </c>
      <c r="BL12" s="91">
        <f>BL10/BK10-1</f>
        <v>1.9513555012254491E-2</v>
      </c>
      <c r="BM12" s="91">
        <f>BM10/BL10-1</f>
        <v>-0.13909617079878511</v>
      </c>
      <c r="BN12" s="91">
        <f>BN10/BM10-1</f>
        <v>0.4047185346326243</v>
      </c>
      <c r="BO12" s="91">
        <f>BO10/BN10-1</f>
        <v>-1.110202443656394E-2</v>
      </c>
      <c r="BP12" s="91">
        <f>BP10/BO10-1</f>
        <v>1.7986816570865871E-2</v>
      </c>
      <c r="BQ12" s="91">
        <f>BQ10/BP10-1</f>
        <v>-0.14637806571466916</v>
      </c>
      <c r="BR12" s="91">
        <f>BR10/BQ10-1</f>
        <v>0.39550986365435126</v>
      </c>
    </row>
    <row r="13" spans="1:70" x14ac:dyDescent="0.2">
      <c r="A13" s="168" t="s">
        <v>209</v>
      </c>
      <c r="B13" s="24"/>
      <c r="C13" s="141"/>
      <c r="D13" s="142"/>
      <c r="E13" s="142"/>
      <c r="F13" s="142"/>
      <c r="G13" s="142"/>
      <c r="H13" s="142"/>
      <c r="I13" s="142"/>
      <c r="J13" s="142">
        <v>4.4619999999999997</v>
      </c>
      <c r="K13" s="142">
        <v>4.0049999999999999</v>
      </c>
      <c r="L13" s="142">
        <v>3.794</v>
      </c>
      <c r="M13" s="77">
        <f>SUM(AY13:BB13)</f>
        <v>3.4376986190089358</v>
      </c>
      <c r="N13" s="76">
        <f>SUM(BC13:BF13)</f>
        <v>3.2785200476982048</v>
      </c>
      <c r="O13" s="76">
        <f>SUM(BG13:BJ13)</f>
        <v>3.1267120519883767</v>
      </c>
      <c r="P13" s="76">
        <f>SUM(BK13:BN13)</f>
        <v>2.9819333460880206</v>
      </c>
      <c r="Q13" s="76">
        <f>SUM(BO13:BR13)</f>
        <v>2.8438584470408901</v>
      </c>
      <c r="R13" s="48"/>
      <c r="S13" s="142"/>
      <c r="T13" s="142"/>
      <c r="U13" s="142"/>
      <c r="V13" s="142"/>
      <c r="W13" s="142"/>
      <c r="X13" s="142"/>
      <c r="Y13" s="142"/>
      <c r="Z13" s="142"/>
      <c r="AA13" s="142"/>
      <c r="AB13" s="142"/>
      <c r="AC13" s="142"/>
      <c r="AD13" s="142"/>
      <c r="AE13" s="142"/>
      <c r="AF13" s="142"/>
      <c r="AG13" s="142"/>
      <c r="AH13" s="142"/>
      <c r="AI13" s="142"/>
      <c r="AJ13" s="142"/>
      <c r="AK13" s="142"/>
      <c r="AL13" s="142"/>
      <c r="AM13" s="142"/>
      <c r="AN13" s="142"/>
      <c r="AO13" s="142"/>
      <c r="AP13" s="142"/>
      <c r="AQ13" s="142">
        <v>0.02</v>
      </c>
      <c r="AR13" s="142">
        <v>0.67800000000000005</v>
      </c>
      <c r="AS13" s="142">
        <v>1.34</v>
      </c>
      <c r="AT13" s="142">
        <v>1.966</v>
      </c>
      <c r="AU13" s="142">
        <v>7.0000000000000001E-3</v>
      </c>
      <c r="AV13" s="142">
        <v>0.64800000000000002</v>
      </c>
      <c r="AW13" s="142">
        <v>1.2310000000000001</v>
      </c>
      <c r="AX13" s="142">
        <v>1.907</v>
      </c>
      <c r="AY13" s="142">
        <v>5.3999999999999999E-2</v>
      </c>
      <c r="AZ13" s="142">
        <v>0.39100000000000001</v>
      </c>
      <c r="BA13" s="153">
        <v>1.1739999999999999</v>
      </c>
      <c r="BB13" s="77">
        <f>AX13*(1+BB14)</f>
        <v>1.8186986190089356</v>
      </c>
      <c r="BC13" s="76">
        <f>AY13*(1+BC14)</f>
        <v>5.1499593826157583E-2</v>
      </c>
      <c r="BD13" s="76">
        <f>AZ13*(1+BD14)</f>
        <v>0.37289520714865959</v>
      </c>
      <c r="BE13" s="76">
        <f>BA13*(1+BE14)</f>
        <v>1.1196393176279444</v>
      </c>
      <c r="BF13" s="76">
        <f>BB13*(1+BF14)</f>
        <v>1.7344859290954429</v>
      </c>
      <c r="BG13" s="76">
        <f>BC13*(1+BG14)</f>
        <v>4.9114966004800156E-2</v>
      </c>
      <c r="BH13" s="76">
        <f>BD13*(1+BH14)</f>
        <v>0.35562873533105305</v>
      </c>
      <c r="BI13" s="76">
        <f>BE13*(1+BI14)</f>
        <v>1.0677957424006552</v>
      </c>
      <c r="BJ13" s="76">
        <f>BF13*(1+BJ14)</f>
        <v>1.654172608251868</v>
      </c>
      <c r="BK13" s="76">
        <f>BG13*(1+BK14)</f>
        <v>4.6840755556161962E-2</v>
      </c>
      <c r="BL13" s="76">
        <f>BH13*(1+BL14)</f>
        <v>0.33916176708258017</v>
      </c>
      <c r="BM13" s="76">
        <f>BI13*(1+BM14)</f>
        <v>1.0183527226469284</v>
      </c>
      <c r="BN13" s="76">
        <f>BJ13*(1+BN14)</f>
        <v>1.5775781008023499</v>
      </c>
      <c r="BO13" s="76">
        <f>BK13*(1+BO14)</f>
        <v>4.4671849734308801E-2</v>
      </c>
      <c r="BP13" s="76">
        <f>BL13*(1+BP14)</f>
        <v>0.32345728233545823</v>
      </c>
      <c r="BQ13" s="76">
        <f>BM13*(1+BQ14)</f>
        <v>0.9711991034829357</v>
      </c>
      <c r="BR13" s="76">
        <f>BN13*(1+BR14)</f>
        <v>1.5045302114881873</v>
      </c>
    </row>
    <row r="14" spans="1:70" x14ac:dyDescent="0.2">
      <c r="A14" s="161" t="s">
        <v>4</v>
      </c>
      <c r="B14" s="12"/>
      <c r="C14" s="163"/>
      <c r="D14" s="163"/>
      <c r="E14" s="163"/>
      <c r="F14" s="163"/>
      <c r="G14" s="163"/>
      <c r="H14" s="163"/>
      <c r="I14" s="163"/>
      <c r="J14" s="163"/>
      <c r="K14" s="163">
        <f>K13/J13-1</f>
        <v>-0.10242043926490363</v>
      </c>
      <c r="L14" s="173">
        <f>L13/K13-1</f>
        <v>-5.2684144818976208E-2</v>
      </c>
      <c r="M14" s="174">
        <f>M13/L13-1</f>
        <v>-9.391180310781877E-2</v>
      </c>
      <c r="N14" s="163">
        <f>N13/M13-1</f>
        <v>-4.630381803411876E-2</v>
      </c>
      <c r="O14" s="163">
        <f>O13/N13-1</f>
        <v>-4.630381803411876E-2</v>
      </c>
      <c r="P14" s="163">
        <f>P13/O13-1</f>
        <v>-4.630381803411876E-2</v>
      </c>
      <c r="Q14" s="163">
        <f>Q13/P13-1</f>
        <v>-4.630381803411876E-2</v>
      </c>
      <c r="R14" s="300"/>
      <c r="S14" s="91"/>
      <c r="T14" s="91"/>
      <c r="U14" s="91"/>
      <c r="V14" s="91"/>
      <c r="W14" s="91"/>
      <c r="X14" s="91"/>
      <c r="Y14" s="91"/>
      <c r="Z14" s="91"/>
      <c r="AA14" s="91"/>
      <c r="AB14" s="91"/>
      <c r="AC14" s="91"/>
      <c r="AD14" s="91"/>
      <c r="AE14" s="91"/>
      <c r="AF14" s="91"/>
      <c r="AG14" s="91"/>
      <c r="AH14" s="91"/>
      <c r="AI14" s="91"/>
      <c r="AJ14" s="91"/>
      <c r="AK14" s="91"/>
      <c r="AL14" s="91"/>
      <c r="AM14" s="91"/>
      <c r="AN14" s="91"/>
      <c r="AO14" s="91"/>
      <c r="AP14" s="91"/>
      <c r="AQ14" s="91"/>
      <c r="AR14" s="91"/>
      <c r="AS14" s="91"/>
      <c r="AT14" s="91"/>
      <c r="AU14" s="91">
        <f>AU13/AQ13-1</f>
        <v>-0.65</v>
      </c>
      <c r="AV14" s="91">
        <f>AV13/AR13-1</f>
        <v>-4.4247787610619538E-2</v>
      </c>
      <c r="AW14" s="91">
        <f>AW13/AS13-1</f>
        <v>-8.1343283582089532E-2</v>
      </c>
      <c r="AX14" s="91">
        <f>AX13/AT13-1</f>
        <v>-3.0010172939979651E-2</v>
      </c>
      <c r="AY14" s="91">
        <f>AY13/AU13-1</f>
        <v>6.7142857142857144</v>
      </c>
      <c r="AZ14" s="91">
        <f>AZ13/AV13-1</f>
        <v>-0.39660493827160492</v>
      </c>
      <c r="BA14" s="93">
        <f>BA13/AW13-1</f>
        <v>-4.630381803411876E-2</v>
      </c>
      <c r="BB14" s="248">
        <f>BA14</f>
        <v>-4.630381803411876E-2</v>
      </c>
      <c r="BC14" s="215">
        <f>BB14</f>
        <v>-4.630381803411876E-2</v>
      </c>
      <c r="BD14" s="215">
        <f>BC14</f>
        <v>-4.630381803411876E-2</v>
      </c>
      <c r="BE14" s="215">
        <f>BD14</f>
        <v>-4.630381803411876E-2</v>
      </c>
      <c r="BF14" s="215">
        <f>BE14</f>
        <v>-4.630381803411876E-2</v>
      </c>
      <c r="BG14" s="215">
        <f>BF14</f>
        <v>-4.630381803411876E-2</v>
      </c>
      <c r="BH14" s="215">
        <f>BG14</f>
        <v>-4.630381803411876E-2</v>
      </c>
      <c r="BI14" s="215">
        <f>BH14</f>
        <v>-4.630381803411876E-2</v>
      </c>
      <c r="BJ14" s="215">
        <f>BI14</f>
        <v>-4.630381803411876E-2</v>
      </c>
      <c r="BK14" s="215">
        <f>BJ14</f>
        <v>-4.630381803411876E-2</v>
      </c>
      <c r="BL14" s="215">
        <f>BK14</f>
        <v>-4.630381803411876E-2</v>
      </c>
      <c r="BM14" s="215">
        <f>BL14</f>
        <v>-4.630381803411876E-2</v>
      </c>
      <c r="BN14" s="215">
        <f>BM14</f>
        <v>-4.630381803411876E-2</v>
      </c>
      <c r="BO14" s="215">
        <f>BN14</f>
        <v>-4.630381803411876E-2</v>
      </c>
      <c r="BP14" s="215">
        <f>BO14</f>
        <v>-4.630381803411876E-2</v>
      </c>
      <c r="BQ14" s="215">
        <f>BP14</f>
        <v>-4.630381803411876E-2</v>
      </c>
      <c r="BR14" s="215">
        <f>BQ14</f>
        <v>-4.630381803411876E-2</v>
      </c>
    </row>
    <row r="15" spans="1:70" x14ac:dyDescent="0.2">
      <c r="A15" s="164" t="s">
        <v>5</v>
      </c>
      <c r="B15" s="30"/>
      <c r="C15" s="165"/>
      <c r="D15" s="165"/>
      <c r="E15" s="165"/>
      <c r="F15" s="165"/>
      <c r="G15" s="165"/>
      <c r="H15" s="165"/>
      <c r="I15" s="165"/>
      <c r="J15" s="165"/>
      <c r="K15" s="165"/>
      <c r="L15" s="185"/>
      <c r="M15" s="186"/>
      <c r="N15" s="165"/>
      <c r="O15" s="165"/>
      <c r="P15" s="165"/>
      <c r="Q15" s="165"/>
      <c r="R15" s="301"/>
      <c r="S15" s="122"/>
      <c r="T15" s="122"/>
      <c r="U15" s="122"/>
      <c r="V15" s="122"/>
      <c r="W15" s="122"/>
      <c r="X15" s="122"/>
      <c r="Y15" s="122"/>
      <c r="Z15" s="122"/>
      <c r="AA15" s="122"/>
      <c r="AB15" s="122"/>
      <c r="AC15" s="122"/>
      <c r="AD15" s="122"/>
      <c r="AE15" s="122"/>
      <c r="AF15" s="122"/>
      <c r="AG15" s="122"/>
      <c r="AH15" s="122"/>
      <c r="AI15" s="122"/>
      <c r="AJ15" s="122"/>
      <c r="AK15" s="122"/>
      <c r="AL15" s="122"/>
      <c r="AM15" s="122"/>
      <c r="AN15" s="122"/>
      <c r="AO15" s="122"/>
      <c r="AP15" s="122"/>
      <c r="AQ15" s="122"/>
      <c r="AR15" s="211" t="s">
        <v>99</v>
      </c>
      <c r="AS15" s="122">
        <f>AS13/AR13-1</f>
        <v>0.97640117994100284</v>
      </c>
      <c r="AT15" s="122">
        <f>AT13/AS13-1</f>
        <v>0.46716417910447761</v>
      </c>
      <c r="AU15" s="122">
        <f>AU13/AT13-1</f>
        <v>-0.99643947100712105</v>
      </c>
      <c r="AV15" s="211" t="s">
        <v>99</v>
      </c>
      <c r="AW15" s="122">
        <f>AW13/AV13-1</f>
        <v>0.89969135802469147</v>
      </c>
      <c r="AX15" s="122">
        <f>AX13/AW13-1</f>
        <v>0.54914703493095041</v>
      </c>
      <c r="AY15" s="122">
        <f>AY13/AX13-1</f>
        <v>-0.97168327215521766</v>
      </c>
      <c r="AZ15" s="122">
        <f>AZ13/AY13-1</f>
        <v>6.2407407407407414</v>
      </c>
      <c r="BA15" s="123">
        <f>BA13/AZ13-1</f>
        <v>2.0025575447570332</v>
      </c>
      <c r="BB15" s="177">
        <f>BB13/BA13-1</f>
        <v>0.54914703493095041</v>
      </c>
      <c r="BC15" s="122">
        <f>BC13/BB13-1</f>
        <v>-0.97168327215521766</v>
      </c>
      <c r="BD15" s="122">
        <f>BD13/BC13-1</f>
        <v>6.2407407407407414</v>
      </c>
      <c r="BE15" s="122">
        <f>BE13/BD13-1</f>
        <v>2.0025575447570327</v>
      </c>
      <c r="BF15" s="122">
        <f>BF13/BE13-1</f>
        <v>0.54914703493095063</v>
      </c>
      <c r="BG15" s="122">
        <f>BG13/BF13-1</f>
        <v>-0.97168327215521766</v>
      </c>
      <c r="BH15" s="122">
        <f>BH13/BG13-1</f>
        <v>6.2407407407407423</v>
      </c>
      <c r="BI15" s="122">
        <f>BI13/BH13-1</f>
        <v>2.0025575447570327</v>
      </c>
      <c r="BJ15" s="122">
        <f>BJ13/BI13-1</f>
        <v>0.54914703493095041</v>
      </c>
      <c r="BK15" s="122">
        <f>BK13/BJ13-1</f>
        <v>-0.97168327215521766</v>
      </c>
      <c r="BL15" s="122">
        <f>BL13/BK13-1</f>
        <v>6.2407407407407414</v>
      </c>
      <c r="BM15" s="122">
        <f>BM13/BL13-1</f>
        <v>2.0025575447570327</v>
      </c>
      <c r="BN15" s="122">
        <f>BN13/BM13-1</f>
        <v>0.54914703493095063</v>
      </c>
      <c r="BO15" s="122">
        <f>BO13/BN13-1</f>
        <v>-0.97168327215521766</v>
      </c>
      <c r="BP15" s="122">
        <f>BP13/BO13-1</f>
        <v>6.2407407407407423</v>
      </c>
      <c r="BQ15" s="122">
        <f>BQ13/BP13-1</f>
        <v>2.0025575447570323</v>
      </c>
      <c r="BR15" s="122">
        <f>BR13/BQ13-1</f>
        <v>0.54914703493095063</v>
      </c>
    </row>
    <row r="16" spans="1:70" x14ac:dyDescent="0.2">
      <c r="A16" s="189" t="s">
        <v>210</v>
      </c>
      <c r="B16" s="42"/>
      <c r="C16" s="202"/>
      <c r="D16" s="145"/>
      <c r="E16" s="145"/>
      <c r="F16" s="145"/>
      <c r="G16" s="145"/>
      <c r="H16" s="145">
        <v>7.4059999999999997</v>
      </c>
      <c r="I16" s="145">
        <v>214.42400000000001</v>
      </c>
      <c r="J16" s="145">
        <v>213.25299999999999</v>
      </c>
      <c r="K16" s="145">
        <v>222.77699999999999</v>
      </c>
      <c r="L16" s="145">
        <v>258.97800000000001</v>
      </c>
      <c r="M16" s="86">
        <f>SUM(AY16:BB16)</f>
        <v>275.54689799482605</v>
      </c>
      <c r="N16" s="72">
        <f>SUM(BC16:BF16)</f>
        <v>297.9551624477233</v>
      </c>
      <c r="O16" s="72">
        <f>SUM(BG16:BJ16)</f>
        <v>349.86983185763143</v>
      </c>
      <c r="P16" s="72">
        <f>SUM(BK16:BN16)</f>
        <v>404.88107100458308</v>
      </c>
      <c r="Q16" s="72">
        <f>SUM(BO16:BR16)</f>
        <v>470.66990672756492</v>
      </c>
      <c r="R16" s="48"/>
      <c r="S16" s="145"/>
      <c r="T16" s="145"/>
      <c r="U16" s="145"/>
      <c r="V16" s="145"/>
      <c r="W16" s="145"/>
      <c r="X16" s="145"/>
      <c r="Y16" s="145"/>
      <c r="Z16" s="145"/>
      <c r="AA16" s="145"/>
      <c r="AB16" s="145"/>
      <c r="AC16" s="145"/>
      <c r="AD16" s="145"/>
      <c r="AE16" s="145">
        <v>58.2</v>
      </c>
      <c r="AF16" s="145">
        <v>50.3</v>
      </c>
      <c r="AG16" s="145">
        <v>50.5</v>
      </c>
      <c r="AH16" s="145">
        <v>48</v>
      </c>
      <c r="AI16" s="145">
        <v>55.045000000000002</v>
      </c>
      <c r="AJ16" s="145">
        <v>54.868000000000002</v>
      </c>
      <c r="AK16" s="145">
        <v>53.982999999999997</v>
      </c>
      <c r="AL16" s="145">
        <v>50.5</v>
      </c>
      <c r="AM16" s="145">
        <v>48.177999999999997</v>
      </c>
      <c r="AN16" s="145">
        <v>54.264000000000003</v>
      </c>
      <c r="AO16" s="145">
        <v>56.218000000000004</v>
      </c>
      <c r="AP16" s="145">
        <v>54.6</v>
      </c>
      <c r="AQ16" s="145">
        <v>55.276000000000003</v>
      </c>
      <c r="AR16" s="145">
        <v>55.103999999999999</v>
      </c>
      <c r="AS16" s="145">
        <v>55.451999999999998</v>
      </c>
      <c r="AT16" s="145">
        <v>56.945</v>
      </c>
      <c r="AU16" s="145">
        <v>60.216999999999999</v>
      </c>
      <c r="AV16" s="145">
        <v>65.947999999999993</v>
      </c>
      <c r="AW16" s="145">
        <v>65.838999999999999</v>
      </c>
      <c r="AX16" s="145">
        <v>66.974000000000004</v>
      </c>
      <c r="AY16" s="145">
        <v>67.427000000000007</v>
      </c>
      <c r="AZ16" s="145">
        <v>69.379000000000005</v>
      </c>
      <c r="BA16" s="155">
        <v>69.272999999999996</v>
      </c>
      <c r="BB16" s="86">
        <f>SUM(BB13,BB10,BB7)</f>
        <v>69.467897994826032</v>
      </c>
      <c r="BC16" s="72">
        <f>SUM(BC13,BC10,BC7)</f>
        <v>71.069237348598463</v>
      </c>
      <c r="BD16" s="72">
        <f>SUM(BD13,BD10,BD7)</f>
        <v>72.357357251255479</v>
      </c>
      <c r="BE16" s="72">
        <f>SUM(BE13,BE10,BE7)</f>
        <v>73.584123949268587</v>
      </c>
      <c r="BF16" s="72">
        <f>SUM(BF13,BF10,BF7)</f>
        <v>80.944443898600724</v>
      </c>
      <c r="BG16" s="72">
        <f>SUM(BG13,BG10,BG7)</f>
        <v>83.393789720416947</v>
      </c>
      <c r="BH16" s="72">
        <f>SUM(BH13,BH10,BH7)</f>
        <v>85.491347088083955</v>
      </c>
      <c r="BI16" s="72">
        <f>SUM(BI13,BI10,BI7)</f>
        <v>85.997052597470756</v>
      </c>
      <c r="BJ16" s="72">
        <f>SUM(BJ13,BJ10,BJ7)</f>
        <v>94.987642451659752</v>
      </c>
      <c r="BK16" s="72">
        <f>SUM(BK13,BK10,BK7)</f>
        <v>96.295764097735656</v>
      </c>
      <c r="BL16" s="72">
        <f>SUM(BL13,BL10,BL7)</f>
        <v>98.84875219718387</v>
      </c>
      <c r="BM16" s="72">
        <f>SUM(BM13,BM10,BM7)</f>
        <v>99.222222424631596</v>
      </c>
      <c r="BN16" s="72">
        <f>SUM(BN13,BN10,BN7)</f>
        <v>110.51433228503194</v>
      </c>
      <c r="BO16" s="72">
        <f>SUM(BO13,BO10,BO7)</f>
        <v>112.47331668371545</v>
      </c>
      <c r="BP16" s="72">
        <f>SUM(BP13,BP10,BP7)</f>
        <v>115.30520194736482</v>
      </c>
      <c r="BQ16" s="72">
        <f>SUM(BQ13,BQ10,BQ7)</f>
        <v>114.76875734093136</v>
      </c>
      <c r="BR16" s="72">
        <f>SUM(BR13,BR10,BR7)</f>
        <v>128.1226307555533</v>
      </c>
    </row>
    <row r="17" spans="1:70" x14ac:dyDescent="0.2">
      <c r="A17" s="161" t="s">
        <v>4</v>
      </c>
      <c r="B17" s="12"/>
      <c r="C17" s="163"/>
      <c r="D17" s="163"/>
      <c r="E17" s="163"/>
      <c r="F17" s="163"/>
      <c r="G17" s="163"/>
      <c r="H17" s="163"/>
      <c r="I17" s="212" t="s">
        <v>99</v>
      </c>
      <c r="J17" s="163">
        <f>J16/I16-1</f>
        <v>-5.4611424094318517E-3</v>
      </c>
      <c r="K17" s="163">
        <f>K16/J16-1</f>
        <v>4.4660567494947401E-2</v>
      </c>
      <c r="L17" s="173">
        <f>L16/K16-1</f>
        <v>0.16249882169164698</v>
      </c>
      <c r="M17" s="174">
        <f>M16/L16-1</f>
        <v>6.3978013556464486E-2</v>
      </c>
      <c r="N17" s="163">
        <f>N16/M16-1</f>
        <v>8.1322869594844693E-2</v>
      </c>
      <c r="O17" s="163">
        <f>O16/N16-1</f>
        <v>0.1742365159355701</v>
      </c>
      <c r="P17" s="163">
        <f>P16/O16-1</f>
        <v>0.15723344552135243</v>
      </c>
      <c r="Q17" s="163">
        <f>Q16/P16-1</f>
        <v>0.16248928496397186</v>
      </c>
      <c r="R17" s="300"/>
      <c r="S17" s="91"/>
      <c r="T17" s="91"/>
      <c r="U17" s="91"/>
      <c r="V17" s="91"/>
      <c r="W17" s="91"/>
      <c r="X17" s="91"/>
      <c r="Y17" s="91"/>
      <c r="Z17" s="91"/>
      <c r="AA17" s="91"/>
      <c r="AB17" s="91"/>
      <c r="AC17" s="91"/>
      <c r="AD17" s="91"/>
      <c r="AE17" s="91"/>
      <c r="AF17" s="91"/>
      <c r="AG17" s="91"/>
      <c r="AH17" s="91"/>
      <c r="AI17" s="91">
        <f>AI16/AE16-1</f>
        <v>-5.4209621993127177E-2</v>
      </c>
      <c r="AJ17" s="91">
        <f>AJ16/AF16-1</f>
        <v>9.081510934393644E-2</v>
      </c>
      <c r="AK17" s="91">
        <f>AK16/AG16-1</f>
        <v>6.897029702970281E-2</v>
      </c>
      <c r="AL17" s="91">
        <f>AL16/AH16-1</f>
        <v>5.2083333333333259E-2</v>
      </c>
      <c r="AM17" s="91">
        <f>AM16/AI16-1</f>
        <v>-0.12475247524752486</v>
      </c>
      <c r="AN17" s="91">
        <f>AN16/AJ16-1</f>
        <v>-1.1008237952905175E-2</v>
      </c>
      <c r="AO17" s="91">
        <f>AO16/AK16-1</f>
        <v>4.1401922827556836E-2</v>
      </c>
      <c r="AP17" s="91">
        <f>AP16/AL16-1</f>
        <v>8.118811881188126E-2</v>
      </c>
      <c r="AQ17" s="91">
        <f>AQ16/AM16-1</f>
        <v>0.14732865623313551</v>
      </c>
      <c r="AR17" s="91">
        <f>AR16/AN16-1</f>
        <v>1.5479876160990669E-2</v>
      </c>
      <c r="AS17" s="91">
        <f>AS16/AO16-1</f>
        <v>-1.3625529189939312E-2</v>
      </c>
      <c r="AT17" s="91">
        <f>AT16/AP16-1</f>
        <v>4.2948717948718018E-2</v>
      </c>
      <c r="AU17" s="91">
        <f>AU16/AQ16-1</f>
        <v>8.9387799406613899E-2</v>
      </c>
      <c r="AV17" s="91">
        <f>AV16/AR16-1</f>
        <v>0.19679152148664336</v>
      </c>
      <c r="AW17" s="91">
        <f>AW16/AS16-1</f>
        <v>0.1873151554497583</v>
      </c>
      <c r="AX17" s="91">
        <f>AX16/AT16-1</f>
        <v>0.17611730617262267</v>
      </c>
      <c r="AY17" s="91">
        <f>AY16/AU16-1</f>
        <v>0.11973363003802917</v>
      </c>
      <c r="AZ17" s="91">
        <f>AZ16/AV16-1</f>
        <v>5.2025838539455416E-2</v>
      </c>
      <c r="BA17" s="93">
        <f>BA16/AW16-1</f>
        <v>5.2157535807044519E-2</v>
      </c>
      <c r="BB17" s="92">
        <f>BB16/AX16-1</f>
        <v>3.7236808236420504E-2</v>
      </c>
      <c r="BC17" s="91">
        <f>BC16/AY16-1</f>
        <v>5.4017490747007235E-2</v>
      </c>
      <c r="BD17" s="91">
        <f>BD16/AZ16-1</f>
        <v>4.2928800519688615E-2</v>
      </c>
      <c r="BE17" s="91">
        <f>BE16/BA16-1</f>
        <v>6.2233827743400694E-2</v>
      </c>
      <c r="BF17" s="91">
        <f>BF16/BB16-1</f>
        <v>0.16520646564877306</v>
      </c>
      <c r="BG17" s="91">
        <f>BG16/BC16-1</f>
        <v>0.17341613378184828</v>
      </c>
      <c r="BH17" s="91">
        <f>BH16/BD16-1</f>
        <v>0.1815156099637758</v>
      </c>
      <c r="BI17" s="91">
        <f>BI16/BE16-1</f>
        <v>0.16869030956677644</v>
      </c>
      <c r="BJ17" s="91">
        <f>BJ16/BF16-1</f>
        <v>0.17349181582680306</v>
      </c>
      <c r="BK17" s="91">
        <f>BK16/BG16-1</f>
        <v>0.15471145298197153</v>
      </c>
      <c r="BL17" s="91">
        <f>BL16/BH16-1</f>
        <v>0.1562427726789406</v>
      </c>
      <c r="BM17" s="91">
        <f>BM16/BI16-1</f>
        <v>0.15378631508528939</v>
      </c>
      <c r="BN17" s="91">
        <f>BN16/BJ16-1</f>
        <v>0.16346010315261683</v>
      </c>
      <c r="BO17" s="91">
        <f>BO16/BK16-1</f>
        <v>0.16799858994379391</v>
      </c>
      <c r="BP17" s="91">
        <f>BP16/BL16-1</f>
        <v>0.16648110759510204</v>
      </c>
      <c r="BQ17" s="91">
        <f>BQ16/BM16-1</f>
        <v>0.15668400219626988</v>
      </c>
      <c r="BR17" s="91">
        <f>BR16/BN16-1</f>
        <v>0.15933045159343773</v>
      </c>
    </row>
    <row r="18" spans="1:70" x14ac:dyDescent="0.2">
      <c r="A18" s="161" t="s">
        <v>5</v>
      </c>
      <c r="B18" s="12"/>
      <c r="C18" s="163"/>
      <c r="D18" s="163"/>
      <c r="E18" s="163"/>
      <c r="F18" s="163"/>
      <c r="G18" s="163"/>
      <c r="H18" s="163"/>
      <c r="I18" s="163"/>
      <c r="J18" s="163"/>
      <c r="K18" s="163"/>
      <c r="L18" s="173"/>
      <c r="M18" s="174"/>
      <c r="N18" s="163"/>
      <c r="O18" s="163"/>
      <c r="P18" s="163"/>
      <c r="Q18" s="163"/>
      <c r="R18" s="300"/>
      <c r="S18" s="91"/>
      <c r="T18" s="91"/>
      <c r="U18" s="91"/>
      <c r="V18" s="91"/>
      <c r="W18" s="91"/>
      <c r="X18" s="91"/>
      <c r="Y18" s="91"/>
      <c r="Z18" s="91"/>
      <c r="AA18" s="91"/>
      <c r="AB18" s="91"/>
      <c r="AC18" s="91"/>
      <c r="AD18" s="91"/>
      <c r="AE18" s="91"/>
      <c r="AF18" s="91"/>
      <c r="AG18" s="91">
        <f>AG16/AF16-1</f>
        <v>3.9761431411531323E-3</v>
      </c>
      <c r="AH18" s="91">
        <f>AH16/AG16-1</f>
        <v>-4.9504950495049549E-2</v>
      </c>
      <c r="AI18" s="91">
        <f>AI16/AH16-1</f>
        <v>0.14677083333333329</v>
      </c>
      <c r="AJ18" s="91">
        <f>AJ16/AI16-1</f>
        <v>-3.2155509128894977E-3</v>
      </c>
      <c r="AK18" s="91">
        <f>AK16/AJ16-1</f>
        <v>-1.612962017933961E-2</v>
      </c>
      <c r="AL18" s="91">
        <f>AL16/AK16-1</f>
        <v>-6.4520311950058251E-2</v>
      </c>
      <c r="AM18" s="91">
        <f>AM16/AL16-1</f>
        <v>-4.5980198019802021E-2</v>
      </c>
      <c r="AN18" s="91">
        <f>AN16/AM16-1</f>
        <v>0.12632321806633739</v>
      </c>
      <c r="AO18" s="91">
        <f>AO16/AN16-1</f>
        <v>3.6009140498304504E-2</v>
      </c>
      <c r="AP18" s="91">
        <f>AP16/AO16-1</f>
        <v>-2.8780817531751435E-2</v>
      </c>
      <c r="AQ18" s="91">
        <f>AQ16/AP16-1</f>
        <v>1.2380952380952381E-2</v>
      </c>
      <c r="AR18" s="91">
        <f>AR16/AQ16-1</f>
        <v>-3.1116578623634483E-3</v>
      </c>
      <c r="AS18" s="91">
        <f>AS16/AR16-1</f>
        <v>6.3153310104528959E-3</v>
      </c>
      <c r="AT18" s="91">
        <f>AT16/AS16-1</f>
        <v>2.692418668397889E-2</v>
      </c>
      <c r="AU18" s="91">
        <f>AU16/AT16-1</f>
        <v>5.7458951619984155E-2</v>
      </c>
      <c r="AV18" s="91">
        <f>AV16/AU16-1</f>
        <v>9.5172459604430548E-2</v>
      </c>
      <c r="AW18" s="91">
        <f>AW16/AV16-1</f>
        <v>-1.6528173712621053E-3</v>
      </c>
      <c r="AX18" s="91">
        <f>AX16/AW16-1</f>
        <v>1.7239022463889198E-2</v>
      </c>
      <c r="AY18" s="91">
        <f>AY16/AX16-1</f>
        <v>6.7638187953533713E-3</v>
      </c>
      <c r="AZ18" s="91">
        <f>AZ16/AY16-1</f>
        <v>2.8949827220549507E-2</v>
      </c>
      <c r="BA18" s="93">
        <f>BA16/AZ16-1</f>
        <v>-1.5278398362618129E-3</v>
      </c>
      <c r="BB18" s="92">
        <f>BB16/BA16-1</f>
        <v>2.8134770376053719E-3</v>
      </c>
      <c r="BC18" s="91">
        <f>BC16/BB16-1</f>
        <v>2.30515014847823E-2</v>
      </c>
      <c r="BD18" s="91">
        <f>BD16/BC16-1</f>
        <v>1.8124858950416378E-2</v>
      </c>
      <c r="BE18" s="91">
        <f>BE16/BD16-1</f>
        <v>1.6954277278995233E-2</v>
      </c>
      <c r="BF18" s="91">
        <f>BF16/BE16-1</f>
        <v>0.10002592345064265</v>
      </c>
      <c r="BG18" s="91">
        <f>BG16/BF16-1</f>
        <v>3.0259591688399645E-2</v>
      </c>
      <c r="BH18" s="91">
        <f>BH16/BG16-1</f>
        <v>2.5152440903563722E-2</v>
      </c>
      <c r="BI18" s="91">
        <f>BI16/BH16-1</f>
        <v>5.9152829685296116E-3</v>
      </c>
      <c r="BJ18" s="91">
        <f>BJ16/BI16-1</f>
        <v>0.10454532548076445</v>
      </c>
      <c r="BK18" s="91">
        <f>BK16/BJ16-1</f>
        <v>1.3771492925952034E-2</v>
      </c>
      <c r="BL18" s="91">
        <f>BL16/BK16-1</f>
        <v>2.6511946017241828E-2</v>
      </c>
      <c r="BM18" s="91">
        <f>BM16/BL16-1</f>
        <v>3.7781987040435006E-3</v>
      </c>
      <c r="BN18" s="91">
        <f>BN16/BM16-1</f>
        <v>0.11380625815933265</v>
      </c>
      <c r="BO18" s="91">
        <f>BO16/BN16-1</f>
        <v>1.7726066458339629E-2</v>
      </c>
      <c r="BP18" s="91">
        <f>BP16/BO16-1</f>
        <v>2.5178285367122966E-2</v>
      </c>
      <c r="BQ18" s="91">
        <f>BQ16/BP16-1</f>
        <v>-4.6523885945609633E-3</v>
      </c>
      <c r="BR18" s="91">
        <f>BR16/BQ16-1</f>
        <v>0.11635460489437044</v>
      </c>
    </row>
    <row r="19" spans="1:70" x14ac:dyDescent="0.2">
      <c r="A19" s="65" t="s">
        <v>7</v>
      </c>
      <c r="B19" s="13"/>
      <c r="C19" s="88"/>
      <c r="D19" s="88"/>
      <c r="E19" s="88"/>
      <c r="F19" s="88"/>
      <c r="G19" s="88"/>
      <c r="H19" s="88"/>
      <c r="I19" s="88"/>
      <c r="J19" s="88">
        <f>SUM(J13,J10,J7)-J16</f>
        <v>0</v>
      </c>
      <c r="K19" s="88">
        <f>SUM(K13,K10,K7)-K16</f>
        <v>0</v>
      </c>
      <c r="L19" s="90">
        <f>SUM(L13,L10,L7)-L16</f>
        <v>0</v>
      </c>
      <c r="M19" s="89">
        <f>SUM(M13,M10,M7)-M16</f>
        <v>0</v>
      </c>
      <c r="N19" s="88">
        <f>SUM(N13,N10,N7)-N16</f>
        <v>0</v>
      </c>
      <c r="O19" s="88">
        <f>SUM(O13,O10,O7)-O16</f>
        <v>0</v>
      </c>
      <c r="P19" s="88">
        <f>SUM(P13,P10,P7)-P16</f>
        <v>0</v>
      </c>
      <c r="Q19" s="88">
        <f>SUM(Q13,Q10,Q7)-Q16</f>
        <v>0</v>
      </c>
      <c r="R19" s="50"/>
      <c r="S19" s="88"/>
      <c r="T19" s="88"/>
      <c r="U19" s="88"/>
      <c r="V19" s="88"/>
      <c r="W19" s="88"/>
      <c r="X19" s="88"/>
      <c r="Y19" s="88"/>
      <c r="Z19" s="88"/>
      <c r="AA19" s="88"/>
      <c r="AB19" s="88"/>
      <c r="AC19" s="88"/>
      <c r="AD19" s="88"/>
      <c r="AE19" s="88"/>
      <c r="AF19" s="88"/>
      <c r="AG19" s="88"/>
      <c r="AH19" s="88"/>
      <c r="AI19" s="88"/>
      <c r="AJ19" s="88"/>
      <c r="AK19" s="88"/>
      <c r="AL19" s="88"/>
      <c r="AM19" s="88"/>
      <c r="AN19" s="88"/>
      <c r="AO19" s="88"/>
      <c r="AP19" s="88"/>
      <c r="AQ19" s="88">
        <f>SUM(AQ13,AQ10,AQ7)-AQ16</f>
        <v>0</v>
      </c>
      <c r="AR19" s="88">
        <f>SUM(AR13,AR10,AR7)-AR16</f>
        <v>0</v>
      </c>
      <c r="AS19" s="88">
        <f>SUM(AS13,AS10,AS7)-AS16</f>
        <v>0</v>
      </c>
      <c r="AT19" s="88">
        <f>SUM(AT13,AT10,AT7)-AT16</f>
        <v>0</v>
      </c>
      <c r="AU19" s="88">
        <f>SUM(AU13,AU10,AU7)-AU16</f>
        <v>0</v>
      </c>
      <c r="AV19" s="88">
        <f>SUM(AV13,AV10,AV7)-AV16</f>
        <v>0</v>
      </c>
      <c r="AW19" s="88">
        <f>SUM(AW13,AW10,AW7)-AW16</f>
        <v>0</v>
      </c>
      <c r="AX19" s="88">
        <f>SUM(AX13,AX10,AX7)-AX16</f>
        <v>0</v>
      </c>
      <c r="AY19" s="88">
        <f>SUM(AY13,AY10,AY7)-AY16</f>
        <v>0</v>
      </c>
      <c r="AZ19" s="88">
        <f>SUM(AZ13,AZ10,AZ7)-AZ16</f>
        <v>0</v>
      </c>
      <c r="BA19" s="90">
        <f>SUM(BA13,BA10,BA7)-BA16</f>
        <v>0</v>
      </c>
      <c r="BB19" s="89">
        <f>SUM(BB13,BB10,BB7)-BB16</f>
        <v>0</v>
      </c>
      <c r="BC19" s="88">
        <f>SUM(BC13,BC10,BC7)-BC16</f>
        <v>0</v>
      </c>
      <c r="BD19" s="88">
        <f>SUM(BD13,BD10,BD7)-BD16</f>
        <v>0</v>
      </c>
      <c r="BE19" s="88">
        <f>SUM(BE13,BE10,BE7)-BE16</f>
        <v>0</v>
      </c>
      <c r="BF19" s="88">
        <f>SUM(BF13,BF10,BF7)-BF16</f>
        <v>0</v>
      </c>
      <c r="BG19" s="88">
        <f>SUM(BG13,BG10,BG7)-BG16</f>
        <v>0</v>
      </c>
      <c r="BH19" s="88">
        <f>SUM(BH13,BH10,BH7)-BH16</f>
        <v>0</v>
      </c>
      <c r="BI19" s="88">
        <f>SUM(BI13,BI10,BI7)-BI16</f>
        <v>0</v>
      </c>
      <c r="BJ19" s="88">
        <f>SUM(BJ13,BJ10,BJ7)-BJ16</f>
        <v>0</v>
      </c>
      <c r="BK19" s="88">
        <f>SUM(BK13,BK10,BK7)-BK16</f>
        <v>0</v>
      </c>
      <c r="BL19" s="88">
        <f>SUM(BL13,BL10,BL7)-BL16</f>
        <v>0</v>
      </c>
      <c r="BM19" s="88">
        <f>SUM(BM13,BM10,BM7)-BM16</f>
        <v>0</v>
      </c>
      <c r="BN19" s="88">
        <f>SUM(BN13,BN10,BN7)-BN16</f>
        <v>0</v>
      </c>
      <c r="BO19" s="88">
        <f>SUM(BO13,BO10,BO7)-BO16</f>
        <v>0</v>
      </c>
      <c r="BP19" s="88">
        <f>SUM(BP13,BP10,BP7)-BP16</f>
        <v>0</v>
      </c>
      <c r="BQ19" s="88">
        <f>SUM(BQ13,BQ10,BQ7)-BQ16</f>
        <v>0</v>
      </c>
      <c r="BR19" s="88">
        <f>SUM(BR13,BR10,BR7)-BR16</f>
        <v>0</v>
      </c>
    </row>
    <row r="20" spans="1:70" x14ac:dyDescent="0.2">
      <c r="A20" s="271"/>
      <c r="B20" s="9"/>
      <c r="C20" s="94"/>
      <c r="D20" s="94"/>
      <c r="E20" s="94"/>
      <c r="F20" s="94"/>
      <c r="G20" s="94"/>
      <c r="H20" s="94"/>
      <c r="I20" s="94"/>
      <c r="J20" s="94"/>
      <c r="K20" s="94"/>
      <c r="L20" s="95"/>
      <c r="M20" s="83"/>
      <c r="N20" s="84"/>
      <c r="O20" s="84"/>
      <c r="P20" s="84"/>
      <c r="Q20" s="84"/>
      <c r="R20" s="46"/>
      <c r="S20" s="94"/>
      <c r="T20" s="94"/>
      <c r="U20" s="94"/>
      <c r="V20" s="94"/>
      <c r="W20" s="94"/>
      <c r="X20" s="94"/>
      <c r="Y20" s="94"/>
      <c r="Z20" s="94"/>
      <c r="AA20" s="94"/>
      <c r="AB20" s="94"/>
      <c r="AC20" s="94"/>
      <c r="AD20" s="94"/>
      <c r="AE20" s="94"/>
      <c r="AF20" s="94"/>
      <c r="AG20" s="94"/>
      <c r="AH20" s="94"/>
      <c r="AI20" s="94"/>
      <c r="AJ20" s="94"/>
      <c r="AK20" s="94"/>
      <c r="AL20" s="94"/>
      <c r="AM20" s="94"/>
      <c r="AN20" s="94"/>
      <c r="AO20" s="94"/>
      <c r="AP20" s="94"/>
      <c r="AQ20" s="94"/>
      <c r="AR20" s="94"/>
      <c r="AS20" s="94"/>
      <c r="AT20" s="94"/>
      <c r="AU20" s="94"/>
      <c r="AV20" s="94"/>
      <c r="AW20" s="94"/>
      <c r="AX20" s="94"/>
      <c r="AY20" s="94"/>
      <c r="AZ20" s="94"/>
      <c r="BA20" s="95"/>
      <c r="BB20" s="96"/>
      <c r="BC20" s="94"/>
      <c r="BD20" s="94"/>
      <c r="BE20" s="94"/>
      <c r="BF20" s="94"/>
      <c r="BG20" s="94"/>
      <c r="BH20" s="94"/>
      <c r="BI20" s="94"/>
      <c r="BJ20" s="94"/>
      <c r="BK20" s="94"/>
      <c r="BL20" s="94"/>
      <c r="BM20" s="94"/>
      <c r="BN20" s="94"/>
      <c r="BO20" s="94"/>
      <c r="BP20" s="94"/>
      <c r="BQ20" s="94"/>
      <c r="BR20" s="94"/>
    </row>
    <row r="21" spans="1:70" x14ac:dyDescent="0.2">
      <c r="A21" s="189" t="s">
        <v>211</v>
      </c>
      <c r="B21" s="24"/>
      <c r="C21" s="76"/>
      <c r="D21" s="76"/>
      <c r="E21" s="76"/>
      <c r="F21" s="76"/>
      <c r="G21" s="76"/>
      <c r="H21" s="76"/>
      <c r="I21" s="76"/>
      <c r="J21" s="76"/>
      <c r="K21" s="76"/>
      <c r="L21" s="78"/>
      <c r="M21" s="77"/>
      <c r="N21" s="76"/>
      <c r="O21" s="76"/>
      <c r="P21" s="76"/>
      <c r="Q21" s="76"/>
      <c r="R21" s="48"/>
      <c r="S21" s="76"/>
      <c r="T21" s="76"/>
      <c r="U21" s="76"/>
      <c r="V21" s="76"/>
      <c r="W21" s="76"/>
      <c r="X21" s="76"/>
      <c r="Y21" s="76"/>
      <c r="Z21" s="76"/>
      <c r="AA21" s="76"/>
      <c r="AB21" s="76"/>
      <c r="AC21" s="76"/>
      <c r="AD21" s="76"/>
      <c r="AE21" s="76"/>
      <c r="AF21" s="76"/>
      <c r="AG21" s="76"/>
      <c r="AH21" s="76"/>
      <c r="AI21" s="76"/>
      <c r="AJ21" s="76"/>
      <c r="AK21" s="76"/>
      <c r="AL21" s="76"/>
      <c r="AM21" s="76"/>
      <c r="AN21" s="76"/>
      <c r="AO21" s="76"/>
      <c r="AP21" s="76"/>
      <c r="AQ21" s="76"/>
      <c r="AR21" s="76"/>
      <c r="AS21" s="76"/>
      <c r="AT21" s="76"/>
      <c r="AU21" s="76"/>
      <c r="AV21" s="76"/>
      <c r="AW21" s="76"/>
      <c r="AX21" s="76"/>
      <c r="AY21" s="76"/>
      <c r="AZ21" s="76"/>
      <c r="BA21" s="78"/>
      <c r="BB21" s="79"/>
      <c r="BC21" s="80"/>
      <c r="BD21" s="80"/>
      <c r="BE21" s="80"/>
      <c r="BF21" s="80"/>
      <c r="BG21" s="80"/>
      <c r="BH21" s="80"/>
      <c r="BI21" s="80"/>
      <c r="BJ21" s="80"/>
      <c r="BK21" s="80"/>
      <c r="BL21" s="80"/>
      <c r="BM21" s="80"/>
      <c r="BN21" s="80"/>
      <c r="BO21" s="80"/>
      <c r="BP21" s="80"/>
      <c r="BQ21" s="80"/>
      <c r="BR21" s="80"/>
    </row>
    <row r="22" spans="1:70" x14ac:dyDescent="0.2">
      <c r="A22" s="168" t="s">
        <v>207</v>
      </c>
      <c r="B22" s="24"/>
      <c r="C22" s="141"/>
      <c r="D22" s="142"/>
      <c r="E22" s="142"/>
      <c r="F22" s="142"/>
      <c r="G22" s="142"/>
      <c r="H22" s="141"/>
      <c r="I22" s="141"/>
      <c r="J22" s="142">
        <v>15.265000000000001</v>
      </c>
      <c r="K22" s="142">
        <v>15.741</v>
      </c>
      <c r="L22" s="142">
        <v>17.603000000000002</v>
      </c>
      <c r="M22" s="77">
        <f>SUM(AY22:BB22)</f>
        <v>17.003577327148289</v>
      </c>
      <c r="N22" s="76">
        <f>SUM(BC22:BF22)</f>
        <v>18.96180146499043</v>
      </c>
      <c r="O22" s="76">
        <f>SUM(BG22:BJ22)</f>
        <v>21.412549030424984</v>
      </c>
      <c r="P22" s="76">
        <f>SUM(BK22:BN22)</f>
        <v>24.243901197901849</v>
      </c>
      <c r="Q22" s="76">
        <f>SUM(BO22:BR22)</f>
        <v>27.449639202622336</v>
      </c>
      <c r="R22" s="48"/>
      <c r="S22" s="142"/>
      <c r="T22" s="142"/>
      <c r="U22" s="142"/>
      <c r="V22" s="142"/>
      <c r="W22" s="142"/>
      <c r="X22" s="142"/>
      <c r="Y22" s="142"/>
      <c r="Z22" s="142"/>
      <c r="AA22" s="142"/>
      <c r="AB22" s="142"/>
      <c r="AC22" s="142"/>
      <c r="AD22" s="142"/>
      <c r="AE22" s="141"/>
      <c r="AF22" s="141"/>
      <c r="AG22" s="141"/>
      <c r="AH22" s="141"/>
      <c r="AI22" s="141"/>
      <c r="AJ22" s="141"/>
      <c r="AK22" s="141"/>
      <c r="AL22" s="141"/>
      <c r="AM22" s="141"/>
      <c r="AN22" s="141"/>
      <c r="AO22" s="141"/>
      <c r="AP22" s="141"/>
      <c r="AQ22" s="142">
        <v>3.2090000000000001</v>
      </c>
      <c r="AR22" s="142">
        <v>3.9630000000000001</v>
      </c>
      <c r="AS22" s="142">
        <v>4.0449999999999999</v>
      </c>
      <c r="AT22" s="142">
        <v>4.5250000000000004</v>
      </c>
      <c r="AU22" s="142">
        <v>4.1820000000000004</v>
      </c>
      <c r="AV22" s="142">
        <v>4.2110000000000003</v>
      </c>
      <c r="AW22" s="142">
        <v>4.6070000000000002</v>
      </c>
      <c r="AX22" s="142">
        <v>4.6029999999999998</v>
      </c>
      <c r="AY22" s="142">
        <v>4.1239999999999997</v>
      </c>
      <c r="AZ22" s="142">
        <v>3.726</v>
      </c>
      <c r="BA22" s="153">
        <v>4.9420000000000002</v>
      </c>
      <c r="BB22" s="77">
        <f>BB23*BB7</f>
        <v>4.211577327148289</v>
      </c>
      <c r="BC22" s="76">
        <f>BC23*BC7</f>
        <v>4.5447083277193601</v>
      </c>
      <c r="BD22" s="76">
        <f>BD23*BD7</f>
        <v>4.6128701616225731</v>
      </c>
      <c r="BE22" s="76">
        <f>BE23*BE7</f>
        <v>5.0357545199954075</v>
      </c>
      <c r="BF22" s="76">
        <f>BF23*BF7</f>
        <v>4.7684684556530899</v>
      </c>
      <c r="BG22" s="76">
        <f>BG23*BG7</f>
        <v>5.0891033218216801</v>
      </c>
      <c r="BH22" s="76">
        <f>BH23*BH7</f>
        <v>5.2228236945644753</v>
      </c>
      <c r="BI22" s="76">
        <f>BI23*BI7</f>
        <v>5.701625475144712</v>
      </c>
      <c r="BJ22" s="76">
        <f>BJ23*BJ7</f>
        <v>5.398996538894119</v>
      </c>
      <c r="BK22" s="76">
        <f>BK23*BK7</f>
        <v>5.7620285163083231</v>
      </c>
      <c r="BL22" s="76">
        <f>BL23*BL7</f>
        <v>5.9134305516436099</v>
      </c>
      <c r="BM22" s="76">
        <f>BM23*BM7</f>
        <v>6.4555436389398926</v>
      </c>
      <c r="BN22" s="76">
        <f>BN23*BN7</f>
        <v>6.1128984910100232</v>
      </c>
      <c r="BO22" s="76">
        <f>BO23*BO7</f>
        <v>6.5239336918916742</v>
      </c>
      <c r="BP22" s="76">
        <f>BP23*BP7</f>
        <v>6.6953554119593983</v>
      </c>
      <c r="BQ22" s="76">
        <f>BQ23*BQ7</f>
        <v>7.3091513737491818</v>
      </c>
      <c r="BR22" s="76">
        <f>BR23*BR7</f>
        <v>6.9211987250220854</v>
      </c>
    </row>
    <row r="23" spans="1:70" x14ac:dyDescent="0.2">
      <c r="A23" s="161" t="s">
        <v>6</v>
      </c>
      <c r="B23" s="12"/>
      <c r="C23" s="163"/>
      <c r="D23" s="163"/>
      <c r="E23" s="163"/>
      <c r="F23" s="163"/>
      <c r="G23" s="163"/>
      <c r="H23" s="163"/>
      <c r="I23" s="163"/>
      <c r="J23" s="163">
        <f>J22/J7</f>
        <v>0.10008917214157388</v>
      </c>
      <c r="K23" s="163">
        <f>K22/K7</f>
        <v>0.10589018795323368</v>
      </c>
      <c r="L23" s="173">
        <f>L22/L7</f>
        <v>0.10468878236770428</v>
      </c>
      <c r="M23" s="174">
        <f>M22/M7</f>
        <v>9.4610685751490606E-2</v>
      </c>
      <c r="N23" s="163">
        <f>N22/N7</f>
        <v>0.10186540245284963</v>
      </c>
      <c r="O23" s="163">
        <f>O22/O7</f>
        <v>0.10186540245284963</v>
      </c>
      <c r="P23" s="163">
        <f>P22/P7</f>
        <v>0.10186540245284964</v>
      </c>
      <c r="Q23" s="163">
        <f>Q22/Q7</f>
        <v>0.10186540245284961</v>
      </c>
      <c r="R23" s="300"/>
      <c r="S23" s="91"/>
      <c r="T23" s="91"/>
      <c r="U23" s="91"/>
      <c r="V23" s="91"/>
      <c r="W23" s="91"/>
      <c r="X23" s="91"/>
      <c r="Y23" s="91"/>
      <c r="Z23" s="91"/>
      <c r="AA23" s="91"/>
      <c r="AB23" s="91"/>
      <c r="AC23" s="91"/>
      <c r="AD23" s="91"/>
      <c r="AE23" s="91"/>
      <c r="AF23" s="91"/>
      <c r="AG23" s="91"/>
      <c r="AH23" s="91"/>
      <c r="AI23" s="91"/>
      <c r="AJ23" s="91"/>
      <c r="AK23" s="91"/>
      <c r="AL23" s="91"/>
      <c r="AM23" s="91"/>
      <c r="AN23" s="91"/>
      <c r="AO23" s="91"/>
      <c r="AP23" s="91"/>
      <c r="AQ23" s="91">
        <f>AQ22/AQ7</f>
        <v>8.7843201664339884E-2</v>
      </c>
      <c r="AR23" s="91">
        <f>AR22/AR7</f>
        <v>0.10748867612357266</v>
      </c>
      <c r="AS23" s="91">
        <f>AS22/AS7</f>
        <v>0.10695399259650978</v>
      </c>
      <c r="AT23" s="91">
        <f>AT22/AT7</f>
        <v>0.12087618538800587</v>
      </c>
      <c r="AU23" s="91">
        <f>AU22/AU7</f>
        <v>0.1044038346315159</v>
      </c>
      <c r="AV23" s="91">
        <f>AV22/AV7</f>
        <v>9.7880154339640188E-2</v>
      </c>
      <c r="AW23" s="91">
        <f>AW22/AW7</f>
        <v>0.10581074873679376</v>
      </c>
      <c r="AX23" s="91">
        <f>AX22/AX7</f>
        <v>0.11084087844345983</v>
      </c>
      <c r="AY23" s="91">
        <f>AY22/AY7</f>
        <v>9.3121979858194454E-2</v>
      </c>
      <c r="AZ23" s="91">
        <f>AZ22/AZ7</f>
        <v>8.1753554502369666E-2</v>
      </c>
      <c r="BA23" s="93">
        <f>BA22/BA7</f>
        <v>0.10186540245284964</v>
      </c>
      <c r="BB23" s="248">
        <f>BA23</f>
        <v>0.10186540245284964</v>
      </c>
      <c r="BC23" s="215">
        <f>BB23</f>
        <v>0.10186540245284964</v>
      </c>
      <c r="BD23" s="215">
        <f>BC23</f>
        <v>0.10186540245284964</v>
      </c>
      <c r="BE23" s="215">
        <f>BD23</f>
        <v>0.10186540245284964</v>
      </c>
      <c r="BF23" s="215">
        <f>BE23</f>
        <v>0.10186540245284964</v>
      </c>
      <c r="BG23" s="215">
        <f>BF23</f>
        <v>0.10186540245284964</v>
      </c>
      <c r="BH23" s="215">
        <f>BG23</f>
        <v>0.10186540245284964</v>
      </c>
      <c r="BI23" s="215">
        <f>BH23</f>
        <v>0.10186540245284964</v>
      </c>
      <c r="BJ23" s="215">
        <f>BI23</f>
        <v>0.10186540245284964</v>
      </c>
      <c r="BK23" s="215">
        <f>BJ23</f>
        <v>0.10186540245284964</v>
      </c>
      <c r="BL23" s="215">
        <f>BK23</f>
        <v>0.10186540245284964</v>
      </c>
      <c r="BM23" s="215">
        <f>BL23</f>
        <v>0.10186540245284964</v>
      </c>
      <c r="BN23" s="215">
        <f>BM23</f>
        <v>0.10186540245284964</v>
      </c>
      <c r="BO23" s="215">
        <f>BN23</f>
        <v>0.10186540245284964</v>
      </c>
      <c r="BP23" s="215">
        <f>BO23</f>
        <v>0.10186540245284964</v>
      </c>
      <c r="BQ23" s="215">
        <f>BP23</f>
        <v>0.10186540245284964</v>
      </c>
      <c r="BR23" s="215">
        <f>BQ23</f>
        <v>0.10186540245284964</v>
      </c>
    </row>
    <row r="24" spans="1:70" x14ac:dyDescent="0.2">
      <c r="A24" s="168" t="s">
        <v>208</v>
      </c>
      <c r="B24" s="24"/>
      <c r="C24" s="141"/>
      <c r="D24" s="142"/>
      <c r="E24" s="142"/>
      <c r="F24" s="142"/>
      <c r="G24" s="142"/>
      <c r="H24" s="142"/>
      <c r="I24" s="142"/>
      <c r="J24" s="142">
        <v>31.602</v>
      </c>
      <c r="K24" s="142">
        <v>35.707000000000001</v>
      </c>
      <c r="L24" s="142">
        <v>47.121000000000002</v>
      </c>
      <c r="M24" s="77">
        <f>SUM(AY24:BB24)</f>
        <v>52.031124603839501</v>
      </c>
      <c r="N24" s="76">
        <f>SUM(BC24:BF24)</f>
        <v>61.658283851956355</v>
      </c>
      <c r="O24" s="76">
        <f>SUM(BG24:BJ24)</f>
        <v>77.56998245071793</v>
      </c>
      <c r="P24" s="76">
        <f>SUM(BK24:BN24)</f>
        <v>93.114218740969804</v>
      </c>
      <c r="Q24" s="76">
        <f>SUM(BO24:BR24)</f>
        <v>112.68958112872572</v>
      </c>
      <c r="R24" s="48"/>
      <c r="S24" s="142"/>
      <c r="T24" s="142"/>
      <c r="U24" s="142"/>
      <c r="V24" s="142"/>
      <c r="W24" s="142"/>
      <c r="X24" s="142"/>
      <c r="Y24" s="142"/>
      <c r="Z24" s="142"/>
      <c r="AA24" s="142"/>
      <c r="AB24" s="142"/>
      <c r="AC24" s="142"/>
      <c r="AD24" s="142"/>
      <c r="AE24" s="142"/>
      <c r="AF24" s="142"/>
      <c r="AG24" s="142"/>
      <c r="AH24" s="142"/>
      <c r="AI24" s="142"/>
      <c r="AJ24" s="142"/>
      <c r="AK24" s="142"/>
      <c r="AL24" s="142"/>
      <c r="AM24" s="142"/>
      <c r="AN24" s="142"/>
      <c r="AO24" s="142"/>
      <c r="AP24" s="184"/>
      <c r="AQ24" s="142">
        <v>9.2349999999999994</v>
      </c>
      <c r="AR24" s="142">
        <v>8.74</v>
      </c>
      <c r="AS24" s="142">
        <v>8.5679999999999996</v>
      </c>
      <c r="AT24" s="142">
        <v>9.1630000000000003</v>
      </c>
      <c r="AU24" s="142">
        <v>10.741</v>
      </c>
      <c r="AV24" s="142">
        <v>12.045</v>
      </c>
      <c r="AW24" s="142">
        <v>11.907</v>
      </c>
      <c r="AX24" s="142">
        <v>12.428000000000001</v>
      </c>
      <c r="AY24" s="142">
        <v>12.529</v>
      </c>
      <c r="AZ24" s="142">
        <v>13.432</v>
      </c>
      <c r="BA24" s="153">
        <v>11.125999999999999</v>
      </c>
      <c r="BB24" s="77">
        <f>BB25*BB10</f>
        <v>14.944124603839507</v>
      </c>
      <c r="BC24" s="76">
        <f>BC25*BC10</f>
        <v>14.9999322738243</v>
      </c>
      <c r="BD24" s="76">
        <f>BD25*BD10</f>
        <v>15.168997044601289</v>
      </c>
      <c r="BE24" s="76">
        <f>BE25*BE10</f>
        <v>13.08322392539829</v>
      </c>
      <c r="BF24" s="76">
        <f>BF25*BF10</f>
        <v>18.406130608132468</v>
      </c>
      <c r="BG24" s="76">
        <f>BG25*BG10</f>
        <v>18.966909720637567</v>
      </c>
      <c r="BH24" s="76">
        <f>BH25*BH10</f>
        <v>19.238655517264657</v>
      </c>
      <c r="BI24" s="76">
        <f>BI25*BI10</f>
        <v>16.451020372070293</v>
      </c>
      <c r="BJ24" s="76">
        <f>BJ25*BJ10</f>
        <v>22.91339684074542</v>
      </c>
      <c r="BK24" s="76">
        <f>BK25*BK10</f>
        <v>22.545037659982981</v>
      </c>
      <c r="BL24" s="76">
        <f>BL25*BL10</f>
        <v>22.98497149261441</v>
      </c>
      <c r="BM24" s="76">
        <f>BM25*BM10</f>
        <v>19.787849972072507</v>
      </c>
      <c r="BN24" s="76">
        <f>BN25*BN10</f>
        <v>27.79635961629991</v>
      </c>
      <c r="BO24" s="76">
        <f>BO25*BO10</f>
        <v>27.48776375259223</v>
      </c>
      <c r="BP24" s="76">
        <f>BP25*BP10</f>
        <v>27.982181117153399</v>
      </c>
      <c r="BQ24" s="76">
        <f>BQ25*BQ10</f>
        <v>23.886203570746943</v>
      </c>
      <c r="BR24" s="76">
        <f>BR25*BR10</f>
        <v>33.333432688233145</v>
      </c>
    </row>
    <row r="25" spans="1:70" x14ac:dyDescent="0.2">
      <c r="A25" s="161" t="s">
        <v>6</v>
      </c>
      <c r="B25" s="12"/>
      <c r="C25" s="163"/>
      <c r="D25" s="163"/>
      <c r="E25" s="163"/>
      <c r="F25" s="163"/>
      <c r="G25" s="163"/>
      <c r="H25" s="163"/>
      <c r="I25" s="163"/>
      <c r="J25" s="163">
        <f>J24/J10</f>
        <v>0.56154379231302309</v>
      </c>
      <c r="K25" s="163">
        <f>K24/K10</f>
        <v>0.50924156422031441</v>
      </c>
      <c r="L25" s="173">
        <f>L24/L10</f>
        <v>0.54138422298306488</v>
      </c>
      <c r="M25" s="174">
        <f>M24/M10</f>
        <v>0.56318257324250609</v>
      </c>
      <c r="N25" s="163">
        <f>N24/N10</f>
        <v>0.56811683006535951</v>
      </c>
      <c r="O25" s="163">
        <f>O24/O10</f>
        <v>0.5681168300653594</v>
      </c>
      <c r="P25" s="163">
        <f>P24/P10</f>
        <v>0.5681168300653594</v>
      </c>
      <c r="Q25" s="163">
        <f>Q24/Q10</f>
        <v>0.56811683006535951</v>
      </c>
      <c r="R25" s="300"/>
      <c r="S25" s="91"/>
      <c r="T25" s="91"/>
      <c r="U25" s="91"/>
      <c r="V25" s="91"/>
      <c r="W25" s="91"/>
      <c r="X25" s="91"/>
      <c r="Y25" s="91"/>
      <c r="Z25" s="91"/>
      <c r="AA25" s="91"/>
      <c r="AB25" s="91"/>
      <c r="AC25" s="91"/>
      <c r="AD25" s="91"/>
      <c r="AE25" s="91"/>
      <c r="AF25" s="91"/>
      <c r="AG25" s="91"/>
      <c r="AH25" s="91"/>
      <c r="AI25" s="91"/>
      <c r="AJ25" s="91"/>
      <c r="AK25" s="91"/>
      <c r="AL25" s="91"/>
      <c r="AM25" s="91"/>
      <c r="AN25" s="91"/>
      <c r="AO25" s="91"/>
      <c r="AP25" s="91"/>
      <c r="AQ25" s="91">
        <f>AQ24/AQ10</f>
        <v>0.49319092122830432</v>
      </c>
      <c r="AR25" s="91">
        <f>AR24/AR10</f>
        <v>0.49780714245030477</v>
      </c>
      <c r="AS25" s="91">
        <f>AS24/AS10</f>
        <v>0.52590228332924127</v>
      </c>
      <c r="AT25" s="91">
        <f>AT24/AT10</f>
        <v>0.5222868217054264</v>
      </c>
      <c r="AU25" s="91">
        <f>AU24/AU10</f>
        <v>0.53294631338692067</v>
      </c>
      <c r="AV25" s="91">
        <f>AV24/AV10</f>
        <v>0.54066792351198489</v>
      </c>
      <c r="AW25" s="91">
        <f>AW24/AW10</f>
        <v>0.56516992595405346</v>
      </c>
      <c r="AX25" s="91">
        <f>AX24/AX10</f>
        <v>0.52797485024852375</v>
      </c>
      <c r="AY25" s="91">
        <f>AY24/AY10</f>
        <v>0.54268636028934036</v>
      </c>
      <c r="AZ25" s="91">
        <f>AZ24/AZ10</f>
        <v>0.57372287715701353</v>
      </c>
      <c r="BA25" s="93">
        <f>BA24/BA10</f>
        <v>0.56811683006535951</v>
      </c>
      <c r="BB25" s="248">
        <f>BA25</f>
        <v>0.56811683006535951</v>
      </c>
      <c r="BC25" s="215">
        <f>BB25</f>
        <v>0.56811683006535951</v>
      </c>
      <c r="BD25" s="215">
        <f>BC25</f>
        <v>0.56811683006535951</v>
      </c>
      <c r="BE25" s="215">
        <f>BD25</f>
        <v>0.56811683006535951</v>
      </c>
      <c r="BF25" s="215">
        <f>BE25</f>
        <v>0.56811683006535951</v>
      </c>
      <c r="BG25" s="215">
        <f>BF25</f>
        <v>0.56811683006535951</v>
      </c>
      <c r="BH25" s="215">
        <f>BG25</f>
        <v>0.56811683006535951</v>
      </c>
      <c r="BI25" s="215">
        <f>BH25</f>
        <v>0.56811683006535951</v>
      </c>
      <c r="BJ25" s="215">
        <f>BI25</f>
        <v>0.56811683006535951</v>
      </c>
      <c r="BK25" s="215">
        <f>BJ25</f>
        <v>0.56811683006535951</v>
      </c>
      <c r="BL25" s="215">
        <f>BK25</f>
        <v>0.56811683006535951</v>
      </c>
      <c r="BM25" s="215">
        <f>BL25</f>
        <v>0.56811683006535951</v>
      </c>
      <c r="BN25" s="215">
        <f>BM25</f>
        <v>0.56811683006535951</v>
      </c>
      <c r="BO25" s="215">
        <f>BN25</f>
        <v>0.56811683006535951</v>
      </c>
      <c r="BP25" s="215">
        <f>BO25</f>
        <v>0.56811683006535951</v>
      </c>
      <c r="BQ25" s="215">
        <f>BP25</f>
        <v>0.56811683006535951</v>
      </c>
      <c r="BR25" s="215">
        <f>BQ25</f>
        <v>0.56811683006535951</v>
      </c>
    </row>
    <row r="26" spans="1:70" x14ac:dyDescent="0.2">
      <c r="A26" s="168" t="s">
        <v>209</v>
      </c>
      <c r="B26" s="24"/>
      <c r="C26" s="141"/>
      <c r="D26" s="142"/>
      <c r="E26" s="142"/>
      <c r="F26" s="142"/>
      <c r="G26" s="142"/>
      <c r="H26" s="142"/>
      <c r="I26" s="142"/>
      <c r="J26" s="142">
        <v>3.4409999999999998</v>
      </c>
      <c r="K26" s="142">
        <v>3.2469999999999999</v>
      </c>
      <c r="L26" s="142">
        <v>3.2850000000000001</v>
      </c>
      <c r="M26" s="77">
        <f>SUM(AY26:BB26)</f>
        <v>3.1943972380178716</v>
      </c>
      <c r="N26" s="76">
        <f>SUM(BC26:BF26)</f>
        <v>3.1193414763874738</v>
      </c>
      <c r="O26" s="76">
        <f>SUM(BG26:BJ26)</f>
        <v>2.9749040562785494</v>
      </c>
      <c r="P26" s="76">
        <f>SUM(BK26:BN26)</f>
        <v>2.8371546401876655</v>
      </c>
      <c r="Q26" s="76">
        <f>SUM(BO26:BR26)</f>
        <v>2.70578354799376</v>
      </c>
      <c r="R26" s="48"/>
      <c r="S26" s="142"/>
      <c r="T26" s="142"/>
      <c r="U26" s="142"/>
      <c r="V26" s="142"/>
      <c r="W26" s="142"/>
      <c r="X26" s="142"/>
      <c r="Y26" s="142"/>
      <c r="Z26" s="142"/>
      <c r="AA26" s="142"/>
      <c r="AB26" s="142"/>
      <c r="AC26" s="142"/>
      <c r="AD26" s="142"/>
      <c r="AE26" s="142"/>
      <c r="AF26" s="142"/>
      <c r="AG26" s="142"/>
      <c r="AH26" s="142"/>
      <c r="AI26" s="142"/>
      <c r="AJ26" s="142"/>
      <c r="AK26" s="142"/>
      <c r="AL26" s="142"/>
      <c r="AM26" s="142"/>
      <c r="AN26" s="142"/>
      <c r="AO26" s="142"/>
      <c r="AP26" s="184"/>
      <c r="AQ26" s="142"/>
      <c r="AR26" s="142">
        <v>0.53600000000000003</v>
      </c>
      <c r="AS26" s="142">
        <v>1.2070000000000001</v>
      </c>
      <c r="AT26" s="142">
        <v>1.504</v>
      </c>
      <c r="AU26" s="142"/>
      <c r="AV26" s="142">
        <v>0.55900000000000005</v>
      </c>
      <c r="AW26" s="142">
        <v>1.0589999999999999</v>
      </c>
      <c r="AX26" s="142">
        <v>1.667</v>
      </c>
      <c r="AY26" s="142"/>
      <c r="AZ26" s="142">
        <v>0.34699999999999998</v>
      </c>
      <c r="BA26" s="153">
        <v>1.117</v>
      </c>
      <c r="BB26" s="77">
        <f>BB27*BB13</f>
        <v>1.7303972380178714</v>
      </c>
      <c r="BC26" s="76">
        <f>BC27*BC13</f>
        <v>4.8999187652315181E-2</v>
      </c>
      <c r="BD26" s="76">
        <f>BD27*BD13</f>
        <v>0.35479041429731922</v>
      </c>
      <c r="BE26" s="76">
        <f>BE27*BE13</f>
        <v>1.0652786352558892</v>
      </c>
      <c r="BF26" s="76">
        <f>BF27*BF13</f>
        <v>1.6502732391819503</v>
      </c>
      <c r="BG26" s="76">
        <f>BG27*BG13</f>
        <v>4.6730338183442736E-2</v>
      </c>
      <c r="BH26" s="76">
        <f>BH27*BH13</f>
        <v>0.33836226351344656</v>
      </c>
      <c r="BI26" s="76">
        <f>BI27*BI13</f>
        <v>1.0159521671733662</v>
      </c>
      <c r="BJ26" s="76">
        <f>BJ27*BJ13</f>
        <v>1.5738592874082935</v>
      </c>
      <c r="BK26" s="76">
        <f>BK27*BK13</f>
        <v>4.4566545107523774E-2</v>
      </c>
      <c r="BL26" s="76">
        <f>BL27*BL13</f>
        <v>0.3226947988341074</v>
      </c>
      <c r="BM26" s="76">
        <f>BM27*BM13</f>
        <v>0.968909702893202</v>
      </c>
      <c r="BN26" s="76">
        <f>BN27*BN13</f>
        <v>1.5009835933528322</v>
      </c>
      <c r="BO26" s="76">
        <f>BO27*BO13</f>
        <v>4.2502943912455647E-2</v>
      </c>
      <c r="BP26" s="76">
        <f>BP27*BP13</f>
        <v>0.30775279758833635</v>
      </c>
      <c r="BQ26" s="76">
        <f>BQ27*BQ13</f>
        <v>0.92404548431894307</v>
      </c>
      <c r="BR26" s="76">
        <f>BR27*BR13</f>
        <v>1.4314823221740249</v>
      </c>
    </row>
    <row r="27" spans="1:70" x14ac:dyDescent="0.2">
      <c r="A27" s="164" t="s">
        <v>6</v>
      </c>
      <c r="B27" s="30"/>
      <c r="C27" s="165"/>
      <c r="D27" s="165"/>
      <c r="E27" s="165"/>
      <c r="F27" s="165"/>
      <c r="G27" s="165"/>
      <c r="H27" s="165"/>
      <c r="I27" s="165"/>
      <c r="J27" s="165">
        <f>J26/J13</f>
        <v>0.77117884356790678</v>
      </c>
      <c r="K27" s="165">
        <f>K26/K13</f>
        <v>0.81073657927590514</v>
      </c>
      <c r="L27" s="185">
        <f>L26/L13</f>
        <v>0.8658408012651555</v>
      </c>
      <c r="M27" s="186">
        <f>M26/M13</f>
        <v>0.92922550579456953</v>
      </c>
      <c r="N27" s="165">
        <f>N26/N13</f>
        <v>0.95144804088586021</v>
      </c>
      <c r="O27" s="165">
        <f>O26/O13</f>
        <v>0.95144804088586032</v>
      </c>
      <c r="P27" s="165">
        <f>P26/P13</f>
        <v>0.95144804088586032</v>
      </c>
      <c r="Q27" s="165">
        <f>Q26/Q13</f>
        <v>0.95144804088586032</v>
      </c>
      <c r="R27" s="301"/>
      <c r="S27" s="122"/>
      <c r="T27" s="122"/>
      <c r="U27" s="122"/>
      <c r="V27" s="122"/>
      <c r="W27" s="122"/>
      <c r="X27" s="122"/>
      <c r="Y27" s="122"/>
      <c r="Z27" s="122"/>
      <c r="AA27" s="122"/>
      <c r="AB27" s="122"/>
      <c r="AC27" s="122"/>
      <c r="AD27" s="122"/>
      <c r="AE27" s="122"/>
      <c r="AF27" s="122"/>
      <c r="AG27" s="122"/>
      <c r="AH27" s="122"/>
      <c r="AI27" s="122"/>
      <c r="AJ27" s="122"/>
      <c r="AK27" s="122"/>
      <c r="AL27" s="122"/>
      <c r="AM27" s="122"/>
      <c r="AN27" s="122"/>
      <c r="AO27" s="122"/>
      <c r="AP27" s="122"/>
      <c r="AQ27" s="122"/>
      <c r="AR27" s="122">
        <f>AR26/AR13</f>
        <v>0.79056047197640122</v>
      </c>
      <c r="AS27" s="122">
        <f>AS26/AS13</f>
        <v>0.90074626865671636</v>
      </c>
      <c r="AT27" s="122">
        <f>AT26/AT13</f>
        <v>0.76500508646998988</v>
      </c>
      <c r="AU27" s="122"/>
      <c r="AV27" s="122">
        <f>AV26/AV13</f>
        <v>0.86265432098765438</v>
      </c>
      <c r="AW27" s="122">
        <f>AW26/AW13</f>
        <v>0.86027619821283496</v>
      </c>
      <c r="AX27" s="122">
        <f>AX26/AX13</f>
        <v>0.87414787624541168</v>
      </c>
      <c r="AY27" s="122"/>
      <c r="AZ27" s="122">
        <f>AZ26/AZ13</f>
        <v>0.88746803069053704</v>
      </c>
      <c r="BA27" s="123">
        <f>BA26/BA13</f>
        <v>0.95144804088586032</v>
      </c>
      <c r="BB27" s="249">
        <f>BA27</f>
        <v>0.95144804088586032</v>
      </c>
      <c r="BC27" s="220">
        <f>BB27</f>
        <v>0.95144804088586032</v>
      </c>
      <c r="BD27" s="220">
        <f>BC27</f>
        <v>0.95144804088586032</v>
      </c>
      <c r="BE27" s="220">
        <f>BD27</f>
        <v>0.95144804088586032</v>
      </c>
      <c r="BF27" s="220">
        <f>BE27</f>
        <v>0.95144804088586032</v>
      </c>
      <c r="BG27" s="220">
        <f>BF27</f>
        <v>0.95144804088586032</v>
      </c>
      <c r="BH27" s="220">
        <f>BG27</f>
        <v>0.95144804088586032</v>
      </c>
      <c r="BI27" s="220">
        <f>BH27</f>
        <v>0.95144804088586032</v>
      </c>
      <c r="BJ27" s="220">
        <f>BI27</f>
        <v>0.95144804088586032</v>
      </c>
      <c r="BK27" s="220">
        <f>BJ27</f>
        <v>0.95144804088586032</v>
      </c>
      <c r="BL27" s="220">
        <f>BK27</f>
        <v>0.95144804088586032</v>
      </c>
      <c r="BM27" s="220">
        <f>BL27</f>
        <v>0.95144804088586032</v>
      </c>
      <c r="BN27" s="220">
        <f>BM27</f>
        <v>0.95144804088586032</v>
      </c>
      <c r="BO27" s="220">
        <f>BN27</f>
        <v>0.95144804088586032</v>
      </c>
      <c r="BP27" s="220">
        <f>BO27</f>
        <v>0.95144804088586032</v>
      </c>
      <c r="BQ27" s="220">
        <f>BP27</f>
        <v>0.95144804088586032</v>
      </c>
      <c r="BR27" s="220">
        <f>BQ27</f>
        <v>0.95144804088586032</v>
      </c>
    </row>
    <row r="28" spans="1:70" x14ac:dyDescent="0.2">
      <c r="A28" s="189" t="s">
        <v>212</v>
      </c>
      <c r="B28" s="42"/>
      <c r="C28" s="202"/>
      <c r="D28" s="145"/>
      <c r="E28" s="145"/>
      <c r="F28" s="145"/>
      <c r="G28" s="145"/>
      <c r="H28" s="145">
        <v>1.7529999999999999</v>
      </c>
      <c r="I28" s="145">
        <v>47.017000000000003</v>
      </c>
      <c r="J28" s="145">
        <v>50.308</v>
      </c>
      <c r="K28" s="145">
        <v>54.695</v>
      </c>
      <c r="L28" s="145">
        <v>68.009</v>
      </c>
      <c r="M28" s="86">
        <f>SUM(AY28:BB28)</f>
        <v>72.229099169005679</v>
      </c>
      <c r="N28" s="72">
        <f>SUM(BC28:BF28)</f>
        <v>83.739426793334246</v>
      </c>
      <c r="O28" s="72">
        <f>SUM(BG28:BJ28)</f>
        <v>101.95743553742147</v>
      </c>
      <c r="P28" s="72">
        <f>SUM(BK28:BN28)</f>
        <v>120.19527457905933</v>
      </c>
      <c r="Q28" s="72">
        <f>SUM(BO28:BR28)</f>
        <v>142.84500387934182</v>
      </c>
      <c r="R28" s="48"/>
      <c r="S28" s="145"/>
      <c r="T28" s="145"/>
      <c r="U28" s="145"/>
      <c r="V28" s="145"/>
      <c r="W28" s="145"/>
      <c r="X28" s="145"/>
      <c r="Y28" s="145"/>
      <c r="Z28" s="145"/>
      <c r="AA28" s="145"/>
      <c r="AB28" s="145"/>
      <c r="AC28" s="145"/>
      <c r="AD28" s="145"/>
      <c r="AE28" s="145"/>
      <c r="AF28" s="145"/>
      <c r="AG28" s="145"/>
      <c r="AH28" s="145"/>
      <c r="AI28" s="145">
        <v>12.077</v>
      </c>
      <c r="AJ28" s="145">
        <v>12.246</v>
      </c>
      <c r="AK28" s="145">
        <v>12.420999999999999</v>
      </c>
      <c r="AL28" s="207">
        <f>I28-AK28-AJ28-AI28</f>
        <v>10.273000000000001</v>
      </c>
      <c r="AM28" s="145">
        <v>8.4359999999999999</v>
      </c>
      <c r="AN28" s="145">
        <v>12.968</v>
      </c>
      <c r="AO28" s="145">
        <v>15.467000000000001</v>
      </c>
      <c r="AP28" s="207">
        <f>J28-AO28-AN28-AM28</f>
        <v>13.437000000000001</v>
      </c>
      <c r="AQ28" s="145">
        <v>12.444000000000001</v>
      </c>
      <c r="AR28" s="145">
        <v>13.239000000000001</v>
      </c>
      <c r="AS28" s="145">
        <v>13.82</v>
      </c>
      <c r="AT28" s="145">
        <v>15.192</v>
      </c>
      <c r="AU28" s="145">
        <v>14.923</v>
      </c>
      <c r="AV28" s="145">
        <v>16.815000000000001</v>
      </c>
      <c r="AW28" s="145">
        <v>17.573</v>
      </c>
      <c r="AX28" s="145">
        <v>18.698</v>
      </c>
      <c r="AY28" s="145">
        <v>16.652999999999999</v>
      </c>
      <c r="AZ28" s="145">
        <v>17.504999999999999</v>
      </c>
      <c r="BA28" s="155">
        <v>17.184999999999999</v>
      </c>
      <c r="BB28" s="86">
        <f>SUM(BB26,BB24,BB22)</f>
        <v>20.886099169005668</v>
      </c>
      <c r="BC28" s="72">
        <f>SUM(BC26,BC24,BC22)</f>
        <v>19.593639789195976</v>
      </c>
      <c r="BD28" s="72">
        <f>SUM(BD26,BD24,BD22)</f>
        <v>20.136657620521181</v>
      </c>
      <c r="BE28" s="72">
        <f>SUM(BE26,BE24,BE22)</f>
        <v>19.184257080649587</v>
      </c>
      <c r="BF28" s="72">
        <f>SUM(BF26,BF24,BF22)</f>
        <v>24.824872302967506</v>
      </c>
      <c r="BG28" s="72">
        <f>SUM(BG26,BG24,BG22)</f>
        <v>24.102743380642693</v>
      </c>
      <c r="BH28" s="72">
        <f>SUM(BH26,BH24,BH22)</f>
        <v>24.799841475342578</v>
      </c>
      <c r="BI28" s="72">
        <f>SUM(BI26,BI24,BI22)</f>
        <v>23.168598014388373</v>
      </c>
      <c r="BJ28" s="72">
        <f>SUM(BJ26,BJ24,BJ22)</f>
        <v>29.886252667047835</v>
      </c>
      <c r="BK28" s="72">
        <f>SUM(BK26,BK24,BK22)</f>
        <v>28.351632721398829</v>
      </c>
      <c r="BL28" s="72">
        <f>SUM(BL26,BL24,BL22)</f>
        <v>29.221096843092127</v>
      </c>
      <c r="BM28" s="72">
        <f>SUM(BM26,BM24,BM22)</f>
        <v>27.212303313905604</v>
      </c>
      <c r="BN28" s="72">
        <f>SUM(BN26,BN24,BN22)</f>
        <v>35.410241700662766</v>
      </c>
      <c r="BO28" s="72">
        <f>SUM(BO26,BO24,BO22)</f>
        <v>34.05420038839636</v>
      </c>
      <c r="BP28" s="72">
        <f>SUM(BP26,BP24,BP22)</f>
        <v>34.985289326701135</v>
      </c>
      <c r="BQ28" s="72">
        <f>SUM(BQ26,BQ24,BQ22)</f>
        <v>32.119400428815069</v>
      </c>
      <c r="BR28" s="72">
        <f>SUM(BR26,BR24,BR22)</f>
        <v>41.686113735429259</v>
      </c>
    </row>
    <row r="29" spans="1:70" x14ac:dyDescent="0.2">
      <c r="A29" s="161" t="s">
        <v>6</v>
      </c>
      <c r="B29" s="12"/>
      <c r="C29" s="163"/>
      <c r="D29" s="163"/>
      <c r="E29" s="163"/>
      <c r="F29" s="163"/>
      <c r="G29" s="163"/>
      <c r="H29" s="163">
        <f>H28/H16</f>
        <v>0.23669997299486903</v>
      </c>
      <c r="I29" s="163">
        <f>I28/I16</f>
        <v>0.21927116367570795</v>
      </c>
      <c r="J29" s="163">
        <f>J28/J16</f>
        <v>0.23590758394958103</v>
      </c>
      <c r="K29" s="163">
        <f>K28/K16</f>
        <v>0.24551457286883296</v>
      </c>
      <c r="L29" s="173">
        <f>L28/L16</f>
        <v>0.26260531782622459</v>
      </c>
      <c r="M29" s="174">
        <f>M28/M16</f>
        <v>0.26212996660322385</v>
      </c>
      <c r="N29" s="163">
        <f>N28/N16</f>
        <v>0.28104707468536128</v>
      </c>
      <c r="O29" s="163">
        <f>O28/O16</f>
        <v>0.2914153386591784</v>
      </c>
      <c r="P29" s="163">
        <f>P28/P16</f>
        <v>0.29686563088966628</v>
      </c>
      <c r="Q29" s="163">
        <f>Q28/Q16</f>
        <v>0.30349296149503763</v>
      </c>
      <c r="R29" s="300"/>
      <c r="S29" s="91"/>
      <c r="T29" s="91"/>
      <c r="U29" s="91"/>
      <c r="V29" s="91"/>
      <c r="W29" s="91"/>
      <c r="X29" s="91"/>
      <c r="Y29" s="91"/>
      <c r="Z29" s="91"/>
      <c r="AA29" s="91"/>
      <c r="AB29" s="91"/>
      <c r="AC29" s="91"/>
      <c r="AD29" s="91"/>
      <c r="AE29" s="91"/>
      <c r="AF29" s="91"/>
      <c r="AG29" s="91"/>
      <c r="AH29" s="91"/>
      <c r="AI29" s="91">
        <f>AI28/AI16</f>
        <v>0.21940230720319737</v>
      </c>
      <c r="AJ29" s="91">
        <f>AJ28/AJ16</f>
        <v>0.22319020193919953</v>
      </c>
      <c r="AK29" s="91">
        <f>AK28/AK16</f>
        <v>0.23009095455976883</v>
      </c>
      <c r="AL29" s="91">
        <f>AL28/AL16</f>
        <v>0.20342574257425747</v>
      </c>
      <c r="AM29" s="91">
        <f>AM28/AM16</f>
        <v>0.17510066835485077</v>
      </c>
      <c r="AN29" s="91">
        <f>AN28/AN16</f>
        <v>0.23897980244729469</v>
      </c>
      <c r="AO29" s="91">
        <f>AO28/AO16</f>
        <v>0.27512540467465935</v>
      </c>
      <c r="AP29" s="91">
        <f>AP28/AP16</f>
        <v>0.24609890109890112</v>
      </c>
      <c r="AQ29" s="91">
        <f>AQ28/AQ16</f>
        <v>0.2251248281351762</v>
      </c>
      <c r="AR29" s="91">
        <f>AR28/AR16</f>
        <v>0.24025479094076657</v>
      </c>
      <c r="AS29" s="91">
        <f>AS28/AS16</f>
        <v>0.24922455456971795</v>
      </c>
      <c r="AT29" s="91">
        <f>AT28/AT16</f>
        <v>0.26678373869523225</v>
      </c>
      <c r="AU29" s="91">
        <f>AU28/AU16</f>
        <v>0.24782038294833686</v>
      </c>
      <c r="AV29" s="91">
        <f>AV28/AV16</f>
        <v>0.25497361557590836</v>
      </c>
      <c r="AW29" s="91">
        <f>AW28/AW16</f>
        <v>0.2669086711523565</v>
      </c>
      <c r="AX29" s="91">
        <f>AX28/AX16</f>
        <v>0.27918296652432284</v>
      </c>
      <c r="AY29" s="91">
        <f>AY28/AY16</f>
        <v>0.24697821347531401</v>
      </c>
      <c r="AZ29" s="91">
        <f>AZ28/AZ16</f>
        <v>0.25230977673359373</v>
      </c>
      <c r="BA29" s="93">
        <f>BA28/BA16</f>
        <v>0.24807645114258081</v>
      </c>
      <c r="BB29" s="92">
        <f>BB28/BB16</f>
        <v>0.30065828637223574</v>
      </c>
      <c r="BC29" s="91">
        <f>BC28/BC16</f>
        <v>0.27569790418726614</v>
      </c>
      <c r="BD29" s="91">
        <f>BD28/BD16</f>
        <v>0.27829454233103279</v>
      </c>
      <c r="BE29" s="91">
        <f>BE28/BE16</f>
        <v>0.26071190429440827</v>
      </c>
      <c r="BF29" s="91">
        <f>BF28/BF16</f>
        <v>0.30669025701215114</v>
      </c>
      <c r="BG29" s="91">
        <f>BG28/BG16</f>
        <v>0.28902324095653514</v>
      </c>
      <c r="BH29" s="91">
        <f>BH28/BH16</f>
        <v>0.29008598320237788</v>
      </c>
      <c r="BI29" s="91">
        <f>BI28/BI16</f>
        <v>0.26941153579802779</v>
      </c>
      <c r="BJ29" s="91">
        <f>BJ28/BJ16</f>
        <v>0.31463306063477969</v>
      </c>
      <c r="BK29" s="91">
        <f>BK28/BK16</f>
        <v>0.29442242851537331</v>
      </c>
      <c r="BL29" s="91">
        <f>BL28/BL16</f>
        <v>0.2956142206509777</v>
      </c>
      <c r="BM29" s="91">
        <f>BM28/BM16</f>
        <v>0.27425613586286934</v>
      </c>
      <c r="BN29" s="91">
        <f>BN28/BN16</f>
        <v>0.32041311718135157</v>
      </c>
      <c r="BO29" s="91">
        <f>BO28/BO16</f>
        <v>0.30277581734483455</v>
      </c>
      <c r="BP29" s="91">
        <f>BP28/BP16</f>
        <v>0.30341466591135602</v>
      </c>
      <c r="BQ29" s="91">
        <f>BQ28/BQ16</f>
        <v>0.27986188203991247</v>
      </c>
      <c r="BR29" s="91">
        <f>BR28/BR16</f>
        <v>0.32536105049983477</v>
      </c>
    </row>
    <row r="30" spans="1:70" x14ac:dyDescent="0.2">
      <c r="A30" s="65" t="s">
        <v>7</v>
      </c>
      <c r="B30" s="13"/>
      <c r="C30" s="88"/>
      <c r="D30" s="88"/>
      <c r="E30" s="88"/>
      <c r="F30" s="88"/>
      <c r="G30" s="88"/>
      <c r="H30" s="88"/>
      <c r="I30" s="88"/>
      <c r="J30" s="88">
        <f>SUM(J26,J24,J22)-J28</f>
        <v>0</v>
      </c>
      <c r="K30" s="88">
        <f>SUM(K26,K24,K22)-K28</f>
        <v>0</v>
      </c>
      <c r="L30" s="90">
        <f>SUM(L26,L24,L22)-L28</f>
        <v>0</v>
      </c>
      <c r="M30" s="89">
        <f>SUM(M26,M24,M22)-M28</f>
        <v>0</v>
      </c>
      <c r="N30" s="88">
        <f>SUM(N26,N24,N22)-N28</f>
        <v>0</v>
      </c>
      <c r="O30" s="88">
        <f>SUM(O26,O24,O22)-O28</f>
        <v>0</v>
      </c>
      <c r="P30" s="88">
        <f>SUM(P26,P24,P22)-P28</f>
        <v>0</v>
      </c>
      <c r="Q30" s="88">
        <f>SUM(Q26,Q24,Q22)-Q28</f>
        <v>0</v>
      </c>
      <c r="R30" s="50"/>
      <c r="S30" s="88"/>
      <c r="T30" s="88"/>
      <c r="U30" s="88"/>
      <c r="V30" s="88"/>
      <c r="W30" s="88"/>
      <c r="X30" s="88"/>
      <c r="Y30" s="88"/>
      <c r="Z30" s="88"/>
      <c r="AA30" s="88"/>
      <c r="AB30" s="88"/>
      <c r="AC30" s="88"/>
      <c r="AD30" s="88"/>
      <c r="AE30" s="88"/>
      <c r="AF30" s="88"/>
      <c r="AG30" s="88"/>
      <c r="AH30" s="88"/>
      <c r="AI30" s="88"/>
      <c r="AJ30" s="88"/>
      <c r="AK30" s="88"/>
      <c r="AL30" s="88"/>
      <c r="AM30" s="88"/>
      <c r="AN30" s="88"/>
      <c r="AO30" s="88"/>
      <c r="AP30" s="88"/>
      <c r="AQ30" s="88">
        <f>SUM(AQ26,AQ24,AQ22)-AQ28</f>
        <v>0</v>
      </c>
      <c r="AR30" s="88">
        <f>SUM(AR26,AR24,AR22)-AR28</f>
        <v>0</v>
      </c>
      <c r="AS30" s="88">
        <f>SUM(AS26,AS24,AS22)-AS28</f>
        <v>0</v>
      </c>
      <c r="AT30" s="88">
        <f>SUM(AT26,AT24,AT22)-AT28</f>
        <v>0</v>
      </c>
      <c r="AU30" s="88">
        <f>SUM(AU26,AU24,AU22)-AU28</f>
        <v>0</v>
      </c>
      <c r="AV30" s="88">
        <f>SUM(AV26,AV24,AV22)-AV28</f>
        <v>0</v>
      </c>
      <c r="AW30" s="88">
        <f>SUM(AW26,AW24,AW22)-AW28</f>
        <v>0</v>
      </c>
      <c r="AX30" s="88">
        <f>SUM(AX26,AX24,AX22)-AX28</f>
        <v>0</v>
      </c>
      <c r="AY30" s="88">
        <f>SUM(AY26,AY24,AY22)-AY28</f>
        <v>0</v>
      </c>
      <c r="AZ30" s="88">
        <f>SUM(AZ26,AZ24,AZ22)-AZ28</f>
        <v>0</v>
      </c>
      <c r="BA30" s="90">
        <f>SUM(BA26,BA24,BA22)-BA28</f>
        <v>0</v>
      </c>
      <c r="BB30" s="89">
        <f>SUM(BB26,BB24,BB22)-BB28</f>
        <v>0</v>
      </c>
      <c r="BC30" s="88">
        <f>SUM(BC26,BC24,BC22)-BC28</f>
        <v>0</v>
      </c>
      <c r="BD30" s="88">
        <f>SUM(BD26,BD24,BD22)-BD28</f>
        <v>0</v>
      </c>
      <c r="BE30" s="88">
        <f>SUM(BE26,BE24,BE22)-BE28</f>
        <v>0</v>
      </c>
      <c r="BF30" s="88">
        <f>SUM(BF26,BF24,BF22)-BF28</f>
        <v>0</v>
      </c>
      <c r="BG30" s="88">
        <f>SUM(BG26,BG24,BG22)-BG28</f>
        <v>0</v>
      </c>
      <c r="BH30" s="88">
        <f>SUM(BH26,BH24,BH22)-BH28</f>
        <v>0</v>
      </c>
      <c r="BI30" s="88">
        <f>SUM(BI26,BI24,BI22)-BI28</f>
        <v>0</v>
      </c>
      <c r="BJ30" s="88">
        <f>SUM(BJ26,BJ24,BJ22)-BJ28</f>
        <v>0</v>
      </c>
      <c r="BK30" s="88">
        <f>SUM(BK26,BK24,BK22)-BK28</f>
        <v>0</v>
      </c>
      <c r="BL30" s="88">
        <f>SUM(BL26,BL24,BL22)-BL28</f>
        <v>0</v>
      </c>
      <c r="BM30" s="88">
        <f>SUM(BM26,BM24,BM22)-BM28</f>
        <v>0</v>
      </c>
      <c r="BN30" s="88">
        <f>SUM(BN26,BN24,BN22)-BN28</f>
        <v>0</v>
      </c>
      <c r="BO30" s="88">
        <f>SUM(BO26,BO24,BO22)-BO28</f>
        <v>0</v>
      </c>
      <c r="BP30" s="88">
        <f>SUM(BP26,BP24,BP22)-BP28</f>
        <v>0</v>
      </c>
      <c r="BQ30" s="88">
        <f>SUM(BQ26,BQ24,BQ22)-BQ28</f>
        <v>0</v>
      </c>
      <c r="BR30" s="88">
        <f>SUM(BR26,BR24,BR22)-BR28</f>
        <v>0</v>
      </c>
    </row>
    <row r="31" spans="1:70" x14ac:dyDescent="0.2">
      <c r="A31" s="271"/>
      <c r="B31" s="9"/>
      <c r="C31" s="94"/>
      <c r="D31" s="94"/>
      <c r="E31" s="94"/>
      <c r="F31" s="94"/>
      <c r="G31" s="94"/>
      <c r="H31" s="94"/>
      <c r="I31" s="94"/>
      <c r="J31" s="94"/>
      <c r="K31" s="94"/>
      <c r="L31" s="95"/>
      <c r="M31" s="83"/>
      <c r="N31" s="84"/>
      <c r="O31" s="84"/>
      <c r="P31" s="84"/>
      <c r="Q31" s="84"/>
      <c r="R31" s="46"/>
      <c r="S31" s="94"/>
      <c r="T31" s="94"/>
      <c r="U31" s="94"/>
      <c r="V31" s="94"/>
      <c r="W31" s="94"/>
      <c r="X31" s="94"/>
      <c r="Y31" s="94"/>
      <c r="Z31" s="94"/>
      <c r="AA31" s="94"/>
      <c r="AB31" s="94"/>
      <c r="AC31" s="94"/>
      <c r="AD31" s="94"/>
      <c r="AE31" s="94"/>
      <c r="AF31" s="94"/>
      <c r="AG31" s="94"/>
      <c r="AH31" s="94"/>
      <c r="AI31" s="94"/>
      <c r="AJ31" s="94"/>
      <c r="AK31" s="94"/>
      <c r="AL31" s="94"/>
      <c r="AM31" s="94"/>
      <c r="AN31" s="94"/>
      <c r="AO31" s="94"/>
      <c r="AP31" s="94"/>
      <c r="AQ31" s="94"/>
      <c r="AR31" s="94"/>
      <c r="AS31" s="94"/>
      <c r="AT31" s="94"/>
      <c r="AU31" s="94"/>
      <c r="AV31" s="94"/>
      <c r="AW31" s="94"/>
      <c r="AX31" s="94"/>
      <c r="AY31" s="94"/>
      <c r="AZ31" s="94"/>
      <c r="BA31" s="95"/>
      <c r="BB31" s="96"/>
      <c r="BC31" s="94"/>
      <c r="BD31" s="94"/>
      <c r="BE31" s="94"/>
      <c r="BF31" s="94"/>
      <c r="BG31" s="94"/>
      <c r="BH31" s="94"/>
      <c r="BI31" s="94"/>
      <c r="BJ31" s="94"/>
      <c r="BK31" s="94"/>
      <c r="BL31" s="94"/>
      <c r="BM31" s="94"/>
      <c r="BN31" s="94"/>
      <c r="BO31" s="94"/>
      <c r="BP31" s="94"/>
      <c r="BQ31" s="94"/>
      <c r="BR31" s="94"/>
    </row>
    <row r="32" spans="1:70" x14ac:dyDescent="0.2">
      <c r="A32" s="168" t="s">
        <v>213</v>
      </c>
      <c r="B32" s="24"/>
      <c r="C32" s="141"/>
      <c r="D32" s="142"/>
      <c r="E32" s="142"/>
      <c r="F32" s="142"/>
      <c r="G32" s="142"/>
      <c r="H32" s="141"/>
      <c r="I32" s="142">
        <v>36.154000000000003</v>
      </c>
      <c r="J32" s="142">
        <v>42.561</v>
      </c>
      <c r="K32" s="142">
        <v>42.78</v>
      </c>
      <c r="L32" s="142">
        <v>57.244</v>
      </c>
      <c r="M32" s="77">
        <f>SUM(AY32:BB32)</f>
        <v>58.606298647261276</v>
      </c>
      <c r="N32" s="76">
        <f>SUM(BC32:BF32)</f>
        <v>60.078785516287709</v>
      </c>
      <c r="O32" s="76">
        <f>SUM(BG32:BJ32)</f>
        <v>70.546703786286088</v>
      </c>
      <c r="P32" s="76">
        <f>SUM(BK32:BN32)</f>
        <v>81.639005092778092</v>
      </c>
      <c r="Q32" s="76">
        <f>SUM(BO32:BR32)</f>
        <v>94.904468655473678</v>
      </c>
      <c r="R32" s="48"/>
      <c r="S32" s="142"/>
      <c r="T32" s="142"/>
      <c r="U32" s="142"/>
      <c r="V32" s="142"/>
      <c r="W32" s="142"/>
      <c r="X32" s="142"/>
      <c r="Y32" s="142"/>
      <c r="Z32" s="142"/>
      <c r="AA32" s="142"/>
      <c r="AB32" s="142"/>
      <c r="AC32" s="142"/>
      <c r="AD32" s="142"/>
      <c r="AE32" s="142"/>
      <c r="AF32" s="142"/>
      <c r="AG32" s="142"/>
      <c r="AH32" s="142"/>
      <c r="AI32" s="141"/>
      <c r="AJ32" s="141"/>
      <c r="AK32" s="141"/>
      <c r="AL32" s="141"/>
      <c r="AM32" s="141"/>
      <c r="AN32" s="141"/>
      <c r="AO32" s="141"/>
      <c r="AP32" s="141"/>
      <c r="AQ32" s="142">
        <v>10.608000000000001</v>
      </c>
      <c r="AR32" s="142">
        <v>10.587999999999999</v>
      </c>
      <c r="AS32" s="142">
        <v>9.9670000000000005</v>
      </c>
      <c r="AT32" s="146">
        <f>K32-AS32-AR32-AQ32</f>
        <v>11.617000000000001</v>
      </c>
      <c r="AU32" s="142">
        <v>12.007</v>
      </c>
      <c r="AV32" s="142">
        <v>16.21</v>
      </c>
      <c r="AW32" s="142">
        <v>13.968999999999999</v>
      </c>
      <c r="AX32" s="146">
        <f>L32-AW32-AV32-AU32</f>
        <v>15.057999999999998</v>
      </c>
      <c r="AY32" s="142">
        <v>14.667</v>
      </c>
      <c r="AZ32" s="142">
        <v>15.964</v>
      </c>
      <c r="BA32" s="153">
        <v>13.968</v>
      </c>
      <c r="BB32" s="77">
        <f>BB33*BB16</f>
        <v>14.007298647261271</v>
      </c>
      <c r="BC32" s="76">
        <f>BC33*BC16</f>
        <v>14.330187912826403</v>
      </c>
      <c r="BD32" s="76">
        <f>BD33*BD16</f>
        <v>14.589920547479345</v>
      </c>
      <c r="BE32" s="76">
        <f>BE33*BE16</f>
        <v>14.837282105919821</v>
      </c>
      <c r="BF32" s="76">
        <f>BF33*BF16</f>
        <v>16.321394950062146</v>
      </c>
      <c r="BG32" s="76">
        <f>BG33*BG16</f>
        <v>16.815273697036133</v>
      </c>
      <c r="BH32" s="76">
        <f>BH33*BH16</f>
        <v>17.238218874978084</v>
      </c>
      <c r="BI32" s="76">
        <f>BI33*BI16</f>
        <v>17.340187817497029</v>
      </c>
      <c r="BJ32" s="76">
        <f>BJ33*BJ16</f>
        <v>19.153023396774842</v>
      </c>
      <c r="BK32" s="76">
        <f>BK33*BK16</f>
        <v>19.416789122994121</v>
      </c>
      <c r="BL32" s="76">
        <f>BL33*BL16</f>
        <v>19.931565988051108</v>
      </c>
      <c r="BM32" s="76">
        <f>BM33*BM16</f>
        <v>20.006871404836723</v>
      </c>
      <c r="BN32" s="76">
        <f>BN33*BN16</f>
        <v>22.28377857689614</v>
      </c>
      <c r="BO32" s="76">
        <f>BO33*BO16</f>
        <v>22.678782316893127</v>
      </c>
      <c r="BP32" s="76">
        <f>BP33*BP16</f>
        <v>23.24979516984672</v>
      </c>
      <c r="BQ32" s="76">
        <f>BQ33*BQ16</f>
        <v>23.141628087972649</v>
      </c>
      <c r="BR32" s="76">
        <f>BR33*BR16</f>
        <v>25.834263080761172</v>
      </c>
    </row>
    <row r="33" spans="1:70" x14ac:dyDescent="0.2">
      <c r="A33" s="161" t="s">
        <v>6</v>
      </c>
      <c r="B33" s="12"/>
      <c r="C33" s="163"/>
      <c r="D33" s="163"/>
      <c r="E33" s="163"/>
      <c r="F33" s="163"/>
      <c r="G33" s="163"/>
      <c r="H33" s="163"/>
      <c r="I33" s="163">
        <f>I32/I16</f>
        <v>0.16860985710554791</v>
      </c>
      <c r="J33" s="163">
        <f>J32/J16</f>
        <v>0.19957984178417187</v>
      </c>
      <c r="K33" s="163">
        <f>K32/K16</f>
        <v>0.19203059561803959</v>
      </c>
      <c r="L33" s="173">
        <f>L32/L16</f>
        <v>0.22103808045471043</v>
      </c>
      <c r="M33" s="174">
        <f>M32/M16</f>
        <v>0.21269083075782522</v>
      </c>
      <c r="N33" s="163">
        <f>N32/N16</f>
        <v>0.20163700142912822</v>
      </c>
      <c r="O33" s="163">
        <f>O32/O16</f>
        <v>0.20163700142912824</v>
      </c>
      <c r="P33" s="163">
        <f>P32/P16</f>
        <v>0.20163700142912824</v>
      </c>
      <c r="Q33" s="163">
        <f>Q32/Q16</f>
        <v>0.20163700142912827</v>
      </c>
      <c r="R33" s="300"/>
      <c r="S33" s="91"/>
      <c r="T33" s="91"/>
      <c r="U33" s="91"/>
      <c r="V33" s="91"/>
      <c r="W33" s="91"/>
      <c r="X33" s="91"/>
      <c r="Y33" s="91"/>
      <c r="Z33" s="91"/>
      <c r="AA33" s="91"/>
      <c r="AB33" s="91"/>
      <c r="AC33" s="91"/>
      <c r="AD33" s="91"/>
      <c r="AE33" s="91"/>
      <c r="AF33" s="91"/>
      <c r="AG33" s="91"/>
      <c r="AH33" s="91"/>
      <c r="AI33" s="91"/>
      <c r="AJ33" s="91"/>
      <c r="AK33" s="91"/>
      <c r="AL33" s="91"/>
      <c r="AM33" s="91"/>
      <c r="AN33" s="91"/>
      <c r="AO33" s="91"/>
      <c r="AP33" s="91"/>
      <c r="AQ33" s="91">
        <f>AQ32/AQ16</f>
        <v>0.19190968955785512</v>
      </c>
      <c r="AR33" s="91">
        <f>AR32/AR16</f>
        <v>0.19214576074332171</v>
      </c>
      <c r="AS33" s="91">
        <f>AS32/AS16</f>
        <v>0.17974103729351512</v>
      </c>
      <c r="AT33" s="91">
        <f>AT32/AT16</f>
        <v>0.20400386337694268</v>
      </c>
      <c r="AU33" s="91">
        <f>AU32/AU16</f>
        <v>0.19939551953767209</v>
      </c>
      <c r="AV33" s="91">
        <f>AV32/AV16</f>
        <v>0.24579972099229699</v>
      </c>
      <c r="AW33" s="91">
        <f>AW32/AW16</f>
        <v>0.21216907911724053</v>
      </c>
      <c r="AX33" s="91">
        <f>AX32/AX16</f>
        <v>0.22483351748439689</v>
      </c>
      <c r="AY33" s="91">
        <f>AY32/AY16</f>
        <v>0.2175241372150622</v>
      </c>
      <c r="AZ33" s="91">
        <f>AZ32/AZ16</f>
        <v>0.23009844477435534</v>
      </c>
      <c r="BA33" s="93">
        <f>BA32/BA16</f>
        <v>0.20163700142912824</v>
      </c>
      <c r="BB33" s="248">
        <f>BA33</f>
        <v>0.20163700142912824</v>
      </c>
      <c r="BC33" s="215">
        <f>BB33</f>
        <v>0.20163700142912824</v>
      </c>
      <c r="BD33" s="215">
        <f>BC33</f>
        <v>0.20163700142912824</v>
      </c>
      <c r="BE33" s="215">
        <f>BD33</f>
        <v>0.20163700142912824</v>
      </c>
      <c r="BF33" s="215">
        <f>BE33</f>
        <v>0.20163700142912824</v>
      </c>
      <c r="BG33" s="215">
        <f>BF33</f>
        <v>0.20163700142912824</v>
      </c>
      <c r="BH33" s="215">
        <f>BG33</f>
        <v>0.20163700142912824</v>
      </c>
      <c r="BI33" s="215">
        <f>BH33</f>
        <v>0.20163700142912824</v>
      </c>
      <c r="BJ33" s="215">
        <f>BI33</f>
        <v>0.20163700142912824</v>
      </c>
      <c r="BK33" s="215">
        <f>BJ33</f>
        <v>0.20163700142912824</v>
      </c>
      <c r="BL33" s="215">
        <f>BK33</f>
        <v>0.20163700142912824</v>
      </c>
      <c r="BM33" s="215">
        <f>BL33</f>
        <v>0.20163700142912824</v>
      </c>
      <c r="BN33" s="215">
        <f>BM33</f>
        <v>0.20163700142912824</v>
      </c>
      <c r="BO33" s="215">
        <f>BN33</f>
        <v>0.20163700142912824</v>
      </c>
      <c r="BP33" s="215">
        <f>BO33</f>
        <v>0.20163700142912824</v>
      </c>
      <c r="BQ33" s="215">
        <f>BP33</f>
        <v>0.20163700142912824</v>
      </c>
      <c r="BR33" s="215">
        <f>BQ33</f>
        <v>0.20163700142912824</v>
      </c>
    </row>
    <row r="34" spans="1:70" x14ac:dyDescent="0.2">
      <c r="A34" s="168" t="s">
        <v>214</v>
      </c>
      <c r="B34" s="24"/>
      <c r="C34" s="141"/>
      <c r="D34" s="142"/>
      <c r="E34" s="142"/>
      <c r="F34" s="142"/>
      <c r="G34" s="142"/>
      <c r="H34" s="142"/>
      <c r="I34" s="142">
        <v>19.097999999999999</v>
      </c>
      <c r="J34" s="142">
        <v>19.356000000000002</v>
      </c>
      <c r="K34" s="142">
        <v>18.861999999999998</v>
      </c>
      <c r="L34" s="142">
        <v>20.497</v>
      </c>
      <c r="M34" s="77">
        <f>SUM(AY34:BB34)</f>
        <v>23.867919035252509</v>
      </c>
      <c r="N34" s="76">
        <f>SUM(BC34:BF34)</f>
        <v>27.394171316812461</v>
      </c>
      <c r="O34" s="76">
        <f>SUM(BG34:BJ34)</f>
        <v>32.16723628399599</v>
      </c>
      <c r="P34" s="76">
        <f>SUM(BK34:BN34)</f>
        <v>37.225001677828153</v>
      </c>
      <c r="Q34" s="76">
        <f>SUM(BO34:BR34)</f>
        <v>43.273665583241105</v>
      </c>
      <c r="R34" s="48"/>
      <c r="S34" s="142"/>
      <c r="T34" s="142"/>
      <c r="U34" s="142"/>
      <c r="V34" s="142"/>
      <c r="W34" s="142"/>
      <c r="X34" s="142"/>
      <c r="Y34" s="142"/>
      <c r="Z34" s="142"/>
      <c r="AA34" s="142"/>
      <c r="AB34" s="142"/>
      <c r="AC34" s="142"/>
      <c r="AD34" s="142"/>
      <c r="AE34" s="142"/>
      <c r="AF34" s="142"/>
      <c r="AG34" s="142"/>
      <c r="AH34" s="142"/>
      <c r="AI34" s="142"/>
      <c r="AJ34" s="142"/>
      <c r="AK34" s="142"/>
      <c r="AL34" s="142"/>
      <c r="AM34" s="142"/>
      <c r="AN34" s="142"/>
      <c r="AO34" s="142"/>
      <c r="AP34" s="142"/>
      <c r="AQ34" s="142">
        <v>4.5430000000000001</v>
      </c>
      <c r="AR34" s="142">
        <v>4.6180000000000003</v>
      </c>
      <c r="AS34" s="142">
        <v>4.5449999999999999</v>
      </c>
      <c r="AT34" s="146">
        <f>K34-AS34-AR34-AQ34</f>
        <v>5.1559999999999979</v>
      </c>
      <c r="AU34" s="142">
        <v>4.3109999999999999</v>
      </c>
      <c r="AV34" s="142">
        <v>4.5949999999999998</v>
      </c>
      <c r="AW34" s="142">
        <v>5.407</v>
      </c>
      <c r="AX34" s="146">
        <f>L34-AW34-AV34-AU34</f>
        <v>6.1840000000000011</v>
      </c>
      <c r="AY34" s="142">
        <v>5.8470000000000004</v>
      </c>
      <c r="AZ34" s="142">
        <v>5.2649999999999997</v>
      </c>
      <c r="BA34" s="153">
        <v>6.3689999999999998</v>
      </c>
      <c r="BB34" s="77">
        <f>BB35*BB16</f>
        <v>6.3869190352525083</v>
      </c>
      <c r="BC34" s="76">
        <f>BC35*BC16</f>
        <v>6.534147108876815</v>
      </c>
      <c r="BD34" s="76">
        <f>BD35*BD16</f>
        <v>6.6525776035864794</v>
      </c>
      <c r="BE34" s="76">
        <f>BE35*BE16</f>
        <v>6.7653672488977188</v>
      </c>
      <c r="BF34" s="76">
        <f>BF35*BF16</f>
        <v>7.4420793554514457</v>
      </c>
      <c r="BG34" s="76">
        <f>BG35*BG16</f>
        <v>7.6672736380600748</v>
      </c>
      <c r="BH34" s="76">
        <f>BH35*BH16</f>
        <v>7.8601242851328328</v>
      </c>
      <c r="BI34" s="76">
        <f>BI35*BI16</f>
        <v>7.9066191444472054</v>
      </c>
      <c r="BJ34" s="76">
        <f>BJ35*BJ16</f>
        <v>8.7332192163558808</v>
      </c>
      <c r="BK34" s="76">
        <f>BK35*BK16</f>
        <v>8.8534886830147155</v>
      </c>
      <c r="BL34" s="76">
        <f>BL35*BL16</f>
        <v>9.0882118970430632</v>
      </c>
      <c r="BM34" s="76">
        <f>BM35*BM16</f>
        <v>9.122548967454545</v>
      </c>
      <c r="BN34" s="76">
        <f>BN35*BN16</f>
        <v>10.16075213031583</v>
      </c>
      <c r="BO34" s="76">
        <f>BO35*BO16</f>
        <v>10.340862297844524</v>
      </c>
      <c r="BP34" s="76">
        <f>BP35*BP16</f>
        <v>10.601227479721775</v>
      </c>
      <c r="BQ34" s="76">
        <f>BQ35*BQ16</f>
        <v>10.551906449906772</v>
      </c>
      <c r="BR34" s="76">
        <f>BR35*BR16</f>
        <v>11.779669355768034</v>
      </c>
    </row>
    <row r="35" spans="1:70" x14ac:dyDescent="0.2">
      <c r="A35" s="161" t="s">
        <v>6</v>
      </c>
      <c r="B35" s="12"/>
      <c r="C35" s="163"/>
      <c r="D35" s="163"/>
      <c r="E35" s="163"/>
      <c r="F35" s="163"/>
      <c r="G35" s="163"/>
      <c r="H35" s="163"/>
      <c r="I35" s="163">
        <f>I34/I16</f>
        <v>8.9066522404208481E-2</v>
      </c>
      <c r="J35" s="163">
        <f>J34/J16</f>
        <v>9.0765428856803901E-2</v>
      </c>
      <c r="K35" s="163">
        <f>K34/K16</f>
        <v>8.4667627268524129E-2</v>
      </c>
      <c r="L35" s="173">
        <f>L34/L16</f>
        <v>7.9145718941377258E-2</v>
      </c>
      <c r="M35" s="174">
        <f>M34/M16</f>
        <v>8.6620169593419546E-2</v>
      </c>
      <c r="N35" s="163">
        <f>N34/N16</f>
        <v>9.1940582911090904E-2</v>
      </c>
      <c r="O35" s="163">
        <f>O34/O16</f>
        <v>9.194058291109089E-2</v>
      </c>
      <c r="P35" s="163">
        <f>P34/P16</f>
        <v>9.1940582911090904E-2</v>
      </c>
      <c r="Q35" s="163">
        <f>Q34/Q16</f>
        <v>9.1940582911090904E-2</v>
      </c>
      <c r="R35" s="300"/>
      <c r="S35" s="91"/>
      <c r="T35" s="91"/>
      <c r="U35" s="91"/>
      <c r="V35" s="91"/>
      <c r="W35" s="91"/>
      <c r="X35" s="91"/>
      <c r="Y35" s="91"/>
      <c r="Z35" s="91"/>
      <c r="AA35" s="91"/>
      <c r="AB35" s="91"/>
      <c r="AC35" s="91"/>
      <c r="AD35" s="91"/>
      <c r="AE35" s="91"/>
      <c r="AF35" s="91"/>
      <c r="AG35" s="91"/>
      <c r="AH35" s="91"/>
      <c r="AI35" s="91"/>
      <c r="AJ35" s="91"/>
      <c r="AK35" s="91"/>
      <c r="AL35" s="91"/>
      <c r="AM35" s="91"/>
      <c r="AN35" s="91"/>
      <c r="AO35" s="91"/>
      <c r="AP35" s="91"/>
      <c r="AQ35" s="91">
        <f>AQ34/AQ16</f>
        <v>8.2187567841377818E-2</v>
      </c>
      <c r="AR35" s="91">
        <f>AR34/AR16</f>
        <v>8.3805168408826958E-2</v>
      </c>
      <c r="AS35" s="91">
        <f>AS34/AS16</f>
        <v>8.1962778619346463E-2</v>
      </c>
      <c r="AT35" s="91">
        <f>AT34/AT16</f>
        <v>9.0543506892615644E-2</v>
      </c>
      <c r="AU35" s="91">
        <f>AU34/AU16</f>
        <v>7.1591078931198829E-2</v>
      </c>
      <c r="AV35" s="91">
        <f>AV34/AV16</f>
        <v>6.9676108449081092E-2</v>
      </c>
      <c r="AW35" s="91">
        <f>AW34/AW16</f>
        <v>8.2124576618721426E-2</v>
      </c>
      <c r="AX35" s="91">
        <f>AX34/AX16</f>
        <v>9.2334338698599472E-2</v>
      </c>
      <c r="AY35" s="91">
        <f>AY34/AY16</f>
        <v>8.6716003974668901E-2</v>
      </c>
      <c r="AZ35" s="91">
        <f>AZ34/AZ16</f>
        <v>7.5887516395451063E-2</v>
      </c>
      <c r="BA35" s="93">
        <f>BA34/BA16</f>
        <v>9.1940582911090904E-2</v>
      </c>
      <c r="BB35" s="248">
        <f>BA35</f>
        <v>9.1940582911090904E-2</v>
      </c>
      <c r="BC35" s="215">
        <f>BB35</f>
        <v>9.1940582911090904E-2</v>
      </c>
      <c r="BD35" s="215">
        <f>BC35</f>
        <v>9.1940582911090904E-2</v>
      </c>
      <c r="BE35" s="215">
        <f>BD35</f>
        <v>9.1940582911090904E-2</v>
      </c>
      <c r="BF35" s="215">
        <f>BE35</f>
        <v>9.1940582911090904E-2</v>
      </c>
      <c r="BG35" s="215">
        <f>BF35</f>
        <v>9.1940582911090904E-2</v>
      </c>
      <c r="BH35" s="215">
        <f>BG35</f>
        <v>9.1940582911090904E-2</v>
      </c>
      <c r="BI35" s="215">
        <f>BH35</f>
        <v>9.1940582911090904E-2</v>
      </c>
      <c r="BJ35" s="215">
        <f>BI35</f>
        <v>9.1940582911090904E-2</v>
      </c>
      <c r="BK35" s="215">
        <f>BJ35</f>
        <v>9.1940582911090904E-2</v>
      </c>
      <c r="BL35" s="215">
        <f>BK35</f>
        <v>9.1940582911090904E-2</v>
      </c>
      <c r="BM35" s="215">
        <f>BL35</f>
        <v>9.1940582911090904E-2</v>
      </c>
      <c r="BN35" s="215">
        <f>BM35</f>
        <v>9.1940582911090904E-2</v>
      </c>
      <c r="BO35" s="215">
        <f>BN35</f>
        <v>9.1940582911090904E-2</v>
      </c>
      <c r="BP35" s="215">
        <f>BO35</f>
        <v>9.1940582911090904E-2</v>
      </c>
      <c r="BQ35" s="215">
        <f>BP35</f>
        <v>9.1940582911090904E-2</v>
      </c>
      <c r="BR35" s="215">
        <f>BQ35</f>
        <v>9.1940582911090904E-2</v>
      </c>
    </row>
    <row r="36" spans="1:70" x14ac:dyDescent="0.2">
      <c r="A36" s="168" t="s">
        <v>215</v>
      </c>
      <c r="B36" s="24"/>
      <c r="C36" s="141"/>
      <c r="D36" s="142"/>
      <c r="E36" s="142"/>
      <c r="F36" s="142"/>
      <c r="G36" s="142"/>
      <c r="H36" s="142"/>
      <c r="I36" s="142">
        <v>75.007999999999996</v>
      </c>
      <c r="J36" s="142">
        <v>146.29900000000001</v>
      </c>
      <c r="K36" s="142">
        <v>0</v>
      </c>
      <c r="L36" s="142">
        <v>0</v>
      </c>
      <c r="M36" s="77">
        <f>SUM(AY36:BB36)</f>
        <v>0</v>
      </c>
      <c r="N36" s="76">
        <f>SUM(BC36:BF36)</f>
        <v>0</v>
      </c>
      <c r="O36" s="76">
        <f>SUM(BG36:BJ36)</f>
        <v>0</v>
      </c>
      <c r="P36" s="76">
        <f>SUM(BK36:BN36)</f>
        <v>0</v>
      </c>
      <c r="Q36" s="76">
        <f>SUM(BO36:BR36)</f>
        <v>0</v>
      </c>
      <c r="R36" s="48"/>
      <c r="S36" s="142"/>
      <c r="T36" s="142"/>
      <c r="U36" s="142"/>
      <c r="V36" s="142"/>
      <c r="W36" s="142"/>
      <c r="X36" s="142"/>
      <c r="Y36" s="142"/>
      <c r="Z36" s="142"/>
      <c r="AA36" s="142"/>
      <c r="AB36" s="142"/>
      <c r="AC36" s="142"/>
      <c r="AD36" s="142"/>
      <c r="AE36" s="142"/>
      <c r="AF36" s="142"/>
      <c r="AG36" s="142"/>
      <c r="AH36" s="142"/>
      <c r="AI36" s="142"/>
      <c r="AJ36" s="142"/>
      <c r="AK36" s="142"/>
      <c r="AL36" s="142"/>
      <c r="AM36" s="142"/>
      <c r="AN36" s="142"/>
      <c r="AO36" s="142"/>
      <c r="AP36" s="142"/>
      <c r="AQ36" s="142">
        <v>0</v>
      </c>
      <c r="AR36" s="142">
        <v>0</v>
      </c>
      <c r="AS36" s="142">
        <v>0</v>
      </c>
      <c r="AT36" s="146">
        <f>K36-AS36-AR36-AQ36</f>
        <v>0</v>
      </c>
      <c r="AU36" s="142">
        <v>0</v>
      </c>
      <c r="AV36" s="142">
        <v>0</v>
      </c>
      <c r="AW36" s="142">
        <v>0</v>
      </c>
      <c r="AX36" s="146">
        <f>L36-AW36-AV36-AU36</f>
        <v>0</v>
      </c>
      <c r="AY36" s="142">
        <v>0</v>
      </c>
      <c r="AZ36" s="142">
        <v>0</v>
      </c>
      <c r="BA36" s="153">
        <v>0</v>
      </c>
      <c r="BB36" s="77">
        <f>BB37*BB16</f>
        <v>0</v>
      </c>
      <c r="BC36" s="76">
        <f>BC37*BC16</f>
        <v>0</v>
      </c>
      <c r="BD36" s="76">
        <f>BD37*BD16</f>
        <v>0</v>
      </c>
      <c r="BE36" s="76">
        <f>BE37*BE16</f>
        <v>0</v>
      </c>
      <c r="BF36" s="76">
        <f>BF37*BF16</f>
        <v>0</v>
      </c>
      <c r="BG36" s="76">
        <f>BG37*BG16</f>
        <v>0</v>
      </c>
      <c r="BH36" s="76">
        <f>BH37*BH16</f>
        <v>0</v>
      </c>
      <c r="BI36" s="76">
        <f>BI37*BI16</f>
        <v>0</v>
      </c>
      <c r="BJ36" s="76">
        <f>BJ37*BJ16</f>
        <v>0</v>
      </c>
      <c r="BK36" s="76">
        <f>BK37*BK16</f>
        <v>0</v>
      </c>
      <c r="BL36" s="76">
        <f>BL37*BL16</f>
        <v>0</v>
      </c>
      <c r="BM36" s="76">
        <f>BM37*BM16</f>
        <v>0</v>
      </c>
      <c r="BN36" s="76">
        <f>BN37*BN16</f>
        <v>0</v>
      </c>
      <c r="BO36" s="76">
        <f>BO37*BO16</f>
        <v>0</v>
      </c>
      <c r="BP36" s="76">
        <f>BP37*BP16</f>
        <v>0</v>
      </c>
      <c r="BQ36" s="76">
        <f>BQ37*BQ16</f>
        <v>0</v>
      </c>
      <c r="BR36" s="76">
        <f>BR37*BR16</f>
        <v>0</v>
      </c>
    </row>
    <row r="37" spans="1:70" x14ac:dyDescent="0.2">
      <c r="A37" s="161" t="s">
        <v>6</v>
      </c>
      <c r="B37" s="12"/>
      <c r="C37" s="163"/>
      <c r="D37" s="163"/>
      <c r="E37" s="163"/>
      <c r="F37" s="163"/>
      <c r="G37" s="163"/>
      <c r="H37" s="163"/>
      <c r="I37" s="163">
        <f>I36/I16</f>
        <v>0.34981158825504605</v>
      </c>
      <c r="J37" s="163">
        <f>J36/J16</f>
        <v>0.68603489751609603</v>
      </c>
      <c r="K37" s="163">
        <f>K36/K16</f>
        <v>0</v>
      </c>
      <c r="L37" s="173">
        <f>L36/L16</f>
        <v>0</v>
      </c>
      <c r="M37" s="174">
        <f>M36/M16</f>
        <v>0</v>
      </c>
      <c r="N37" s="163">
        <f>N36/N16</f>
        <v>0</v>
      </c>
      <c r="O37" s="163">
        <f>O36/O16</f>
        <v>0</v>
      </c>
      <c r="P37" s="163">
        <f>P36/P16</f>
        <v>0</v>
      </c>
      <c r="Q37" s="163">
        <f>Q36/Q16</f>
        <v>0</v>
      </c>
      <c r="R37" s="300"/>
      <c r="S37" s="91"/>
      <c r="T37" s="91"/>
      <c r="U37" s="91"/>
      <c r="V37" s="91"/>
      <c r="W37" s="91"/>
      <c r="X37" s="91"/>
      <c r="Y37" s="91"/>
      <c r="Z37" s="91"/>
      <c r="AA37" s="91"/>
      <c r="AB37" s="91"/>
      <c r="AC37" s="91"/>
      <c r="AD37" s="91"/>
      <c r="AE37" s="91"/>
      <c r="AF37" s="91"/>
      <c r="AG37" s="91"/>
      <c r="AH37" s="91"/>
      <c r="AI37" s="91"/>
      <c r="AJ37" s="91"/>
      <c r="AK37" s="91"/>
      <c r="AL37" s="91"/>
      <c r="AM37" s="91"/>
      <c r="AN37" s="91"/>
      <c r="AO37" s="91"/>
      <c r="AP37" s="91"/>
      <c r="AQ37" s="91">
        <f>AQ36/AQ16</f>
        <v>0</v>
      </c>
      <c r="AR37" s="91">
        <f>AR36/AR16</f>
        <v>0</v>
      </c>
      <c r="AS37" s="91">
        <f>AS36/AS16</f>
        <v>0</v>
      </c>
      <c r="AT37" s="91">
        <f>AT36/AT16</f>
        <v>0</v>
      </c>
      <c r="AU37" s="91">
        <f>AU36/AU16</f>
        <v>0</v>
      </c>
      <c r="AV37" s="91">
        <f>AV36/AV16</f>
        <v>0</v>
      </c>
      <c r="AW37" s="91">
        <f>AW36/AW16</f>
        <v>0</v>
      </c>
      <c r="AX37" s="91">
        <f>AX36/AX16</f>
        <v>0</v>
      </c>
      <c r="AY37" s="91">
        <f>AY36/AY16</f>
        <v>0</v>
      </c>
      <c r="AZ37" s="91">
        <f>AZ36/AZ16</f>
        <v>0</v>
      </c>
      <c r="BA37" s="93">
        <f>BA36/BA16</f>
        <v>0</v>
      </c>
      <c r="BB37" s="248">
        <f>BA37</f>
        <v>0</v>
      </c>
      <c r="BC37" s="215">
        <f>BB37</f>
        <v>0</v>
      </c>
      <c r="BD37" s="215">
        <f>BC37</f>
        <v>0</v>
      </c>
      <c r="BE37" s="215">
        <f>BD37</f>
        <v>0</v>
      </c>
      <c r="BF37" s="215">
        <f>BE37</f>
        <v>0</v>
      </c>
      <c r="BG37" s="215">
        <f>BF37</f>
        <v>0</v>
      </c>
      <c r="BH37" s="215">
        <f>BG37</f>
        <v>0</v>
      </c>
      <c r="BI37" s="215">
        <f>BH37</f>
        <v>0</v>
      </c>
      <c r="BJ37" s="215">
        <f>BI37</f>
        <v>0</v>
      </c>
      <c r="BK37" s="215">
        <f>BJ37</f>
        <v>0</v>
      </c>
      <c r="BL37" s="215">
        <f>BK37</f>
        <v>0</v>
      </c>
      <c r="BM37" s="215">
        <f>BL37</f>
        <v>0</v>
      </c>
      <c r="BN37" s="215">
        <f>BM37</f>
        <v>0</v>
      </c>
      <c r="BO37" s="215">
        <f>BN37</f>
        <v>0</v>
      </c>
      <c r="BP37" s="215">
        <f>BO37</f>
        <v>0</v>
      </c>
      <c r="BQ37" s="215">
        <f>BP37</f>
        <v>0</v>
      </c>
      <c r="BR37" s="215">
        <f>BQ37</f>
        <v>0</v>
      </c>
    </row>
    <row r="38" spans="1:70" x14ac:dyDescent="0.2">
      <c r="A38" s="168" t="s">
        <v>216</v>
      </c>
      <c r="B38" s="24"/>
      <c r="C38" s="141"/>
      <c r="D38" s="142"/>
      <c r="E38" s="142"/>
      <c r="F38" s="142"/>
      <c r="G38" s="142"/>
      <c r="H38" s="142"/>
      <c r="I38" s="142">
        <v>37.716000000000001</v>
      </c>
      <c r="J38" s="142">
        <v>41.582000000000001</v>
      </c>
      <c r="K38" s="142">
        <v>40.427999999999997</v>
      </c>
      <c r="L38" s="142">
        <v>55.058</v>
      </c>
      <c r="M38" s="77">
        <f>SUM(AY38:BB38)</f>
        <v>55.743570338882272</v>
      </c>
      <c r="N38" s="76">
        <f>SUM(BC38:BF38)</f>
        <v>62.022915746339407</v>
      </c>
      <c r="O38" s="76">
        <f>SUM(BG38:BJ38)</f>
        <v>72.829572494147001</v>
      </c>
      <c r="P38" s="76">
        <f>SUM(BK38:BN38)</f>
        <v>84.280817113248858</v>
      </c>
      <c r="Q38" s="76">
        <f>SUM(BO38:BR38)</f>
        <v>97.975546822159956</v>
      </c>
      <c r="R38" s="48"/>
      <c r="S38" s="142"/>
      <c r="T38" s="142"/>
      <c r="U38" s="142"/>
      <c r="V38" s="142"/>
      <c r="W38" s="142"/>
      <c r="X38" s="142"/>
      <c r="Y38" s="142"/>
      <c r="Z38" s="142"/>
      <c r="AA38" s="142"/>
      <c r="AB38" s="142"/>
      <c r="AC38" s="142"/>
      <c r="AD38" s="142"/>
      <c r="AE38" s="142"/>
      <c r="AF38" s="142"/>
      <c r="AG38" s="142"/>
      <c r="AH38" s="142"/>
      <c r="AI38" s="142"/>
      <c r="AJ38" s="142"/>
      <c r="AK38" s="142"/>
      <c r="AL38" s="142"/>
      <c r="AM38" s="142"/>
      <c r="AN38" s="142"/>
      <c r="AO38" s="142"/>
      <c r="AP38" s="142"/>
      <c r="AQ38" s="142">
        <v>9.0310000000000006</v>
      </c>
      <c r="AR38" s="142">
        <v>9.6969999999999992</v>
      </c>
      <c r="AS38" s="142">
        <v>10.863</v>
      </c>
      <c r="AT38" s="146">
        <f>K38-AS38-AR38-AQ38</f>
        <v>10.836999999999998</v>
      </c>
      <c r="AU38" s="142">
        <v>11.138999999999999</v>
      </c>
      <c r="AV38" s="142">
        <v>12.112</v>
      </c>
      <c r="AW38" s="142">
        <v>15.847</v>
      </c>
      <c r="AX38" s="146">
        <f>L38-AW38-AV38-AU38</f>
        <v>15.959999999999997</v>
      </c>
      <c r="AY38" s="142">
        <v>13.374000000000001</v>
      </c>
      <c r="AZ38" s="142">
        <v>13.489000000000001</v>
      </c>
      <c r="BA38" s="153">
        <v>14.42</v>
      </c>
      <c r="BB38" s="77">
        <f>BB39*BB16</f>
        <v>14.460570338882269</v>
      </c>
      <c r="BC38" s="76">
        <f>BC39*BC16</f>
        <v>14.793908197519812</v>
      </c>
      <c r="BD38" s="76">
        <f>BD39*BD16</f>
        <v>15.062045696925267</v>
      </c>
      <c r="BE38" s="76">
        <f>BE39*BE16</f>
        <v>15.317411796059837</v>
      </c>
      <c r="BF38" s="76">
        <f>BF39*BF16</f>
        <v>16.849550055834488</v>
      </c>
      <c r="BG38" s="76">
        <f>BG39*BG16</f>
        <v>17.359410560657288</v>
      </c>
      <c r="BH38" s="76">
        <f>BH39*BH16</f>
        <v>17.796042108904924</v>
      </c>
      <c r="BI38" s="76">
        <f>BI39*BI16</f>
        <v>17.901310733698963</v>
      </c>
      <c r="BJ38" s="76">
        <f>BJ39*BJ16</f>
        <v>19.772809090885826</v>
      </c>
      <c r="BK38" s="76">
        <f>BK39*BK16</f>
        <v>20.045110191407161</v>
      </c>
      <c r="BL38" s="76">
        <f>BL39*BL16</f>
        <v>20.576545070711411</v>
      </c>
      <c r="BM38" s="76">
        <f>BM39*BM16</f>
        <v>20.654287346631264</v>
      </c>
      <c r="BN38" s="76">
        <f>BN39*BN16</f>
        <v>23.004874504499021</v>
      </c>
      <c r="BO38" s="76">
        <f>BO39*BO16</f>
        <v>23.412660438831534</v>
      </c>
      <c r="BP38" s="76">
        <f>BP39*BP16</f>
        <v>24.002151084563984</v>
      </c>
      <c r="BQ38" s="76">
        <f>BQ39*BQ16</f>
        <v>23.890483750613228</v>
      </c>
      <c r="BR38" s="76">
        <f>BR39*BR16</f>
        <v>26.67025154815121</v>
      </c>
    </row>
    <row r="39" spans="1:70" x14ac:dyDescent="0.2">
      <c r="A39" s="161" t="s">
        <v>6</v>
      </c>
      <c r="B39" s="12"/>
      <c r="C39" s="163"/>
      <c r="D39" s="163"/>
      <c r="E39" s="163"/>
      <c r="F39" s="163"/>
      <c r="G39" s="163"/>
      <c r="H39" s="163"/>
      <c r="I39" s="163">
        <f>I38/I16</f>
        <v>0.17589448942282579</v>
      </c>
      <c r="J39" s="163">
        <f>J38/J16</f>
        <v>0.19498905056435314</v>
      </c>
      <c r="K39" s="163">
        <f>K38/K16</f>
        <v>0.1814729527734012</v>
      </c>
      <c r="L39" s="173">
        <f>L38/L16</f>
        <v>0.2125972090293384</v>
      </c>
      <c r="M39" s="174">
        <f>M38/M16</f>
        <v>0.20230157096498677</v>
      </c>
      <c r="N39" s="163">
        <f>N38/N16</f>
        <v>0.20816191012371341</v>
      </c>
      <c r="O39" s="163">
        <f>O38/O16</f>
        <v>0.20816191012371343</v>
      </c>
      <c r="P39" s="163">
        <f>P38/P16</f>
        <v>0.20816191012371343</v>
      </c>
      <c r="Q39" s="163">
        <f>Q38/Q16</f>
        <v>0.20816191012371343</v>
      </c>
      <c r="R39" s="300"/>
      <c r="S39" s="91"/>
      <c r="T39" s="91"/>
      <c r="U39" s="91"/>
      <c r="V39" s="91"/>
      <c r="W39" s="91"/>
      <c r="X39" s="91"/>
      <c r="Y39" s="91"/>
      <c r="Z39" s="91"/>
      <c r="AA39" s="91"/>
      <c r="AB39" s="91"/>
      <c r="AC39" s="91"/>
      <c r="AD39" s="91"/>
      <c r="AE39" s="91"/>
      <c r="AF39" s="91"/>
      <c r="AG39" s="91"/>
      <c r="AH39" s="91"/>
      <c r="AI39" s="91"/>
      <c r="AJ39" s="91"/>
      <c r="AK39" s="91"/>
      <c r="AL39" s="91"/>
      <c r="AM39" s="91"/>
      <c r="AN39" s="91"/>
      <c r="AO39" s="91"/>
      <c r="AP39" s="91"/>
      <c r="AQ39" s="91">
        <f>AQ38/AQ16</f>
        <v>0.16338012880816269</v>
      </c>
      <c r="AR39" s="91">
        <f>AR38/AR16</f>
        <v>0.17597633565621371</v>
      </c>
      <c r="AS39" s="91">
        <f>AS38/AS16</f>
        <v>0.19589915602683403</v>
      </c>
      <c r="AT39" s="91">
        <f>AT38/AT16</f>
        <v>0.19030643603477035</v>
      </c>
      <c r="AU39" s="91">
        <f>AU38/AU16</f>
        <v>0.18498098543600644</v>
      </c>
      <c r="AV39" s="91">
        <f>AV38/AV16</f>
        <v>0.18365985321768669</v>
      </c>
      <c r="AW39" s="91">
        <f>AW38/AW16</f>
        <v>0.24069320615440695</v>
      </c>
      <c r="AX39" s="91">
        <f>AX38/AX16</f>
        <v>0.23830143040582907</v>
      </c>
      <c r="AY39" s="91">
        <f>AY38/AY16</f>
        <v>0.19834784285226986</v>
      </c>
      <c r="AZ39" s="91">
        <f>AZ38/AZ16</f>
        <v>0.1944248259559809</v>
      </c>
      <c r="BA39" s="93">
        <f>BA38/BA16</f>
        <v>0.20816191012371343</v>
      </c>
      <c r="BB39" s="248">
        <f>BA39</f>
        <v>0.20816191012371343</v>
      </c>
      <c r="BC39" s="215">
        <f>BB39</f>
        <v>0.20816191012371343</v>
      </c>
      <c r="BD39" s="215">
        <f>BC39</f>
        <v>0.20816191012371343</v>
      </c>
      <c r="BE39" s="215">
        <f>BD39</f>
        <v>0.20816191012371343</v>
      </c>
      <c r="BF39" s="215">
        <f>BE39</f>
        <v>0.20816191012371343</v>
      </c>
      <c r="BG39" s="215">
        <f>BF39</f>
        <v>0.20816191012371343</v>
      </c>
      <c r="BH39" s="215">
        <f>BG39</f>
        <v>0.20816191012371343</v>
      </c>
      <c r="BI39" s="215">
        <f>BH39</f>
        <v>0.20816191012371343</v>
      </c>
      <c r="BJ39" s="215">
        <f>BI39</f>
        <v>0.20816191012371343</v>
      </c>
      <c r="BK39" s="215">
        <f>BJ39</f>
        <v>0.20816191012371343</v>
      </c>
      <c r="BL39" s="215">
        <f>BK39</f>
        <v>0.20816191012371343</v>
      </c>
      <c r="BM39" s="215">
        <f>BL39</f>
        <v>0.20816191012371343</v>
      </c>
      <c r="BN39" s="215">
        <f>BM39</f>
        <v>0.20816191012371343</v>
      </c>
      <c r="BO39" s="215">
        <f>BN39</f>
        <v>0.20816191012371343</v>
      </c>
      <c r="BP39" s="215">
        <f>BO39</f>
        <v>0.20816191012371343</v>
      </c>
      <c r="BQ39" s="215">
        <f>BP39</f>
        <v>0.20816191012371343</v>
      </c>
      <c r="BR39" s="215">
        <f>BQ39</f>
        <v>0.20816191012371343</v>
      </c>
    </row>
    <row r="40" spans="1:70" x14ac:dyDescent="0.2">
      <c r="A40" s="168" t="s">
        <v>217</v>
      </c>
      <c r="B40" s="24"/>
      <c r="C40" s="141"/>
      <c r="D40" s="142"/>
      <c r="E40" s="142"/>
      <c r="F40" s="142"/>
      <c r="G40" s="142"/>
      <c r="H40" s="142"/>
      <c r="I40" s="142">
        <v>72.933999999999997</v>
      </c>
      <c r="J40" s="142">
        <v>79.39</v>
      </c>
      <c r="K40" s="142">
        <v>57.06</v>
      </c>
      <c r="L40" s="142">
        <v>55.098999999999997</v>
      </c>
      <c r="M40" s="77">
        <f>SUM(AY40:BB40)</f>
        <v>56.942114555602174</v>
      </c>
      <c r="N40" s="76">
        <f>SUM(BC40:BF40)</f>
        <v>61.326125708135038</v>
      </c>
      <c r="O40" s="76">
        <f>SUM(BG40:BJ40)</f>
        <v>72.011376187347281</v>
      </c>
      <c r="P40" s="76">
        <f>SUM(BK40:BN40)</f>
        <v>83.333972982018167</v>
      </c>
      <c r="Q40" s="76">
        <f>SUM(BO40:BR40)</f>
        <v>96.874850665073254</v>
      </c>
      <c r="R40" s="48"/>
      <c r="S40" s="142"/>
      <c r="T40" s="142"/>
      <c r="U40" s="142"/>
      <c r="V40" s="142"/>
      <c r="W40" s="142"/>
      <c r="X40" s="142"/>
      <c r="Y40" s="142"/>
      <c r="Z40" s="142"/>
      <c r="AA40" s="142"/>
      <c r="AB40" s="142"/>
      <c r="AC40" s="142"/>
      <c r="AD40" s="142"/>
      <c r="AE40" s="142"/>
      <c r="AF40" s="142"/>
      <c r="AG40" s="142"/>
      <c r="AH40" s="142"/>
      <c r="AI40" s="142"/>
      <c r="AJ40" s="142"/>
      <c r="AK40" s="142"/>
      <c r="AL40" s="142"/>
      <c r="AM40" s="142"/>
      <c r="AN40" s="142"/>
      <c r="AO40" s="142"/>
      <c r="AP40" s="142"/>
      <c r="AQ40" s="142">
        <v>13.858000000000001</v>
      </c>
      <c r="AR40" s="142">
        <v>14.241</v>
      </c>
      <c r="AS40" s="142">
        <v>14.47</v>
      </c>
      <c r="AT40" s="146">
        <f>K40-AS40-AR40-AQ40</f>
        <v>14.491000000000003</v>
      </c>
      <c r="AU40" s="142">
        <v>13.484</v>
      </c>
      <c r="AV40" s="142">
        <v>13.907</v>
      </c>
      <c r="AW40" s="142">
        <v>13.789</v>
      </c>
      <c r="AX40" s="146">
        <f>L40-AW40-AV40-AU40</f>
        <v>13.918999999999995</v>
      </c>
      <c r="AY40" s="142">
        <v>13.782</v>
      </c>
      <c r="AZ40" s="142">
        <v>14.603999999999999</v>
      </c>
      <c r="BA40" s="153">
        <v>14.257999999999999</v>
      </c>
      <c r="BB40" s="77">
        <f>BB41*BB16</f>
        <v>14.298114555602176</v>
      </c>
      <c r="BC40" s="76">
        <f>BC41*BC16</f>
        <v>14.627707564510226</v>
      </c>
      <c r="BD40" s="76">
        <f>BD41*BD16</f>
        <v>14.892832700884913</v>
      </c>
      <c r="BE40" s="76">
        <f>BE41*BE16</f>
        <v>15.145329915965405</v>
      </c>
      <c r="BF40" s="76">
        <f>BF41*BF16</f>
        <v>16.660255526774488</v>
      </c>
      <c r="BG40" s="76">
        <f>BG41*BG16</f>
        <v>17.164388056439087</v>
      </c>
      <c r="BH40" s="76">
        <f>BH41*BH16</f>
        <v>17.596114312674505</v>
      </c>
      <c r="BI40" s="76">
        <f>BI41*BI16</f>
        <v>17.70020030798057</v>
      </c>
      <c r="BJ40" s="76">
        <f>BJ41*BJ16</f>
        <v>19.550673510253123</v>
      </c>
      <c r="BK40" s="76">
        <f>BK41*BK16</f>
        <v>19.819915472197174</v>
      </c>
      <c r="BL40" s="76">
        <f>BL41*BL16</f>
        <v>20.34538000126236</v>
      </c>
      <c r="BM40" s="76">
        <f>BM41*BM16</f>
        <v>20.422248889616405</v>
      </c>
      <c r="BN40" s="76">
        <f>BN41*BN16</f>
        <v>22.746428618942232</v>
      </c>
      <c r="BO40" s="76">
        <f>BO41*BO16</f>
        <v>23.149633324331482</v>
      </c>
      <c r="BP40" s="76">
        <f>BP41*BP16</f>
        <v>23.732501398315758</v>
      </c>
      <c r="BQ40" s="76">
        <f>BQ41*BQ16</f>
        <v>23.622088579489834</v>
      </c>
      <c r="BR40" s="76">
        <f>BR41*BR16</f>
        <v>26.370627362936194</v>
      </c>
    </row>
    <row r="41" spans="1:70" x14ac:dyDescent="0.2">
      <c r="A41" s="164" t="s">
        <v>6</v>
      </c>
      <c r="B41" s="30"/>
      <c r="C41" s="165"/>
      <c r="D41" s="165"/>
      <c r="E41" s="165"/>
      <c r="F41" s="165"/>
      <c r="G41" s="165"/>
      <c r="H41" s="165"/>
      <c r="I41" s="165">
        <f>I40/I16</f>
        <v>0.34013916352647089</v>
      </c>
      <c r="J41" s="165">
        <f>J40/J16</f>
        <v>0.37228081199326624</v>
      </c>
      <c r="K41" s="165">
        <f>K40/K16</f>
        <v>0.25613057003191536</v>
      </c>
      <c r="L41" s="185">
        <f>L40/L16</f>
        <v>0.21275552363521225</v>
      </c>
      <c r="M41" s="186">
        <f>M40/M16</f>
        <v>0.20665126325127919</v>
      </c>
      <c r="N41" s="165">
        <f>N40/N16</f>
        <v>0.20582333665353023</v>
      </c>
      <c r="O41" s="165">
        <f>O40/O16</f>
        <v>0.2058233366535302</v>
      </c>
      <c r="P41" s="165">
        <f>P40/P16</f>
        <v>0.2058233366535302</v>
      </c>
      <c r="Q41" s="165">
        <f>Q40/Q16</f>
        <v>0.2058233366535302</v>
      </c>
      <c r="R41" s="301"/>
      <c r="S41" s="122"/>
      <c r="T41" s="122"/>
      <c r="U41" s="122"/>
      <c r="V41" s="122"/>
      <c r="W41" s="122"/>
      <c r="X41" s="122"/>
      <c r="Y41" s="122"/>
      <c r="Z41" s="122"/>
      <c r="AA41" s="122"/>
      <c r="AB41" s="122"/>
      <c r="AC41" s="122"/>
      <c r="AD41" s="122"/>
      <c r="AE41" s="122"/>
      <c r="AF41" s="122"/>
      <c r="AG41" s="122"/>
      <c r="AH41" s="122"/>
      <c r="AI41" s="122"/>
      <c r="AJ41" s="122"/>
      <c r="AK41" s="122"/>
      <c r="AL41" s="122"/>
      <c r="AM41" s="122"/>
      <c r="AN41" s="122"/>
      <c r="AO41" s="122"/>
      <c r="AP41" s="122"/>
      <c r="AQ41" s="122">
        <f>AQ40/AQ16</f>
        <v>0.25070555032925679</v>
      </c>
      <c r="AR41" s="122">
        <f>AR40/AR16</f>
        <v>0.25843858885017423</v>
      </c>
      <c r="AS41" s="122">
        <f>AS40/AS16</f>
        <v>0.26094640409723729</v>
      </c>
      <c r="AT41" s="122">
        <f>AT40/AT16</f>
        <v>0.25447361489156206</v>
      </c>
      <c r="AU41" s="122">
        <f>AU40/AU16</f>
        <v>0.22392347675905475</v>
      </c>
      <c r="AV41" s="122">
        <f>AV40/AV16</f>
        <v>0.21087826772608725</v>
      </c>
      <c r="AW41" s="122">
        <f>AW40/AW16</f>
        <v>0.20943513722869425</v>
      </c>
      <c r="AX41" s="122">
        <f>AX40/AX16</f>
        <v>0.20782691790844199</v>
      </c>
      <c r="AY41" s="122">
        <f>AY40/AY16</f>
        <v>0.20439883132869621</v>
      </c>
      <c r="AZ41" s="122">
        <f>AZ40/AZ16</f>
        <v>0.21049597140345058</v>
      </c>
      <c r="BA41" s="123">
        <f>BA40/BA16</f>
        <v>0.20582333665353023</v>
      </c>
      <c r="BB41" s="249">
        <f>BA41</f>
        <v>0.20582333665353023</v>
      </c>
      <c r="BC41" s="220">
        <f>BB41</f>
        <v>0.20582333665353023</v>
      </c>
      <c r="BD41" s="220">
        <f>BC41</f>
        <v>0.20582333665353023</v>
      </c>
      <c r="BE41" s="220">
        <f>BD41</f>
        <v>0.20582333665353023</v>
      </c>
      <c r="BF41" s="220">
        <f>BE41</f>
        <v>0.20582333665353023</v>
      </c>
      <c r="BG41" s="220">
        <f>BF41</f>
        <v>0.20582333665353023</v>
      </c>
      <c r="BH41" s="220">
        <f>BG41</f>
        <v>0.20582333665353023</v>
      </c>
      <c r="BI41" s="220">
        <f>BH41</f>
        <v>0.20582333665353023</v>
      </c>
      <c r="BJ41" s="220">
        <f>BI41</f>
        <v>0.20582333665353023</v>
      </c>
      <c r="BK41" s="220">
        <f>BJ41</f>
        <v>0.20582333665353023</v>
      </c>
      <c r="BL41" s="220">
        <f>BK41</f>
        <v>0.20582333665353023</v>
      </c>
      <c r="BM41" s="220">
        <f>BL41</f>
        <v>0.20582333665353023</v>
      </c>
      <c r="BN41" s="220">
        <f>BM41</f>
        <v>0.20582333665353023</v>
      </c>
      <c r="BO41" s="220">
        <f>BN41</f>
        <v>0.20582333665353023</v>
      </c>
      <c r="BP41" s="220">
        <f>BO41</f>
        <v>0.20582333665353023</v>
      </c>
      <c r="BQ41" s="220">
        <f>BP41</f>
        <v>0.20582333665353023</v>
      </c>
      <c r="BR41" s="220">
        <f>BQ41</f>
        <v>0.20582333665353023</v>
      </c>
    </row>
    <row r="42" spans="1:70" x14ac:dyDescent="0.2">
      <c r="A42" s="189" t="s">
        <v>218</v>
      </c>
      <c r="B42" s="42"/>
      <c r="C42" s="202"/>
      <c r="D42" s="145"/>
      <c r="E42" s="145"/>
      <c r="F42" s="145"/>
      <c r="G42" s="145"/>
      <c r="H42" s="145"/>
      <c r="I42" s="145">
        <v>287.92700000000002</v>
      </c>
      <c r="J42" s="145">
        <v>379.49599999999998</v>
      </c>
      <c r="K42" s="145">
        <v>213.82499999999999</v>
      </c>
      <c r="L42" s="145">
        <v>255.90700000000001</v>
      </c>
      <c r="M42" s="86">
        <f>SUM(AY42:BB42)</f>
        <v>267.38900174600383</v>
      </c>
      <c r="N42" s="72">
        <f>SUM(BC42:BF42)</f>
        <v>294.56142508090886</v>
      </c>
      <c r="O42" s="72">
        <f>SUM(BG42:BJ42)</f>
        <v>349.51232428919786</v>
      </c>
      <c r="P42" s="72">
        <f>SUM(BK42:BN42)</f>
        <v>406.67407144493262</v>
      </c>
      <c r="Q42" s="72">
        <f>SUM(BO42:BR42)</f>
        <v>475.87353560528982</v>
      </c>
      <c r="R42" s="48"/>
      <c r="S42" s="145"/>
      <c r="T42" s="145"/>
      <c r="U42" s="145"/>
      <c r="V42" s="145"/>
      <c r="W42" s="145"/>
      <c r="X42" s="145"/>
      <c r="Y42" s="145"/>
      <c r="Z42" s="145"/>
      <c r="AA42" s="145"/>
      <c r="AB42" s="145"/>
      <c r="AC42" s="145"/>
      <c r="AD42" s="144"/>
      <c r="AE42" s="144">
        <f>AE16-AE46</f>
        <v>40.800000000000004</v>
      </c>
      <c r="AF42" s="144">
        <f>AF16-AF46</f>
        <v>37.799999999999997</v>
      </c>
      <c r="AG42" s="144">
        <f>AG16-AG46</f>
        <v>43.6</v>
      </c>
      <c r="AH42" s="144">
        <f>AH16-AH46</f>
        <v>55.4</v>
      </c>
      <c r="AI42" s="144">
        <f>AI16-AI46</f>
        <v>54.431000000000004</v>
      </c>
      <c r="AJ42" s="144">
        <f>AJ16-AJ46</f>
        <v>50.669000000000004</v>
      </c>
      <c r="AK42" s="144">
        <f>AK16-AK46</f>
        <v>51.614999999999995</v>
      </c>
      <c r="AL42" s="144">
        <f>AL16-AL46</f>
        <v>131.19999999999999</v>
      </c>
      <c r="AM42" s="144">
        <f>AM16-AM46</f>
        <v>51.422999999999995</v>
      </c>
      <c r="AN42" s="144">
        <f>AN16-AN46</f>
        <v>61.474000000000004</v>
      </c>
      <c r="AO42" s="144">
        <f>AO16-AO46</f>
        <v>60.401000000000003</v>
      </c>
      <c r="AP42" s="144">
        <f>AP16-AP46</f>
        <v>206.2</v>
      </c>
      <c r="AQ42" s="145">
        <v>50.484000000000002</v>
      </c>
      <c r="AR42" s="145">
        <v>52.383000000000003</v>
      </c>
      <c r="AS42" s="145">
        <v>53.664999999999999</v>
      </c>
      <c r="AT42" s="144">
        <f>K42-AS42-AR42-AQ42</f>
        <v>57.292999999999985</v>
      </c>
      <c r="AU42" s="145">
        <v>55.863999999999997</v>
      </c>
      <c r="AV42" s="145">
        <v>63.639000000000003</v>
      </c>
      <c r="AW42" s="145">
        <v>66.584999999999994</v>
      </c>
      <c r="AX42" s="146">
        <f>L42-AW42-AV42-AU42</f>
        <v>69.818999999999988</v>
      </c>
      <c r="AY42" s="145">
        <v>64.322999999999993</v>
      </c>
      <c r="AZ42" s="145">
        <v>66.826999999999998</v>
      </c>
      <c r="BA42" s="155">
        <v>66.2</v>
      </c>
      <c r="BB42" s="86">
        <f>SUM(BB40,BB38,BB36,BB34,BB32,BB28)</f>
        <v>70.039001746003891</v>
      </c>
      <c r="BC42" s="72">
        <f>SUM(BC40,BC38,BC36,BC34,BC32,BC28)</f>
        <v>69.879590572929231</v>
      </c>
      <c r="BD42" s="72">
        <f>SUM(BD40,BD38,BD36,BD34,BD32,BD28)</f>
        <v>71.334034169397185</v>
      </c>
      <c r="BE42" s="72">
        <f>SUM(BE40,BE38,BE36,BE34,BE32,BE28)</f>
        <v>71.249648147492366</v>
      </c>
      <c r="BF42" s="72">
        <f>SUM(BF40,BF38,BF36,BF34,BF32,BF28)</f>
        <v>82.09815219109008</v>
      </c>
      <c r="BG42" s="72">
        <f>SUM(BG40,BG38,BG36,BG34,BG32,BG28)</f>
        <v>83.109089332835282</v>
      </c>
      <c r="BH42" s="72">
        <f>SUM(BH40,BH38,BH36,BH34,BH32,BH28)</f>
        <v>85.290341057032919</v>
      </c>
      <c r="BI42" s="72">
        <f>SUM(BI40,BI38,BI36,BI34,BI32,BI28)</f>
        <v>84.016916018012125</v>
      </c>
      <c r="BJ42" s="72">
        <f>SUM(BJ40,BJ38,BJ36,BJ34,BJ32,BJ28)</f>
        <v>97.095977881317509</v>
      </c>
      <c r="BK42" s="72">
        <f>SUM(BK40,BK38,BK36,BK34,BK32,BK28)</f>
        <v>96.486936191012006</v>
      </c>
      <c r="BL42" s="72">
        <f>SUM(BL40,BL38,BL36,BL34,BL32,BL28)</f>
        <v>99.162799800160073</v>
      </c>
      <c r="BM42" s="72">
        <f>SUM(BM40,BM38,BM36,BM34,BM32,BM28)</f>
        <v>97.418259922444548</v>
      </c>
      <c r="BN42" s="72">
        <f>SUM(BN40,BN38,BN36,BN34,BN32,BN28)</f>
        <v>113.60607553131598</v>
      </c>
      <c r="BO42" s="72">
        <f>SUM(BO40,BO38,BO36,BO34,BO32,BO28)</f>
        <v>113.63613876629702</v>
      </c>
      <c r="BP42" s="72">
        <f>SUM(BP40,BP38,BP36,BP34,BP32,BP28)</f>
        <v>116.57096445914937</v>
      </c>
      <c r="BQ42" s="72">
        <f>SUM(BQ40,BQ38,BQ36,BQ34,BQ32,BQ28)</f>
        <v>113.32550729679755</v>
      </c>
      <c r="BR42" s="72">
        <f>SUM(BR40,BR38,BR36,BR34,BR32,BR28)</f>
        <v>132.34092508304587</v>
      </c>
    </row>
    <row r="43" spans="1:70" x14ac:dyDescent="0.2">
      <c r="A43" s="161" t="s">
        <v>6</v>
      </c>
      <c r="B43" s="12"/>
      <c r="C43" s="163"/>
      <c r="D43" s="163"/>
      <c r="E43" s="163"/>
      <c r="F43" s="163"/>
      <c r="G43" s="163"/>
      <c r="H43" s="163"/>
      <c r="I43" s="163">
        <f>I42/I16</f>
        <v>1.3427927843898071</v>
      </c>
      <c r="J43" s="163">
        <f>J42/J16</f>
        <v>1.779557614664272</v>
      </c>
      <c r="K43" s="163">
        <f>K42/K16</f>
        <v>0.95981631856071314</v>
      </c>
      <c r="L43" s="173">
        <f>L42/L16</f>
        <v>0.98814184988686293</v>
      </c>
      <c r="M43" s="174">
        <f>M42/M16</f>
        <v>0.97039380117073426</v>
      </c>
      <c r="N43" s="163">
        <f>N42/N16</f>
        <v>0.98860990580282404</v>
      </c>
      <c r="O43" s="163">
        <f>O42/O16</f>
        <v>0.99897816977664133</v>
      </c>
      <c r="P43" s="163">
        <f>P42/P16</f>
        <v>1.0044284620071291</v>
      </c>
      <c r="Q43" s="163">
        <f>Q42/Q16</f>
        <v>1.0110557926125006</v>
      </c>
      <c r="R43" s="300"/>
      <c r="S43" s="91"/>
      <c r="T43" s="91"/>
      <c r="U43" s="91"/>
      <c r="V43" s="91"/>
      <c r="W43" s="91"/>
      <c r="X43" s="91"/>
      <c r="Y43" s="91"/>
      <c r="Z43" s="91"/>
      <c r="AA43" s="91"/>
      <c r="AB43" s="91"/>
      <c r="AC43" s="91"/>
      <c r="AD43" s="91"/>
      <c r="AE43" s="91">
        <f>AE42/AE16</f>
        <v>0.70103092783505161</v>
      </c>
      <c r="AF43" s="91">
        <f>AF42/AF16</f>
        <v>0.75149105367793234</v>
      </c>
      <c r="AG43" s="91">
        <f>AG42/AG16</f>
        <v>0.86336633663366336</v>
      </c>
      <c r="AH43" s="91">
        <f>AH42/AH16</f>
        <v>1.1541666666666666</v>
      </c>
      <c r="AI43" s="91">
        <f>AI42/AI16</f>
        <v>0.98884549005359257</v>
      </c>
      <c r="AJ43" s="91">
        <f>AJ42/AJ16</f>
        <v>0.92347087555587959</v>
      </c>
      <c r="AK43" s="91">
        <f>AK42/AK16</f>
        <v>0.95613433858807395</v>
      </c>
      <c r="AL43" s="91">
        <f>AL42/AL16</f>
        <v>2.5980198019801977</v>
      </c>
      <c r="AM43" s="91">
        <f>AM42/AM16</f>
        <v>1.0673543941217982</v>
      </c>
      <c r="AN43" s="91">
        <f>AN42/AN16</f>
        <v>1.1328689370485037</v>
      </c>
      <c r="AO43" s="91">
        <f>AO42/AO16</f>
        <v>1.0744067736312213</v>
      </c>
      <c r="AP43" s="91">
        <f>AP42/AP16</f>
        <v>3.7765567765567765</v>
      </c>
      <c r="AQ43" s="91">
        <f>AQ42/AQ16</f>
        <v>0.91330776467182861</v>
      </c>
      <c r="AR43" s="91">
        <f>AR42/AR16</f>
        <v>0.95062064459930318</v>
      </c>
      <c r="AS43" s="91">
        <f>AS42/AS16</f>
        <v>0.96777393060665085</v>
      </c>
      <c r="AT43" s="91">
        <f>AT42/AT16</f>
        <v>1.0061111598911228</v>
      </c>
      <c r="AU43" s="91">
        <f>AU42/AU16</f>
        <v>0.92771144361226898</v>
      </c>
      <c r="AV43" s="91">
        <f>AV42/AV16</f>
        <v>0.96498756596106039</v>
      </c>
      <c r="AW43" s="91">
        <f>AW42/AW16</f>
        <v>1.0113306702714195</v>
      </c>
      <c r="AX43" s="91">
        <f>AX42/AX16</f>
        <v>1.0424791710215902</v>
      </c>
      <c r="AY43" s="91">
        <f>AY42/AY16</f>
        <v>0.95396502884601109</v>
      </c>
      <c r="AZ43" s="91">
        <f>AZ42/AZ16</f>
        <v>0.96321653526283157</v>
      </c>
      <c r="BA43" s="93">
        <f>BA42/BA16</f>
        <v>0.95563928226004369</v>
      </c>
      <c r="BB43" s="92">
        <f>BB42/BB16</f>
        <v>1.0082211174896984</v>
      </c>
      <c r="BC43" s="91">
        <f>BC42/BC16</f>
        <v>0.98326073530472902</v>
      </c>
      <c r="BD43" s="91">
        <f>BD42/BD16</f>
        <v>0.98585737344849567</v>
      </c>
      <c r="BE43" s="91">
        <f>BE42/BE16</f>
        <v>0.96827473541187103</v>
      </c>
      <c r="BF43" s="91">
        <f>BF42/BF16</f>
        <v>1.0142530881296141</v>
      </c>
      <c r="BG43" s="91">
        <f>BG42/BG16</f>
        <v>0.99658607207399807</v>
      </c>
      <c r="BH43" s="91">
        <f>BH42/BH16</f>
        <v>0.99764881431984065</v>
      </c>
      <c r="BI43" s="91">
        <f>BI42/BI16</f>
        <v>0.97697436691549044</v>
      </c>
      <c r="BJ43" s="91">
        <f>BJ42/BJ16</f>
        <v>1.0221958917522425</v>
      </c>
      <c r="BK43" s="91">
        <f>BK42/BK16</f>
        <v>1.0019852596328362</v>
      </c>
      <c r="BL43" s="91">
        <f>BL42/BL16</f>
        <v>1.0031770517684406</v>
      </c>
      <c r="BM43" s="91">
        <f>BM42/BM16</f>
        <v>0.98181896698033222</v>
      </c>
      <c r="BN43" s="91">
        <f>BN42/BN16</f>
        <v>1.0279759482988142</v>
      </c>
      <c r="BO43" s="91">
        <f>BO42/BO16</f>
        <v>1.0103386484622974</v>
      </c>
      <c r="BP43" s="91">
        <f>BP42/BP16</f>
        <v>1.0109774970288188</v>
      </c>
      <c r="BQ43" s="91">
        <f>BQ42/BQ16</f>
        <v>0.98742471315737523</v>
      </c>
      <c r="BR43" s="91">
        <f>BR42/BR16</f>
        <v>1.0329238816172976</v>
      </c>
    </row>
    <row r="44" spans="1:70" x14ac:dyDescent="0.2">
      <c r="A44" s="65" t="s">
        <v>7</v>
      </c>
      <c r="B44" s="13"/>
      <c r="C44" s="88"/>
      <c r="D44" s="88"/>
      <c r="E44" s="88"/>
      <c r="F44" s="88"/>
      <c r="G44" s="88"/>
      <c r="H44" s="88"/>
      <c r="I44" s="88">
        <f>SUM(I40,I38,I36,I34,I32,I28)-I42</f>
        <v>0</v>
      </c>
      <c r="J44" s="88">
        <f>SUM(J40,J38,J36,J34,J32,J28)-J42</f>
        <v>0</v>
      </c>
      <c r="K44" s="88">
        <f>SUM(K40,K38,K36,K34,K32,K28)-K42</f>
        <v>0</v>
      </c>
      <c r="L44" s="90">
        <f>SUM(L40,L38,L36,L34,L32,L28)-L42</f>
        <v>0</v>
      </c>
      <c r="M44" s="89">
        <f>SUM(M40,M38,M36,M34,M32,M28)-M42</f>
        <v>0</v>
      </c>
      <c r="N44" s="88">
        <f>SUM(N40,N38,N36,N34,N32,N28)-N42</f>
        <v>0</v>
      </c>
      <c r="O44" s="88">
        <f>SUM(O40,O38,O36,O34,O32,O28)-O42</f>
        <v>0</v>
      </c>
      <c r="P44" s="88">
        <f>SUM(P40,P38,P36,P34,P32,P28)-P42</f>
        <v>0</v>
      </c>
      <c r="Q44" s="88">
        <f>SUM(Q40,Q38,Q36,Q34,Q32,Q28)-Q42</f>
        <v>0</v>
      </c>
      <c r="R44" s="50"/>
      <c r="S44" s="88"/>
      <c r="T44" s="88"/>
      <c r="U44" s="88"/>
      <c r="V44" s="88"/>
      <c r="W44" s="88"/>
      <c r="X44" s="88"/>
      <c r="Y44" s="88"/>
      <c r="Z44" s="88"/>
      <c r="AA44" s="88"/>
      <c r="AB44" s="88"/>
      <c r="AC44" s="88"/>
      <c r="AD44" s="88"/>
      <c r="AE44" s="88"/>
      <c r="AF44" s="88"/>
      <c r="AG44" s="88"/>
      <c r="AH44" s="88"/>
      <c r="AI44" s="88"/>
      <c r="AJ44" s="88"/>
      <c r="AK44" s="88"/>
      <c r="AL44" s="88"/>
      <c r="AM44" s="88"/>
      <c r="AN44" s="88"/>
      <c r="AO44" s="88"/>
      <c r="AP44" s="88"/>
      <c r="AQ44" s="88">
        <f>SUM(AQ40,AQ38,AQ36,AQ34,AQ32,AQ28)-AQ42</f>
        <v>0</v>
      </c>
      <c r="AR44" s="88">
        <f>SUM(AR40,AR38,AR36,AR34,AR32,AR28)-AR42</f>
        <v>0</v>
      </c>
      <c r="AS44" s="88">
        <f>SUM(AS40,AS38,AS36,AS34,AS32,AS28)-AS42</f>
        <v>0</v>
      </c>
      <c r="AT44" s="88">
        <f>SUM(AT40,AT38,AT36,AT34,AT32,AT28)-AT42</f>
        <v>0</v>
      </c>
      <c r="AU44" s="88">
        <f>SUM(AU40,AU38,AU36,AU34,AU32,AU28)-AU42</f>
        <v>0</v>
      </c>
      <c r="AV44" s="88">
        <f>SUM(AV40,AV38,AV36,AV34,AV32,AV28)-AV42</f>
        <v>0</v>
      </c>
      <c r="AW44" s="88">
        <f>SUM(AW40,AW38,AW36,AW34,AW32,AW28)-AW42</f>
        <v>0</v>
      </c>
      <c r="AX44" s="88">
        <f>SUM(AX40,AX38,AX36,AX34,AX32,AX28)-AX42</f>
        <v>0</v>
      </c>
      <c r="AY44" s="88">
        <f>SUM(AY40,AY38,AY36,AY34,AY32,AY28)-AY42</f>
        <v>0</v>
      </c>
      <c r="AZ44" s="88">
        <f>SUM(AZ40,AZ38,AZ36,AZ34,AZ32,AZ28)-AZ42</f>
        <v>0</v>
      </c>
      <c r="BA44" s="90">
        <f>SUM(BA40,BA38,BA36,BA34,BA32,BA28)-BA42</f>
        <v>0</v>
      </c>
      <c r="BB44" s="89">
        <f>SUM(BB40,BB38,BB36,BB34,BB32,BB28)-BB42</f>
        <v>0</v>
      </c>
      <c r="BC44" s="88">
        <f>SUM(BC40,BC38,BC36,BC34,BC32,BC28)-BC42</f>
        <v>0</v>
      </c>
      <c r="BD44" s="88">
        <f>SUM(BD40,BD38,BD36,BD34,BD32,BD28)-BD42</f>
        <v>0</v>
      </c>
      <c r="BE44" s="88">
        <f>SUM(BE40,BE38,BE36,BE34,BE32,BE28)-BE42</f>
        <v>0</v>
      </c>
      <c r="BF44" s="88">
        <f>SUM(BF40,BF38,BF36,BF34,BF32,BF28)-BF42</f>
        <v>0</v>
      </c>
      <c r="BG44" s="88">
        <f>SUM(BG40,BG38,BG36,BG34,BG32,BG28)-BG42</f>
        <v>0</v>
      </c>
      <c r="BH44" s="88">
        <f>SUM(BH40,BH38,BH36,BH34,BH32,BH28)-BH42</f>
        <v>0</v>
      </c>
      <c r="BI44" s="88">
        <f>SUM(BI40,BI38,BI36,BI34,BI32,BI28)-BI42</f>
        <v>0</v>
      </c>
      <c r="BJ44" s="88">
        <f>SUM(BJ40,BJ38,BJ36,BJ34,BJ32,BJ28)-BJ42</f>
        <v>0</v>
      </c>
      <c r="BK44" s="88">
        <f>SUM(BK40,BK38,BK36,BK34,BK32,BK28)-BK42</f>
        <v>0</v>
      </c>
      <c r="BL44" s="88">
        <f>SUM(BL40,BL38,BL36,BL34,BL32,BL28)-BL42</f>
        <v>0</v>
      </c>
      <c r="BM44" s="88">
        <f>SUM(BM40,BM38,BM36,BM34,BM32,BM28)-BM42</f>
        <v>0</v>
      </c>
      <c r="BN44" s="88">
        <f>SUM(BN40,BN38,BN36,BN34,BN32,BN28)-BN42</f>
        <v>0</v>
      </c>
      <c r="BO44" s="88">
        <f>SUM(BO40,BO38,BO36,BO34,BO32,BO28)-BO42</f>
        <v>0</v>
      </c>
      <c r="BP44" s="88">
        <f>SUM(BP40,BP38,BP36,BP34,BP32,BP28)-BP42</f>
        <v>0</v>
      </c>
      <c r="BQ44" s="88">
        <f>SUM(BQ40,BQ38,BQ36,BQ34,BQ32,BQ28)-BQ42</f>
        <v>0</v>
      </c>
      <c r="BR44" s="88">
        <f>SUM(BR40,BR38,BR36,BR34,BR32,BR28)-BR42</f>
        <v>0</v>
      </c>
    </row>
    <row r="45" spans="1:70" x14ac:dyDescent="0.2">
      <c r="A45" s="271"/>
      <c r="B45" s="9"/>
      <c r="C45" s="94"/>
      <c r="D45" s="94"/>
      <c r="E45" s="94"/>
      <c r="F45" s="94"/>
      <c r="G45" s="94"/>
      <c r="H45" s="94"/>
      <c r="I45" s="94"/>
      <c r="J45" s="94"/>
      <c r="K45" s="94"/>
      <c r="L45" s="95"/>
      <c r="M45" s="83"/>
      <c r="N45" s="84"/>
      <c r="O45" s="84"/>
      <c r="P45" s="84"/>
      <c r="Q45" s="84"/>
      <c r="R45" s="46"/>
      <c r="S45" s="94"/>
      <c r="T45" s="94"/>
      <c r="U45" s="94"/>
      <c r="V45" s="94"/>
      <c r="W45" s="94"/>
      <c r="X45" s="94"/>
      <c r="Y45" s="94"/>
      <c r="Z45" s="94"/>
      <c r="AA45" s="94"/>
      <c r="AB45" s="94"/>
      <c r="AC45" s="94"/>
      <c r="AD45" s="94"/>
      <c r="AE45" s="94"/>
      <c r="AF45" s="94"/>
      <c r="AG45" s="94"/>
      <c r="AH45" s="94"/>
      <c r="AI45" s="94"/>
      <c r="AJ45" s="94"/>
      <c r="AK45" s="94"/>
      <c r="AL45" s="94"/>
      <c r="AM45" s="94"/>
      <c r="AN45" s="94"/>
      <c r="AO45" s="94"/>
      <c r="AP45" s="94"/>
      <c r="AQ45" s="94"/>
      <c r="AR45" s="94"/>
      <c r="AS45" s="94"/>
      <c r="AT45" s="94"/>
      <c r="AU45" s="94"/>
      <c r="AV45" s="94"/>
      <c r="AW45" s="94"/>
      <c r="AX45" s="94"/>
      <c r="AY45" s="94"/>
      <c r="AZ45" s="94"/>
      <c r="BA45" s="95"/>
      <c r="BB45" s="96"/>
      <c r="BC45" s="94"/>
      <c r="BD45" s="94"/>
      <c r="BE45" s="94"/>
      <c r="BF45" s="94"/>
      <c r="BG45" s="94"/>
      <c r="BH45" s="94"/>
      <c r="BI45" s="94"/>
      <c r="BJ45" s="94"/>
      <c r="BK45" s="94"/>
      <c r="BL45" s="94"/>
      <c r="BM45" s="94"/>
      <c r="BN45" s="94"/>
      <c r="BO45" s="94"/>
      <c r="BP45" s="94"/>
      <c r="BQ45" s="94"/>
      <c r="BR45" s="94"/>
    </row>
    <row r="46" spans="1:70" x14ac:dyDescent="0.2">
      <c r="A46" s="189" t="s">
        <v>117</v>
      </c>
      <c r="B46" s="42"/>
      <c r="C46" s="202"/>
      <c r="D46" s="145"/>
      <c r="E46" s="145"/>
      <c r="F46" s="145"/>
      <c r="G46" s="145"/>
      <c r="H46" s="145"/>
      <c r="I46" s="145">
        <v>-73.503</v>
      </c>
      <c r="J46" s="145">
        <v>-166.24299999999999</v>
      </c>
      <c r="K46" s="145">
        <v>8.952</v>
      </c>
      <c r="L46" s="145">
        <v>3.0710000000000002</v>
      </c>
      <c r="M46" s="86">
        <f>SUM(AY46:BB46)</f>
        <v>8.1578962488221425</v>
      </c>
      <c r="N46" s="72">
        <f>SUM(BC46:BF46)</f>
        <v>3.393737366814392</v>
      </c>
      <c r="O46" s="72">
        <f>SUM(BG46:BJ46)</f>
        <v>0.35750756843357578</v>
      </c>
      <c r="P46" s="72">
        <f>SUM(BK46:BN46)</f>
        <v>-1.7930004403495445</v>
      </c>
      <c r="Q46" s="72">
        <f>SUM(BO46:BR46)</f>
        <v>-5.2036288777248814</v>
      </c>
      <c r="R46" s="48"/>
      <c r="S46" s="145"/>
      <c r="T46" s="145"/>
      <c r="U46" s="145"/>
      <c r="V46" s="145"/>
      <c r="W46" s="145"/>
      <c r="X46" s="145"/>
      <c r="Y46" s="145"/>
      <c r="Z46" s="145"/>
      <c r="AA46" s="145"/>
      <c r="AB46" s="145"/>
      <c r="AC46" s="145"/>
      <c r="AD46" s="145"/>
      <c r="AE46" s="145">
        <v>17.399999999999999</v>
      </c>
      <c r="AF46" s="145">
        <v>12.5</v>
      </c>
      <c r="AG46" s="145">
        <v>6.9</v>
      </c>
      <c r="AH46" s="145">
        <v>-7.4</v>
      </c>
      <c r="AI46" s="145">
        <v>0.61399999999999999</v>
      </c>
      <c r="AJ46" s="145">
        <v>4.1989999999999998</v>
      </c>
      <c r="AK46" s="145">
        <v>2.3679999999999999</v>
      </c>
      <c r="AL46" s="145">
        <v>-80.7</v>
      </c>
      <c r="AM46" s="145">
        <v>-3.2450000000000001</v>
      </c>
      <c r="AN46" s="145">
        <v>-7.21</v>
      </c>
      <c r="AO46" s="145">
        <v>-4.1829999999999998</v>
      </c>
      <c r="AP46" s="145">
        <v>-151.6</v>
      </c>
      <c r="AQ46" s="145">
        <v>4.7919999999999998</v>
      </c>
      <c r="AR46" s="145">
        <v>2.7210000000000001</v>
      </c>
      <c r="AS46" s="145">
        <v>1.7869999999999999</v>
      </c>
      <c r="AT46" s="144">
        <f>K46-AS46-AR46-AQ46</f>
        <v>-0.34799999999999986</v>
      </c>
      <c r="AU46" s="145">
        <v>4.3529999999999998</v>
      </c>
      <c r="AV46" s="145">
        <v>2.3090000000000002</v>
      </c>
      <c r="AW46" s="145">
        <v>-0.746</v>
      </c>
      <c r="AX46" s="146">
        <f>L46-AW46-AV46-AU46</f>
        <v>-2.8449999999999998</v>
      </c>
      <c r="AY46" s="145">
        <v>3.1040000000000001</v>
      </c>
      <c r="AZ46" s="145">
        <v>2.552</v>
      </c>
      <c r="BA46" s="155">
        <v>3.073</v>
      </c>
      <c r="BB46" s="86">
        <f>BB16-BB42</f>
        <v>-0.5711037511778585</v>
      </c>
      <c r="BC46" s="72">
        <f>BC16-BC42</f>
        <v>1.1896467756692317</v>
      </c>
      <c r="BD46" s="72">
        <f>BD16-BD42</f>
        <v>1.0233230818582939</v>
      </c>
      <c r="BE46" s="72">
        <f>BE16-BE42</f>
        <v>2.3344758017762217</v>
      </c>
      <c r="BF46" s="72">
        <f>BF16-BF42</f>
        <v>-1.1537082924893554</v>
      </c>
      <c r="BG46" s="72">
        <f>BG16-BG42</f>
        <v>0.28470038758166538</v>
      </c>
      <c r="BH46" s="72">
        <f>BH16-BH42</f>
        <v>0.20100603105103687</v>
      </c>
      <c r="BI46" s="72">
        <f>BI16-BI42</f>
        <v>1.9801365794586303</v>
      </c>
      <c r="BJ46" s="72">
        <f>BJ16-BJ42</f>
        <v>-2.1083354296577568</v>
      </c>
      <c r="BK46" s="72">
        <f>BK16-BK42</f>
        <v>-0.1911720932763501</v>
      </c>
      <c r="BL46" s="72">
        <f>BL16-BL42</f>
        <v>-0.31404760297620271</v>
      </c>
      <c r="BM46" s="72">
        <f>BM16-BM42</f>
        <v>1.8039625021870478</v>
      </c>
      <c r="BN46" s="72">
        <f>BN16-BN42</f>
        <v>-3.0917432462840395</v>
      </c>
      <c r="BO46" s="72">
        <f>BO16-BO42</f>
        <v>-1.1628220825815703</v>
      </c>
      <c r="BP46" s="72">
        <f>BP16-BP42</f>
        <v>-1.2657625117845441</v>
      </c>
      <c r="BQ46" s="72">
        <f>BQ16-BQ42</f>
        <v>1.443250044133805</v>
      </c>
      <c r="BR46" s="72">
        <f>BR16-BR42</f>
        <v>-4.2182943274925719</v>
      </c>
    </row>
    <row r="47" spans="1:70" x14ac:dyDescent="0.2">
      <c r="A47" s="161" t="s">
        <v>6</v>
      </c>
      <c r="B47" s="12"/>
      <c r="C47" s="163"/>
      <c r="D47" s="163"/>
      <c r="E47" s="163"/>
      <c r="F47" s="163"/>
      <c r="G47" s="163"/>
      <c r="H47" s="163"/>
      <c r="I47" s="163">
        <f>I46/I16</f>
        <v>-0.34279278438980709</v>
      </c>
      <c r="J47" s="163">
        <f>J46/J16</f>
        <v>-0.77955761466427209</v>
      </c>
      <c r="K47" s="163">
        <f>K46/K16</f>
        <v>4.0183681439286821E-2</v>
      </c>
      <c r="L47" s="173">
        <f>L46/L16</f>
        <v>1.1858150113137024E-2</v>
      </c>
      <c r="M47" s="174">
        <f>M46/M16</f>
        <v>2.9606198829265438E-2</v>
      </c>
      <c r="N47" s="163">
        <f>N46/N16</f>
        <v>1.1390094197175821E-2</v>
      </c>
      <c r="O47" s="163">
        <f>O46/O16</f>
        <v>1.0218302233587612E-3</v>
      </c>
      <c r="P47" s="163">
        <f>P46/P16</f>
        <v>-4.4284620071291221E-3</v>
      </c>
      <c r="Q47" s="163">
        <f>Q46/Q16</f>
        <v>-1.1055792612500436E-2</v>
      </c>
      <c r="R47" s="300"/>
      <c r="S47" s="91"/>
      <c r="T47" s="91"/>
      <c r="U47" s="91"/>
      <c r="V47" s="91"/>
      <c r="W47" s="91"/>
      <c r="X47" s="91"/>
      <c r="Y47" s="91"/>
      <c r="Z47" s="91"/>
      <c r="AA47" s="91"/>
      <c r="AB47" s="91"/>
      <c r="AC47" s="91"/>
      <c r="AD47" s="91"/>
      <c r="AE47" s="91">
        <f>AE46/AE16</f>
        <v>0.29896907216494839</v>
      </c>
      <c r="AF47" s="91">
        <f>AF46/AF16</f>
        <v>0.2485089463220676</v>
      </c>
      <c r="AG47" s="91">
        <f>AG46/AG16</f>
        <v>0.13663366336633664</v>
      </c>
      <c r="AH47" s="91">
        <f>AH46/AH16</f>
        <v>-0.15416666666666667</v>
      </c>
      <c r="AI47" s="91">
        <f>AI46/AI16</f>
        <v>1.1154509946407484E-2</v>
      </c>
      <c r="AJ47" s="91">
        <f>AJ46/AJ16</f>
        <v>7.6529124444120425E-2</v>
      </c>
      <c r="AK47" s="91">
        <f>AK46/AK16</f>
        <v>4.386566141192598E-2</v>
      </c>
      <c r="AL47" s="91">
        <f>AL46/AL16</f>
        <v>-1.5980198019801981</v>
      </c>
      <c r="AM47" s="91">
        <f>AM46/AM16</f>
        <v>-6.7354394121798333E-2</v>
      </c>
      <c r="AN47" s="91">
        <f>AN46/AN16</f>
        <v>-0.13286893704850361</v>
      </c>
      <c r="AO47" s="91">
        <f>AO46/AO16</f>
        <v>-7.4406773631221307E-2</v>
      </c>
      <c r="AP47" s="91">
        <f>AP46/AP16</f>
        <v>-2.7765567765567765</v>
      </c>
      <c r="AQ47" s="91">
        <f>AQ46/AQ16</f>
        <v>8.6692235328171344E-2</v>
      </c>
      <c r="AR47" s="91">
        <f>AR46/AR16</f>
        <v>4.9379355400696864E-2</v>
      </c>
      <c r="AS47" s="91">
        <f>AS46/AS16</f>
        <v>3.2226069393349203E-2</v>
      </c>
      <c r="AT47" s="91">
        <f>AT46/AT16</f>
        <v>-6.111159891123011E-3</v>
      </c>
      <c r="AU47" s="91">
        <f>AU46/AU16</f>
        <v>7.2288556387731032E-2</v>
      </c>
      <c r="AV47" s="91">
        <f>AV46/AV16</f>
        <v>3.5012434038939777E-2</v>
      </c>
      <c r="AW47" s="91">
        <f>AW46/AW16</f>
        <v>-1.1330670271419676E-2</v>
      </c>
      <c r="AX47" s="91">
        <f>AX46/AX16</f>
        <v>-4.2479171021590462E-2</v>
      </c>
      <c r="AY47" s="91">
        <f>AY46/AY16</f>
        <v>4.6034971153988753E-2</v>
      </c>
      <c r="AZ47" s="91">
        <f>AZ46/AZ16</f>
        <v>3.6783464737168307E-2</v>
      </c>
      <c r="BA47" s="93">
        <f>BA46/BA16</f>
        <v>4.436071773995641E-2</v>
      </c>
      <c r="BB47" s="92">
        <f>BB46/BB16</f>
        <v>-8.2211174896985404E-3</v>
      </c>
      <c r="BC47" s="91">
        <f>BC46/BC16</f>
        <v>1.6739264695271032E-2</v>
      </c>
      <c r="BD47" s="91">
        <f>BD46/BD16</f>
        <v>1.4142626551504382E-2</v>
      </c>
      <c r="BE47" s="91">
        <f>BE46/BE16</f>
        <v>3.1725264588128944E-2</v>
      </c>
      <c r="BF47" s="91">
        <f>BF46/BF16</f>
        <v>-1.4253088129614037E-2</v>
      </c>
      <c r="BG47" s="91">
        <f>BG46/BG16</f>
        <v>3.4139279260019455E-3</v>
      </c>
      <c r="BH47" s="91">
        <f>BH46/BH16</f>
        <v>2.3511856801593633E-3</v>
      </c>
      <c r="BI47" s="91">
        <f>BI46/BI16</f>
        <v>2.3025633084509545E-2</v>
      </c>
      <c r="BJ47" s="91">
        <f>BJ46/BJ16</f>
        <v>-2.2195891752242528E-2</v>
      </c>
      <c r="BK47" s="91">
        <f>BK46/BK16</f>
        <v>-1.9852596328361802E-3</v>
      </c>
      <c r="BL47" s="91">
        <f>BL46/BL16</f>
        <v>-3.1770517684405297E-3</v>
      </c>
      <c r="BM47" s="91">
        <f>BM46/BM16</f>
        <v>1.8181033019667781E-2</v>
      </c>
      <c r="BN47" s="91">
        <f>BN46/BN16</f>
        <v>-2.7975948298814318E-2</v>
      </c>
      <c r="BO47" s="91">
        <f>BO46/BO16</f>
        <v>-1.0338648462297284E-2</v>
      </c>
      <c r="BP47" s="91">
        <f>BP46/BP16</f>
        <v>-1.0977497028818757E-2</v>
      </c>
      <c r="BQ47" s="91">
        <f>BQ46/BQ16</f>
        <v>1.2575286842624734E-2</v>
      </c>
      <c r="BR47" s="91">
        <f>BR46/BR16</f>
        <v>-3.2923881617297618E-2</v>
      </c>
    </row>
    <row r="48" spans="1:70" x14ac:dyDescent="0.2">
      <c r="A48" s="189" t="s">
        <v>219</v>
      </c>
      <c r="B48" s="42"/>
      <c r="C48" s="202"/>
      <c r="D48" s="145"/>
      <c r="E48" s="145"/>
      <c r="F48" s="145"/>
      <c r="G48" s="145"/>
      <c r="H48" s="145"/>
      <c r="I48" s="144">
        <f>SUM(AI48:AL48)</f>
        <v>122.8</v>
      </c>
      <c r="J48" s="144">
        <f>SUM(AM48:AP48)</f>
        <v>116</v>
      </c>
      <c r="K48" s="145">
        <v>115.986</v>
      </c>
      <c r="L48" s="145">
        <v>126.745</v>
      </c>
      <c r="M48" s="86">
        <f>SUM(AY48:BB48)</f>
        <v>137.09734630550116</v>
      </c>
      <c r="N48" s="72">
        <f>SUM(BC48:BF48)</f>
        <v>148.8205884066119</v>
      </c>
      <c r="O48" s="72">
        <f>SUM(BG48:BJ48)</f>
        <v>174.75056923006147</v>
      </c>
      <c r="P48" s="72">
        <f>SUM(BK48:BN48)</f>
        <v>202.22720333692166</v>
      </c>
      <c r="Q48" s="72">
        <f>SUM(BO48:BR48)</f>
        <v>235.08695700740188</v>
      </c>
      <c r="R48" s="48"/>
      <c r="S48" s="145"/>
      <c r="T48" s="145"/>
      <c r="U48" s="145"/>
      <c r="V48" s="145"/>
      <c r="W48" s="145"/>
      <c r="X48" s="145"/>
      <c r="Y48" s="145"/>
      <c r="Z48" s="145"/>
      <c r="AA48" s="145"/>
      <c r="AB48" s="145"/>
      <c r="AC48" s="145"/>
      <c r="AD48" s="145"/>
      <c r="AE48" s="145">
        <v>32</v>
      </c>
      <c r="AF48" s="145">
        <v>27.9</v>
      </c>
      <c r="AG48" s="145">
        <v>28.2</v>
      </c>
      <c r="AH48" s="145">
        <v>22.8</v>
      </c>
      <c r="AI48" s="145">
        <v>30.6</v>
      </c>
      <c r="AJ48" s="145">
        <v>33.5</v>
      </c>
      <c r="AK48" s="145">
        <v>32.200000000000003</v>
      </c>
      <c r="AL48" s="145">
        <v>26.5</v>
      </c>
      <c r="AM48" s="145">
        <v>28.4</v>
      </c>
      <c r="AN48" s="145">
        <v>30</v>
      </c>
      <c r="AO48" s="145">
        <v>29.2</v>
      </c>
      <c r="AP48" s="145">
        <v>28.4</v>
      </c>
      <c r="AQ48" s="145">
        <v>30.1</v>
      </c>
      <c r="AR48" s="145">
        <v>29.2</v>
      </c>
      <c r="AS48" s="145">
        <v>29.4</v>
      </c>
      <c r="AT48" s="145">
        <v>27.2</v>
      </c>
      <c r="AU48" s="145">
        <v>31.7</v>
      </c>
      <c r="AV48" s="145">
        <v>33.700000000000003</v>
      </c>
      <c r="AW48" s="145">
        <v>31.8</v>
      </c>
      <c r="AX48" s="145">
        <v>29.6</v>
      </c>
      <c r="AY48" s="145">
        <v>33.1</v>
      </c>
      <c r="AZ48" s="145">
        <v>34.700000000000003</v>
      </c>
      <c r="BA48" s="155">
        <v>34.6</v>
      </c>
      <c r="BB48" s="86">
        <f>BB49*BB16</f>
        <v>34.697346305501149</v>
      </c>
      <c r="BC48" s="72">
        <f>BC49*BC16</f>
        <v>35.497172235380411</v>
      </c>
      <c r="BD48" s="72">
        <f>BD49*BD16</f>
        <v>36.140553475285323</v>
      </c>
      <c r="BE48" s="72">
        <f>BE49*BE16</f>
        <v>36.753290439921663</v>
      </c>
      <c r="BF48" s="72">
        <f>BF49*BF16</f>
        <v>40.429572256024507</v>
      </c>
      <c r="BG48" s="72">
        <f>BG49*BG16</f>
        <v>41.652954604628455</v>
      </c>
      <c r="BH48" s="72">
        <f>BH49*BH16</f>
        <v>42.700628083780195</v>
      </c>
      <c r="BI48" s="72">
        <f>BI49*BI16</f>
        <v>42.953214381829696</v>
      </c>
      <c r="BJ48" s="72">
        <f>BJ49*BJ16</f>
        <v>47.443772159823133</v>
      </c>
      <c r="BK48" s="72">
        <f>BK49*BK16</f>
        <v>48.097143732502623</v>
      </c>
      <c r="BL48" s="72">
        <f>BL49*BL16</f>
        <v>49.372292610722248</v>
      </c>
      <c r="BM48" s="72">
        <f>BM49*BM16</f>
        <v>49.558830942679741</v>
      </c>
      <c r="BN48" s="72">
        <f>BN49*BN16</f>
        <v>55.198936051017071</v>
      </c>
      <c r="BO48" s="72">
        <f>BO49*BO16</f>
        <v>56.177396059887045</v>
      </c>
      <c r="BP48" s="72">
        <f>BP49*BP16</f>
        <v>57.591846569064764</v>
      </c>
      <c r="BQ48" s="72">
        <f>BQ49*BQ16</f>
        <v>57.323906918947145</v>
      </c>
      <c r="BR48" s="72">
        <f>BR49*BR16</f>
        <v>63.993807459502911</v>
      </c>
    </row>
    <row r="49" spans="1:70" x14ac:dyDescent="0.2">
      <c r="A49" s="161" t="s">
        <v>6</v>
      </c>
      <c r="B49" s="12"/>
      <c r="C49" s="163"/>
      <c r="D49" s="163"/>
      <c r="E49" s="163"/>
      <c r="F49" s="163"/>
      <c r="G49" s="163"/>
      <c r="H49" s="163"/>
      <c r="I49" s="163">
        <f>I48/I16</f>
        <v>0.57269708614707304</v>
      </c>
      <c r="J49" s="163">
        <f>J48/J16</f>
        <v>0.54395483299179848</v>
      </c>
      <c r="K49" s="163">
        <f>K48/K16</f>
        <v>0.52063722915740862</v>
      </c>
      <c r="L49" s="173">
        <f>L48/L16</f>
        <v>0.48940450540200325</v>
      </c>
      <c r="M49" s="174">
        <f>M48/M16</f>
        <v>0.49754632443031688</v>
      </c>
      <c r="N49" s="163">
        <f>N48/N16</f>
        <v>0.49947309918727356</v>
      </c>
      <c r="O49" s="163">
        <f>O48/O16</f>
        <v>0.49947309918727356</v>
      </c>
      <c r="P49" s="163">
        <f>P48/P16</f>
        <v>0.49947309918727351</v>
      </c>
      <c r="Q49" s="163">
        <f>Q48/Q16</f>
        <v>0.49947309918727367</v>
      </c>
      <c r="R49" s="300"/>
      <c r="S49" s="91"/>
      <c r="T49" s="91"/>
      <c r="U49" s="91"/>
      <c r="V49" s="91"/>
      <c r="W49" s="91"/>
      <c r="X49" s="91"/>
      <c r="Y49" s="91"/>
      <c r="Z49" s="91"/>
      <c r="AA49" s="91"/>
      <c r="AB49" s="91"/>
      <c r="AC49" s="91"/>
      <c r="AD49" s="91"/>
      <c r="AE49" s="91">
        <f>AE48/AE16</f>
        <v>0.54982817869415801</v>
      </c>
      <c r="AF49" s="91">
        <f>AF48/AF16</f>
        <v>0.55467196819085485</v>
      </c>
      <c r="AG49" s="91">
        <f>AG48/AG16</f>
        <v>0.55841584158415836</v>
      </c>
      <c r="AH49" s="91">
        <f>AH48/AH16</f>
        <v>0.47500000000000003</v>
      </c>
      <c r="AI49" s="91">
        <f>AI48/AI16</f>
        <v>0.5559088018893632</v>
      </c>
      <c r="AJ49" s="91">
        <f>AJ48/AJ16</f>
        <v>0.61055624407669318</v>
      </c>
      <c r="AK49" s="91">
        <f>AK48/AK16</f>
        <v>0.59648407832095296</v>
      </c>
      <c r="AL49" s="91">
        <f>AL48/AL16</f>
        <v>0.52475247524752477</v>
      </c>
      <c r="AM49" s="91">
        <f>AM48/AM16</f>
        <v>0.58948067582714103</v>
      </c>
      <c r="AN49" s="91">
        <f>AN48/AN16</f>
        <v>0.55285272003538255</v>
      </c>
      <c r="AO49" s="91">
        <f>AO48/AO16</f>
        <v>0.51940659575225012</v>
      </c>
      <c r="AP49" s="91">
        <f>AP48/AP16</f>
        <v>0.52014652014652007</v>
      </c>
      <c r="AQ49" s="91">
        <f>AQ48/AQ16</f>
        <v>0.54454012591359724</v>
      </c>
      <c r="AR49" s="91">
        <f>AR48/AR16</f>
        <v>0.5299070847851336</v>
      </c>
      <c r="AS49" s="91">
        <f>AS48/AS16</f>
        <v>0.53018827093702658</v>
      </c>
      <c r="AT49" s="91">
        <f>AT48/AT16</f>
        <v>0.47765387654754587</v>
      </c>
      <c r="AU49" s="91">
        <f>AU48/AU16</f>
        <v>0.52642941362073836</v>
      </c>
      <c r="AV49" s="91">
        <f>AV48/AV16</f>
        <v>0.51100867350033374</v>
      </c>
      <c r="AW49" s="91">
        <f>AW48/AW16</f>
        <v>0.48299640030984675</v>
      </c>
      <c r="AX49" s="91">
        <f>AX48/AX16</f>
        <v>0.44196255263236478</v>
      </c>
      <c r="AY49" s="91">
        <f>AY48/AY16</f>
        <v>0.49090127100419712</v>
      </c>
      <c r="AZ49" s="91">
        <f>AZ48/AZ16</f>
        <v>0.50015134262529004</v>
      </c>
      <c r="BA49" s="93">
        <f>BA48/BA16</f>
        <v>0.49947309918727362</v>
      </c>
      <c r="BB49" s="248">
        <f>BA49</f>
        <v>0.49947309918727362</v>
      </c>
      <c r="BC49" s="215">
        <f>BB49</f>
        <v>0.49947309918727362</v>
      </c>
      <c r="BD49" s="215">
        <f>BC49</f>
        <v>0.49947309918727362</v>
      </c>
      <c r="BE49" s="215">
        <f>BD49</f>
        <v>0.49947309918727362</v>
      </c>
      <c r="BF49" s="215">
        <f>BE49</f>
        <v>0.49947309918727362</v>
      </c>
      <c r="BG49" s="215">
        <f>BF49</f>
        <v>0.49947309918727362</v>
      </c>
      <c r="BH49" s="215">
        <f>BG49</f>
        <v>0.49947309918727362</v>
      </c>
      <c r="BI49" s="215">
        <f>BH49</f>
        <v>0.49947309918727362</v>
      </c>
      <c r="BJ49" s="215">
        <f>BI49</f>
        <v>0.49947309918727362</v>
      </c>
      <c r="BK49" s="215">
        <f>BJ49</f>
        <v>0.49947309918727362</v>
      </c>
      <c r="BL49" s="215">
        <f>BK49</f>
        <v>0.49947309918727362</v>
      </c>
      <c r="BM49" s="215">
        <f>BL49</f>
        <v>0.49947309918727362</v>
      </c>
      <c r="BN49" s="215">
        <f>BM49</f>
        <v>0.49947309918727362</v>
      </c>
      <c r="BO49" s="215">
        <f>BN49</f>
        <v>0.49947309918727362</v>
      </c>
      <c r="BP49" s="215">
        <f>BO49</f>
        <v>0.49947309918727362</v>
      </c>
      <c r="BQ49" s="215">
        <f>BP49</f>
        <v>0.49947309918727362</v>
      </c>
      <c r="BR49" s="215">
        <f>BQ49</f>
        <v>0.49947309918727362</v>
      </c>
    </row>
    <row r="50" spans="1:70" x14ac:dyDescent="0.2">
      <c r="A50" s="271"/>
      <c r="B50" s="9"/>
      <c r="C50" s="94"/>
      <c r="D50" s="94"/>
      <c r="E50" s="94"/>
      <c r="F50" s="94"/>
      <c r="G50" s="94"/>
      <c r="H50" s="94"/>
      <c r="I50" s="94"/>
      <c r="J50" s="94"/>
      <c r="K50" s="94"/>
      <c r="L50" s="95"/>
      <c r="M50" s="83"/>
      <c r="N50" s="84"/>
      <c r="O50" s="84"/>
      <c r="P50" s="84"/>
      <c r="Q50" s="84"/>
      <c r="R50" s="46"/>
      <c r="S50" s="94"/>
      <c r="T50" s="94"/>
      <c r="U50" s="94"/>
      <c r="V50" s="94"/>
      <c r="W50" s="94"/>
      <c r="X50" s="94"/>
      <c r="Y50" s="94"/>
      <c r="Z50" s="94"/>
      <c r="AA50" s="94"/>
      <c r="AB50" s="94"/>
      <c r="AC50" s="94"/>
      <c r="AD50" s="94"/>
      <c r="AE50" s="94"/>
      <c r="AF50" s="94"/>
      <c r="AG50" s="94"/>
      <c r="AH50" s="94"/>
      <c r="AI50" s="94"/>
      <c r="AJ50" s="94"/>
      <c r="AK50" s="94"/>
      <c r="AL50" s="94"/>
      <c r="AM50" s="94"/>
      <c r="AN50" s="94"/>
      <c r="AO50" s="94"/>
      <c r="AP50" s="94"/>
      <c r="AQ50" s="94"/>
      <c r="AR50" s="94"/>
      <c r="AS50" s="94"/>
      <c r="AT50" s="94"/>
      <c r="AU50" s="94"/>
      <c r="AV50" s="94"/>
      <c r="AW50" s="94"/>
      <c r="AX50" s="94"/>
      <c r="AY50" s="94"/>
      <c r="AZ50" s="94"/>
      <c r="BA50" s="95"/>
      <c r="BB50" s="96"/>
      <c r="BC50" s="94"/>
      <c r="BD50" s="94"/>
      <c r="BE50" s="94"/>
      <c r="BF50" s="94"/>
      <c r="BG50" s="94"/>
      <c r="BH50" s="94"/>
      <c r="BI50" s="94"/>
      <c r="BJ50" s="94"/>
      <c r="BK50" s="94"/>
      <c r="BL50" s="94"/>
      <c r="BM50" s="94"/>
      <c r="BN50" s="94"/>
      <c r="BO50" s="94"/>
      <c r="BP50" s="94"/>
      <c r="BQ50" s="94"/>
      <c r="BR50" s="94"/>
    </row>
    <row r="51" spans="1:70" x14ac:dyDescent="0.2">
      <c r="A51" s="189" t="s">
        <v>220</v>
      </c>
      <c r="B51" s="24"/>
      <c r="C51" s="76"/>
      <c r="D51" s="76"/>
      <c r="E51" s="76"/>
      <c r="F51" s="76"/>
      <c r="G51" s="76"/>
      <c r="H51" s="76"/>
      <c r="I51" s="76"/>
      <c r="J51" s="76"/>
      <c r="K51" s="76"/>
      <c r="L51" s="78"/>
      <c r="M51" s="77"/>
      <c r="N51" s="76"/>
      <c r="O51" s="76"/>
      <c r="P51" s="76"/>
      <c r="Q51" s="76"/>
      <c r="R51" s="48"/>
      <c r="S51" s="76"/>
      <c r="T51" s="76"/>
      <c r="U51" s="76"/>
      <c r="V51" s="76"/>
      <c r="W51" s="76"/>
      <c r="X51" s="76"/>
      <c r="Y51" s="76"/>
      <c r="Z51" s="76"/>
      <c r="AA51" s="76"/>
      <c r="AB51" s="76"/>
      <c r="AC51" s="76"/>
      <c r="AD51" s="76"/>
      <c r="AE51" s="76"/>
      <c r="AF51" s="76"/>
      <c r="AG51" s="76"/>
      <c r="AH51" s="76"/>
      <c r="AI51" s="76"/>
      <c r="AJ51" s="76"/>
      <c r="AK51" s="76"/>
      <c r="AL51" s="76"/>
      <c r="AM51" s="76"/>
      <c r="AN51" s="76"/>
      <c r="AO51" s="76"/>
      <c r="AP51" s="76"/>
      <c r="AQ51" s="76"/>
      <c r="AR51" s="76"/>
      <c r="AS51" s="76"/>
      <c r="AT51" s="76"/>
      <c r="AU51" s="76"/>
      <c r="AV51" s="76"/>
      <c r="AW51" s="76"/>
      <c r="AX51" s="76"/>
      <c r="AY51" s="76"/>
      <c r="AZ51" s="76"/>
      <c r="BA51" s="78"/>
      <c r="BB51" s="79"/>
      <c r="BC51" s="80"/>
      <c r="BD51" s="80"/>
      <c r="BE51" s="80"/>
      <c r="BF51" s="80"/>
      <c r="BG51" s="80"/>
      <c r="BH51" s="80"/>
      <c r="BI51" s="80"/>
      <c r="BJ51" s="80"/>
      <c r="BK51" s="80"/>
      <c r="BL51" s="80"/>
      <c r="BM51" s="80"/>
      <c r="BN51" s="80"/>
      <c r="BO51" s="80"/>
      <c r="BP51" s="80"/>
      <c r="BQ51" s="80"/>
      <c r="BR51" s="80"/>
    </row>
    <row r="52" spans="1:70" x14ac:dyDescent="0.2">
      <c r="A52" s="168" t="s">
        <v>221</v>
      </c>
      <c r="B52" s="24"/>
      <c r="C52" s="141"/>
      <c r="D52" s="142"/>
      <c r="E52" s="142"/>
      <c r="F52" s="142"/>
      <c r="G52" s="142"/>
      <c r="H52" s="146">
        <f>SUM(AE52:AH52)</f>
        <v>2859</v>
      </c>
      <c r="I52" s="146">
        <f>SUM(AI52:AL52)</f>
        <v>2798</v>
      </c>
      <c r="J52" s="146">
        <f>SUM(AM52:AP52)</f>
        <v>2954</v>
      </c>
      <c r="K52" s="146">
        <f>SUM(AQ52:AT52)</f>
        <v>3647</v>
      </c>
      <c r="L52" s="146">
        <f>SUM(AU52:AX52)</f>
        <v>4513</v>
      </c>
      <c r="M52" s="77">
        <f>SUM(AY52:BB52)</f>
        <v>4944.8106824341339</v>
      </c>
      <c r="N52" s="76">
        <f>SUM(BC52:BF52)</f>
        <v>5914.8680927667983</v>
      </c>
      <c r="O52" s="76">
        <f>SUM(BG52:BJ52)</f>
        <v>7323.588421553357</v>
      </c>
      <c r="P52" s="76">
        <f>SUM(BK52:BN52)</f>
        <v>8647.8159071499067</v>
      </c>
      <c r="Q52" s="76">
        <f>SUM(BO52:BR52)</f>
        <v>10298.597702533454</v>
      </c>
      <c r="R52" s="48"/>
      <c r="S52" s="142"/>
      <c r="T52" s="142"/>
      <c r="U52" s="142"/>
      <c r="V52" s="142"/>
      <c r="W52" s="142"/>
      <c r="X52" s="142"/>
      <c r="Y52" s="142"/>
      <c r="Z52" s="142"/>
      <c r="AA52" s="142"/>
      <c r="AB52" s="142"/>
      <c r="AC52" s="142"/>
      <c r="AD52" s="142"/>
      <c r="AE52" s="142">
        <v>1094</v>
      </c>
      <c r="AF52" s="142">
        <v>616</v>
      </c>
      <c r="AG52" s="142">
        <v>612</v>
      </c>
      <c r="AH52" s="142">
        <v>537</v>
      </c>
      <c r="AI52" s="142">
        <v>822</v>
      </c>
      <c r="AJ52" s="142">
        <v>744</v>
      </c>
      <c r="AK52" s="142">
        <v>587</v>
      </c>
      <c r="AL52" s="142">
        <v>645</v>
      </c>
      <c r="AM52" s="142">
        <v>432</v>
      </c>
      <c r="AN52" s="142">
        <v>819</v>
      </c>
      <c r="AO52" s="142">
        <v>783</v>
      </c>
      <c r="AP52" s="142">
        <v>920</v>
      </c>
      <c r="AQ52" s="142">
        <v>1018</v>
      </c>
      <c r="AR52" s="142">
        <v>886</v>
      </c>
      <c r="AS52" s="142">
        <v>817</v>
      </c>
      <c r="AT52" s="142">
        <v>926</v>
      </c>
      <c r="AU52" s="142">
        <v>1063</v>
      </c>
      <c r="AV52" s="142">
        <v>1108</v>
      </c>
      <c r="AW52" s="142">
        <v>1165</v>
      </c>
      <c r="AX52" s="142">
        <v>1177</v>
      </c>
      <c r="AY52" s="142">
        <v>1259</v>
      </c>
      <c r="AZ52" s="142">
        <v>1270</v>
      </c>
      <c r="BA52" s="153">
        <v>1040</v>
      </c>
      <c r="BB52" s="77">
        <f>AX52*(1+BB53)</f>
        <v>1375.8106824341337</v>
      </c>
      <c r="BC52" s="76">
        <f>AY52*(1+BC53)</f>
        <v>1499.32920253406</v>
      </c>
      <c r="BD52" s="76">
        <f>AZ52*(1+BD53)</f>
        <v>1511.2991325429509</v>
      </c>
      <c r="BE52" s="76">
        <f>BA52*(1+BE53)</f>
        <v>1250.2352343663238</v>
      </c>
      <c r="BF52" s="76">
        <f>BB52*(1+BF53)</f>
        <v>1654.0045233234639</v>
      </c>
      <c r="BG52" s="76">
        <f>BC52*(1+BG53)</f>
        <v>1855.8952614530101</v>
      </c>
      <c r="BH52" s="76">
        <f>BD52*(1+BH53)</f>
        <v>1881.6099507600791</v>
      </c>
      <c r="BI52" s="76">
        <f>BE52*(1+BI53)</f>
        <v>1550.7300391675085</v>
      </c>
      <c r="BJ52" s="76">
        <f>BF52*(1+BJ53)</f>
        <v>2035.3531701727588</v>
      </c>
      <c r="BK52" s="76">
        <f>BG52*(1+BK53)</f>
        <v>2173.8135395922964</v>
      </c>
      <c r="BL52" s="76">
        <f>BH52*(1+BL53)</f>
        <v>2212.7960569110496</v>
      </c>
      <c r="BM52" s="76">
        <f>BI52*(1+BM53)</f>
        <v>1834.4988743909105</v>
      </c>
      <c r="BN52" s="76">
        <f>BJ52*(1+BN53)</f>
        <v>2426.7074362556514</v>
      </c>
      <c r="BO52" s="76">
        <f>BK52*(1+BO53)</f>
        <v>2608.732059690939</v>
      </c>
      <c r="BP52" s="76">
        <f>BL52*(1+BP53)</f>
        <v>2649.6333507893387</v>
      </c>
      <c r="BQ52" s="76">
        <f>BM52*(1+BQ53)</f>
        <v>2174.5893580090979</v>
      </c>
      <c r="BR52" s="76">
        <f>BN52*(1+BR53)</f>
        <v>2865.6429340440786</v>
      </c>
    </row>
    <row r="53" spans="1:70" x14ac:dyDescent="0.2">
      <c r="A53" s="161" t="s">
        <v>4</v>
      </c>
      <c r="B53" s="12"/>
      <c r="C53" s="163"/>
      <c r="D53" s="163"/>
      <c r="E53" s="163"/>
      <c r="F53" s="163"/>
      <c r="G53" s="163"/>
      <c r="H53" s="163"/>
      <c r="I53" s="212" t="s">
        <v>99</v>
      </c>
      <c r="J53" s="163">
        <f>J52/I52-1</f>
        <v>5.5754110078627628E-2</v>
      </c>
      <c r="K53" s="163">
        <f>K52/J52-1</f>
        <v>0.23459715639810419</v>
      </c>
      <c r="L53" s="173">
        <f>L52/K52-1</f>
        <v>0.23745544282972308</v>
      </c>
      <c r="M53" s="174">
        <f>M52/L52-1</f>
        <v>9.5681516160898372E-2</v>
      </c>
      <c r="N53" s="163">
        <f>N52/M52-1</f>
        <v>0.19617685542111474</v>
      </c>
      <c r="O53" s="163">
        <f>O52/N52-1</f>
        <v>0.23816597541866757</v>
      </c>
      <c r="P53" s="163">
        <f>P52/O52-1</f>
        <v>0.18081675394255381</v>
      </c>
      <c r="Q53" s="163">
        <f>Q52/P52-1</f>
        <v>0.19089002507774255</v>
      </c>
      <c r="R53" s="300"/>
      <c r="S53" s="91"/>
      <c r="T53" s="91"/>
      <c r="U53" s="91"/>
      <c r="V53" s="91"/>
      <c r="W53" s="91"/>
      <c r="X53" s="91"/>
      <c r="Y53" s="91"/>
      <c r="Z53" s="91"/>
      <c r="AA53" s="91"/>
      <c r="AB53" s="91"/>
      <c r="AC53" s="91"/>
      <c r="AD53" s="91"/>
      <c r="AE53" s="91"/>
      <c r="AF53" s="91"/>
      <c r="AG53" s="91"/>
      <c r="AH53" s="91"/>
      <c r="AI53" s="91">
        <f>AI52/AE52-1</f>
        <v>-0.24862888482632539</v>
      </c>
      <c r="AJ53" s="91">
        <f>AJ52/AF52-1</f>
        <v>0.20779220779220786</v>
      </c>
      <c r="AK53" s="91">
        <f>AK52/AG52-1</f>
        <v>-4.0849673202614345E-2</v>
      </c>
      <c r="AL53" s="91">
        <f>AL52/AH52-1</f>
        <v>0.2011173184357542</v>
      </c>
      <c r="AM53" s="91">
        <f>AM52/AI52-1</f>
        <v>-0.47445255474452552</v>
      </c>
      <c r="AN53" s="91">
        <f>AN52/AJ52-1</f>
        <v>0.10080645161290325</v>
      </c>
      <c r="AO53" s="91">
        <f>AO52/AK52-1</f>
        <v>0.33390119250425898</v>
      </c>
      <c r="AP53" s="91">
        <f>AP52/AL52-1</f>
        <v>0.42635658914728691</v>
      </c>
      <c r="AQ53" s="91">
        <f>AQ52/AM52-1</f>
        <v>1.3564814814814814</v>
      </c>
      <c r="AR53" s="91">
        <f>AR52/AN52-1</f>
        <v>8.1807081807081738E-2</v>
      </c>
      <c r="AS53" s="91">
        <f>AS52/AO52-1</f>
        <v>4.3422733077905562E-2</v>
      </c>
      <c r="AT53" s="91">
        <f>AT52/AP52-1</f>
        <v>6.521739130434856E-3</v>
      </c>
      <c r="AU53" s="91">
        <f>AU52/AQ52-1</f>
        <v>4.4204322200392943E-2</v>
      </c>
      <c r="AV53" s="91">
        <f>AV52/AR52-1</f>
        <v>0.25056433408577883</v>
      </c>
      <c r="AW53" s="91">
        <f>AW52/AS52-1</f>
        <v>0.42594859241126071</v>
      </c>
      <c r="AX53" s="91">
        <f>AX52/AT52-1</f>
        <v>0.2710583153347732</v>
      </c>
      <c r="AY53" s="91">
        <f>AY52/AU52-1</f>
        <v>0.18438381937911563</v>
      </c>
      <c r="AZ53" s="91">
        <f>AZ52/AV52-1</f>
        <v>0.14620938628158853</v>
      </c>
      <c r="BA53" s="93">
        <f>BA52/AW52-1</f>
        <v>-0.10729613733905574</v>
      </c>
      <c r="BB53" s="248">
        <f>AVERAGE(AI53:BA53)</f>
        <v>0.16891306918787916</v>
      </c>
      <c r="BC53" s="215">
        <f>AVERAGE(AJ53:BB53)</f>
        <v>0.19088896150441623</v>
      </c>
      <c r="BD53" s="215">
        <f>AVERAGE(AK53:BC53)</f>
        <v>0.18999931696295352</v>
      </c>
      <c r="BE53" s="215">
        <f>AVERAGE(AL53:BD53)</f>
        <v>0.20214926381377288</v>
      </c>
      <c r="BF53" s="215">
        <f>AVERAGE(AM53:BE53)</f>
        <v>0.20220357672840544</v>
      </c>
      <c r="BG53" s="215">
        <f>AVERAGE(AN53:BF53)</f>
        <v>0.2378170573322439</v>
      </c>
      <c r="BH53" s="215">
        <f>AVERAGE(AO53:BG53)</f>
        <v>0.24502814184378813</v>
      </c>
      <c r="BI53" s="215">
        <f>AVERAGE(AP53:BH53)</f>
        <v>0.24035061286165807</v>
      </c>
      <c r="BJ53" s="215">
        <f>AVERAGE(AQ53:BI53)</f>
        <v>0.2305608246360987</v>
      </c>
      <c r="BK53" s="215">
        <f>AVERAGE(AR53:BJ53)</f>
        <v>0.17130184269686802</v>
      </c>
      <c r="BL53" s="215">
        <f>AVERAGE(AS53:BK53)</f>
        <v>0.17601209327001466</v>
      </c>
      <c r="BM53" s="215">
        <f>AVERAGE(AT53:BL53)</f>
        <v>0.18299048064854673</v>
      </c>
      <c r="BN53" s="215">
        <f>AVERAGE(AU53:BM53)</f>
        <v>0.1922783091495</v>
      </c>
      <c r="BO53" s="215">
        <f>AVERAGE(AV53:BN53)</f>
        <v>0.20007167688366354</v>
      </c>
      <c r="BP53" s="215">
        <f>AVERAGE(AW53:BO53)</f>
        <v>0.19741416860986796</v>
      </c>
      <c r="BQ53" s="215">
        <f>AVERAGE(AX53:BP53)</f>
        <v>0.18538604104137363</v>
      </c>
      <c r="BR53" s="215">
        <f>AVERAGE(AY53:BQ53)</f>
        <v>0.18087697397330002</v>
      </c>
    </row>
    <row r="54" spans="1:70" x14ac:dyDescent="0.2">
      <c r="A54" s="161" t="s">
        <v>5</v>
      </c>
      <c r="B54" s="12"/>
      <c r="C54" s="163"/>
      <c r="D54" s="163"/>
      <c r="E54" s="163"/>
      <c r="F54" s="163"/>
      <c r="G54" s="163"/>
      <c r="H54" s="163"/>
      <c r="I54" s="163"/>
      <c r="J54" s="163"/>
      <c r="K54" s="163"/>
      <c r="L54" s="173"/>
      <c r="M54" s="174"/>
      <c r="N54" s="163"/>
      <c r="O54" s="163"/>
      <c r="P54" s="163"/>
      <c r="Q54" s="163"/>
      <c r="R54" s="300"/>
      <c r="S54" s="91"/>
      <c r="T54" s="91"/>
      <c r="U54" s="91"/>
      <c r="V54" s="91"/>
      <c r="W54" s="91"/>
      <c r="X54" s="91"/>
      <c r="Y54" s="91"/>
      <c r="Z54" s="91"/>
      <c r="AA54" s="91"/>
      <c r="AB54" s="91"/>
      <c r="AC54" s="91"/>
      <c r="AD54" s="91"/>
      <c r="AE54" s="91"/>
      <c r="AF54" s="91"/>
      <c r="AG54" s="91">
        <f>AG52/AF52-1</f>
        <v>-6.4935064935064402E-3</v>
      </c>
      <c r="AH54" s="91">
        <f>AH52/AG52-1</f>
        <v>-0.12254901960784315</v>
      </c>
      <c r="AI54" s="91">
        <f>AI52/AH52-1</f>
        <v>0.53072625698324027</v>
      </c>
      <c r="AJ54" s="91">
        <f>AJ52/AI52-1</f>
        <v>-9.4890510948905105E-2</v>
      </c>
      <c r="AK54" s="91">
        <f>AK52/AJ52-1</f>
        <v>-0.21102150537634412</v>
      </c>
      <c r="AL54" s="91">
        <f>AL52/AK52-1</f>
        <v>9.8807495741056295E-2</v>
      </c>
      <c r="AM54" s="91">
        <f>AM52/AL52-1</f>
        <v>-0.33023255813953489</v>
      </c>
      <c r="AN54" s="91">
        <f>AN52/AM52-1</f>
        <v>0.89583333333333326</v>
      </c>
      <c r="AO54" s="91">
        <f>AO52/AN52-1</f>
        <v>-4.3956043956043911E-2</v>
      </c>
      <c r="AP54" s="91">
        <f>AP52/AO52-1</f>
        <v>0.17496807151979565</v>
      </c>
      <c r="AQ54" s="91">
        <f>AQ52/AP52-1</f>
        <v>0.10652173913043472</v>
      </c>
      <c r="AR54" s="91">
        <f>AR52/AQ52-1</f>
        <v>-0.12966601178781922</v>
      </c>
      <c r="AS54" s="91">
        <f>AS52/AR52-1</f>
        <v>-7.7878103837471735E-2</v>
      </c>
      <c r="AT54" s="91">
        <f>AT52/AS52-1</f>
        <v>0.1334149326805385</v>
      </c>
      <c r="AU54" s="91">
        <f>AU52/AT52-1</f>
        <v>0.14794816414686829</v>
      </c>
      <c r="AV54" s="91">
        <f>AV52/AU52-1</f>
        <v>4.2333019755409262E-2</v>
      </c>
      <c r="AW54" s="91">
        <f>AW52/AV52-1</f>
        <v>5.1444043321299704E-2</v>
      </c>
      <c r="AX54" s="91">
        <f>AX52/AW52-1</f>
        <v>1.0300429184549431E-2</v>
      </c>
      <c r="AY54" s="91">
        <f>AY52/AX52-1</f>
        <v>6.9668649107901492E-2</v>
      </c>
      <c r="AZ54" s="91">
        <f>AZ52/AY52-1</f>
        <v>8.7370929308976386E-3</v>
      </c>
      <c r="BA54" s="93">
        <f>BA52/AZ52-1</f>
        <v>-0.18110236220472442</v>
      </c>
      <c r="BB54" s="92">
        <f>BB52/BA52-1</f>
        <v>0.32289488695589785</v>
      </c>
      <c r="BC54" s="91">
        <f>BC52/BB52-1</f>
        <v>8.9778718596219109E-2</v>
      </c>
      <c r="BD54" s="91">
        <f>BD52/BC52-1</f>
        <v>7.9835235575083097E-3</v>
      </c>
      <c r="BE54" s="91">
        <f>BE52/BD52-1</f>
        <v>-0.17274138028343489</v>
      </c>
      <c r="BF54" s="91">
        <f>BF52/BE52-1</f>
        <v>0.32295465513878985</v>
      </c>
      <c r="BG54" s="91">
        <f>BG52/BF52-1</f>
        <v>0.12206178113943622</v>
      </c>
      <c r="BH54" s="91">
        <f>BH52/BG52-1</f>
        <v>1.3855679165286849E-2</v>
      </c>
      <c r="BI54" s="91">
        <f>BI52/BH52-1</f>
        <v>-0.17584936317907496</v>
      </c>
      <c r="BJ54" s="91">
        <f>BJ52/BI52-1</f>
        <v>0.3125128931309118</v>
      </c>
      <c r="BK54" s="91">
        <f>BK52/BJ52-1</f>
        <v>6.8027687503385614E-2</v>
      </c>
      <c r="BL54" s="91">
        <f>BL52/BK52-1</f>
        <v>1.7932778781966974E-2</v>
      </c>
      <c r="BM54" s="91">
        <f>BM52/BL52-1</f>
        <v>-0.17095890122301771</v>
      </c>
      <c r="BN54" s="91">
        <f>BN52/BM52-1</f>
        <v>0.32281762073109244</v>
      </c>
      <c r="BO54" s="91">
        <f>BO52/BN52-1</f>
        <v>7.5008886821621656E-2</v>
      </c>
      <c r="BP54" s="91">
        <f>BP52/BO52-1</f>
        <v>1.5678609440344493E-2</v>
      </c>
      <c r="BQ54" s="91">
        <f>BQ52/BP52-1</f>
        <v>-0.17928668985039875</v>
      </c>
      <c r="BR54" s="91">
        <f>BR52/BQ52-1</f>
        <v>0.3177857803312627</v>
      </c>
    </row>
    <row r="55" spans="1:70" x14ac:dyDescent="0.2">
      <c r="A55" s="235" t="s">
        <v>222</v>
      </c>
      <c r="B55" s="236"/>
      <c r="C55" s="208"/>
      <c r="D55" s="208"/>
      <c r="E55" s="208"/>
      <c r="F55" s="208"/>
      <c r="G55" s="208"/>
      <c r="H55" s="210">
        <f>AVERAGE(AE55:AH55)</f>
        <v>16933</v>
      </c>
      <c r="I55" s="210">
        <f>AVERAGE(AI55:AL55)</f>
        <v>16284.5</v>
      </c>
      <c r="J55" s="210">
        <f>AVERAGE(AM55:AP55)</f>
        <v>17590.75</v>
      </c>
      <c r="K55" s="210">
        <f>AVERAGE(AQ55:AT55)</f>
        <v>17360.25</v>
      </c>
      <c r="L55" s="210">
        <f>AVERAGE(AU55:AX55)</f>
        <v>17818.75</v>
      </c>
      <c r="M55" s="217">
        <f>AVERAGE(AY55:BB55)</f>
        <v>17950.348772520672</v>
      </c>
      <c r="N55" s="218">
        <f>AVERAGE(BC55:BF55)</f>
        <v>18321.196052291703</v>
      </c>
      <c r="O55" s="218">
        <f>AVERAGE(BG55:BJ55)</f>
        <v>18618.817401951546</v>
      </c>
      <c r="P55" s="218">
        <f>AVERAGE(BK55:BN55)</f>
        <v>18921.881049445408</v>
      </c>
      <c r="Q55" s="218">
        <f>AVERAGE(BO55:BR55)</f>
        <v>19236.332024840387</v>
      </c>
      <c r="R55" s="302"/>
      <c r="S55" s="208"/>
      <c r="T55" s="208"/>
      <c r="U55" s="208"/>
      <c r="V55" s="208"/>
      <c r="W55" s="208"/>
      <c r="X55" s="208"/>
      <c r="Y55" s="208"/>
      <c r="Z55" s="208"/>
      <c r="AA55" s="208"/>
      <c r="AB55" s="208"/>
      <c r="AC55" s="208"/>
      <c r="AD55" s="208"/>
      <c r="AE55" s="208">
        <v>16721</v>
      </c>
      <c r="AF55" s="208">
        <v>17796</v>
      </c>
      <c r="AG55" s="208">
        <v>16897</v>
      </c>
      <c r="AH55" s="208">
        <v>16318</v>
      </c>
      <c r="AI55" s="208">
        <v>16498</v>
      </c>
      <c r="AJ55" s="208">
        <v>16476</v>
      </c>
      <c r="AK55" s="208">
        <v>15516</v>
      </c>
      <c r="AL55" s="208">
        <v>16648</v>
      </c>
      <c r="AM55" s="208">
        <v>17835</v>
      </c>
      <c r="AN55" s="208">
        <v>17722</v>
      </c>
      <c r="AO55" s="208">
        <v>17258</v>
      </c>
      <c r="AP55" s="208">
        <v>17548</v>
      </c>
      <c r="AQ55" s="208">
        <v>16966</v>
      </c>
      <c r="AR55" s="208">
        <v>17613</v>
      </c>
      <c r="AS55" s="208">
        <v>17251</v>
      </c>
      <c r="AT55" s="208">
        <v>17611</v>
      </c>
      <c r="AU55" s="208">
        <v>17745</v>
      </c>
      <c r="AV55" s="208">
        <v>17650</v>
      </c>
      <c r="AW55" s="208">
        <v>17005</v>
      </c>
      <c r="AX55" s="208">
        <v>18875</v>
      </c>
      <c r="AY55" s="208">
        <v>17361</v>
      </c>
      <c r="AZ55" s="208">
        <v>17338</v>
      </c>
      <c r="BA55" s="250">
        <v>17983</v>
      </c>
      <c r="BB55" s="217">
        <f>AX55*(1+BB56)</f>
        <v>19119.395090082693</v>
      </c>
      <c r="BC55" s="218">
        <f>AY55*(1+BC56)</f>
        <v>17609.808904497928</v>
      </c>
      <c r="BD55" s="218">
        <f>AZ55*(1+BD56)</f>
        <v>17667.242838316008</v>
      </c>
      <c r="BE55" s="218">
        <f>BA55*(1+BE56)</f>
        <v>18419.82014583984</v>
      </c>
      <c r="BF55" s="218">
        <f>BB55*(1+BF56)</f>
        <v>19587.912320513038</v>
      </c>
      <c r="BG55" s="218">
        <f>BC55*(1+BG56)</f>
        <v>17988.935266876822</v>
      </c>
      <c r="BH55" s="218">
        <f>BD55*(1+BH56)</f>
        <v>17997.304393190672</v>
      </c>
      <c r="BI55" s="218">
        <f>BE55*(1+BI56)</f>
        <v>18673.210172609248</v>
      </c>
      <c r="BJ55" s="218">
        <f>BF55*(1+BJ56)</f>
        <v>19815.819775129436</v>
      </c>
      <c r="BK55" s="218">
        <f>BG55*(1+BK56)</f>
        <v>18255.386009946673</v>
      </c>
      <c r="BL55" s="218">
        <f>BH55*(1+BL56)</f>
        <v>18283.735308525876</v>
      </c>
      <c r="BM55" s="218">
        <f>BI55*(1+BM56)</f>
        <v>18986.43838337102</v>
      </c>
      <c r="BN55" s="218">
        <f>BJ55*(1+BN56)</f>
        <v>20161.964495938068</v>
      </c>
      <c r="BO55" s="218">
        <f>BK55*(1+BO56)</f>
        <v>18546.940511686582</v>
      </c>
      <c r="BP55" s="218">
        <f>BL55*(1+BP56)</f>
        <v>18589.089849026688</v>
      </c>
      <c r="BQ55" s="218">
        <f>BM55*(1+BQ56)</f>
        <v>19334.467514164608</v>
      </c>
      <c r="BR55" s="218">
        <f>BN55*(1+BR56)</f>
        <v>20474.83022448367</v>
      </c>
    </row>
    <row r="56" spans="1:70" x14ac:dyDescent="0.2">
      <c r="A56" s="161" t="s">
        <v>4</v>
      </c>
      <c r="B56" s="12"/>
      <c r="C56" s="163"/>
      <c r="D56" s="163"/>
      <c r="E56" s="163"/>
      <c r="F56" s="163"/>
      <c r="G56" s="163"/>
      <c r="H56" s="163"/>
      <c r="I56" s="212" t="s">
        <v>99</v>
      </c>
      <c r="J56" s="163">
        <f>J55/I55-1</f>
        <v>8.0214314225183436E-2</v>
      </c>
      <c r="K56" s="163">
        <f>K55/J55-1</f>
        <v>-1.3103477680030728E-2</v>
      </c>
      <c r="L56" s="173">
        <f>L55/K55-1</f>
        <v>2.6410909981135156E-2</v>
      </c>
      <c r="M56" s="174">
        <f>M55/L55-1</f>
        <v>7.38540989242642E-3</v>
      </c>
      <c r="N56" s="163">
        <f>N55/M55-1</f>
        <v>2.0659614165199125E-2</v>
      </c>
      <c r="O56" s="163">
        <f>O55/N55-1</f>
        <v>1.6244646299858445E-2</v>
      </c>
      <c r="P56" s="163">
        <f>P55/O55-1</f>
        <v>1.6277276958637454E-2</v>
      </c>
      <c r="Q56" s="163">
        <f>Q55/P55-1</f>
        <v>1.6618378192594818E-2</v>
      </c>
      <c r="R56" s="300"/>
      <c r="S56" s="91"/>
      <c r="T56" s="91"/>
      <c r="U56" s="91"/>
      <c r="V56" s="91"/>
      <c r="W56" s="91"/>
      <c r="X56" s="91"/>
      <c r="Y56" s="91"/>
      <c r="Z56" s="91"/>
      <c r="AA56" s="91"/>
      <c r="AB56" s="91"/>
      <c r="AC56" s="91"/>
      <c r="AD56" s="91"/>
      <c r="AE56" s="91"/>
      <c r="AF56" s="91"/>
      <c r="AG56" s="91"/>
      <c r="AH56" s="91"/>
      <c r="AI56" s="91">
        <f>AI55/AE55-1</f>
        <v>-1.3336522935231132E-2</v>
      </c>
      <c r="AJ56" s="91">
        <f>AJ55/AF55-1</f>
        <v>-7.4173971679028949E-2</v>
      </c>
      <c r="AK56" s="91">
        <f>AK55/AG55-1</f>
        <v>-8.1730484701426298E-2</v>
      </c>
      <c r="AL56" s="91">
        <f>AL55/AH55-1</f>
        <v>2.0223066552273572E-2</v>
      </c>
      <c r="AM56" s="91">
        <f>AM55/AI55-1</f>
        <v>8.1040126075887953E-2</v>
      </c>
      <c r="AN56" s="91">
        <f>AN55/AJ55-1</f>
        <v>7.5625151735858154E-2</v>
      </c>
      <c r="AO56" s="91">
        <f>AO55/AK55-1</f>
        <v>0.11227120391853562</v>
      </c>
      <c r="AP56" s="91">
        <f>AP55/AL55-1</f>
        <v>5.4060547813551185E-2</v>
      </c>
      <c r="AQ56" s="91">
        <f>AQ55/AM55-1</f>
        <v>-4.8724418278665582E-2</v>
      </c>
      <c r="AR56" s="91">
        <f>AR55/AN55-1</f>
        <v>-6.1505473422863721E-3</v>
      </c>
      <c r="AS56" s="91">
        <f>AS55/AO55-1</f>
        <v>-4.056089929308504E-4</v>
      </c>
      <c r="AT56" s="91">
        <f>AT55/AP55-1</f>
        <v>3.5901527239572406E-3</v>
      </c>
      <c r="AU56" s="91">
        <f>AU55/AQ55-1</f>
        <v>4.5915360132028793E-2</v>
      </c>
      <c r="AV56" s="91">
        <f>AV55/AR55-1</f>
        <v>2.1007210583092739E-3</v>
      </c>
      <c r="AW56" s="91">
        <f>AW55/AS55-1</f>
        <v>-1.4260042896063974E-2</v>
      </c>
      <c r="AX56" s="91">
        <f>AX55/AT55-1</f>
        <v>7.1773323490999852E-2</v>
      </c>
      <c r="AY56" s="91">
        <f>AY55/AU55-1</f>
        <v>-2.1639898562975435E-2</v>
      </c>
      <c r="AZ56" s="91">
        <f>AZ55/AV55-1</f>
        <v>-1.7677053824362576E-2</v>
      </c>
      <c r="BA56" s="93">
        <f>BA55/AW55-1</f>
        <v>5.7512496324610307E-2</v>
      </c>
      <c r="BB56" s="248">
        <f>AVERAGE(AI56:BA56)</f>
        <v>1.294808424279162E-2</v>
      </c>
      <c r="BC56" s="215">
        <f>AVERAGE(AJ56:BB56)</f>
        <v>1.4331484620582292E-2</v>
      </c>
      <c r="BD56" s="215">
        <f>AVERAGE(AK56:BC56)</f>
        <v>1.8989666531088148E-2</v>
      </c>
      <c r="BE56" s="215">
        <f>AVERAGE(AL56:BD56)</f>
        <v>2.429072712227312E-2</v>
      </c>
      <c r="BF56" s="215">
        <f>AVERAGE(AM56:BE56)</f>
        <v>2.4504814520694151E-2</v>
      </c>
      <c r="BG56" s="215">
        <f>AVERAGE(AN56:BF56)</f>
        <v>2.1529271807262895E-2</v>
      </c>
      <c r="BH56" s="215">
        <f>AVERAGE(AO56:BG56)</f>
        <v>1.8682120232073673E-2</v>
      </c>
      <c r="BI56" s="215">
        <f>AVERAGE(AP56:BH56)</f>
        <v>1.3756378985417775E-2</v>
      </c>
      <c r="BJ56" s="215">
        <f>AVERAGE(AQ56:BI56)</f>
        <v>1.1635106941831806E-2</v>
      </c>
      <c r="BK56" s="215">
        <f>AVERAGE(AR56:BJ56)</f>
        <v>1.4811924058700089E-2</v>
      </c>
      <c r="BL56" s="215">
        <f>AVERAGE(AS56:BK56)</f>
        <v>1.591521202717306E-2</v>
      </c>
      <c r="BM56" s="215">
        <f>AVERAGE(AT56:BL56)</f>
        <v>1.6774202607178528E-2</v>
      </c>
      <c r="BN56" s="215">
        <f>AVERAGE(AU56:BM56)</f>
        <v>1.7468099969453334E-2</v>
      </c>
      <c r="BO56" s="215">
        <f>AVERAGE(AV56:BN56)</f>
        <v>1.5970875750370418E-2</v>
      </c>
      <c r="BP56" s="215">
        <f>AVERAGE(AW56:BO56)</f>
        <v>1.6700883892057844E-2</v>
      </c>
      <c r="BQ56" s="215">
        <f>AVERAGE(AX56:BP56)</f>
        <v>1.8330406354590573E-2</v>
      </c>
      <c r="BR56" s="215">
        <f>AVERAGE(AY56:BQ56)</f>
        <v>1.5517621242147979E-2</v>
      </c>
    </row>
    <row r="57" spans="1:70" x14ac:dyDescent="0.2">
      <c r="A57" s="161" t="s">
        <v>5</v>
      </c>
      <c r="B57" s="12"/>
      <c r="C57" s="163"/>
      <c r="D57" s="163"/>
      <c r="E57" s="163"/>
      <c r="F57" s="163"/>
      <c r="G57" s="163"/>
      <c r="H57" s="163"/>
      <c r="I57" s="163"/>
      <c r="J57" s="163"/>
      <c r="K57" s="163"/>
      <c r="L57" s="173"/>
      <c r="M57" s="174"/>
      <c r="N57" s="163"/>
      <c r="O57" s="163"/>
      <c r="P57" s="163"/>
      <c r="Q57" s="163"/>
      <c r="R57" s="300"/>
      <c r="S57" s="91"/>
      <c r="T57" s="91"/>
      <c r="U57" s="91"/>
      <c r="V57" s="91"/>
      <c r="W57" s="91"/>
      <c r="X57" s="91"/>
      <c r="Y57" s="91"/>
      <c r="Z57" s="91"/>
      <c r="AA57" s="91"/>
      <c r="AB57" s="91"/>
      <c r="AC57" s="91"/>
      <c r="AD57" s="91"/>
      <c r="AE57" s="91"/>
      <c r="AF57" s="91"/>
      <c r="AG57" s="91">
        <f>AG55/AF55-1</f>
        <v>-5.0516970105641712E-2</v>
      </c>
      <c r="AH57" s="91">
        <f>AH55/AG55-1</f>
        <v>-3.4266437829200469E-2</v>
      </c>
      <c r="AI57" s="91">
        <f>AI55/AH55-1</f>
        <v>1.1030763573967484E-2</v>
      </c>
      <c r="AJ57" s="91">
        <f>AJ55/AI55-1</f>
        <v>-1.33349496908719E-3</v>
      </c>
      <c r="AK57" s="91">
        <f>AK55/AJ55-1</f>
        <v>-5.8266569555717407E-2</v>
      </c>
      <c r="AL57" s="91">
        <f>AL55/AK55-1</f>
        <v>7.295694766692451E-2</v>
      </c>
      <c r="AM57" s="91">
        <f>AM55/AL55-1</f>
        <v>7.129985583853915E-2</v>
      </c>
      <c r="AN57" s="91">
        <f>AN55/AM55-1</f>
        <v>-6.3358564620128455E-3</v>
      </c>
      <c r="AO57" s="91">
        <f>AO55/AN55-1</f>
        <v>-2.6182146484595381E-2</v>
      </c>
      <c r="AP57" s="91">
        <f>AP55/AO55-1</f>
        <v>1.6803801135705232E-2</v>
      </c>
      <c r="AQ57" s="91">
        <f>AQ55/AP55-1</f>
        <v>-3.3166172783223202E-2</v>
      </c>
      <c r="AR57" s="91">
        <f>AR55/AQ55-1</f>
        <v>3.8135093716845425E-2</v>
      </c>
      <c r="AS57" s="91">
        <f>AS55/AR55-1</f>
        <v>-2.0553000624538686E-2</v>
      </c>
      <c r="AT57" s="91">
        <f>AT55/AS55-1</f>
        <v>2.086835545765453E-2</v>
      </c>
      <c r="AU57" s="91">
        <f>AU55/AT55-1</f>
        <v>7.6088808131280494E-3</v>
      </c>
      <c r="AV57" s="91">
        <f>AV55/AU55-1</f>
        <v>-5.3536207382360868E-3</v>
      </c>
      <c r="AW57" s="91">
        <f>AW55/AV55-1</f>
        <v>-3.6543909348441872E-2</v>
      </c>
      <c r="AX57" s="91">
        <f>AX55/AW55-1</f>
        <v>0.10996765657159657</v>
      </c>
      <c r="AY57" s="91">
        <f>AY55/AX55-1</f>
        <v>-8.0211920529801306E-2</v>
      </c>
      <c r="AZ57" s="91">
        <f>AZ55/AY55-1</f>
        <v>-1.3248084787742531E-3</v>
      </c>
      <c r="BA57" s="93">
        <f>BA55/AZ55-1</f>
        <v>3.7201522666974185E-2</v>
      </c>
      <c r="BB57" s="92">
        <f>BB55/BA55-1</f>
        <v>6.3192742594822437E-2</v>
      </c>
      <c r="BC57" s="91">
        <f>BC55/BB55-1</f>
        <v>-7.8955750350480192E-2</v>
      </c>
      <c r="BD57" s="91">
        <f>BD55/BC55-1</f>
        <v>3.2614739960870054E-3</v>
      </c>
      <c r="BE57" s="91">
        <f>BE55/BD55-1</f>
        <v>4.2597326272760139E-2</v>
      </c>
      <c r="BF57" s="91">
        <f>BF55/BE55-1</f>
        <v>6.3414960918443786E-2</v>
      </c>
      <c r="BG57" s="91">
        <f>BG55/BF55-1</f>
        <v>-8.163080513494636E-2</v>
      </c>
      <c r="BH57" s="91">
        <f>BH55/BG55-1</f>
        <v>4.652374467799536E-4</v>
      </c>
      <c r="BI57" s="91">
        <f>BI55/BH55-1</f>
        <v>3.7555945304470484E-2</v>
      </c>
      <c r="BJ57" s="91">
        <f>BJ55/BI55-1</f>
        <v>6.1189778937754458E-2</v>
      </c>
      <c r="BK57" s="91">
        <f>BK55/BJ55-1</f>
        <v>-7.8746869061720126E-2</v>
      </c>
      <c r="BL57" s="91">
        <f>BL55/BK55-1</f>
        <v>1.5529279174790744E-3</v>
      </c>
      <c r="BM57" s="91">
        <f>BM55/BL55-1</f>
        <v>3.8433233854433757E-2</v>
      </c>
      <c r="BN57" s="91">
        <f>BN55/BM55-1</f>
        <v>6.1913987701696316E-2</v>
      </c>
      <c r="BO57" s="91">
        <f>BO55/BN55-1</f>
        <v>-8.0102511071123872E-2</v>
      </c>
      <c r="BP57" s="91">
        <f>BP55/BO55-1</f>
        <v>2.2725762943784922E-3</v>
      </c>
      <c r="BQ57" s="91">
        <f>BQ55/BP55-1</f>
        <v>4.0097587950329139E-2</v>
      </c>
      <c r="BR57" s="91">
        <f>BR55/BQ55-1</f>
        <v>5.8980818038232741E-2</v>
      </c>
    </row>
    <row r="58" spans="1:70" x14ac:dyDescent="0.2">
      <c r="A58" s="271"/>
      <c r="B58" s="9"/>
      <c r="C58" s="94"/>
      <c r="D58" s="94"/>
      <c r="E58" s="94"/>
      <c r="F58" s="94"/>
      <c r="G58" s="94"/>
      <c r="H58" s="94"/>
      <c r="I58" s="94"/>
      <c r="J58" s="94"/>
      <c r="K58" s="94"/>
      <c r="L58" s="95"/>
      <c r="M58" s="83"/>
      <c r="N58" s="84"/>
      <c r="O58" s="84"/>
      <c r="P58" s="84"/>
      <c r="Q58" s="84"/>
      <c r="R58" s="46"/>
      <c r="S58" s="94"/>
      <c r="T58" s="94"/>
      <c r="U58" s="94"/>
      <c r="V58" s="94"/>
      <c r="W58" s="94"/>
      <c r="X58" s="94"/>
      <c r="Y58" s="94"/>
      <c r="Z58" s="94"/>
      <c r="AA58" s="94"/>
      <c r="AB58" s="94"/>
      <c r="AC58" s="94"/>
      <c r="AD58" s="94"/>
      <c r="AE58" s="94"/>
      <c r="AF58" s="94"/>
      <c r="AG58" s="94"/>
      <c r="AH58" s="94"/>
      <c r="AI58" s="94"/>
      <c r="AJ58" s="94"/>
      <c r="AK58" s="94"/>
      <c r="AL58" s="94"/>
      <c r="AM58" s="94"/>
      <c r="AN58" s="94"/>
      <c r="AO58" s="94"/>
      <c r="AP58" s="94"/>
      <c r="AQ58" s="94"/>
      <c r="AR58" s="94"/>
      <c r="AS58" s="94"/>
      <c r="AT58" s="94"/>
      <c r="AU58" s="94"/>
      <c r="AV58" s="94"/>
      <c r="AW58" s="94"/>
      <c r="AX58" s="94"/>
      <c r="AY58" s="94"/>
      <c r="AZ58" s="94"/>
      <c r="BA58" s="95"/>
      <c r="BB58" s="96"/>
      <c r="BC58" s="94"/>
      <c r="BD58" s="94"/>
      <c r="BE58" s="94"/>
      <c r="BF58" s="94"/>
      <c r="BG58" s="94"/>
      <c r="BH58" s="94"/>
      <c r="BI58" s="94"/>
      <c r="BJ58" s="94"/>
      <c r="BK58" s="94"/>
      <c r="BL58" s="94"/>
      <c r="BM58" s="94"/>
      <c r="BN58" s="94"/>
      <c r="BO58" s="94"/>
      <c r="BP58" s="94"/>
      <c r="BQ58" s="94"/>
      <c r="BR58" s="94"/>
    </row>
    <row r="59" spans="1:70" x14ac:dyDescent="0.2">
      <c r="A59" s="272" t="s">
        <v>223</v>
      </c>
      <c r="B59" s="24"/>
      <c r="C59" s="141"/>
      <c r="D59" s="141"/>
      <c r="E59" s="141"/>
      <c r="F59" s="141"/>
      <c r="G59" s="141"/>
      <c r="H59" s="141"/>
      <c r="I59" s="142"/>
      <c r="J59" s="142"/>
      <c r="K59" s="142"/>
      <c r="L59" s="142"/>
      <c r="M59" s="77"/>
      <c r="N59" s="76"/>
      <c r="O59" s="76"/>
      <c r="P59" s="76"/>
      <c r="Q59" s="76"/>
      <c r="R59" s="48"/>
      <c r="S59" s="142"/>
      <c r="T59" s="142"/>
      <c r="U59" s="142"/>
      <c r="V59" s="142"/>
      <c r="W59" s="142"/>
      <c r="X59" s="142"/>
      <c r="Y59" s="142"/>
      <c r="Z59" s="142"/>
      <c r="AA59" s="142"/>
      <c r="AB59" s="142"/>
      <c r="AC59" s="142"/>
      <c r="AD59" s="142"/>
      <c r="AE59" s="142"/>
      <c r="AF59" s="142"/>
      <c r="AG59" s="142"/>
      <c r="AH59" s="142"/>
      <c r="AI59" s="142"/>
      <c r="AJ59" s="142"/>
      <c r="AK59" s="142"/>
      <c r="AL59" s="142"/>
      <c r="AM59" s="142"/>
      <c r="AN59" s="142"/>
      <c r="AO59" s="142"/>
      <c r="AP59" s="142"/>
      <c r="AQ59" s="142"/>
      <c r="AR59" s="142"/>
      <c r="AS59" s="142"/>
      <c r="AT59" s="142"/>
      <c r="AU59" s="142"/>
      <c r="AV59" s="142"/>
      <c r="AW59" s="142"/>
      <c r="AX59" s="142"/>
      <c r="AY59" s="142"/>
      <c r="AZ59" s="142"/>
      <c r="BA59" s="153"/>
      <c r="BB59" s="79"/>
      <c r="BC59" s="80"/>
      <c r="BD59" s="80"/>
      <c r="BE59" s="80"/>
      <c r="BF59" s="80"/>
      <c r="BG59" s="80"/>
      <c r="BH59" s="80"/>
      <c r="BI59" s="80"/>
      <c r="BJ59" s="80"/>
      <c r="BK59" s="80"/>
      <c r="BL59" s="80"/>
      <c r="BM59" s="80"/>
      <c r="BN59" s="80"/>
      <c r="BO59" s="80"/>
      <c r="BP59" s="80"/>
      <c r="BQ59" s="80"/>
      <c r="BR59" s="80"/>
    </row>
    <row r="60" spans="1:70" x14ac:dyDescent="0.2">
      <c r="A60" s="168" t="s">
        <v>224</v>
      </c>
      <c r="B60" s="24"/>
      <c r="C60" s="142"/>
      <c r="D60" s="142"/>
      <c r="E60" s="142"/>
      <c r="F60" s="142"/>
      <c r="G60" s="142"/>
      <c r="H60" s="146">
        <f>AVERAGE(AE60:AH60)</f>
        <v>12945.75</v>
      </c>
      <c r="I60" s="146">
        <f>AVERAGE(AI60:AL60)</f>
        <v>13177</v>
      </c>
      <c r="J60" s="146">
        <f>AVERAGE(AM60:AP60)</f>
        <v>13163.5</v>
      </c>
      <c r="K60" s="146">
        <f>AVERAGE(AQ60:AT60)</f>
        <v>13086.5</v>
      </c>
      <c r="L60" s="146">
        <f>AVERAGE(AU60:AX60)</f>
        <v>14044.5</v>
      </c>
      <c r="M60" s="77">
        <f>AVERAGE(AY60:BB60)</f>
        <v>13738.441210566993</v>
      </c>
      <c r="N60" s="76">
        <f>AVERAGE(BC60:BF60)</f>
        <v>13493.267033128361</v>
      </c>
      <c r="O60" s="76">
        <f>AVERAGE(BG60:BJ60)</f>
        <v>13252.46819757615</v>
      </c>
      <c r="P60" s="76">
        <f>AVERAGE(BK60:BN60)</f>
        <v>13015.966622210148</v>
      </c>
      <c r="Q60" s="76">
        <f>AVERAGE(BO60:BR60)</f>
        <v>12783.685618764535</v>
      </c>
      <c r="R60" s="48"/>
      <c r="S60" s="142"/>
      <c r="T60" s="142"/>
      <c r="U60" s="142"/>
      <c r="V60" s="142"/>
      <c r="W60" s="142"/>
      <c r="X60" s="142"/>
      <c r="Y60" s="142"/>
      <c r="Z60" s="142"/>
      <c r="AA60" s="142"/>
      <c r="AB60" s="142"/>
      <c r="AC60" s="142"/>
      <c r="AD60" s="142"/>
      <c r="AE60" s="142">
        <v>12492</v>
      </c>
      <c r="AF60" s="142">
        <v>12882</v>
      </c>
      <c r="AG60" s="142">
        <v>13252</v>
      </c>
      <c r="AH60" s="142">
        <v>13157</v>
      </c>
      <c r="AI60" s="142">
        <v>13169</v>
      </c>
      <c r="AJ60" s="142">
        <v>13175</v>
      </c>
      <c r="AK60" s="142">
        <v>13167</v>
      </c>
      <c r="AL60" s="142">
        <v>13197</v>
      </c>
      <c r="AM60" s="142">
        <v>13185</v>
      </c>
      <c r="AN60" s="142">
        <v>13013</v>
      </c>
      <c r="AO60" s="142">
        <v>13203</v>
      </c>
      <c r="AP60" s="142">
        <v>13253</v>
      </c>
      <c r="AQ60" s="142">
        <v>13074</v>
      </c>
      <c r="AR60" s="142">
        <v>12958</v>
      </c>
      <c r="AS60" s="142">
        <v>13098</v>
      </c>
      <c r="AT60" s="142">
        <v>13216</v>
      </c>
      <c r="AU60" s="142">
        <v>13805</v>
      </c>
      <c r="AV60" s="142">
        <v>14174</v>
      </c>
      <c r="AW60" s="142">
        <v>14233</v>
      </c>
      <c r="AX60" s="142">
        <v>13966</v>
      </c>
      <c r="AY60" s="142">
        <v>13634</v>
      </c>
      <c r="AZ60" s="142">
        <v>13624</v>
      </c>
      <c r="BA60" s="153">
        <v>13979</v>
      </c>
      <c r="BB60" s="77">
        <f>AX60*(1+BB61)</f>
        <v>13716.764842267969</v>
      </c>
      <c r="BC60" s="76">
        <f>AY60*(1+BC61)</f>
        <v>13390.689664863345</v>
      </c>
      <c r="BD60" s="76">
        <f>AZ60*(1+BD61)</f>
        <v>13380.868123375254</v>
      </c>
      <c r="BE60" s="76">
        <f>BA60*(1+BE61)</f>
        <v>13729.532846202486</v>
      </c>
      <c r="BF60" s="76">
        <f>BB60*(1+BF61)</f>
        <v>13471.977498072361</v>
      </c>
      <c r="BG60" s="76">
        <f>BC60*(1+BG61)</f>
        <v>13151.721409760745</v>
      </c>
      <c r="BH60" s="76">
        <f>BD60*(1+BH61)</f>
        <v>13142.075142040516</v>
      </c>
      <c r="BI60" s="76">
        <f>BE60*(1+BI61)</f>
        <v>13484.517646108659</v>
      </c>
      <c r="BJ60" s="76">
        <f>BF60*(1+BJ61)</f>
        <v>13231.558592394684</v>
      </c>
      <c r="BK60" s="76">
        <f>BG60*(1+BK61)</f>
        <v>12917.017746578054</v>
      </c>
      <c r="BL60" s="76">
        <f>BH60*(1+BL61)</f>
        <v>12907.543624716109</v>
      </c>
      <c r="BM60" s="76">
        <f>BI60*(1+BM61)</f>
        <v>13243.874950815214</v>
      </c>
      <c r="BN60" s="76">
        <f>BJ60*(1+BN61)</f>
        <v>12995.430166731208</v>
      </c>
      <c r="BO60" s="76">
        <f>BK60*(1+BO61)</f>
        <v>12686.502570042479</v>
      </c>
      <c r="BP60" s="76">
        <f>BL60*(1+BP61)</f>
        <v>12677.197521949447</v>
      </c>
      <c r="BQ60" s="76">
        <f>BM60*(1+BQ61)</f>
        <v>13007.526729252151</v>
      </c>
      <c r="BR60" s="76">
        <f>BN60*(1+BR61)</f>
        <v>12763.515653814064</v>
      </c>
    </row>
    <row r="61" spans="1:70" x14ac:dyDescent="0.2">
      <c r="A61" s="161" t="s">
        <v>4</v>
      </c>
      <c r="B61" s="12"/>
      <c r="C61" s="163"/>
      <c r="D61" s="163"/>
      <c r="E61" s="163"/>
      <c r="F61" s="163"/>
      <c r="G61" s="163"/>
      <c r="H61" s="163"/>
      <c r="I61" s="212" t="s">
        <v>99</v>
      </c>
      <c r="J61" s="163">
        <f>J60/I60-1</f>
        <v>-1.0245124079836243E-3</v>
      </c>
      <c r="K61" s="163">
        <f>K60/J60-1</f>
        <v>-5.8495081095453205E-3</v>
      </c>
      <c r="L61" s="173">
        <f>L60/K60-1</f>
        <v>7.3205211477476828E-2</v>
      </c>
      <c r="M61" s="174">
        <f>M60/L60-1</f>
        <v>-2.179207443718234E-2</v>
      </c>
      <c r="N61" s="163">
        <f>N60/M60-1</f>
        <v>-1.7845851190894546E-2</v>
      </c>
      <c r="O61" s="163">
        <f>O60/N60-1</f>
        <v>-1.7845851190894435E-2</v>
      </c>
      <c r="P61" s="163">
        <f>P60/O60-1</f>
        <v>-1.7845851190894213E-2</v>
      </c>
      <c r="Q61" s="163">
        <f>Q60/P60-1</f>
        <v>-1.7845851190894546E-2</v>
      </c>
      <c r="R61" s="300"/>
      <c r="S61" s="91"/>
      <c r="T61" s="91"/>
      <c r="U61" s="91"/>
      <c r="V61" s="91"/>
      <c r="W61" s="91"/>
      <c r="X61" s="91"/>
      <c r="Y61" s="91"/>
      <c r="Z61" s="91"/>
      <c r="AA61" s="91"/>
      <c r="AB61" s="91"/>
      <c r="AC61" s="91"/>
      <c r="AD61" s="91"/>
      <c r="AE61" s="91"/>
      <c r="AF61" s="91"/>
      <c r="AG61" s="91"/>
      <c r="AH61" s="91"/>
      <c r="AI61" s="91">
        <f>AI60/AE60-1</f>
        <v>5.4194684598142917E-2</v>
      </c>
      <c r="AJ61" s="91">
        <f>AJ60/AF60-1</f>
        <v>2.2744915385809694E-2</v>
      </c>
      <c r="AK61" s="91">
        <f>AK60/AG60-1</f>
        <v>-6.4141261696347707E-3</v>
      </c>
      <c r="AL61" s="91">
        <f>AL60/AH60-1</f>
        <v>3.0402067340580263E-3</v>
      </c>
      <c r="AM61" s="91">
        <f>AM60/AI60-1</f>
        <v>1.2149745614700169E-3</v>
      </c>
      <c r="AN61" s="91">
        <f>AN60/AJ60-1</f>
        <v>-1.2296015180265685E-2</v>
      </c>
      <c r="AO61" s="91">
        <f>AO60/AK60-1</f>
        <v>2.7341079972658111E-3</v>
      </c>
      <c r="AP61" s="91">
        <f>AP60/AL60-1</f>
        <v>4.2433886489352535E-3</v>
      </c>
      <c r="AQ61" s="91">
        <f>AQ60/AM60-1</f>
        <v>-8.4186575654152662E-3</v>
      </c>
      <c r="AR61" s="91">
        <f>AR60/AN60-1</f>
        <v>-4.2265426880812029E-3</v>
      </c>
      <c r="AS61" s="91">
        <f>AS60/AO60-1</f>
        <v>-7.9527380140876902E-3</v>
      </c>
      <c r="AT61" s="91">
        <f>AT60/AP60-1</f>
        <v>-2.7918207198369682E-3</v>
      </c>
      <c r="AU61" s="91">
        <f>AU60/AQ60-1</f>
        <v>5.5912498087807849E-2</v>
      </c>
      <c r="AV61" s="91">
        <f>AV60/AR60-1</f>
        <v>9.384164222873892E-2</v>
      </c>
      <c r="AW61" s="91">
        <f>AW60/AS60-1</f>
        <v>8.6654451061230819E-2</v>
      </c>
      <c r="AX61" s="91">
        <f>AX60/AT60-1</f>
        <v>5.6749394673123454E-2</v>
      </c>
      <c r="AY61" s="91">
        <f>AY60/AU60-1</f>
        <v>-1.2386816370880127E-2</v>
      </c>
      <c r="AZ61" s="91">
        <f>AZ60/AV60-1</f>
        <v>-3.8803442923663001E-2</v>
      </c>
      <c r="BA61" s="93">
        <f>BA60/AW60-1</f>
        <v>-1.7845851190894435E-2</v>
      </c>
      <c r="BB61" s="248">
        <f>BA61</f>
        <v>-1.7845851190894435E-2</v>
      </c>
      <c r="BC61" s="215">
        <f>BB61</f>
        <v>-1.7845851190894435E-2</v>
      </c>
      <c r="BD61" s="215">
        <f>BC61</f>
        <v>-1.7845851190894435E-2</v>
      </c>
      <c r="BE61" s="215">
        <f>BD61</f>
        <v>-1.7845851190894435E-2</v>
      </c>
      <c r="BF61" s="215">
        <f>BE61</f>
        <v>-1.7845851190894435E-2</v>
      </c>
      <c r="BG61" s="215">
        <f>BF61</f>
        <v>-1.7845851190894435E-2</v>
      </c>
      <c r="BH61" s="215">
        <f>BG61</f>
        <v>-1.7845851190894435E-2</v>
      </c>
      <c r="BI61" s="215">
        <f>BH61</f>
        <v>-1.7845851190894435E-2</v>
      </c>
      <c r="BJ61" s="215">
        <f>BI61</f>
        <v>-1.7845851190894435E-2</v>
      </c>
      <c r="BK61" s="215">
        <f>BJ61</f>
        <v>-1.7845851190894435E-2</v>
      </c>
      <c r="BL61" s="215">
        <f>BK61</f>
        <v>-1.7845851190894435E-2</v>
      </c>
      <c r="BM61" s="215">
        <f>BL61</f>
        <v>-1.7845851190894435E-2</v>
      </c>
      <c r="BN61" s="215">
        <f>BM61</f>
        <v>-1.7845851190894435E-2</v>
      </c>
      <c r="BO61" s="215">
        <f>BN61</f>
        <v>-1.7845851190894435E-2</v>
      </c>
      <c r="BP61" s="215">
        <f>BO61</f>
        <v>-1.7845851190894435E-2</v>
      </c>
      <c r="BQ61" s="215">
        <f>BP61</f>
        <v>-1.7845851190894435E-2</v>
      </c>
      <c r="BR61" s="215">
        <f>BQ61</f>
        <v>-1.7845851190894435E-2</v>
      </c>
    </row>
    <row r="62" spans="1:70" x14ac:dyDescent="0.2">
      <c r="A62" s="161" t="s">
        <v>5</v>
      </c>
      <c r="B62" s="12"/>
      <c r="C62" s="163"/>
      <c r="D62" s="163"/>
      <c r="E62" s="163"/>
      <c r="F62" s="163"/>
      <c r="G62" s="163"/>
      <c r="H62" s="163"/>
      <c r="I62" s="163"/>
      <c r="J62" s="163"/>
      <c r="K62" s="163"/>
      <c r="L62" s="173"/>
      <c r="M62" s="174"/>
      <c r="N62" s="163"/>
      <c r="O62" s="163"/>
      <c r="P62" s="163"/>
      <c r="Q62" s="163"/>
      <c r="R62" s="300"/>
      <c r="S62" s="91"/>
      <c r="T62" s="91"/>
      <c r="U62" s="91"/>
      <c r="V62" s="91"/>
      <c r="W62" s="91"/>
      <c r="X62" s="91"/>
      <c r="Y62" s="91"/>
      <c r="Z62" s="91"/>
      <c r="AA62" s="91"/>
      <c r="AB62" s="91"/>
      <c r="AC62" s="91"/>
      <c r="AD62" s="91"/>
      <c r="AE62" s="91"/>
      <c r="AF62" s="91"/>
      <c r="AG62" s="91">
        <f>AG60/AF60-1</f>
        <v>2.8722248098121517E-2</v>
      </c>
      <c r="AH62" s="91">
        <f>AH60/AG60-1</f>
        <v>-7.1687292484153842E-3</v>
      </c>
      <c r="AI62" s="91">
        <f>AI60/AH60-1</f>
        <v>9.120620202174301E-4</v>
      </c>
      <c r="AJ62" s="91">
        <f>AJ60/AI60-1</f>
        <v>4.556154605512841E-4</v>
      </c>
      <c r="AK62" s="91">
        <f>AK60/AJ60-1</f>
        <v>-6.0721062618596111E-4</v>
      </c>
      <c r="AL62" s="91">
        <f>AL60/AK60-1</f>
        <v>2.2784233310548796E-3</v>
      </c>
      <c r="AM62" s="91">
        <f>AM60/AL60-1</f>
        <v>-9.0929756762903047E-4</v>
      </c>
      <c r="AN62" s="91">
        <f>AN60/AM60-1</f>
        <v>-1.3045127038301074E-2</v>
      </c>
      <c r="AO62" s="91">
        <f>AO60/AN60-1</f>
        <v>1.4600783831553166E-2</v>
      </c>
      <c r="AP62" s="91">
        <f>AP60/AO60-1</f>
        <v>3.7870181019465932E-3</v>
      </c>
      <c r="AQ62" s="91">
        <f>AQ60/AP60-1</f>
        <v>-1.3506375914887236E-2</v>
      </c>
      <c r="AR62" s="91">
        <f>AR60/AQ60-1</f>
        <v>-8.8725715159859719E-3</v>
      </c>
      <c r="AS62" s="91">
        <f>AS60/AR60-1</f>
        <v>1.0804136440808687E-2</v>
      </c>
      <c r="AT62" s="91">
        <f>AT60/AS60-1</f>
        <v>9.009009009008917E-3</v>
      </c>
      <c r="AU62" s="91">
        <f>AU60/AT60-1</f>
        <v>4.4567191283293006E-2</v>
      </c>
      <c r="AV62" s="91">
        <f>AV60/AU60-1</f>
        <v>2.6729445852951894E-2</v>
      </c>
      <c r="AW62" s="91">
        <f>AW60/AV60-1</f>
        <v>4.1625511499929768E-3</v>
      </c>
      <c r="AX62" s="91">
        <f>AX60/AW60-1</f>
        <v>-1.8759221527436254E-2</v>
      </c>
      <c r="AY62" s="91">
        <f>AY60/AX60-1</f>
        <v>-2.377201775741089E-2</v>
      </c>
      <c r="AZ62" s="91">
        <f>AZ60/AY60-1</f>
        <v>-7.3346046648081753E-4</v>
      </c>
      <c r="BA62" s="93">
        <f>BA60/AZ60-1</f>
        <v>2.6056958308866784E-2</v>
      </c>
      <c r="BB62" s="92">
        <f>BB60/BA60-1</f>
        <v>-1.8759221527436254E-2</v>
      </c>
      <c r="BC62" s="91">
        <f>BC60/BB60-1</f>
        <v>-2.377201775741089E-2</v>
      </c>
      <c r="BD62" s="91">
        <f>BD60/BC60-1</f>
        <v>-7.3346046648081753E-4</v>
      </c>
      <c r="BE62" s="91">
        <f>BE60/BD60-1</f>
        <v>2.6056958308866784E-2</v>
      </c>
      <c r="BF62" s="91">
        <f>BF60/BE60-1</f>
        <v>-1.8759221527436254E-2</v>
      </c>
      <c r="BG62" s="91">
        <f>BG60/BF60-1</f>
        <v>-2.377201775741089E-2</v>
      </c>
      <c r="BH62" s="91">
        <f>BH60/BG60-1</f>
        <v>-7.3346046648081753E-4</v>
      </c>
      <c r="BI62" s="91">
        <f>BI60/BH60-1</f>
        <v>2.6056958308866784E-2</v>
      </c>
      <c r="BJ62" s="91">
        <f>BJ60/BI60-1</f>
        <v>-1.8759221527436254E-2</v>
      </c>
      <c r="BK62" s="91">
        <f>BK60/BJ60-1</f>
        <v>-2.377201775741089E-2</v>
      </c>
      <c r="BL62" s="91">
        <f>BL60/BK60-1</f>
        <v>-7.3346046648081753E-4</v>
      </c>
      <c r="BM62" s="91">
        <f>BM60/BL60-1</f>
        <v>2.6056958308866562E-2</v>
      </c>
      <c r="BN62" s="91">
        <f>BN60/BM60-1</f>
        <v>-1.8759221527436143E-2</v>
      </c>
      <c r="BO62" s="91">
        <f>BO60/BN60-1</f>
        <v>-2.3772017757411001E-2</v>
      </c>
      <c r="BP62" s="91">
        <f>BP60/BO60-1</f>
        <v>-7.3346046648070651E-4</v>
      </c>
      <c r="BQ62" s="91">
        <f>BQ60/BP60-1</f>
        <v>2.6056958308866562E-2</v>
      </c>
      <c r="BR62" s="91">
        <f>BR60/BQ60-1</f>
        <v>-1.8759221527436143E-2</v>
      </c>
    </row>
    <row r="63" spans="1:70" x14ac:dyDescent="0.2">
      <c r="A63" s="237" t="s">
        <v>225</v>
      </c>
      <c r="B63" s="238"/>
      <c r="C63" s="147"/>
      <c r="D63" s="147"/>
      <c r="E63" s="147"/>
      <c r="F63" s="147"/>
      <c r="G63" s="147"/>
      <c r="H63" s="209">
        <f>AVERAGE(AE63:AH63)</f>
        <v>28.415000000000003</v>
      </c>
      <c r="I63" s="209">
        <f>AVERAGE(AI63:AL63)</f>
        <v>28.905000000000001</v>
      </c>
      <c r="J63" s="209">
        <f>AVERAGE(AM63:AP63)</f>
        <v>27.799999999999997</v>
      </c>
      <c r="K63" s="209">
        <f>AVERAGE(AQ63:AT63)</f>
        <v>26.9925</v>
      </c>
      <c r="L63" s="209">
        <f>AVERAGE(AU63:AX63)</f>
        <v>28.94</v>
      </c>
      <c r="M63" s="216">
        <f>AVERAGE(AY63:BB63)</f>
        <v>32.683153650254667</v>
      </c>
      <c r="N63" s="64">
        <f>AVERAGE(BC63:BF63)</f>
        <v>37.677183919393755</v>
      </c>
      <c r="O63" s="64">
        <f>AVERAGE(BG63:BJ63)</f>
        <v>43.434308796720487</v>
      </c>
      <c r="P63" s="64">
        <f>AVERAGE(BK63:BN63)</f>
        <v>50.071130174827182</v>
      </c>
      <c r="Q63" s="64">
        <f>AVERAGE(BO63:BR63)</f>
        <v>57.722066873867</v>
      </c>
      <c r="R63" s="303"/>
      <c r="S63" s="147"/>
      <c r="T63" s="147"/>
      <c r="U63" s="147"/>
      <c r="V63" s="147"/>
      <c r="W63" s="147"/>
      <c r="X63" s="147"/>
      <c r="Y63" s="147"/>
      <c r="Z63" s="147"/>
      <c r="AA63" s="147"/>
      <c r="AB63" s="147"/>
      <c r="AC63" s="147"/>
      <c r="AD63" s="147"/>
      <c r="AE63" s="147">
        <v>29.92</v>
      </c>
      <c r="AF63" s="147">
        <v>28.7</v>
      </c>
      <c r="AG63" s="147">
        <v>28.03</v>
      </c>
      <c r="AH63" s="147">
        <v>27.01</v>
      </c>
      <c r="AI63" s="147">
        <v>29.68</v>
      </c>
      <c r="AJ63" s="147">
        <v>29.3</v>
      </c>
      <c r="AK63" s="147">
        <v>28.96</v>
      </c>
      <c r="AL63" s="147">
        <v>27.68</v>
      </c>
      <c r="AM63" s="147">
        <v>29.1</v>
      </c>
      <c r="AN63" s="147">
        <v>28.22</v>
      </c>
      <c r="AO63" s="147">
        <v>27.53</v>
      </c>
      <c r="AP63" s="147">
        <v>26.35</v>
      </c>
      <c r="AQ63" s="147">
        <v>27.17</v>
      </c>
      <c r="AR63" s="147">
        <v>27.07</v>
      </c>
      <c r="AS63" s="147">
        <v>27.13</v>
      </c>
      <c r="AT63" s="147">
        <v>26.6</v>
      </c>
      <c r="AU63" s="147">
        <v>28.4</v>
      </c>
      <c r="AV63" s="147">
        <v>29.49</v>
      </c>
      <c r="AW63" s="147">
        <v>29.45</v>
      </c>
      <c r="AX63" s="147">
        <v>28.42</v>
      </c>
      <c r="AY63" s="147">
        <v>31.76</v>
      </c>
      <c r="AZ63" s="147">
        <v>32.26</v>
      </c>
      <c r="BA63" s="251">
        <v>33.950000000000003</v>
      </c>
      <c r="BB63" s="216">
        <f>AX63*(1+BB64)</f>
        <v>32.762614601018683</v>
      </c>
      <c r="BC63" s="64">
        <f>AY63*(1+BC64)</f>
        <v>36.612971137521228</v>
      </c>
      <c r="BD63" s="64">
        <f>AZ63*(1+BD64)</f>
        <v>37.189371816638371</v>
      </c>
      <c r="BE63" s="64">
        <f>BA63*(1+BE64)</f>
        <v>39.137606112054335</v>
      </c>
      <c r="BF63" s="64">
        <f>BB63*(1+BF64)</f>
        <v>37.768786611361101</v>
      </c>
      <c r="BG63" s="64">
        <f>BC63*(1+BG64)</f>
        <v>42.20748285632753</v>
      </c>
      <c r="BH63" s="64">
        <f>BD63*(1+BH64)</f>
        <v>42.871958342100946</v>
      </c>
      <c r="BI63" s="64">
        <f>BE63*(1+BI64)</f>
        <v>45.117885484015105</v>
      </c>
      <c r="BJ63" s="64">
        <f>BF63*(1+BJ64)</f>
        <v>43.539908504438351</v>
      </c>
      <c r="BK63" s="64">
        <f>BG63*(1+BK64)</f>
        <v>48.656843564425124</v>
      </c>
      <c r="BL63" s="64">
        <f>BH63*(1+BL64)</f>
        <v>49.422851806938105</v>
      </c>
      <c r="BM63" s="64">
        <f>BI63*(1+BM64)</f>
        <v>52.011959666632016</v>
      </c>
      <c r="BN63" s="64">
        <f>BJ63*(1+BN64)</f>
        <v>50.192865661313483</v>
      </c>
      <c r="BO63" s="64">
        <f>BK63*(1+BO64)</f>
        <v>56.091675348462921</v>
      </c>
      <c r="BP63" s="64">
        <f>BL63*(1+BP64)</f>
        <v>56.974730690850556</v>
      </c>
      <c r="BQ63" s="64">
        <f>BM63*(1+BQ64)</f>
        <v>59.959457748120784</v>
      </c>
      <c r="BR63" s="64">
        <f>BN63*(1+BR64)</f>
        <v>57.862403708033717</v>
      </c>
    </row>
    <row r="64" spans="1:70" x14ac:dyDescent="0.2">
      <c r="A64" s="161" t="s">
        <v>4</v>
      </c>
      <c r="B64" s="12"/>
      <c r="C64" s="163"/>
      <c r="D64" s="163"/>
      <c r="E64" s="163"/>
      <c r="F64" s="163"/>
      <c r="G64" s="163"/>
      <c r="H64" s="163"/>
      <c r="I64" s="212" t="s">
        <v>99</v>
      </c>
      <c r="J64" s="163">
        <f>J63/I63-1</f>
        <v>-3.8228680159142159E-2</v>
      </c>
      <c r="K64" s="163">
        <f>K63/J63-1</f>
        <v>-2.9046762589927999E-2</v>
      </c>
      <c r="L64" s="173">
        <f>L63/K63-1</f>
        <v>7.2149671204964294E-2</v>
      </c>
      <c r="M64" s="174">
        <f>M63/L63-1</f>
        <v>0.12934186766602163</v>
      </c>
      <c r="N64" s="163">
        <f>N63/M63-1</f>
        <v>0.15280135823429553</v>
      </c>
      <c r="O64" s="163">
        <f>O63/N63-1</f>
        <v>0.15280135823429575</v>
      </c>
      <c r="P64" s="163">
        <f>P63/O63-1</f>
        <v>0.1528013582342953</v>
      </c>
      <c r="Q64" s="163">
        <f>Q63/P63-1</f>
        <v>0.15280135823429553</v>
      </c>
      <c r="R64" s="300"/>
      <c r="S64" s="91"/>
      <c r="T64" s="91"/>
      <c r="U64" s="91"/>
      <c r="V64" s="91"/>
      <c r="W64" s="91"/>
      <c r="X64" s="91"/>
      <c r="Y64" s="91"/>
      <c r="Z64" s="91"/>
      <c r="AA64" s="91"/>
      <c r="AB64" s="91"/>
      <c r="AC64" s="91"/>
      <c r="AD64" s="91"/>
      <c r="AE64" s="91"/>
      <c r="AF64" s="91"/>
      <c r="AG64" s="91"/>
      <c r="AH64" s="91"/>
      <c r="AI64" s="91">
        <f>AI63/AE63-1</f>
        <v>-8.0213903743315829E-3</v>
      </c>
      <c r="AJ64" s="91">
        <f>AJ63/AF63-1</f>
        <v>2.0905923344947785E-2</v>
      </c>
      <c r="AK64" s="91">
        <f>AK63/AG63-1</f>
        <v>3.3178737067427688E-2</v>
      </c>
      <c r="AL64" s="91">
        <f>AL63/AH63-1</f>
        <v>2.4805627545353426E-2</v>
      </c>
      <c r="AM64" s="91">
        <f>AM63/AI63-1</f>
        <v>-1.9541778975741164E-2</v>
      </c>
      <c r="AN64" s="91">
        <f>AN63/AJ63-1</f>
        <v>-3.6860068259385703E-2</v>
      </c>
      <c r="AO64" s="91">
        <f>AO63/AK63-1</f>
        <v>-4.9378453038674053E-2</v>
      </c>
      <c r="AP64" s="91">
        <f>AP63/AL63-1</f>
        <v>-4.8049132947976858E-2</v>
      </c>
      <c r="AQ64" s="91">
        <f>AQ63/AM63-1</f>
        <v>-6.6323024054982804E-2</v>
      </c>
      <c r="AR64" s="91">
        <f>AR63/AN63-1</f>
        <v>-4.0751240255138099E-2</v>
      </c>
      <c r="AS64" s="91">
        <f>AS63/AO63-1</f>
        <v>-1.4529604068289181E-2</v>
      </c>
      <c r="AT64" s="91">
        <f>AT63/AP63-1</f>
        <v>9.4876660341556285E-3</v>
      </c>
      <c r="AU64" s="91">
        <f>AU63/AQ63-1</f>
        <v>4.5270518954729333E-2</v>
      </c>
      <c r="AV64" s="91">
        <f>AV63/AR63-1</f>
        <v>8.9397857406723347E-2</v>
      </c>
      <c r="AW64" s="91">
        <f>AW63/AS63-1</f>
        <v>8.5514190932546974E-2</v>
      </c>
      <c r="AX64" s="91">
        <f>AX63/AT63-1</f>
        <v>6.8421052631578938E-2</v>
      </c>
      <c r="AY64" s="91">
        <f>AY63/AU63-1</f>
        <v>0.11830985915492964</v>
      </c>
      <c r="AZ64" s="91">
        <f>AZ63/AV63-1</f>
        <v>9.3930145812139765E-2</v>
      </c>
      <c r="BA64" s="93">
        <f>BA63/AW63-1</f>
        <v>0.15280135823429553</v>
      </c>
      <c r="BB64" s="248">
        <f>BA64</f>
        <v>0.15280135823429553</v>
      </c>
      <c r="BC64" s="215">
        <f>BB64</f>
        <v>0.15280135823429553</v>
      </c>
      <c r="BD64" s="215">
        <f>BC64</f>
        <v>0.15280135823429553</v>
      </c>
      <c r="BE64" s="215">
        <f>BD64</f>
        <v>0.15280135823429553</v>
      </c>
      <c r="BF64" s="215">
        <f>BE64</f>
        <v>0.15280135823429553</v>
      </c>
      <c r="BG64" s="215">
        <f>BF64</f>
        <v>0.15280135823429553</v>
      </c>
      <c r="BH64" s="215">
        <f>BG64</f>
        <v>0.15280135823429553</v>
      </c>
      <c r="BI64" s="215">
        <f>BH64</f>
        <v>0.15280135823429553</v>
      </c>
      <c r="BJ64" s="215">
        <f>BI64</f>
        <v>0.15280135823429553</v>
      </c>
      <c r="BK64" s="215">
        <f>BJ64</f>
        <v>0.15280135823429553</v>
      </c>
      <c r="BL64" s="215">
        <f>BK64</f>
        <v>0.15280135823429553</v>
      </c>
      <c r="BM64" s="215">
        <f>BL64</f>
        <v>0.15280135823429553</v>
      </c>
      <c r="BN64" s="215">
        <f>BM64</f>
        <v>0.15280135823429553</v>
      </c>
      <c r="BO64" s="215">
        <f>BN64</f>
        <v>0.15280135823429553</v>
      </c>
      <c r="BP64" s="215">
        <f>BO64</f>
        <v>0.15280135823429553</v>
      </c>
      <c r="BQ64" s="215">
        <f>BP64</f>
        <v>0.15280135823429553</v>
      </c>
      <c r="BR64" s="215">
        <f>BQ64</f>
        <v>0.15280135823429553</v>
      </c>
    </row>
    <row r="65" spans="1:70" x14ac:dyDescent="0.2">
      <c r="A65" s="161" t="s">
        <v>5</v>
      </c>
      <c r="B65" s="12"/>
      <c r="C65" s="163"/>
      <c r="D65" s="163"/>
      <c r="E65" s="163"/>
      <c r="F65" s="163"/>
      <c r="G65" s="163"/>
      <c r="H65" s="163"/>
      <c r="I65" s="163"/>
      <c r="J65" s="163"/>
      <c r="K65" s="163"/>
      <c r="L65" s="173"/>
      <c r="M65" s="174"/>
      <c r="N65" s="163"/>
      <c r="O65" s="163"/>
      <c r="P65" s="163"/>
      <c r="Q65" s="163"/>
      <c r="R65" s="300"/>
      <c r="S65" s="91"/>
      <c r="T65" s="91"/>
      <c r="U65" s="91"/>
      <c r="V65" s="91"/>
      <c r="W65" s="91"/>
      <c r="X65" s="91"/>
      <c r="Y65" s="91"/>
      <c r="Z65" s="91"/>
      <c r="AA65" s="91"/>
      <c r="AB65" s="91"/>
      <c r="AC65" s="91"/>
      <c r="AD65" s="91"/>
      <c r="AE65" s="91"/>
      <c r="AF65" s="91"/>
      <c r="AG65" s="91">
        <f>AG63/AF63-1</f>
        <v>-2.3344947735191579E-2</v>
      </c>
      <c r="AH65" s="91">
        <f>AH63/AG63-1</f>
        <v>-3.638958259008207E-2</v>
      </c>
      <c r="AI65" s="91">
        <f>AI63/AH63-1</f>
        <v>9.885227693446863E-2</v>
      </c>
      <c r="AJ65" s="91">
        <f>AJ63/AI63-1</f>
        <v>-1.2803234501347682E-2</v>
      </c>
      <c r="AK65" s="91">
        <f>AK63/AJ63-1</f>
        <v>-1.1604095563139905E-2</v>
      </c>
      <c r="AL65" s="91">
        <f>AL63/AK63-1</f>
        <v>-4.4198895027624308E-2</v>
      </c>
      <c r="AM65" s="91">
        <f>AM63/AL63-1</f>
        <v>5.1300578034682243E-2</v>
      </c>
      <c r="AN65" s="91">
        <f>AN63/AM63-1</f>
        <v>-3.0240549828178809E-2</v>
      </c>
      <c r="AO65" s="91">
        <f>AO63/AN63-1</f>
        <v>-2.4450744153082793E-2</v>
      </c>
      <c r="AP65" s="91">
        <f>AP63/AO63-1</f>
        <v>-4.2862332001452952E-2</v>
      </c>
      <c r="AQ65" s="91">
        <f>AQ63/AP63-1</f>
        <v>3.1119544592030479E-2</v>
      </c>
      <c r="AR65" s="91">
        <f>AR63/AQ63-1</f>
        <v>-3.6805299963195148E-3</v>
      </c>
      <c r="AS65" s="91">
        <f>AS63/AR63-1</f>
        <v>2.2164758034723953E-3</v>
      </c>
      <c r="AT65" s="91">
        <f>AT63/AS63-1</f>
        <v>-1.9535569480280013E-2</v>
      </c>
      <c r="AU65" s="91">
        <f>AU63/AT63-1</f>
        <v>6.7669172932330657E-2</v>
      </c>
      <c r="AV65" s="91">
        <f>AV63/AU63-1</f>
        <v>3.8380281690140849E-2</v>
      </c>
      <c r="AW65" s="91">
        <f>AW63/AV63-1</f>
        <v>-1.3563919972872096E-3</v>
      </c>
      <c r="AX65" s="91">
        <f>AX63/AW63-1</f>
        <v>-3.4974533106960859E-2</v>
      </c>
      <c r="AY65" s="91">
        <f>AY63/AX63-1</f>
        <v>0.11752287121745253</v>
      </c>
      <c r="AZ65" s="91">
        <f>AZ63/AY63-1</f>
        <v>1.5743073047858935E-2</v>
      </c>
      <c r="BA65" s="93">
        <f>BA63/AZ63-1</f>
        <v>5.2386856788592784E-2</v>
      </c>
      <c r="BB65" s="92">
        <f>BB63/BA63-1</f>
        <v>-3.4974533106960859E-2</v>
      </c>
      <c r="BC65" s="91">
        <f>BC63/BB63-1</f>
        <v>0.11752287121745253</v>
      </c>
      <c r="BD65" s="91">
        <f>BD63/BC63-1</f>
        <v>1.5743073047858713E-2</v>
      </c>
      <c r="BE65" s="91">
        <f>BE63/BD63-1</f>
        <v>5.2386856788592784E-2</v>
      </c>
      <c r="BF65" s="91">
        <f>BF63/BE63-1</f>
        <v>-3.4974533106960748E-2</v>
      </c>
      <c r="BG65" s="91">
        <f>BG63/BF63-1</f>
        <v>0.11752287121745231</v>
      </c>
      <c r="BH65" s="91">
        <f>BH63/BG63-1</f>
        <v>1.5743073047858935E-2</v>
      </c>
      <c r="BI65" s="91">
        <f>BI63/BH63-1</f>
        <v>5.2386856788592784E-2</v>
      </c>
      <c r="BJ65" s="91">
        <f>BJ63/BI63-1</f>
        <v>-3.4974533106960859E-2</v>
      </c>
      <c r="BK65" s="91">
        <f>BK63/BJ63-1</f>
        <v>0.11752287121745253</v>
      </c>
      <c r="BL65" s="91">
        <f>BL63/BK63-1</f>
        <v>1.5743073047858713E-2</v>
      </c>
      <c r="BM65" s="91">
        <f>BM63/BL63-1</f>
        <v>5.2386856788592784E-2</v>
      </c>
      <c r="BN65" s="91">
        <f>BN63/BM63-1</f>
        <v>-3.4974533106960859E-2</v>
      </c>
      <c r="BO65" s="91">
        <f>BO63/BN63-1</f>
        <v>0.11752287121745253</v>
      </c>
      <c r="BP65" s="91">
        <f>BP63/BO63-1</f>
        <v>1.5743073047858935E-2</v>
      </c>
      <c r="BQ65" s="91">
        <f>BQ63/BP63-1</f>
        <v>5.2386856788592784E-2</v>
      </c>
      <c r="BR65" s="91">
        <f>BR63/BQ63-1</f>
        <v>-3.4974533106960748E-2</v>
      </c>
    </row>
    <row r="66" spans="1:70" x14ac:dyDescent="0.2">
      <c r="A66" s="271"/>
      <c r="B66" s="9"/>
      <c r="C66" s="94"/>
      <c r="D66" s="94"/>
      <c r="E66" s="94"/>
      <c r="F66" s="94"/>
      <c r="G66" s="94"/>
      <c r="H66" s="94"/>
      <c r="I66" s="94"/>
      <c r="J66" s="94"/>
      <c r="K66" s="94"/>
      <c r="L66" s="95"/>
      <c r="M66" s="83"/>
      <c r="N66" s="84"/>
      <c r="O66" s="84"/>
      <c r="P66" s="84"/>
      <c r="Q66" s="84"/>
      <c r="R66" s="46"/>
      <c r="S66" s="94"/>
      <c r="T66" s="94"/>
      <c r="U66" s="94"/>
      <c r="V66" s="94"/>
      <c r="W66" s="94"/>
      <c r="X66" s="94"/>
      <c r="Y66" s="94"/>
      <c r="Z66" s="94"/>
      <c r="AA66" s="94"/>
      <c r="AB66" s="94"/>
      <c r="AC66" s="94"/>
      <c r="AD66" s="94"/>
      <c r="AE66" s="94"/>
      <c r="AF66" s="94"/>
      <c r="AG66" s="94"/>
      <c r="AH66" s="94"/>
      <c r="AI66" s="94"/>
      <c r="AJ66" s="94"/>
      <c r="AK66" s="94"/>
      <c r="AL66" s="94"/>
      <c r="AM66" s="94"/>
      <c r="AN66" s="94"/>
      <c r="AO66" s="94"/>
      <c r="AP66" s="94"/>
      <c r="AQ66" s="94"/>
      <c r="AR66" s="94"/>
      <c r="AS66" s="94"/>
      <c r="AT66" s="94"/>
      <c r="AU66" s="94"/>
      <c r="AV66" s="94"/>
      <c r="AW66" s="94"/>
      <c r="AX66" s="94"/>
      <c r="AY66" s="94"/>
      <c r="AZ66" s="94"/>
      <c r="BA66" s="95"/>
      <c r="BB66" s="96"/>
      <c r="BC66" s="94"/>
      <c r="BD66" s="94"/>
      <c r="BE66" s="94"/>
      <c r="BF66" s="94"/>
      <c r="BG66" s="94"/>
      <c r="BH66" s="94"/>
      <c r="BI66" s="94"/>
      <c r="BJ66" s="94"/>
      <c r="BK66" s="94"/>
      <c r="BL66" s="94"/>
      <c r="BM66" s="94"/>
      <c r="BN66" s="94"/>
      <c r="BO66" s="94"/>
      <c r="BP66" s="94"/>
      <c r="BQ66" s="94"/>
      <c r="BR66" s="94"/>
    </row>
    <row r="67" spans="1:70" x14ac:dyDescent="0.2">
      <c r="A67" s="272" t="s">
        <v>226</v>
      </c>
      <c r="B67" s="24"/>
      <c r="C67" s="141"/>
      <c r="D67" s="141"/>
      <c r="E67" s="141"/>
      <c r="F67" s="141"/>
      <c r="G67" s="141"/>
      <c r="H67" s="141"/>
      <c r="I67" s="142"/>
      <c r="J67" s="142"/>
      <c r="K67" s="142"/>
      <c r="L67" s="142"/>
      <c r="M67" s="77"/>
      <c r="N67" s="76"/>
      <c r="O67" s="76"/>
      <c r="P67" s="76"/>
      <c r="Q67" s="76"/>
      <c r="R67" s="48"/>
      <c r="S67" s="142"/>
      <c r="T67" s="142"/>
      <c r="U67" s="142"/>
      <c r="V67" s="142"/>
      <c r="W67" s="142"/>
      <c r="X67" s="142"/>
      <c r="Y67" s="142"/>
      <c r="Z67" s="142"/>
      <c r="AA67" s="142"/>
      <c r="AB67" s="142"/>
      <c r="AC67" s="142"/>
      <c r="AD67" s="142"/>
      <c r="AE67" s="142"/>
      <c r="AF67" s="142"/>
      <c r="AG67" s="142"/>
      <c r="AH67" s="142"/>
      <c r="AI67" s="142"/>
      <c r="AJ67" s="142"/>
      <c r="AK67" s="142"/>
      <c r="AL67" s="142"/>
      <c r="AM67" s="142"/>
      <c r="AN67" s="142"/>
      <c r="AO67" s="142"/>
      <c r="AP67" s="142"/>
      <c r="AQ67" s="142"/>
      <c r="AR67" s="142"/>
      <c r="AS67" s="142"/>
      <c r="AT67" s="142"/>
      <c r="AU67" s="142"/>
      <c r="AV67" s="142"/>
      <c r="AW67" s="142"/>
      <c r="AX67" s="142"/>
      <c r="AY67" s="142"/>
      <c r="AZ67" s="142"/>
      <c r="BA67" s="153"/>
      <c r="BB67" s="79"/>
      <c r="BC67" s="80"/>
      <c r="BD67" s="80"/>
      <c r="BE67" s="80"/>
      <c r="BF67" s="80"/>
      <c r="BG67" s="80"/>
      <c r="BH67" s="80"/>
      <c r="BI67" s="80"/>
      <c r="BJ67" s="80"/>
      <c r="BK67" s="80"/>
      <c r="BL67" s="80"/>
      <c r="BM67" s="80"/>
      <c r="BN67" s="80"/>
      <c r="BO67" s="80"/>
      <c r="BP67" s="80"/>
      <c r="BQ67" s="80"/>
      <c r="BR67" s="80"/>
    </row>
    <row r="68" spans="1:70" x14ac:dyDescent="0.2">
      <c r="A68" s="168" t="s">
        <v>227</v>
      </c>
      <c r="B68" s="24"/>
      <c r="C68" s="141"/>
      <c r="D68" s="142"/>
      <c r="E68" s="142"/>
      <c r="F68" s="142"/>
      <c r="G68" s="142"/>
      <c r="H68" s="141"/>
      <c r="I68" s="141"/>
      <c r="J68" s="146">
        <f>SUM(AM68:AP68)</f>
        <v>31559</v>
      </c>
      <c r="K68" s="146">
        <f>SUM(AQ68:AT68)</f>
        <v>34654</v>
      </c>
      <c r="L68" s="146">
        <f>SUM(AU68:AX68)</f>
        <v>37839</v>
      </c>
      <c r="M68" s="77"/>
      <c r="N68" s="76"/>
      <c r="O68" s="76"/>
      <c r="P68" s="76"/>
      <c r="Q68" s="76"/>
      <c r="R68" s="48"/>
      <c r="S68" s="146"/>
      <c r="T68" s="142"/>
      <c r="U68" s="142"/>
      <c r="V68" s="142"/>
      <c r="W68" s="142"/>
      <c r="X68" s="142"/>
      <c r="Y68" s="142"/>
      <c r="Z68" s="142"/>
      <c r="AA68" s="142"/>
      <c r="AB68" s="142"/>
      <c r="AC68" s="142"/>
      <c r="AD68" s="142"/>
      <c r="AE68" s="141"/>
      <c r="AF68" s="141"/>
      <c r="AG68" s="141"/>
      <c r="AH68" s="141"/>
      <c r="AI68" s="141"/>
      <c r="AJ68" s="141"/>
      <c r="AK68" s="141"/>
      <c r="AL68" s="142">
        <v>7425</v>
      </c>
      <c r="AM68" s="142">
        <v>7655</v>
      </c>
      <c r="AN68" s="142">
        <v>7762</v>
      </c>
      <c r="AO68" s="142">
        <v>7908</v>
      </c>
      <c r="AP68" s="142">
        <v>8234</v>
      </c>
      <c r="AQ68" s="142">
        <v>8241</v>
      </c>
      <c r="AR68" s="142">
        <v>8701</v>
      </c>
      <c r="AS68" s="142">
        <v>8837</v>
      </c>
      <c r="AT68" s="142">
        <v>8875</v>
      </c>
      <c r="AU68" s="142">
        <v>9497</v>
      </c>
      <c r="AV68" s="142">
        <v>9494</v>
      </c>
      <c r="AW68" s="142">
        <v>9478</v>
      </c>
      <c r="AX68" s="142">
        <v>9370</v>
      </c>
      <c r="AY68" s="142">
        <v>9218</v>
      </c>
      <c r="AZ68" s="142">
        <v>9205</v>
      </c>
      <c r="BA68" s="153">
        <v>9188</v>
      </c>
      <c r="BB68" s="79"/>
      <c r="BC68" s="80"/>
      <c r="BD68" s="80"/>
      <c r="BE68" s="80"/>
      <c r="BF68" s="80"/>
      <c r="BG68" s="80"/>
      <c r="BH68" s="80"/>
      <c r="BI68" s="80"/>
      <c r="BJ68" s="80"/>
      <c r="BK68" s="80"/>
      <c r="BL68" s="80"/>
      <c r="BM68" s="80"/>
      <c r="BN68" s="80"/>
      <c r="BO68" s="80"/>
      <c r="BP68" s="80"/>
      <c r="BQ68" s="80"/>
      <c r="BR68" s="80"/>
    </row>
    <row r="69" spans="1:70" x14ac:dyDescent="0.2">
      <c r="A69" s="201" t="s">
        <v>228</v>
      </c>
      <c r="B69" s="43"/>
      <c r="C69" s="162"/>
      <c r="D69" s="143"/>
      <c r="E69" s="143"/>
      <c r="F69" s="143"/>
      <c r="G69" s="143"/>
      <c r="H69" s="143"/>
      <c r="I69" s="148"/>
      <c r="J69" s="148">
        <f>SUM(AM69:AP69)</f>
        <v>21128</v>
      </c>
      <c r="K69" s="148">
        <f>SUM(AQ69:AT69)</f>
        <v>17821</v>
      </c>
      <c r="L69" s="148">
        <f>SUM(AU69:AX69)</f>
        <v>18601</v>
      </c>
      <c r="M69" s="83"/>
      <c r="N69" s="84"/>
      <c r="O69" s="84"/>
      <c r="P69" s="84"/>
      <c r="Q69" s="84"/>
      <c r="R69" s="49"/>
      <c r="S69" s="148"/>
      <c r="T69" s="143"/>
      <c r="U69" s="143"/>
      <c r="V69" s="143"/>
      <c r="W69" s="143"/>
      <c r="X69" s="143"/>
      <c r="Y69" s="143"/>
      <c r="Z69" s="143"/>
      <c r="AA69" s="143"/>
      <c r="AB69" s="143"/>
      <c r="AC69" s="143"/>
      <c r="AD69" s="143"/>
      <c r="AE69" s="143"/>
      <c r="AF69" s="143"/>
      <c r="AG69" s="143"/>
      <c r="AH69" s="143"/>
      <c r="AI69" s="143"/>
      <c r="AJ69" s="143"/>
      <c r="AK69" s="143"/>
      <c r="AL69" s="143">
        <v>5915</v>
      </c>
      <c r="AM69" s="143">
        <v>5302</v>
      </c>
      <c r="AN69" s="143">
        <v>5417</v>
      </c>
      <c r="AO69" s="143">
        <v>5379</v>
      </c>
      <c r="AP69" s="143">
        <v>5030</v>
      </c>
      <c r="AQ69" s="143">
        <v>4781</v>
      </c>
      <c r="AR69" s="143">
        <v>4241</v>
      </c>
      <c r="AS69" s="143">
        <v>4378</v>
      </c>
      <c r="AT69" s="143">
        <v>4421</v>
      </c>
      <c r="AU69" s="143">
        <v>4627</v>
      </c>
      <c r="AV69" s="143">
        <v>4707</v>
      </c>
      <c r="AW69" s="143">
        <v>4638</v>
      </c>
      <c r="AX69" s="143">
        <v>4629</v>
      </c>
      <c r="AY69" s="143">
        <v>4426</v>
      </c>
      <c r="AZ69" s="143">
        <v>4489</v>
      </c>
      <c r="BA69" s="213">
        <v>5084</v>
      </c>
      <c r="BB69" s="204"/>
      <c r="BC69" s="87"/>
      <c r="BD69" s="87"/>
      <c r="BE69" s="87"/>
      <c r="BF69" s="87"/>
      <c r="BG69" s="87"/>
      <c r="BH69" s="87"/>
      <c r="BI69" s="87"/>
      <c r="BJ69" s="87"/>
      <c r="BK69" s="87"/>
      <c r="BL69" s="87"/>
      <c r="BM69" s="87"/>
      <c r="BN69" s="87"/>
      <c r="BO69" s="87"/>
      <c r="BP69" s="87"/>
      <c r="BQ69" s="87"/>
      <c r="BR69" s="87"/>
    </row>
    <row r="70" spans="1:70" x14ac:dyDescent="0.2">
      <c r="A70" s="189" t="s">
        <v>229</v>
      </c>
      <c r="B70" s="42"/>
      <c r="C70" s="202"/>
      <c r="D70" s="145"/>
      <c r="E70" s="145"/>
      <c r="F70" s="145"/>
      <c r="G70" s="145"/>
      <c r="H70" s="144">
        <f>SUM(AE70:AH70)</f>
        <v>52535</v>
      </c>
      <c r="I70" s="144">
        <f>SUM(AI70:AL70)</f>
        <v>52995</v>
      </c>
      <c r="J70" s="144">
        <f>SUM(AM70:AP70)</f>
        <v>52687</v>
      </c>
      <c r="K70" s="144">
        <f>SUM(AQ70:AT70)</f>
        <v>52475</v>
      </c>
      <c r="L70" s="144">
        <f>SUM(AU70:AX70)</f>
        <v>56440</v>
      </c>
      <c r="M70" s="86"/>
      <c r="N70" s="72"/>
      <c r="O70" s="72"/>
      <c r="P70" s="72"/>
      <c r="Q70" s="72"/>
      <c r="R70" s="48"/>
      <c r="S70" s="144"/>
      <c r="T70" s="145"/>
      <c r="U70" s="145"/>
      <c r="V70" s="145"/>
      <c r="W70" s="145"/>
      <c r="X70" s="145"/>
      <c r="Y70" s="145"/>
      <c r="Z70" s="145"/>
      <c r="AA70" s="145"/>
      <c r="AB70" s="145"/>
      <c r="AC70" s="145"/>
      <c r="AD70" s="145"/>
      <c r="AE70" s="145">
        <v>12752</v>
      </c>
      <c r="AF70" s="145">
        <v>13167</v>
      </c>
      <c r="AG70" s="145">
        <v>13329</v>
      </c>
      <c r="AH70" s="145">
        <v>13287</v>
      </c>
      <c r="AI70" s="145">
        <v>13172</v>
      </c>
      <c r="AJ70" s="145">
        <v>13335</v>
      </c>
      <c r="AK70" s="145">
        <v>13148</v>
      </c>
      <c r="AL70" s="145">
        <v>13340</v>
      </c>
      <c r="AM70" s="145">
        <v>12957</v>
      </c>
      <c r="AN70" s="145">
        <v>13179</v>
      </c>
      <c r="AO70" s="145">
        <v>13287</v>
      </c>
      <c r="AP70" s="145">
        <v>13264</v>
      </c>
      <c r="AQ70" s="145">
        <v>13022</v>
      </c>
      <c r="AR70" s="145">
        <v>12942</v>
      </c>
      <c r="AS70" s="145">
        <v>13215</v>
      </c>
      <c r="AT70" s="145">
        <v>13296</v>
      </c>
      <c r="AU70" s="145">
        <v>14124</v>
      </c>
      <c r="AV70" s="145">
        <v>14201</v>
      </c>
      <c r="AW70" s="145">
        <v>14116</v>
      </c>
      <c r="AX70" s="145">
        <v>13999</v>
      </c>
      <c r="AY70" s="145">
        <v>13644</v>
      </c>
      <c r="AZ70" s="145">
        <v>13694</v>
      </c>
      <c r="BA70" s="155">
        <v>14272</v>
      </c>
      <c r="BB70" s="203"/>
      <c r="BC70" s="97"/>
      <c r="BD70" s="97"/>
      <c r="BE70" s="97"/>
      <c r="BF70" s="97"/>
      <c r="BG70" s="97"/>
      <c r="BH70" s="97"/>
      <c r="BI70" s="97"/>
      <c r="BJ70" s="97"/>
      <c r="BK70" s="97"/>
      <c r="BL70" s="97"/>
      <c r="BM70" s="97"/>
      <c r="BN70" s="97"/>
      <c r="BO70" s="97"/>
      <c r="BP70" s="97"/>
      <c r="BQ70" s="97"/>
      <c r="BR70" s="97"/>
    </row>
    <row r="71" spans="1:70" x14ac:dyDescent="0.2">
      <c r="A71" s="168" t="s">
        <v>230</v>
      </c>
      <c r="B71" s="24"/>
      <c r="C71" s="141"/>
      <c r="D71" s="142"/>
      <c r="E71" s="142"/>
      <c r="F71" s="142"/>
      <c r="G71" s="142"/>
      <c r="H71" s="141"/>
      <c r="I71" s="141"/>
      <c r="J71" s="146">
        <f>SUM(AM71:AP71)</f>
        <v>28874</v>
      </c>
      <c r="K71" s="146">
        <f>SUM(AQ71:AT71)</f>
        <v>26969</v>
      </c>
      <c r="L71" s="146">
        <f>SUM(AU71:AX71)</f>
        <v>26796</v>
      </c>
      <c r="M71" s="77"/>
      <c r="N71" s="76"/>
      <c r="O71" s="76"/>
      <c r="P71" s="76"/>
      <c r="Q71" s="76"/>
      <c r="R71" s="48"/>
      <c r="S71" s="146"/>
      <c r="T71" s="142"/>
      <c r="U71" s="142"/>
      <c r="V71" s="142"/>
      <c r="W71" s="142"/>
      <c r="X71" s="142"/>
      <c r="Y71" s="142"/>
      <c r="Z71" s="142"/>
      <c r="AA71" s="142"/>
      <c r="AB71" s="142"/>
      <c r="AC71" s="142"/>
      <c r="AD71" s="142"/>
      <c r="AE71" s="141"/>
      <c r="AF71" s="141"/>
      <c r="AG71" s="141"/>
      <c r="AH71" s="141"/>
      <c r="AI71" s="141"/>
      <c r="AJ71" s="141"/>
      <c r="AK71" s="141"/>
      <c r="AL71" s="142">
        <v>7647</v>
      </c>
      <c r="AM71" s="142">
        <v>7279</v>
      </c>
      <c r="AN71" s="142">
        <v>7273</v>
      </c>
      <c r="AO71" s="142">
        <v>7238</v>
      </c>
      <c r="AP71" s="142">
        <v>7084</v>
      </c>
      <c r="AQ71" s="142">
        <v>6870</v>
      </c>
      <c r="AR71" s="142">
        <v>6734</v>
      </c>
      <c r="AS71" s="142">
        <v>6684</v>
      </c>
      <c r="AT71" s="142">
        <v>6681</v>
      </c>
      <c r="AU71" s="142">
        <v>6838</v>
      </c>
      <c r="AV71" s="142">
        <v>6761</v>
      </c>
      <c r="AW71" s="142">
        <v>6598</v>
      </c>
      <c r="AX71" s="142">
        <v>6599</v>
      </c>
      <c r="AY71" s="142">
        <v>6400</v>
      </c>
      <c r="AZ71" s="142">
        <v>6372</v>
      </c>
      <c r="BA71" s="153">
        <v>6351</v>
      </c>
      <c r="BB71" s="79"/>
      <c r="BC71" s="80"/>
      <c r="BD71" s="80"/>
      <c r="BE71" s="80"/>
      <c r="BF71" s="80"/>
      <c r="BG71" s="80"/>
      <c r="BH71" s="80"/>
      <c r="BI71" s="80"/>
      <c r="BJ71" s="80"/>
      <c r="BK71" s="80"/>
      <c r="BL71" s="80"/>
      <c r="BM71" s="80"/>
      <c r="BN71" s="80"/>
      <c r="BO71" s="80"/>
      <c r="BP71" s="80"/>
      <c r="BQ71" s="80"/>
      <c r="BR71" s="80"/>
    </row>
    <row r="72" spans="1:70" x14ac:dyDescent="0.2">
      <c r="A72" s="201" t="s">
        <v>231</v>
      </c>
      <c r="B72" s="43"/>
      <c r="C72" s="162"/>
      <c r="D72" s="143"/>
      <c r="E72" s="143"/>
      <c r="F72" s="143"/>
      <c r="G72" s="143"/>
      <c r="H72" s="148"/>
      <c r="I72" s="148"/>
      <c r="J72" s="148">
        <f>SUM(AM72:AP72)</f>
        <v>23813</v>
      </c>
      <c r="K72" s="148">
        <f>SUM(AQ72:AT72)</f>
        <v>25506</v>
      </c>
      <c r="L72" s="148">
        <f>SUM(AU72:AX72)</f>
        <v>29644</v>
      </c>
      <c r="M72" s="83"/>
      <c r="N72" s="84"/>
      <c r="O72" s="84"/>
      <c r="P72" s="84"/>
      <c r="Q72" s="84"/>
      <c r="R72" s="49"/>
      <c r="S72" s="148"/>
      <c r="T72" s="143"/>
      <c r="U72" s="143"/>
      <c r="V72" s="143"/>
      <c r="W72" s="143"/>
      <c r="X72" s="143"/>
      <c r="Y72" s="143"/>
      <c r="Z72" s="143"/>
      <c r="AA72" s="143"/>
      <c r="AB72" s="143"/>
      <c r="AC72" s="143"/>
      <c r="AD72" s="143"/>
      <c r="AE72" s="143"/>
      <c r="AF72" s="143"/>
      <c r="AG72" s="143"/>
      <c r="AH72" s="143"/>
      <c r="AI72" s="143"/>
      <c r="AJ72" s="143"/>
      <c r="AK72" s="143"/>
      <c r="AL72" s="143">
        <v>5693</v>
      </c>
      <c r="AM72" s="143">
        <v>5678</v>
      </c>
      <c r="AN72" s="143">
        <v>5906</v>
      </c>
      <c r="AO72" s="143">
        <v>6049</v>
      </c>
      <c r="AP72" s="143">
        <v>6180</v>
      </c>
      <c r="AQ72" s="143">
        <v>6152</v>
      </c>
      <c r="AR72" s="143">
        <v>6208</v>
      </c>
      <c r="AS72" s="143">
        <v>6531</v>
      </c>
      <c r="AT72" s="143">
        <v>6615</v>
      </c>
      <c r="AU72" s="143">
        <v>7286</v>
      </c>
      <c r="AV72" s="143">
        <v>7440</v>
      </c>
      <c r="AW72" s="143">
        <v>7518</v>
      </c>
      <c r="AX72" s="143">
        <v>7400</v>
      </c>
      <c r="AY72" s="143">
        <v>7244</v>
      </c>
      <c r="AZ72" s="143">
        <v>7322</v>
      </c>
      <c r="BA72" s="213">
        <v>7921</v>
      </c>
      <c r="BB72" s="204"/>
      <c r="BC72" s="87"/>
      <c r="BD72" s="87"/>
      <c r="BE72" s="87"/>
      <c r="BF72" s="87"/>
      <c r="BG72" s="87"/>
      <c r="BH72" s="87"/>
      <c r="BI72" s="87"/>
      <c r="BJ72" s="87"/>
      <c r="BK72" s="87"/>
      <c r="BL72" s="87"/>
      <c r="BM72" s="87"/>
      <c r="BN72" s="87"/>
      <c r="BO72" s="87"/>
      <c r="BP72" s="87"/>
      <c r="BQ72" s="87"/>
      <c r="BR72" s="87"/>
    </row>
    <row r="73" spans="1:70" x14ac:dyDescent="0.2">
      <c r="A73" s="189" t="s">
        <v>229</v>
      </c>
      <c r="B73" s="42"/>
      <c r="C73" s="202"/>
      <c r="D73" s="145"/>
      <c r="E73" s="145"/>
      <c r="F73" s="145"/>
      <c r="G73" s="145"/>
      <c r="H73" s="144">
        <f>SUM(AE73:AH73)</f>
        <v>52535</v>
      </c>
      <c r="I73" s="144">
        <f>SUM(AI73:AL73)</f>
        <v>52995</v>
      </c>
      <c r="J73" s="144">
        <f>SUM(AM73:AP73)</f>
        <v>52687</v>
      </c>
      <c r="K73" s="144">
        <f>SUM(AQ73:AT73)</f>
        <v>52475</v>
      </c>
      <c r="L73" s="144">
        <f>SUM(AU73:AX73)</f>
        <v>56440</v>
      </c>
      <c r="M73" s="86"/>
      <c r="N73" s="72"/>
      <c r="O73" s="72"/>
      <c r="P73" s="72"/>
      <c r="Q73" s="72"/>
      <c r="R73" s="48"/>
      <c r="S73" s="144"/>
      <c r="T73" s="145"/>
      <c r="U73" s="145"/>
      <c r="V73" s="145"/>
      <c r="W73" s="145"/>
      <c r="X73" s="145"/>
      <c r="Y73" s="145"/>
      <c r="Z73" s="145"/>
      <c r="AA73" s="145"/>
      <c r="AB73" s="145"/>
      <c r="AC73" s="145"/>
      <c r="AD73" s="144"/>
      <c r="AE73" s="144">
        <f>AE70</f>
        <v>12752</v>
      </c>
      <c r="AF73" s="144">
        <f>AF70</f>
        <v>13167</v>
      </c>
      <c r="AG73" s="144">
        <f>AG70</f>
        <v>13329</v>
      </c>
      <c r="AH73" s="144">
        <f>AH70</f>
        <v>13287</v>
      </c>
      <c r="AI73" s="144">
        <f>AI70</f>
        <v>13172</v>
      </c>
      <c r="AJ73" s="144">
        <f>AJ70</f>
        <v>13335</v>
      </c>
      <c r="AK73" s="144">
        <f>AK70</f>
        <v>13148</v>
      </c>
      <c r="AL73" s="145">
        <v>13340</v>
      </c>
      <c r="AM73" s="145">
        <v>12957</v>
      </c>
      <c r="AN73" s="145">
        <v>13179</v>
      </c>
      <c r="AO73" s="145">
        <v>13287</v>
      </c>
      <c r="AP73" s="145">
        <v>13264</v>
      </c>
      <c r="AQ73" s="145">
        <v>13022</v>
      </c>
      <c r="AR73" s="145">
        <v>12942</v>
      </c>
      <c r="AS73" s="145">
        <v>13215</v>
      </c>
      <c r="AT73" s="145">
        <v>13296</v>
      </c>
      <c r="AU73" s="145">
        <v>14124</v>
      </c>
      <c r="AV73" s="145">
        <v>14201</v>
      </c>
      <c r="AW73" s="145">
        <v>14116</v>
      </c>
      <c r="AX73" s="145">
        <v>13999</v>
      </c>
      <c r="AY73" s="145">
        <v>13644</v>
      </c>
      <c r="AZ73" s="145">
        <v>13694</v>
      </c>
      <c r="BA73" s="155">
        <v>14272</v>
      </c>
      <c r="BB73" s="203"/>
      <c r="BC73" s="97"/>
      <c r="BD73" s="97"/>
      <c r="BE73" s="97"/>
      <c r="BF73" s="97"/>
      <c r="BG73" s="97"/>
      <c r="BH73" s="97"/>
      <c r="BI73" s="97"/>
      <c r="BJ73" s="97"/>
      <c r="BK73" s="97"/>
      <c r="BL73" s="97"/>
      <c r="BM73" s="97"/>
      <c r="BN73" s="97"/>
      <c r="BO73" s="97"/>
      <c r="BP73" s="97"/>
      <c r="BQ73" s="97"/>
      <c r="BR73" s="97"/>
    </row>
    <row r="74" spans="1:70" x14ac:dyDescent="0.2">
      <c r="A74" s="65" t="s">
        <v>7</v>
      </c>
      <c r="B74" s="13"/>
      <c r="C74" s="88"/>
      <c r="D74" s="88"/>
      <c r="E74" s="88"/>
      <c r="F74" s="88"/>
      <c r="G74" s="88"/>
      <c r="H74" s="88"/>
      <c r="I74" s="88"/>
      <c r="J74" s="88">
        <f>SUM(J72,J71)-J73</f>
        <v>0</v>
      </c>
      <c r="K74" s="88">
        <f>SUM(K72,K71)-K73</f>
        <v>0</v>
      </c>
      <c r="L74" s="90">
        <f>SUM(L72,L71)-L73</f>
        <v>0</v>
      </c>
      <c r="M74" s="89"/>
      <c r="N74" s="88"/>
      <c r="O74" s="88"/>
      <c r="P74" s="88"/>
      <c r="Q74" s="88"/>
      <c r="R74" s="50"/>
      <c r="S74" s="88"/>
      <c r="T74" s="88"/>
      <c r="U74" s="88"/>
      <c r="V74" s="88"/>
      <c r="W74" s="88"/>
      <c r="X74" s="88"/>
      <c r="Y74" s="88"/>
      <c r="Z74" s="88"/>
      <c r="AA74" s="88"/>
      <c r="AB74" s="88"/>
      <c r="AC74" s="88"/>
      <c r="AD74" s="88"/>
      <c r="AE74" s="88"/>
      <c r="AF74" s="88"/>
      <c r="AG74" s="88"/>
      <c r="AH74" s="88"/>
      <c r="AI74" s="88"/>
      <c r="AJ74" s="88"/>
      <c r="AK74" s="88"/>
      <c r="AL74" s="88">
        <f>SUM(AL72,AL71)-AL73</f>
        <v>0</v>
      </c>
      <c r="AM74" s="88">
        <f>SUM(AM72,AM71)-AM73</f>
        <v>0</v>
      </c>
      <c r="AN74" s="88">
        <f>SUM(AN72,AN71)-AN73</f>
        <v>0</v>
      </c>
      <c r="AO74" s="88">
        <f>SUM(AO72,AO71)-AO73</f>
        <v>0</v>
      </c>
      <c r="AP74" s="88">
        <f>SUM(AP72,AP71)-AP73</f>
        <v>0</v>
      </c>
      <c r="AQ74" s="88">
        <f>SUM(AQ72,AQ71)-AQ73</f>
        <v>0</v>
      </c>
      <c r="AR74" s="88">
        <f>SUM(AR72,AR71)-AR73</f>
        <v>0</v>
      </c>
      <c r="AS74" s="88">
        <f>SUM(AS72,AS71)-AS73</f>
        <v>0</v>
      </c>
      <c r="AT74" s="88">
        <f>SUM(AT72,AT71)-AT73</f>
        <v>0</v>
      </c>
      <c r="AU74" s="88">
        <f>SUM(AU72,AU71)-AU73</f>
        <v>0</v>
      </c>
      <c r="AV74" s="88">
        <f>SUM(AV72,AV71)-AV73</f>
        <v>0</v>
      </c>
      <c r="AW74" s="88">
        <f>SUM(AW72,AW71)-AW73</f>
        <v>0</v>
      </c>
      <c r="AX74" s="88">
        <f>SUM(AX72,AX71)-AX73</f>
        <v>0</v>
      </c>
      <c r="AY74" s="88">
        <f>SUM(AY72,AY71)-AY73</f>
        <v>0</v>
      </c>
      <c r="AZ74" s="88">
        <f>SUM(AZ72,AZ71)-AZ73</f>
        <v>0</v>
      </c>
      <c r="BA74" s="90">
        <f>SUM(BA72,BA71)-BA73</f>
        <v>0</v>
      </c>
      <c r="BB74" s="89"/>
      <c r="BC74" s="88"/>
      <c r="BD74" s="88"/>
      <c r="BE74" s="88"/>
      <c r="BF74" s="88"/>
      <c r="BG74" s="88"/>
      <c r="BH74" s="88"/>
      <c r="BI74" s="88"/>
      <c r="BJ74" s="88"/>
      <c r="BK74" s="88"/>
      <c r="BL74" s="88"/>
      <c r="BM74" s="88"/>
      <c r="BN74" s="88"/>
      <c r="BO74" s="88"/>
      <c r="BP74" s="88"/>
      <c r="BQ74" s="88"/>
      <c r="BR74" s="88"/>
    </row>
    <row r="75" spans="1:70" x14ac:dyDescent="0.2">
      <c r="A75" s="168" t="s">
        <v>232</v>
      </c>
      <c r="B75" s="24"/>
      <c r="C75" s="141"/>
      <c r="D75" s="142"/>
      <c r="E75" s="142"/>
      <c r="F75" s="142"/>
      <c r="G75" s="142"/>
      <c r="H75" s="146">
        <f>SUM(AE75:AH75)</f>
        <v>5398</v>
      </c>
      <c r="I75" s="146">
        <f>SUM(AI75:AL75)</f>
        <v>6630</v>
      </c>
      <c r="J75" s="146">
        <f>SUM(AM75:AP75)</f>
        <v>7166</v>
      </c>
      <c r="K75" s="146">
        <f>SUM(AQ75:AT75)</f>
        <v>8813</v>
      </c>
      <c r="L75" s="146">
        <f>SUM(AU75:AX75)</f>
        <v>11278</v>
      </c>
      <c r="M75" s="77"/>
      <c r="N75" s="76"/>
      <c r="O75" s="76"/>
      <c r="P75" s="76"/>
      <c r="Q75" s="76"/>
      <c r="R75" s="48"/>
      <c r="S75" s="146"/>
      <c r="T75" s="142"/>
      <c r="U75" s="142"/>
      <c r="V75" s="142"/>
      <c r="W75" s="142"/>
      <c r="X75" s="142"/>
      <c r="Y75" s="142"/>
      <c r="Z75" s="142"/>
      <c r="AA75" s="142"/>
      <c r="AB75" s="142"/>
      <c r="AC75" s="142"/>
      <c r="AD75" s="142"/>
      <c r="AE75" s="142">
        <v>1170</v>
      </c>
      <c r="AF75" s="142">
        <v>1288</v>
      </c>
      <c r="AG75" s="142">
        <v>1399</v>
      </c>
      <c r="AH75" s="142">
        <v>1541</v>
      </c>
      <c r="AI75" s="142">
        <v>1614</v>
      </c>
      <c r="AJ75" s="142">
        <v>1658</v>
      </c>
      <c r="AK75" s="142">
        <v>1611</v>
      </c>
      <c r="AL75" s="142">
        <v>1747</v>
      </c>
      <c r="AM75" s="142">
        <v>1740</v>
      </c>
      <c r="AN75" s="142">
        <v>1772</v>
      </c>
      <c r="AO75" s="142">
        <v>1803</v>
      </c>
      <c r="AP75" s="142">
        <v>1851</v>
      </c>
      <c r="AQ75" s="142">
        <v>1884</v>
      </c>
      <c r="AR75" s="142">
        <v>2049</v>
      </c>
      <c r="AS75" s="142">
        <v>2348</v>
      </c>
      <c r="AT75" s="142">
        <v>2532</v>
      </c>
      <c r="AU75" s="142">
        <v>2797</v>
      </c>
      <c r="AV75" s="142">
        <v>2782</v>
      </c>
      <c r="AW75" s="142">
        <v>2840</v>
      </c>
      <c r="AX75" s="142">
        <v>2859</v>
      </c>
      <c r="AY75" s="142">
        <v>3004</v>
      </c>
      <c r="AZ75" s="142">
        <v>3413</v>
      </c>
      <c r="BA75" s="153">
        <v>4395</v>
      </c>
      <c r="BB75" s="79"/>
      <c r="BC75" s="80"/>
      <c r="BD75" s="80"/>
      <c r="BE75" s="80"/>
      <c r="BF75" s="80"/>
      <c r="BG75" s="80"/>
      <c r="BH75" s="80"/>
      <c r="BI75" s="80"/>
      <c r="BJ75" s="80"/>
      <c r="BK75" s="80"/>
      <c r="BL75" s="80"/>
      <c r="BM75" s="80"/>
      <c r="BN75" s="80"/>
      <c r="BO75" s="80"/>
      <c r="BP75" s="80"/>
      <c r="BQ75" s="80"/>
      <c r="BR75" s="80"/>
    </row>
    <row r="76" spans="1:70" x14ac:dyDescent="0.2">
      <c r="A76" s="271"/>
      <c r="B76" s="9"/>
      <c r="C76" s="94"/>
      <c r="D76" s="94"/>
      <c r="E76" s="94"/>
      <c r="F76" s="94"/>
      <c r="G76" s="94"/>
      <c r="H76" s="94"/>
      <c r="I76" s="94"/>
      <c r="J76" s="94"/>
      <c r="K76" s="94"/>
      <c r="L76" s="95"/>
      <c r="M76" s="83"/>
      <c r="N76" s="84"/>
      <c r="O76" s="84"/>
      <c r="P76" s="84"/>
      <c r="Q76" s="84"/>
      <c r="R76" s="46"/>
      <c r="S76" s="94"/>
      <c r="T76" s="94"/>
      <c r="U76" s="94"/>
      <c r="V76" s="94"/>
      <c r="W76" s="94"/>
      <c r="X76" s="94"/>
      <c r="Y76" s="94"/>
      <c r="Z76" s="94"/>
      <c r="AA76" s="94"/>
      <c r="AB76" s="94"/>
      <c r="AC76" s="94"/>
      <c r="AD76" s="94"/>
      <c r="AE76" s="94"/>
      <c r="AF76" s="94"/>
      <c r="AG76" s="94"/>
      <c r="AH76" s="94"/>
      <c r="AI76" s="94"/>
      <c r="AJ76" s="94"/>
      <c r="AK76" s="94"/>
      <c r="AL76" s="94"/>
      <c r="AM76" s="94"/>
      <c r="AN76" s="94"/>
      <c r="AO76" s="94"/>
      <c r="AP76" s="94"/>
      <c r="AQ76" s="94"/>
      <c r="AR76" s="94"/>
      <c r="AS76" s="94"/>
      <c r="AT76" s="94"/>
      <c r="AU76" s="94"/>
      <c r="AV76" s="94"/>
      <c r="AW76" s="94"/>
      <c r="AX76" s="94"/>
      <c r="AY76" s="94"/>
      <c r="AZ76" s="94"/>
      <c r="BA76" s="95"/>
      <c r="BB76" s="96"/>
      <c r="BC76" s="94"/>
      <c r="BD76" s="94"/>
      <c r="BE76" s="94"/>
      <c r="BF76" s="94"/>
      <c r="BG76" s="94"/>
      <c r="BH76" s="94"/>
      <c r="BI76" s="94"/>
      <c r="BJ76" s="94"/>
      <c r="BK76" s="94"/>
      <c r="BL76" s="94"/>
      <c r="BM76" s="94"/>
      <c r="BN76" s="94"/>
      <c r="BO76" s="94"/>
      <c r="BP76" s="94"/>
      <c r="BQ76" s="94"/>
      <c r="BR76" s="94"/>
    </row>
    <row r="77" spans="1:70" x14ac:dyDescent="0.2">
      <c r="A77" s="270" t="s">
        <v>352</v>
      </c>
      <c r="B77" s="24"/>
      <c r="C77" s="141"/>
      <c r="D77" s="141"/>
      <c r="E77" s="141"/>
      <c r="F77" s="141"/>
      <c r="G77" s="141"/>
      <c r="H77" s="141"/>
      <c r="I77" s="142"/>
      <c r="J77" s="142"/>
      <c r="K77" s="142"/>
      <c r="L77" s="142"/>
      <c r="M77" s="77"/>
      <c r="N77" s="76"/>
      <c r="O77" s="76"/>
      <c r="P77" s="76"/>
      <c r="Q77" s="76"/>
      <c r="R77" s="48"/>
      <c r="S77" s="142"/>
      <c r="T77" s="142"/>
      <c r="U77" s="142"/>
      <c r="V77" s="142"/>
      <c r="W77" s="142"/>
      <c r="X77" s="142"/>
      <c r="Y77" s="142"/>
      <c r="Z77" s="142"/>
      <c r="AA77" s="142"/>
      <c r="AB77" s="142"/>
      <c r="AC77" s="142"/>
      <c r="AD77" s="142"/>
      <c r="AE77" s="142"/>
      <c r="AF77" s="142"/>
      <c r="AG77" s="142"/>
      <c r="AH77" s="142"/>
      <c r="AI77" s="142"/>
      <c r="AJ77" s="142"/>
      <c r="AK77" s="142"/>
      <c r="AL77" s="142"/>
      <c r="AM77" s="142"/>
      <c r="AN77" s="142"/>
      <c r="AO77" s="142"/>
      <c r="AP77" s="142"/>
      <c r="AQ77" s="142"/>
      <c r="AR77" s="142"/>
      <c r="AS77" s="142"/>
      <c r="AT77" s="142"/>
      <c r="AU77" s="142"/>
      <c r="AV77" s="142"/>
      <c r="AW77" s="142"/>
      <c r="AX77" s="142"/>
      <c r="AY77" s="142"/>
      <c r="AZ77" s="142"/>
      <c r="BA77" s="153"/>
      <c r="BB77" s="79"/>
      <c r="BC77" s="80"/>
      <c r="BD77" s="80"/>
      <c r="BE77" s="80"/>
      <c r="BF77" s="80"/>
      <c r="BG77" s="80"/>
      <c r="BH77" s="80"/>
      <c r="BI77" s="80"/>
      <c r="BJ77" s="80"/>
      <c r="BK77" s="80"/>
      <c r="BL77" s="80"/>
      <c r="BM77" s="80"/>
      <c r="BN77" s="80"/>
      <c r="BO77" s="80"/>
      <c r="BP77" s="80"/>
      <c r="BQ77" s="80"/>
      <c r="BR77" s="80"/>
    </row>
    <row r="78" spans="1:70" x14ac:dyDescent="0.2">
      <c r="A78" s="270" t="s">
        <v>206</v>
      </c>
      <c r="B78" s="24"/>
      <c r="C78" s="141"/>
      <c r="D78" s="141"/>
      <c r="E78" s="141"/>
      <c r="F78" s="141"/>
      <c r="G78" s="141"/>
      <c r="H78" s="141"/>
      <c r="I78" s="142"/>
      <c r="J78" s="142"/>
      <c r="K78" s="142"/>
      <c r="L78" s="142"/>
      <c r="M78" s="77"/>
      <c r="N78" s="76"/>
      <c r="O78" s="76"/>
      <c r="P78" s="76"/>
      <c r="Q78" s="76"/>
      <c r="R78" s="48"/>
      <c r="S78" s="142"/>
      <c r="T78" s="142"/>
      <c r="U78" s="142"/>
      <c r="V78" s="142"/>
      <c r="W78" s="142"/>
      <c r="X78" s="142"/>
      <c r="Y78" s="142"/>
      <c r="Z78" s="142"/>
      <c r="AA78" s="142"/>
      <c r="AB78" s="142"/>
      <c r="AC78" s="142"/>
      <c r="AD78" s="142"/>
      <c r="AE78" s="142"/>
      <c r="AF78" s="142"/>
      <c r="AG78" s="142"/>
      <c r="AH78" s="142"/>
      <c r="AI78" s="142"/>
      <c r="AJ78" s="142"/>
      <c r="AK78" s="142"/>
      <c r="AL78" s="142"/>
      <c r="AM78" s="142"/>
      <c r="AN78" s="142"/>
      <c r="AO78" s="142"/>
      <c r="AP78" s="142"/>
      <c r="AQ78" s="142"/>
      <c r="AR78" s="142"/>
      <c r="AS78" s="142"/>
      <c r="AT78" s="142"/>
      <c r="AU78" s="142"/>
      <c r="AV78" s="142"/>
      <c r="AW78" s="142"/>
      <c r="AX78" s="142"/>
      <c r="AY78" s="142"/>
      <c r="AZ78" s="142"/>
      <c r="BA78" s="153"/>
      <c r="BB78" s="79"/>
      <c r="BC78" s="80"/>
      <c r="BD78" s="80"/>
      <c r="BE78" s="80"/>
      <c r="BF78" s="80"/>
      <c r="BG78" s="80"/>
      <c r="BH78" s="80"/>
      <c r="BI78" s="80"/>
      <c r="BJ78" s="80"/>
      <c r="BK78" s="80"/>
      <c r="BL78" s="80"/>
      <c r="BM78" s="80"/>
      <c r="BN78" s="80"/>
      <c r="BO78" s="80"/>
      <c r="BP78" s="80"/>
      <c r="BQ78" s="80"/>
      <c r="BR78" s="80"/>
    </row>
    <row r="79" spans="1:70" x14ac:dyDescent="0.2">
      <c r="A79" s="168" t="s">
        <v>233</v>
      </c>
      <c r="B79" s="24"/>
      <c r="C79" s="141"/>
      <c r="D79" s="141"/>
      <c r="E79" s="141"/>
      <c r="F79" s="141"/>
      <c r="G79" s="141"/>
      <c r="H79" s="141"/>
      <c r="I79" s="141"/>
      <c r="J79" s="142">
        <v>601.87400000000002</v>
      </c>
      <c r="K79" s="142">
        <v>707.22199999999998</v>
      </c>
      <c r="L79" s="142">
        <v>156.80600000000001</v>
      </c>
      <c r="M79" s="77">
        <f>SUM(AY79:BB79)</f>
        <v>166.87142221996652</v>
      </c>
      <c r="N79" s="76">
        <f>SUM(BC79:BF79)</f>
        <v>182.73449757996235</v>
      </c>
      <c r="O79" s="76">
        <f>SUM(BG79:BJ79)</f>
        <v>200.10554330737799</v>
      </c>
      <c r="P79" s="76">
        <f>SUM(BK79:BN79)</f>
        <v>219.12790957722112</v>
      </c>
      <c r="Q79" s="76">
        <f>SUM(BO79:BR79)</f>
        <v>239.95857367091932</v>
      </c>
      <c r="R79" s="48"/>
      <c r="S79" s="142"/>
      <c r="T79" s="142"/>
      <c r="U79" s="142"/>
      <c r="V79" s="142"/>
      <c r="W79" s="142"/>
      <c r="X79" s="142"/>
      <c r="Y79" s="142"/>
      <c r="Z79" s="142"/>
      <c r="AA79" s="142"/>
      <c r="AB79" s="142"/>
      <c r="AC79" s="142"/>
      <c r="AD79" s="142"/>
      <c r="AE79" s="141"/>
      <c r="AF79" s="141"/>
      <c r="AG79" s="141"/>
      <c r="AH79" s="141"/>
      <c r="AI79" s="141"/>
      <c r="AJ79" s="141"/>
      <c r="AK79" s="141"/>
      <c r="AL79" s="141"/>
      <c r="AM79" s="141"/>
      <c r="AN79" s="141"/>
      <c r="AO79" s="141"/>
      <c r="AP79" s="141"/>
      <c r="AQ79" s="142">
        <v>171.73500000000001</v>
      </c>
      <c r="AR79" s="142">
        <v>175.44200000000001</v>
      </c>
      <c r="AS79" s="142">
        <v>181.10400000000001</v>
      </c>
      <c r="AT79" s="142">
        <v>178.94200000000001</v>
      </c>
      <c r="AU79" s="142">
        <v>38.218000000000004</v>
      </c>
      <c r="AV79" s="142">
        <v>39.738999999999997</v>
      </c>
      <c r="AW79" s="142">
        <v>39.405999999999999</v>
      </c>
      <c r="AX79" s="142">
        <v>39.442</v>
      </c>
      <c r="AY79" s="142">
        <v>40.832000000000001</v>
      </c>
      <c r="AZ79" s="142">
        <v>39.695999999999998</v>
      </c>
      <c r="BA79" s="153">
        <v>43.152000000000001</v>
      </c>
      <c r="BB79" s="77">
        <f>AX79*(1+BB80)</f>
        <v>43.191422219966512</v>
      </c>
      <c r="BC79" s="76">
        <f>AY79*(1+BC80)</f>
        <v>44.7135579353398</v>
      </c>
      <c r="BD79" s="76">
        <f>AZ79*(1+BD80)</f>
        <v>43.469567883063498</v>
      </c>
      <c r="BE79" s="76">
        <f>BA79*(1+BE80)</f>
        <v>47.254100999847743</v>
      </c>
      <c r="BF79" s="76">
        <f>BB79*(1+BF80)</f>
        <v>47.297270761711296</v>
      </c>
      <c r="BG79" s="76">
        <f>BC79*(1+BG80)</f>
        <v>48.964103233664503</v>
      </c>
      <c r="BH79" s="76">
        <f>BD79*(1+BH80)</f>
        <v>47.601857414859573</v>
      </c>
      <c r="BI79" s="76">
        <f>BE79*(1+BI80)</f>
        <v>51.746154553759077</v>
      </c>
      <c r="BJ79" s="76">
        <f>BF79*(1+BJ80)</f>
        <v>51.793428105094812</v>
      </c>
      <c r="BK79" s="76">
        <f>BG79*(1+BK80)</f>
        <v>53.618712448335046</v>
      </c>
      <c r="BL79" s="76">
        <f>BH79*(1+BL80)</f>
        <v>52.126969272852371</v>
      </c>
      <c r="BM79" s="76">
        <f>BI79*(1+BM80)</f>
        <v>56.665230201081357</v>
      </c>
      <c r="BN79" s="76">
        <f>BJ79*(1+BN80)</f>
        <v>56.71699765495233</v>
      </c>
      <c r="BO79" s="76">
        <f>BK79*(1+BO80)</f>
        <v>58.715796568303155</v>
      </c>
      <c r="BP79" s="76">
        <f>BL79*(1+BP80)</f>
        <v>57.082245801708517</v>
      </c>
      <c r="BQ79" s="76">
        <f>BM79*(1+BQ80)</f>
        <v>62.051921373320383</v>
      </c>
      <c r="BR79" s="76">
        <f>BN79*(1+BR80)</f>
        <v>62.108609927587253</v>
      </c>
    </row>
    <row r="80" spans="1:70" x14ac:dyDescent="0.2">
      <c r="A80" s="161" t="s">
        <v>4</v>
      </c>
      <c r="B80" s="12"/>
      <c r="C80" s="163"/>
      <c r="D80" s="163"/>
      <c r="E80" s="163"/>
      <c r="F80" s="163"/>
      <c r="G80" s="163"/>
      <c r="H80" s="163"/>
      <c r="I80" s="163"/>
      <c r="J80" s="163"/>
      <c r="K80" s="163">
        <f>K79/J79-1</f>
        <v>0.17503331262024924</v>
      </c>
      <c r="L80" s="173">
        <f>L79/K79-1</f>
        <v>-0.77827895625418897</v>
      </c>
      <c r="M80" s="174">
        <f>M79/L79-1</f>
        <v>6.4190287488785636E-2</v>
      </c>
      <c r="N80" s="163">
        <f>N79/M79-1</f>
        <v>9.5061665736182466E-2</v>
      </c>
      <c r="O80" s="163">
        <f>O79/N79-1</f>
        <v>9.5061665736182466E-2</v>
      </c>
      <c r="P80" s="163">
        <f>P79/O79-1</f>
        <v>9.5061665736182466E-2</v>
      </c>
      <c r="Q80" s="163">
        <f>Q79/P79-1</f>
        <v>9.5061665736182466E-2</v>
      </c>
      <c r="R80" s="300"/>
      <c r="S80" s="91"/>
      <c r="T80" s="91"/>
      <c r="U80" s="91"/>
      <c r="V80" s="91"/>
      <c r="W80" s="91"/>
      <c r="X80" s="91"/>
      <c r="Y80" s="91"/>
      <c r="Z80" s="91"/>
      <c r="AA80" s="91"/>
      <c r="AB80" s="91"/>
      <c r="AC80" s="91"/>
      <c r="AD80" s="91"/>
      <c r="AE80" s="91"/>
      <c r="AF80" s="91"/>
      <c r="AG80" s="91"/>
      <c r="AH80" s="91"/>
      <c r="AI80" s="91"/>
      <c r="AJ80" s="91"/>
      <c r="AK80" s="91"/>
      <c r="AL80" s="91"/>
      <c r="AM80" s="91"/>
      <c r="AN80" s="91"/>
      <c r="AO80" s="91"/>
      <c r="AP80" s="91"/>
      <c r="AQ80" s="91"/>
      <c r="AR80" s="91"/>
      <c r="AS80" s="91"/>
      <c r="AT80" s="91"/>
      <c r="AU80" s="91">
        <f>AU79/AQ79-1</f>
        <v>-0.77745945788569593</v>
      </c>
      <c r="AV80" s="91">
        <f>AV79/AR79-1</f>
        <v>-0.77349209425337151</v>
      </c>
      <c r="AW80" s="91">
        <f>AW79/AS79-1</f>
        <v>-0.78241231557558089</v>
      </c>
      <c r="AX80" s="91">
        <f>AX79/AT79-1</f>
        <v>-0.77958221099574165</v>
      </c>
      <c r="AY80" s="91">
        <f>AY79/AU79-1</f>
        <v>6.8397090376262515E-2</v>
      </c>
      <c r="AZ80" s="91">
        <f>AZ79/AV79-1</f>
        <v>-1.082060444399735E-3</v>
      </c>
      <c r="BA80" s="93">
        <f>BA79/AW79-1</f>
        <v>9.5061665736182466E-2</v>
      </c>
      <c r="BB80" s="248">
        <f>BA80</f>
        <v>9.5061665736182466E-2</v>
      </c>
      <c r="BC80" s="215">
        <f>BB80</f>
        <v>9.5061665736182466E-2</v>
      </c>
      <c r="BD80" s="215">
        <f>BC80</f>
        <v>9.5061665736182466E-2</v>
      </c>
      <c r="BE80" s="215">
        <f>BD80</f>
        <v>9.5061665736182466E-2</v>
      </c>
      <c r="BF80" s="215">
        <f>BE80</f>
        <v>9.5061665736182466E-2</v>
      </c>
      <c r="BG80" s="215">
        <f>BF80</f>
        <v>9.5061665736182466E-2</v>
      </c>
      <c r="BH80" s="215">
        <f>BG80</f>
        <v>9.5061665736182466E-2</v>
      </c>
      <c r="BI80" s="215">
        <f>BH80</f>
        <v>9.5061665736182466E-2</v>
      </c>
      <c r="BJ80" s="215">
        <f>BI80</f>
        <v>9.5061665736182466E-2</v>
      </c>
      <c r="BK80" s="215">
        <f>BJ80</f>
        <v>9.5061665736182466E-2</v>
      </c>
      <c r="BL80" s="215">
        <f>BK80</f>
        <v>9.5061665736182466E-2</v>
      </c>
      <c r="BM80" s="215">
        <f>BL80</f>
        <v>9.5061665736182466E-2</v>
      </c>
      <c r="BN80" s="215">
        <f>BM80</f>
        <v>9.5061665736182466E-2</v>
      </c>
      <c r="BO80" s="215">
        <f>BN80</f>
        <v>9.5061665736182466E-2</v>
      </c>
      <c r="BP80" s="215">
        <f>BO80</f>
        <v>9.5061665736182466E-2</v>
      </c>
      <c r="BQ80" s="215">
        <f>BP80</f>
        <v>9.5061665736182466E-2</v>
      </c>
      <c r="BR80" s="215">
        <f>BQ80</f>
        <v>9.5061665736182466E-2</v>
      </c>
    </row>
    <row r="81" spans="1:70" x14ac:dyDescent="0.2">
      <c r="A81" s="161" t="s">
        <v>5</v>
      </c>
      <c r="B81" s="12"/>
      <c r="C81" s="163"/>
      <c r="D81" s="163"/>
      <c r="E81" s="163"/>
      <c r="F81" s="163"/>
      <c r="G81" s="163"/>
      <c r="H81" s="163"/>
      <c r="I81" s="163"/>
      <c r="J81" s="163"/>
      <c r="K81" s="163"/>
      <c r="L81" s="173"/>
      <c r="M81" s="174"/>
      <c r="N81" s="163"/>
      <c r="O81" s="163"/>
      <c r="P81" s="163"/>
      <c r="Q81" s="163"/>
      <c r="R81" s="300"/>
      <c r="S81" s="91"/>
      <c r="T81" s="91"/>
      <c r="U81" s="91"/>
      <c r="V81" s="91"/>
      <c r="W81" s="91"/>
      <c r="X81" s="91"/>
      <c r="Y81" s="91"/>
      <c r="Z81" s="91"/>
      <c r="AA81" s="91"/>
      <c r="AB81" s="91"/>
      <c r="AC81" s="91"/>
      <c r="AD81" s="91"/>
      <c r="AE81" s="91"/>
      <c r="AF81" s="91"/>
      <c r="AG81" s="91"/>
      <c r="AH81" s="91"/>
      <c r="AI81" s="91"/>
      <c r="AJ81" s="91"/>
      <c r="AK81" s="91"/>
      <c r="AL81" s="91"/>
      <c r="AM81" s="91"/>
      <c r="AN81" s="91"/>
      <c r="AO81" s="91"/>
      <c r="AP81" s="91"/>
      <c r="AQ81" s="91"/>
      <c r="AR81" s="91">
        <f>AR79/AQ79-1</f>
        <v>2.1585582438058637E-2</v>
      </c>
      <c r="AS81" s="91">
        <f>AS79/AR79-1</f>
        <v>3.2272773908186281E-2</v>
      </c>
      <c r="AT81" s="91">
        <f>AT79/AS79-1</f>
        <v>-1.1937892039932896E-2</v>
      </c>
      <c r="AU81" s="91">
        <f>AU79/AT79-1</f>
        <v>-0.78642241620189779</v>
      </c>
      <c r="AV81" s="91">
        <f>AV79/AU79-1</f>
        <v>3.9798000941964284E-2</v>
      </c>
      <c r="AW81" s="91">
        <f>AW79/AV79-1</f>
        <v>-8.3796773950023384E-3</v>
      </c>
      <c r="AX81" s="91">
        <f>AX79/AW79-1</f>
        <v>9.1356646196016911E-4</v>
      </c>
      <c r="AY81" s="91">
        <f>AY79/AX79-1</f>
        <v>3.5241620607474378E-2</v>
      </c>
      <c r="AZ81" s="91">
        <f>AZ79/AY79-1</f>
        <v>-2.7821316614420111E-2</v>
      </c>
      <c r="BA81" s="93">
        <f>BA79/AZ79-1</f>
        <v>8.7061668681983173E-2</v>
      </c>
      <c r="BB81" s="92">
        <f>BB79/BA79-1</f>
        <v>9.1356646196039115E-4</v>
      </c>
      <c r="BC81" s="91">
        <f>BC79/BB79-1</f>
        <v>3.5241620607474156E-2</v>
      </c>
      <c r="BD81" s="91">
        <f>BD79/BC79-1</f>
        <v>-2.782131661442E-2</v>
      </c>
      <c r="BE81" s="91">
        <f>BE79/BD79-1</f>
        <v>8.7061668681982951E-2</v>
      </c>
      <c r="BF81" s="91">
        <f>BF79/BE79-1</f>
        <v>9.1356646196039115E-4</v>
      </c>
      <c r="BG81" s="91">
        <f>BG79/BF79-1</f>
        <v>3.5241620607474156E-2</v>
      </c>
      <c r="BH81" s="91">
        <f>BH79/BG79-1</f>
        <v>-2.7821316614420111E-2</v>
      </c>
      <c r="BI81" s="91">
        <f>BI79/BH79-1</f>
        <v>8.7061668681983173E-2</v>
      </c>
      <c r="BJ81" s="91">
        <f>BJ79/BI79-1</f>
        <v>9.1356646196039115E-4</v>
      </c>
      <c r="BK81" s="91">
        <f>BK79/BJ79-1</f>
        <v>3.5241620607473934E-2</v>
      </c>
      <c r="BL81" s="91">
        <f>BL79/BK79-1</f>
        <v>-2.782131661442E-2</v>
      </c>
      <c r="BM81" s="91">
        <f>BM79/BL79-1</f>
        <v>8.7061668681983173E-2</v>
      </c>
      <c r="BN81" s="91">
        <f>BN79/BM79-1</f>
        <v>9.1356646196039115E-4</v>
      </c>
      <c r="BO81" s="91">
        <f>BO79/BN79-1</f>
        <v>3.5241620607473934E-2</v>
      </c>
      <c r="BP81" s="91">
        <f>BP79/BO79-1</f>
        <v>-2.782131661442E-2</v>
      </c>
      <c r="BQ81" s="91">
        <f>BQ79/BP79-1</f>
        <v>8.7061668681983173E-2</v>
      </c>
      <c r="BR81" s="91">
        <f>BR79/BQ79-1</f>
        <v>9.1356646196039115E-4</v>
      </c>
    </row>
    <row r="82" spans="1:70" x14ac:dyDescent="0.2">
      <c r="A82" s="168" t="s">
        <v>234</v>
      </c>
      <c r="B82" s="24"/>
      <c r="C82" s="141"/>
      <c r="D82" s="142"/>
      <c r="E82" s="142"/>
      <c r="F82" s="142"/>
      <c r="G82" s="142"/>
      <c r="H82" s="142"/>
      <c r="I82" s="142"/>
      <c r="J82" s="142">
        <v>14.994999999999999</v>
      </c>
      <c r="K82" s="142">
        <v>13.257999999999999</v>
      </c>
      <c r="L82" s="142">
        <v>20.977</v>
      </c>
      <c r="M82" s="77">
        <f>SUM(AY82:BB82)</f>
        <v>31.656469182389941</v>
      </c>
      <c r="N82" s="76">
        <f>SUM(BC82:BF82)</f>
        <v>45.075626559075992</v>
      </c>
      <c r="O82" s="76">
        <f>SUM(BG82:BJ82)</f>
        <v>64.183156308017644</v>
      </c>
      <c r="P82" s="76">
        <f>SUM(BK82:BN82)</f>
        <v>91.390355900221351</v>
      </c>
      <c r="Q82" s="76">
        <f>SUM(BO82:BR82)</f>
        <v>130.13067028811395</v>
      </c>
      <c r="R82" s="48"/>
      <c r="S82" s="142"/>
      <c r="T82" s="142"/>
      <c r="U82" s="142"/>
      <c r="V82" s="142"/>
      <c r="W82" s="142"/>
      <c r="X82" s="142"/>
      <c r="Y82" s="142"/>
      <c r="Z82" s="142"/>
      <c r="AA82" s="142"/>
      <c r="AB82" s="142"/>
      <c r="AC82" s="142"/>
      <c r="AD82" s="142"/>
      <c r="AE82" s="142"/>
      <c r="AF82" s="142"/>
      <c r="AG82" s="142"/>
      <c r="AH82" s="142"/>
      <c r="AI82" s="142"/>
      <c r="AJ82" s="142"/>
      <c r="AK82" s="142"/>
      <c r="AL82" s="142"/>
      <c r="AM82" s="142"/>
      <c r="AN82" s="142"/>
      <c r="AO82" s="142"/>
      <c r="AP82" s="142"/>
      <c r="AQ82" s="142">
        <v>2.2989999999999999</v>
      </c>
      <c r="AR82" s="142">
        <v>3.6970000000000001</v>
      </c>
      <c r="AS82" s="142">
        <v>3.0110000000000001</v>
      </c>
      <c r="AT82" s="142">
        <v>4.2510000000000003</v>
      </c>
      <c r="AU82" s="142">
        <v>4.4189999999999996</v>
      </c>
      <c r="AV82" s="142">
        <v>4.7649999999999997</v>
      </c>
      <c r="AW82" s="142">
        <v>7.1550000000000002</v>
      </c>
      <c r="AX82" s="142">
        <v>4.6390000000000002</v>
      </c>
      <c r="AY82" s="142">
        <v>7.0279999999999996</v>
      </c>
      <c r="AZ82" s="142">
        <v>7.835</v>
      </c>
      <c r="BA82" s="153">
        <v>10.188000000000001</v>
      </c>
      <c r="BB82" s="77">
        <f>AX82*(1+BB83)</f>
        <v>6.6054691823899381</v>
      </c>
      <c r="BC82" s="76">
        <f>AY82*(1+BC83)</f>
        <v>10.007164779874214</v>
      </c>
      <c r="BD82" s="76">
        <f>AZ82*(1+BD83)</f>
        <v>11.156251572327045</v>
      </c>
      <c r="BE82" s="76">
        <f>BA82*(1+BE83)</f>
        <v>14.506686792452832</v>
      </c>
      <c r="BF82" s="76">
        <f>BB82*(1+BF83)</f>
        <v>9.4055234144219</v>
      </c>
      <c r="BG82" s="76">
        <f>BC82*(1+BG83)</f>
        <v>14.249195636248569</v>
      </c>
      <c r="BH82" s="76">
        <f>BD82*(1+BH83)</f>
        <v>15.885379597326059</v>
      </c>
      <c r="BI82" s="76">
        <f>BE82*(1+BI83)</f>
        <v>20.656062200071204</v>
      </c>
      <c r="BJ82" s="76">
        <f>BF82*(1+BJ83)</f>
        <v>13.392518874371813</v>
      </c>
      <c r="BK82" s="76">
        <f>BG82*(1+BK83)</f>
        <v>20.289420704696077</v>
      </c>
      <c r="BL82" s="76">
        <f>BH82*(1+BL83)</f>
        <v>22.6191820178278</v>
      </c>
      <c r="BM82" s="76">
        <f>BI82*(1+BM83)</f>
        <v>29.412153975447303</v>
      </c>
      <c r="BN82" s="76">
        <f>BJ82*(1+BN83)</f>
        <v>19.069599202250181</v>
      </c>
      <c r="BO82" s="76">
        <f>BK82*(1+BO83)</f>
        <v>28.890093380774793</v>
      </c>
      <c r="BP82" s="76">
        <f>BL82*(1+BP83)</f>
        <v>32.207439049284368</v>
      </c>
      <c r="BQ82" s="76">
        <f>BM82*(1+BQ83)</f>
        <v>41.879947547429374</v>
      </c>
      <c r="BR82" s="76">
        <f>BN82*(1+BR83)</f>
        <v>27.153190310625419</v>
      </c>
    </row>
    <row r="83" spans="1:70" x14ac:dyDescent="0.2">
      <c r="A83" s="161" t="s">
        <v>4</v>
      </c>
      <c r="B83" s="12"/>
      <c r="C83" s="163"/>
      <c r="D83" s="163"/>
      <c r="E83" s="163"/>
      <c r="F83" s="163"/>
      <c r="G83" s="163"/>
      <c r="H83" s="163"/>
      <c r="I83" s="163"/>
      <c r="J83" s="163"/>
      <c r="K83" s="163">
        <f>K82/J82-1</f>
        <v>-0.11583861287095698</v>
      </c>
      <c r="L83" s="173">
        <f>L82/K82-1</f>
        <v>0.58221451199275931</v>
      </c>
      <c r="M83" s="174">
        <f>M82/L82-1</f>
        <v>0.50910374135433756</v>
      </c>
      <c r="N83" s="163">
        <f>N82/M82-1</f>
        <v>0.42389937106918252</v>
      </c>
      <c r="O83" s="163">
        <f>O82/N82-1</f>
        <v>0.42389937106918252</v>
      </c>
      <c r="P83" s="163">
        <f>P82/O82-1</f>
        <v>0.42389937106918252</v>
      </c>
      <c r="Q83" s="163">
        <f>Q82/P82-1</f>
        <v>0.42389937106918274</v>
      </c>
      <c r="R83" s="300"/>
      <c r="S83" s="91"/>
      <c r="T83" s="91"/>
      <c r="U83" s="91"/>
      <c r="V83" s="91"/>
      <c r="W83" s="91"/>
      <c r="X83" s="91"/>
      <c r="Y83" s="91"/>
      <c r="Z83" s="91"/>
      <c r="AA83" s="91"/>
      <c r="AB83" s="91"/>
      <c r="AC83" s="91"/>
      <c r="AD83" s="91"/>
      <c r="AE83" s="91"/>
      <c r="AF83" s="91"/>
      <c r="AG83" s="91"/>
      <c r="AH83" s="91"/>
      <c r="AI83" s="91"/>
      <c r="AJ83" s="91"/>
      <c r="AK83" s="91"/>
      <c r="AL83" s="91"/>
      <c r="AM83" s="91"/>
      <c r="AN83" s="91"/>
      <c r="AO83" s="91"/>
      <c r="AP83" s="91"/>
      <c r="AQ83" s="91"/>
      <c r="AR83" s="91"/>
      <c r="AS83" s="91"/>
      <c r="AT83" s="91"/>
      <c r="AU83" s="91">
        <f>AU82/AQ82-1</f>
        <v>0.92214006089604172</v>
      </c>
      <c r="AV83" s="91">
        <f>AV82/AR82-1</f>
        <v>0.28888287800919654</v>
      </c>
      <c r="AW83" s="91">
        <f>AW82/AS82-1</f>
        <v>1.3762869478578543</v>
      </c>
      <c r="AX83" s="91">
        <f>AX82/AT82-1</f>
        <v>9.1272641731357407E-2</v>
      </c>
      <c r="AY83" s="91">
        <f>AY82/AU82-1</f>
        <v>0.59040506902014034</v>
      </c>
      <c r="AZ83" s="91">
        <f>AZ82/AV82-1</f>
        <v>0.64428121720881437</v>
      </c>
      <c r="BA83" s="93">
        <f>BA82/AW82-1</f>
        <v>0.42389937106918252</v>
      </c>
      <c r="BB83" s="248">
        <f>BA83</f>
        <v>0.42389937106918252</v>
      </c>
      <c r="BC83" s="215">
        <f>BB83</f>
        <v>0.42389937106918252</v>
      </c>
      <c r="BD83" s="215">
        <f>BC83</f>
        <v>0.42389937106918252</v>
      </c>
      <c r="BE83" s="215">
        <f>BD83</f>
        <v>0.42389937106918252</v>
      </c>
      <c r="BF83" s="215">
        <f>BE83</f>
        <v>0.42389937106918252</v>
      </c>
      <c r="BG83" s="215">
        <f>BF83</f>
        <v>0.42389937106918252</v>
      </c>
      <c r="BH83" s="215">
        <f>BG83</f>
        <v>0.42389937106918252</v>
      </c>
      <c r="BI83" s="215">
        <f>BH83</f>
        <v>0.42389937106918252</v>
      </c>
      <c r="BJ83" s="215">
        <f>BI83</f>
        <v>0.42389937106918252</v>
      </c>
      <c r="BK83" s="215">
        <f>BJ83</f>
        <v>0.42389937106918252</v>
      </c>
      <c r="BL83" s="215">
        <f>BK83</f>
        <v>0.42389937106918252</v>
      </c>
      <c r="BM83" s="215">
        <f>BL83</f>
        <v>0.42389937106918252</v>
      </c>
      <c r="BN83" s="215">
        <f>BM83</f>
        <v>0.42389937106918252</v>
      </c>
      <c r="BO83" s="215">
        <f>BN83</f>
        <v>0.42389937106918252</v>
      </c>
      <c r="BP83" s="215">
        <f>BO83</f>
        <v>0.42389937106918252</v>
      </c>
      <c r="BQ83" s="215">
        <f>BP83</f>
        <v>0.42389937106918252</v>
      </c>
      <c r="BR83" s="215">
        <f>BQ83</f>
        <v>0.42389937106918252</v>
      </c>
    </row>
    <row r="84" spans="1:70" x14ac:dyDescent="0.2">
      <c r="A84" s="161" t="s">
        <v>5</v>
      </c>
      <c r="B84" s="12"/>
      <c r="C84" s="163"/>
      <c r="D84" s="163"/>
      <c r="E84" s="163"/>
      <c r="F84" s="163"/>
      <c r="G84" s="163"/>
      <c r="H84" s="163"/>
      <c r="I84" s="163"/>
      <c r="J84" s="163"/>
      <c r="K84" s="163"/>
      <c r="L84" s="173"/>
      <c r="M84" s="174"/>
      <c r="N84" s="163"/>
      <c r="O84" s="163"/>
      <c r="P84" s="163"/>
      <c r="Q84" s="163"/>
      <c r="R84" s="300"/>
      <c r="S84" s="91"/>
      <c r="T84" s="91"/>
      <c r="U84" s="91"/>
      <c r="V84" s="91"/>
      <c r="W84" s="91"/>
      <c r="X84" s="91"/>
      <c r="Y84" s="91"/>
      <c r="Z84" s="91"/>
      <c r="AA84" s="91"/>
      <c r="AB84" s="91"/>
      <c r="AC84" s="91"/>
      <c r="AD84" s="91"/>
      <c r="AE84" s="91"/>
      <c r="AF84" s="91"/>
      <c r="AG84" s="91"/>
      <c r="AH84" s="91"/>
      <c r="AI84" s="91"/>
      <c r="AJ84" s="91"/>
      <c r="AK84" s="91"/>
      <c r="AL84" s="91"/>
      <c r="AM84" s="91"/>
      <c r="AN84" s="91"/>
      <c r="AO84" s="91"/>
      <c r="AP84" s="91"/>
      <c r="AQ84" s="91"/>
      <c r="AR84" s="91">
        <f>AR82/AQ82-1</f>
        <v>0.60809047411918238</v>
      </c>
      <c r="AS84" s="91">
        <f>AS82/AR82-1</f>
        <v>-0.18555585609954017</v>
      </c>
      <c r="AT84" s="91">
        <f>AT82/AS82-1</f>
        <v>0.41182331451345067</v>
      </c>
      <c r="AU84" s="91">
        <f>AU82/AT82-1</f>
        <v>3.9520112914608108E-2</v>
      </c>
      <c r="AV84" s="91">
        <f>AV82/AU82-1</f>
        <v>7.8298257524326731E-2</v>
      </c>
      <c r="AW84" s="91">
        <f>AW82/AV82-1</f>
        <v>0.50157397691500538</v>
      </c>
      <c r="AX84" s="91">
        <f>AX82/AW82-1</f>
        <v>-0.3516422082459818</v>
      </c>
      <c r="AY84" s="91">
        <f>AY82/AX82-1</f>
        <v>0.51498167708557863</v>
      </c>
      <c r="AZ84" s="91">
        <f>AZ82/AY82-1</f>
        <v>0.11482640865110993</v>
      </c>
      <c r="BA84" s="93">
        <f>BA82/AZ82-1</f>
        <v>0.30031908104658589</v>
      </c>
      <c r="BB84" s="92">
        <f>BB82/BA82-1</f>
        <v>-0.3516422082459818</v>
      </c>
      <c r="BC84" s="91">
        <f>BC82/BB82-1</f>
        <v>0.51498167708557863</v>
      </c>
      <c r="BD84" s="91">
        <f>BD82/BC82-1</f>
        <v>0.11482640865110993</v>
      </c>
      <c r="BE84" s="91">
        <f>BE82/BD82-1</f>
        <v>0.30031908104658589</v>
      </c>
      <c r="BF84" s="91">
        <f>BF82/BE82-1</f>
        <v>-0.3516422082459818</v>
      </c>
      <c r="BG84" s="91">
        <f>BG82/BF82-1</f>
        <v>0.51498167708557863</v>
      </c>
      <c r="BH84" s="91">
        <f>BH82/BG82-1</f>
        <v>0.11482640865110993</v>
      </c>
      <c r="BI84" s="91">
        <f>BI82/BH82-1</f>
        <v>0.30031908104658589</v>
      </c>
      <c r="BJ84" s="91">
        <f>BJ82/BI82-1</f>
        <v>-0.3516422082459818</v>
      </c>
      <c r="BK84" s="91">
        <f>BK82/BJ82-1</f>
        <v>0.51498167708557885</v>
      </c>
      <c r="BL84" s="91">
        <f>BL82/BK82-1</f>
        <v>0.11482640865110993</v>
      </c>
      <c r="BM84" s="91">
        <f>BM82/BL82-1</f>
        <v>0.30031908104658589</v>
      </c>
      <c r="BN84" s="91">
        <f>BN82/BM82-1</f>
        <v>-0.3516422082459818</v>
      </c>
      <c r="BO84" s="91">
        <f>BO82/BN82-1</f>
        <v>0.51498167708557863</v>
      </c>
      <c r="BP84" s="91">
        <f>BP82/BO82-1</f>
        <v>0.11482640865110993</v>
      </c>
      <c r="BQ84" s="91">
        <f>BQ82/BP82-1</f>
        <v>0.30031908104658589</v>
      </c>
      <c r="BR84" s="91">
        <f>BR82/BQ82-1</f>
        <v>-0.3516422082459818</v>
      </c>
    </row>
    <row r="85" spans="1:70" x14ac:dyDescent="0.2">
      <c r="A85" s="168" t="s">
        <v>235</v>
      </c>
      <c r="B85" s="24"/>
      <c r="C85" s="141"/>
      <c r="D85" s="142"/>
      <c r="E85" s="142"/>
      <c r="F85" s="142"/>
      <c r="G85" s="142"/>
      <c r="H85" s="142"/>
      <c r="I85" s="142"/>
      <c r="J85" s="142">
        <v>29.334</v>
      </c>
      <c r="K85" s="142">
        <v>31.690999999999999</v>
      </c>
      <c r="L85" s="142">
        <v>32.753999999999998</v>
      </c>
      <c r="M85" s="77">
        <f>SUM(AY85:BB85)</f>
        <v>45.975476923076918</v>
      </c>
      <c r="N85" s="76">
        <f>SUM(BC85:BF85)</f>
        <v>69.316872899408281</v>
      </c>
      <c r="O85" s="76">
        <f>SUM(BG85:BJ85)</f>
        <v>104.50851606372325</v>
      </c>
      <c r="P85" s="76">
        <f>SUM(BK85:BN85)</f>
        <v>157.56668575761353</v>
      </c>
      <c r="Q85" s="76">
        <f>SUM(BO85:BR85)</f>
        <v>237.56208006532501</v>
      </c>
      <c r="R85" s="48"/>
      <c r="S85" s="142"/>
      <c r="T85" s="142"/>
      <c r="U85" s="142"/>
      <c r="V85" s="142"/>
      <c r="W85" s="142"/>
      <c r="X85" s="142"/>
      <c r="Y85" s="142"/>
      <c r="Z85" s="142"/>
      <c r="AA85" s="142"/>
      <c r="AB85" s="142"/>
      <c r="AC85" s="142"/>
      <c r="AD85" s="142"/>
      <c r="AE85" s="142"/>
      <c r="AF85" s="142"/>
      <c r="AG85" s="142"/>
      <c r="AH85" s="142"/>
      <c r="AI85" s="142"/>
      <c r="AJ85" s="142"/>
      <c r="AK85" s="142"/>
      <c r="AL85" s="142"/>
      <c r="AM85" s="142"/>
      <c r="AN85" s="142"/>
      <c r="AO85" s="142"/>
      <c r="AP85" s="142"/>
      <c r="AQ85" s="142">
        <v>8.2270000000000003</v>
      </c>
      <c r="AR85" s="142">
        <v>7.9870000000000001</v>
      </c>
      <c r="AS85" s="142">
        <v>7.7549999999999999</v>
      </c>
      <c r="AT85" s="142">
        <v>7.7210000000000001</v>
      </c>
      <c r="AU85" s="142">
        <v>8.1470000000000002</v>
      </c>
      <c r="AV85" s="142">
        <v>8.23</v>
      </c>
      <c r="AW85" s="142">
        <v>7.93</v>
      </c>
      <c r="AX85" s="142">
        <v>8.4469999999999992</v>
      </c>
      <c r="AY85" s="142">
        <v>8.4879999999999995</v>
      </c>
      <c r="AZ85" s="142">
        <v>12.795999999999999</v>
      </c>
      <c r="BA85" s="153">
        <v>11.956</v>
      </c>
      <c r="BB85" s="77">
        <f>AX85*(1+BB86)</f>
        <v>12.735476923076922</v>
      </c>
      <c r="BC85" s="76">
        <f>AY85*(1+BC86)</f>
        <v>12.797292307692306</v>
      </c>
      <c r="BD85" s="76">
        <f>AZ85*(1+BD86)</f>
        <v>19.292430769230769</v>
      </c>
      <c r="BE85" s="76">
        <f>BA85*(1+BE86)</f>
        <v>18.025969230769231</v>
      </c>
      <c r="BF85" s="76">
        <f>BB85*(1+BF86)</f>
        <v>19.201180591715975</v>
      </c>
      <c r="BG85" s="76">
        <f>BC85*(1+BG86)</f>
        <v>19.29437917159763</v>
      </c>
      <c r="BH85" s="76">
        <f>BD85*(1+BH86)</f>
        <v>29.087049467455621</v>
      </c>
      <c r="BI85" s="76">
        <f>BE85*(1+BI86)</f>
        <v>27.177615147928993</v>
      </c>
      <c r="BJ85" s="76">
        <f>BF85*(1+BJ86)</f>
        <v>28.949472276741009</v>
      </c>
      <c r="BK85" s="76">
        <f>BG85*(1+BK86)</f>
        <v>29.089987058716424</v>
      </c>
      <c r="BL85" s="76">
        <f>BH85*(1+BL86)</f>
        <v>43.854320735548477</v>
      </c>
      <c r="BM85" s="76">
        <f>BI85*(1+BM86)</f>
        <v>40.975481299954481</v>
      </c>
      <c r="BN85" s="76">
        <f>BJ85*(1+BN86)</f>
        <v>43.646896663394138</v>
      </c>
      <c r="BO85" s="76">
        <f>BK85*(1+BO86)</f>
        <v>43.858749719295531</v>
      </c>
      <c r="BP85" s="76">
        <f>BL85*(1+BP86)</f>
        <v>66.118822032057707</v>
      </c>
      <c r="BQ85" s="76">
        <f>BM85*(1+BQ86)</f>
        <v>61.778417959931367</v>
      </c>
      <c r="BR85" s="76">
        <f>BN85*(1+BR86)</f>
        <v>65.806090354040393</v>
      </c>
    </row>
    <row r="86" spans="1:70" x14ac:dyDescent="0.2">
      <c r="A86" s="161" t="s">
        <v>4</v>
      </c>
      <c r="B86" s="12"/>
      <c r="C86" s="163"/>
      <c r="D86" s="163"/>
      <c r="E86" s="163"/>
      <c r="F86" s="163"/>
      <c r="G86" s="163"/>
      <c r="H86" s="163"/>
      <c r="I86" s="163"/>
      <c r="J86" s="163"/>
      <c r="K86" s="163">
        <f>K85/J85-1</f>
        <v>8.0350446580759405E-2</v>
      </c>
      <c r="L86" s="173">
        <f>L85/K85-1</f>
        <v>3.3542646177147972E-2</v>
      </c>
      <c r="M86" s="174">
        <f>M85/L85-1</f>
        <v>0.40365991705064785</v>
      </c>
      <c r="N86" s="163">
        <f>N85/M85-1</f>
        <v>0.50769230769230789</v>
      </c>
      <c r="O86" s="163">
        <f>O85/N85-1</f>
        <v>0.50769230769230766</v>
      </c>
      <c r="P86" s="163">
        <f>P85/O85-1</f>
        <v>0.50769230769230789</v>
      </c>
      <c r="Q86" s="163">
        <f>Q85/P85-1</f>
        <v>0.50769230769230766</v>
      </c>
      <c r="R86" s="300"/>
      <c r="S86" s="91"/>
      <c r="T86" s="91"/>
      <c r="U86" s="91"/>
      <c r="V86" s="91"/>
      <c r="W86" s="91"/>
      <c r="X86" s="91"/>
      <c r="Y86" s="91"/>
      <c r="Z86" s="91"/>
      <c r="AA86" s="91"/>
      <c r="AB86" s="91"/>
      <c r="AC86" s="91"/>
      <c r="AD86" s="91"/>
      <c r="AE86" s="91"/>
      <c r="AF86" s="91"/>
      <c r="AG86" s="91"/>
      <c r="AH86" s="91"/>
      <c r="AI86" s="91"/>
      <c r="AJ86" s="91"/>
      <c r="AK86" s="91"/>
      <c r="AL86" s="91"/>
      <c r="AM86" s="91"/>
      <c r="AN86" s="91"/>
      <c r="AO86" s="91"/>
      <c r="AP86" s="91"/>
      <c r="AQ86" s="91"/>
      <c r="AR86" s="91"/>
      <c r="AS86" s="91"/>
      <c r="AT86" s="91"/>
      <c r="AU86" s="91">
        <f>AU85/AQ85-1</f>
        <v>-9.724079251245854E-3</v>
      </c>
      <c r="AV86" s="91">
        <f>AV85/AR85-1</f>
        <v>3.0424439714536122E-2</v>
      </c>
      <c r="AW86" s="91">
        <f>AW85/AS85-1</f>
        <v>2.2566086395873652E-2</v>
      </c>
      <c r="AX86" s="91">
        <f>AX85/AT85-1</f>
        <v>9.4029270819841804E-2</v>
      </c>
      <c r="AY86" s="91">
        <f>AY85/AU85-1</f>
        <v>4.1855897876518888E-2</v>
      </c>
      <c r="AZ86" s="91">
        <f>AZ85/AV85-1</f>
        <v>0.55479951397326843</v>
      </c>
      <c r="BA86" s="93">
        <f>BA85/AW85-1</f>
        <v>0.50769230769230766</v>
      </c>
      <c r="BB86" s="248">
        <f>BA86</f>
        <v>0.50769230769230766</v>
      </c>
      <c r="BC86" s="215">
        <f>BB86</f>
        <v>0.50769230769230766</v>
      </c>
      <c r="BD86" s="215">
        <f>BC86</f>
        <v>0.50769230769230766</v>
      </c>
      <c r="BE86" s="215">
        <f>BD86</f>
        <v>0.50769230769230766</v>
      </c>
      <c r="BF86" s="215">
        <f>BE86</f>
        <v>0.50769230769230766</v>
      </c>
      <c r="BG86" s="215">
        <f>BF86</f>
        <v>0.50769230769230766</v>
      </c>
      <c r="BH86" s="215">
        <f>BG86</f>
        <v>0.50769230769230766</v>
      </c>
      <c r="BI86" s="215">
        <f>BH86</f>
        <v>0.50769230769230766</v>
      </c>
      <c r="BJ86" s="215">
        <f>BI86</f>
        <v>0.50769230769230766</v>
      </c>
      <c r="BK86" s="215">
        <f>BJ86</f>
        <v>0.50769230769230766</v>
      </c>
      <c r="BL86" s="215">
        <f>BK86</f>
        <v>0.50769230769230766</v>
      </c>
      <c r="BM86" s="215">
        <f>BL86</f>
        <v>0.50769230769230766</v>
      </c>
      <c r="BN86" s="215">
        <f>BM86</f>
        <v>0.50769230769230766</v>
      </c>
      <c r="BO86" s="215">
        <f>BN86</f>
        <v>0.50769230769230766</v>
      </c>
      <c r="BP86" s="215">
        <f>BO86</f>
        <v>0.50769230769230766</v>
      </c>
      <c r="BQ86" s="215">
        <f>BP86</f>
        <v>0.50769230769230766</v>
      </c>
      <c r="BR86" s="215">
        <f>BQ86</f>
        <v>0.50769230769230766</v>
      </c>
    </row>
    <row r="87" spans="1:70" x14ac:dyDescent="0.2">
      <c r="A87" s="164" t="s">
        <v>5</v>
      </c>
      <c r="B87" s="30"/>
      <c r="C87" s="165"/>
      <c r="D87" s="165"/>
      <c r="E87" s="165"/>
      <c r="F87" s="165"/>
      <c r="G87" s="165"/>
      <c r="H87" s="165"/>
      <c r="I87" s="165"/>
      <c r="J87" s="165"/>
      <c r="K87" s="165"/>
      <c r="L87" s="185"/>
      <c r="M87" s="186"/>
      <c r="N87" s="165"/>
      <c r="O87" s="165"/>
      <c r="P87" s="165"/>
      <c r="Q87" s="165"/>
      <c r="R87" s="301"/>
      <c r="S87" s="122"/>
      <c r="T87" s="122"/>
      <c r="U87" s="122"/>
      <c r="V87" s="122"/>
      <c r="W87" s="122"/>
      <c r="X87" s="122"/>
      <c r="Y87" s="122"/>
      <c r="Z87" s="122"/>
      <c r="AA87" s="122"/>
      <c r="AB87" s="122"/>
      <c r="AC87" s="122"/>
      <c r="AD87" s="122"/>
      <c r="AE87" s="122"/>
      <c r="AF87" s="122"/>
      <c r="AG87" s="122"/>
      <c r="AH87" s="122"/>
      <c r="AI87" s="122"/>
      <c r="AJ87" s="122"/>
      <c r="AK87" s="122"/>
      <c r="AL87" s="122"/>
      <c r="AM87" s="122"/>
      <c r="AN87" s="122"/>
      <c r="AO87" s="122"/>
      <c r="AP87" s="122"/>
      <c r="AQ87" s="122"/>
      <c r="AR87" s="122">
        <f>AR85/AQ85-1</f>
        <v>-2.9172237753737673E-2</v>
      </c>
      <c r="AS87" s="122">
        <f>AS85/AR85-1</f>
        <v>-2.9047201702766978E-2</v>
      </c>
      <c r="AT87" s="122">
        <f>AT85/AS85-1</f>
        <v>-4.3842682140554645E-3</v>
      </c>
      <c r="AU87" s="122">
        <f>AU85/AT85-1</f>
        <v>5.5174200233130355E-2</v>
      </c>
      <c r="AV87" s="122">
        <f>AV85/AU85-1</f>
        <v>1.0187799189885771E-2</v>
      </c>
      <c r="AW87" s="122">
        <f>AW85/AV85-1</f>
        <v>-3.6452004860267451E-2</v>
      </c>
      <c r="AX87" s="122">
        <f>AX85/AW85-1</f>
        <v>6.5195460277427397E-2</v>
      </c>
      <c r="AY87" s="122">
        <f>AY85/AX85-1</f>
        <v>4.8537942464781381E-3</v>
      </c>
      <c r="AZ87" s="122">
        <f>AZ85/AY85-1</f>
        <v>0.50754005655042422</v>
      </c>
      <c r="BA87" s="123">
        <f>BA85/AZ85-1</f>
        <v>-6.5645514223194756E-2</v>
      </c>
      <c r="BB87" s="177">
        <f>BB85/BA85-1</f>
        <v>6.5195460277427397E-2</v>
      </c>
      <c r="BC87" s="122">
        <f>BC85/BB85-1</f>
        <v>4.853794246477916E-3</v>
      </c>
      <c r="BD87" s="122">
        <f>BD85/BC85-1</f>
        <v>0.50754005655042445</v>
      </c>
      <c r="BE87" s="122">
        <f>BE85/BD85-1</f>
        <v>-6.5645514223194756E-2</v>
      </c>
      <c r="BF87" s="122">
        <f>BF85/BE85-1</f>
        <v>6.5195460277427397E-2</v>
      </c>
      <c r="BG87" s="122">
        <f>BG85/BF85-1</f>
        <v>4.853794246477916E-3</v>
      </c>
      <c r="BH87" s="122">
        <f>BH85/BG85-1</f>
        <v>0.50754005655042445</v>
      </c>
      <c r="BI87" s="122">
        <f>BI85/BH85-1</f>
        <v>-6.5645514223194756E-2</v>
      </c>
      <c r="BJ87" s="122">
        <f>BJ85/BI85-1</f>
        <v>6.5195460277427397E-2</v>
      </c>
      <c r="BK87" s="122">
        <f>BK85/BJ85-1</f>
        <v>4.853794246477916E-3</v>
      </c>
      <c r="BL87" s="122">
        <f>BL85/BK85-1</f>
        <v>0.50754005655042445</v>
      </c>
      <c r="BM87" s="122">
        <f>BM85/BL85-1</f>
        <v>-6.5645514223194867E-2</v>
      </c>
      <c r="BN87" s="122">
        <f>BN85/BM85-1</f>
        <v>6.5195460277427619E-2</v>
      </c>
      <c r="BO87" s="122">
        <f>BO85/BN85-1</f>
        <v>4.853794246477694E-3</v>
      </c>
      <c r="BP87" s="122">
        <f>BP85/BO85-1</f>
        <v>0.50754005655042467</v>
      </c>
      <c r="BQ87" s="122">
        <f>BQ85/BP85-1</f>
        <v>-6.5645514223194978E-2</v>
      </c>
      <c r="BR87" s="122">
        <f>BR85/BQ85-1</f>
        <v>6.5195460277427619E-2</v>
      </c>
    </row>
    <row r="88" spans="1:70" x14ac:dyDescent="0.2">
      <c r="A88" s="189" t="s">
        <v>236</v>
      </c>
      <c r="B88" s="42"/>
      <c r="C88" s="144">
        <f>IS!C4</f>
        <v>667.72</v>
      </c>
      <c r="D88" s="144">
        <f>IS!D4</f>
        <v>605.59</v>
      </c>
      <c r="E88" s="144">
        <f>IS!E4</f>
        <v>544.06299999999999</v>
      </c>
      <c r="F88" s="145">
        <v>584.48599999999999</v>
      </c>
      <c r="G88" s="145">
        <v>582.44399999999996</v>
      </c>
      <c r="H88" s="145">
        <v>585.64700000000005</v>
      </c>
      <c r="I88" s="145">
        <v>612.57500000000005</v>
      </c>
      <c r="J88" s="145">
        <v>646.20299999999997</v>
      </c>
      <c r="K88" s="145">
        <v>752.17100000000005</v>
      </c>
      <c r="L88" s="145">
        <v>210.53700000000001</v>
      </c>
      <c r="M88" s="86">
        <f>SUM(AY88:BB88)</f>
        <v>244.50336832543337</v>
      </c>
      <c r="N88" s="72">
        <f>SUM(BC88:BF88)</f>
        <v>297.12699703844663</v>
      </c>
      <c r="O88" s="72">
        <f>SUM(BG88:BJ88)</f>
        <v>368.79721567911884</v>
      </c>
      <c r="P88" s="72">
        <f>SUM(BK88:BN88)</f>
        <v>468.084951235056</v>
      </c>
      <c r="Q88" s="72">
        <f>SUM(BO88:BR88)</f>
        <v>607.65132402435825</v>
      </c>
      <c r="R88" s="48"/>
      <c r="S88" s="145"/>
      <c r="T88" s="145"/>
      <c r="U88" s="145"/>
      <c r="V88" s="145"/>
      <c r="W88" s="145"/>
      <c r="X88" s="145"/>
      <c r="Y88" s="145"/>
      <c r="Z88" s="145"/>
      <c r="AA88" s="145"/>
      <c r="AB88" s="145"/>
      <c r="AC88" s="145"/>
      <c r="AD88" s="145"/>
      <c r="AE88" s="145">
        <v>150.571</v>
      </c>
      <c r="AF88" s="145">
        <v>144.946</v>
      </c>
      <c r="AG88" s="145">
        <v>145.48099999999999</v>
      </c>
      <c r="AH88" s="145">
        <v>144.6</v>
      </c>
      <c r="AI88" s="145">
        <v>152.428</v>
      </c>
      <c r="AJ88" s="145">
        <v>151.49600000000001</v>
      </c>
      <c r="AK88" s="145">
        <v>154.76300000000001</v>
      </c>
      <c r="AL88" s="145">
        <v>153.9</v>
      </c>
      <c r="AM88" s="145">
        <v>157.59100000000001</v>
      </c>
      <c r="AN88" s="145">
        <v>159.73599999999999</v>
      </c>
      <c r="AO88" s="145">
        <v>165.959</v>
      </c>
      <c r="AP88" s="145">
        <v>162.9</v>
      </c>
      <c r="AQ88" s="145">
        <v>182.261</v>
      </c>
      <c r="AR88" s="145">
        <v>187.126</v>
      </c>
      <c r="AS88" s="145">
        <v>191.87</v>
      </c>
      <c r="AT88" s="145">
        <v>190.91399999999999</v>
      </c>
      <c r="AU88" s="145">
        <v>50.783999999999999</v>
      </c>
      <c r="AV88" s="145">
        <v>52.734000000000002</v>
      </c>
      <c r="AW88" s="145">
        <v>54.491</v>
      </c>
      <c r="AX88" s="145">
        <v>52.527999999999999</v>
      </c>
      <c r="AY88" s="145">
        <v>56.347999999999999</v>
      </c>
      <c r="AZ88" s="145">
        <v>60.326999999999998</v>
      </c>
      <c r="BA88" s="155">
        <v>65.296000000000006</v>
      </c>
      <c r="BB88" s="86">
        <f>SUM(BB85,BB82,BB79)</f>
        <v>62.532368325433367</v>
      </c>
      <c r="BC88" s="72">
        <f>SUM(BC85,BC82,BC79)</f>
        <v>67.518015022906326</v>
      </c>
      <c r="BD88" s="72">
        <f>SUM(BD85,BD82,BD79)</f>
        <v>73.918250224621318</v>
      </c>
      <c r="BE88" s="72">
        <f>SUM(BE85,BE82,BE79)</f>
        <v>79.786757023069811</v>
      </c>
      <c r="BF88" s="72">
        <f>SUM(BF85,BF82,BF79)</f>
        <v>75.903974767849178</v>
      </c>
      <c r="BG88" s="72">
        <f>SUM(BG85,BG82,BG79)</f>
        <v>82.507678041510701</v>
      </c>
      <c r="BH88" s="72">
        <f>SUM(BH85,BH82,BH79)</f>
        <v>92.574286479641245</v>
      </c>
      <c r="BI88" s="72">
        <f>SUM(BI85,BI82,BI79)</f>
        <v>99.579831901759263</v>
      </c>
      <c r="BJ88" s="72">
        <f>SUM(BJ85,BJ82,BJ79)</f>
        <v>94.135419256207626</v>
      </c>
      <c r="BK88" s="72">
        <f>SUM(BK85,BK82,BK79)</f>
        <v>102.99812021174755</v>
      </c>
      <c r="BL88" s="72">
        <f>SUM(BL85,BL82,BL79)</f>
        <v>118.60047202622866</v>
      </c>
      <c r="BM88" s="72">
        <f>SUM(BM85,BM82,BM79)</f>
        <v>127.05286547648313</v>
      </c>
      <c r="BN88" s="72">
        <f>SUM(BN85,BN82,BN79)</f>
        <v>119.43349352059664</v>
      </c>
      <c r="BO88" s="72">
        <f>SUM(BO85,BO82,BO79)</f>
        <v>131.46463966837348</v>
      </c>
      <c r="BP88" s="72">
        <f>SUM(BP85,BP82,BP79)</f>
        <v>155.40850688305059</v>
      </c>
      <c r="BQ88" s="72">
        <f>SUM(BQ85,BQ82,BQ79)</f>
        <v>165.71028688068111</v>
      </c>
      <c r="BR88" s="72">
        <f>SUM(BR85,BR82,BR79)</f>
        <v>155.06789059225306</v>
      </c>
    </row>
    <row r="89" spans="1:70" x14ac:dyDescent="0.2">
      <c r="A89" s="161" t="s">
        <v>4</v>
      </c>
      <c r="B89" s="12"/>
      <c r="C89" s="163"/>
      <c r="D89" s="163">
        <f>D88/C88-1</f>
        <v>-9.304798418498772E-2</v>
      </c>
      <c r="E89" s="163">
        <f>E88/D88-1</f>
        <v>-0.10159844118958383</v>
      </c>
      <c r="F89" s="163">
        <f>F88/E88-1</f>
        <v>7.429838088603713E-2</v>
      </c>
      <c r="G89" s="163">
        <f>G88/F88-1</f>
        <v>-3.4936679407205906E-3</v>
      </c>
      <c r="H89" s="163">
        <f>H88/G88-1</f>
        <v>5.4992411287611009E-3</v>
      </c>
      <c r="I89" s="163">
        <f>I88/H88-1</f>
        <v>4.5979916229401008E-2</v>
      </c>
      <c r="J89" s="163">
        <f>J88/I88-1</f>
        <v>5.4896135167122218E-2</v>
      </c>
      <c r="K89" s="163">
        <f>K88/J88-1</f>
        <v>0.16398562061766975</v>
      </c>
      <c r="L89" s="173">
        <f>L88/K88-1</f>
        <v>-0.72009423389096361</v>
      </c>
      <c r="M89" s="174">
        <f>M88/L88-1</f>
        <v>0.1613320619436649</v>
      </c>
      <c r="N89" s="163">
        <f>N88/M88-1</f>
        <v>0.21522660024450602</v>
      </c>
      <c r="O89" s="163">
        <f>O88/N88-1</f>
        <v>0.24121072590182191</v>
      </c>
      <c r="P89" s="163">
        <f>P88/O88-1</f>
        <v>0.26922040442497508</v>
      </c>
      <c r="Q89" s="163">
        <f>Q88/P88-1</f>
        <v>0.29816462251361053</v>
      </c>
      <c r="R89" s="300"/>
      <c r="S89" s="91"/>
      <c r="T89" s="91"/>
      <c r="U89" s="91"/>
      <c r="V89" s="91"/>
      <c r="W89" s="91"/>
      <c r="X89" s="91"/>
      <c r="Y89" s="91"/>
      <c r="Z89" s="91"/>
      <c r="AA89" s="91"/>
      <c r="AB89" s="91"/>
      <c r="AC89" s="91"/>
      <c r="AD89" s="91"/>
      <c r="AE89" s="91"/>
      <c r="AF89" s="91"/>
      <c r="AG89" s="91"/>
      <c r="AH89" s="91"/>
      <c r="AI89" s="91">
        <f>AI88/AE88-1</f>
        <v>1.2333052181362936E-2</v>
      </c>
      <c r="AJ89" s="91">
        <f>AJ88/AF88-1</f>
        <v>4.5189242890455894E-2</v>
      </c>
      <c r="AK89" s="91">
        <f>AK88/AG88-1</f>
        <v>6.3802145984699132E-2</v>
      </c>
      <c r="AL89" s="91">
        <f>AL88/AH88-1</f>
        <v>6.4315352697095429E-2</v>
      </c>
      <c r="AM89" s="91">
        <f>AM88/AI88-1</f>
        <v>3.3871729603484946E-2</v>
      </c>
      <c r="AN89" s="91">
        <f>AN88/AJ88-1</f>
        <v>5.439087500660067E-2</v>
      </c>
      <c r="AO89" s="91">
        <f>AO88/AK88-1</f>
        <v>7.2342872650439594E-2</v>
      </c>
      <c r="AP89" s="91">
        <f>AP88/AL88-1</f>
        <v>5.8479532163742798E-2</v>
      </c>
      <c r="AQ89" s="91">
        <f>AQ88/AM88-1</f>
        <v>0.15654447271735061</v>
      </c>
      <c r="AR89" s="91">
        <f>AR88/AN88-1</f>
        <v>0.17147042620323538</v>
      </c>
      <c r="AS89" s="91">
        <f>AS88/AO88-1</f>
        <v>0.1561289234087937</v>
      </c>
      <c r="AT89" s="91">
        <f>AT88/AP88-1</f>
        <v>0.17197053406998153</v>
      </c>
      <c r="AU89" s="91">
        <f>AU88/AQ88-1</f>
        <v>-0.72136661161740578</v>
      </c>
      <c r="AV89" s="91">
        <f>AV88/AR88-1</f>
        <v>-0.7181898827527976</v>
      </c>
      <c r="AW89" s="91">
        <f>AW88/AS88-1</f>
        <v>-0.71600041694897587</v>
      </c>
      <c r="AX89" s="91">
        <f>AX88/AT88-1</f>
        <v>-0.72486040835140431</v>
      </c>
      <c r="AY89" s="91">
        <f>AY88/AU88-1</f>
        <v>0.10956206679269065</v>
      </c>
      <c r="AZ89" s="91">
        <f>AZ88/AV88-1</f>
        <v>0.14398680168392297</v>
      </c>
      <c r="BA89" s="93">
        <f>BA88/AW88-1</f>
        <v>0.19828962580976683</v>
      </c>
      <c r="BB89" s="92">
        <f>BB88/AX88-1</f>
        <v>0.19045781917136329</v>
      </c>
      <c r="BC89" s="91">
        <f>BC88/AY88-1</f>
        <v>0.19823267947232059</v>
      </c>
      <c r="BD89" s="91">
        <f>BD88/AZ88-1</f>
        <v>0.22529299027999605</v>
      </c>
      <c r="BE89" s="91">
        <f>BE88/BA88-1</f>
        <v>0.22192411515360511</v>
      </c>
      <c r="BF89" s="91">
        <f>BF88/BB88-1</f>
        <v>0.2138349594057718</v>
      </c>
      <c r="BG89" s="91">
        <f>BG88/BC88-1</f>
        <v>0.2220098297249844</v>
      </c>
      <c r="BH89" s="91">
        <f>BH88/BD88-1</f>
        <v>0.25238741715785129</v>
      </c>
      <c r="BI89" s="91">
        <f>BI88/BE88-1</f>
        <v>0.24807468829653545</v>
      </c>
      <c r="BJ89" s="91">
        <f>BJ88/BF88-1</f>
        <v>0.24019090626174666</v>
      </c>
      <c r="BK89" s="91">
        <f>BK88/BG88-1</f>
        <v>0.24834588315438766</v>
      </c>
      <c r="BL89" s="91">
        <f>BL88/BH88-1</f>
        <v>0.28113838665460356</v>
      </c>
      <c r="BM89" s="91">
        <f>BM88/BI88-1</f>
        <v>0.27588953556205498</v>
      </c>
      <c r="BN89" s="91">
        <f>BN88/BJ88-1</f>
        <v>0.26874129274907088</v>
      </c>
      <c r="BO89" s="91">
        <f>BO88/BK88-1</f>
        <v>0.27637901932679299</v>
      </c>
      <c r="BP89" s="91">
        <f>BP88/BL88-1</f>
        <v>0.31035319023588537</v>
      </c>
      <c r="BQ89" s="91">
        <f>BQ88/BM88-1</f>
        <v>0.30426249151659857</v>
      </c>
      <c r="BR89" s="91">
        <f>BR88/BN88-1</f>
        <v>0.29836184156759327</v>
      </c>
    </row>
    <row r="90" spans="1:70" x14ac:dyDescent="0.2">
      <c r="A90" s="161" t="s">
        <v>5</v>
      </c>
      <c r="B90" s="12"/>
      <c r="C90" s="163"/>
      <c r="D90" s="163"/>
      <c r="E90" s="163"/>
      <c r="F90" s="163"/>
      <c r="G90" s="163"/>
      <c r="H90" s="163"/>
      <c r="I90" s="163"/>
      <c r="J90" s="163"/>
      <c r="K90" s="163"/>
      <c r="L90" s="173"/>
      <c r="M90" s="174"/>
      <c r="N90" s="163"/>
      <c r="O90" s="163"/>
      <c r="P90" s="163"/>
      <c r="Q90" s="163"/>
      <c r="R90" s="300"/>
      <c r="S90" s="91"/>
      <c r="T90" s="91"/>
      <c r="U90" s="91"/>
      <c r="V90" s="91"/>
      <c r="W90" s="91"/>
      <c r="X90" s="91"/>
      <c r="Y90" s="91"/>
      <c r="Z90" s="91"/>
      <c r="AA90" s="91"/>
      <c r="AB90" s="91"/>
      <c r="AC90" s="91"/>
      <c r="AD90" s="91"/>
      <c r="AE90" s="91"/>
      <c r="AF90" s="91">
        <f>AF88/AE88-1</f>
        <v>-3.7357791340962065E-2</v>
      </c>
      <c r="AG90" s="91">
        <f>AG88/AF88-1</f>
        <v>3.6910297628081068E-3</v>
      </c>
      <c r="AH90" s="91">
        <f>AH88/AG88-1</f>
        <v>-6.0557736061753742E-3</v>
      </c>
      <c r="AI90" s="91">
        <f>AI88/AH88-1</f>
        <v>5.41355463347164E-2</v>
      </c>
      <c r="AJ90" s="91">
        <f>AJ88/AI88-1</f>
        <v>-6.1143621906735168E-3</v>
      </c>
      <c r="AK90" s="91">
        <f>AK88/AJ88-1</f>
        <v>2.1564925806621948E-2</v>
      </c>
      <c r="AL90" s="91">
        <f>AL88/AK88-1</f>
        <v>-5.5762682294864252E-3</v>
      </c>
      <c r="AM90" s="91">
        <f>AM88/AL88-1</f>
        <v>2.3983105912930514E-2</v>
      </c>
      <c r="AN90" s="91">
        <f>AN88/AM88-1</f>
        <v>1.3611183379761416E-2</v>
      </c>
      <c r="AO90" s="91">
        <f>AO88/AN88-1</f>
        <v>3.8958030750738892E-2</v>
      </c>
      <c r="AP90" s="91">
        <f>AP88/AO88-1</f>
        <v>-1.8432263390355419E-2</v>
      </c>
      <c r="AQ90" s="91">
        <f>AQ88/AP88-1</f>
        <v>0.11885205647636576</v>
      </c>
      <c r="AR90" s="91">
        <f>AR88/AQ88-1</f>
        <v>2.6692490439534478E-2</v>
      </c>
      <c r="AS90" s="91">
        <f>AS88/AR88-1</f>
        <v>2.5351901927043841E-2</v>
      </c>
      <c r="AT90" s="91">
        <f>AT88/AS88-1</f>
        <v>-4.9825402616355818E-3</v>
      </c>
      <c r="AU90" s="91">
        <f>AU88/AT88-1</f>
        <v>-0.73399541154656023</v>
      </c>
      <c r="AV90" s="91">
        <f>AV88/AU88-1</f>
        <v>3.8397920604914981E-2</v>
      </c>
      <c r="AW90" s="91">
        <f>AW88/AV88-1</f>
        <v>3.3318162855084044E-2</v>
      </c>
      <c r="AX90" s="91">
        <f>AX88/AW88-1</f>
        <v>-3.6024297590427801E-2</v>
      </c>
      <c r="AY90" s="91">
        <f>AY88/AX88-1</f>
        <v>7.2723119098385691E-2</v>
      </c>
      <c r="AZ90" s="91">
        <f>AZ88/AY88-1</f>
        <v>7.0614751189039593E-2</v>
      </c>
      <c r="BA90" s="93">
        <f>BA88/AZ88-1</f>
        <v>8.2367762361795105E-2</v>
      </c>
      <c r="BB90" s="92">
        <f>BB88/BA88-1</f>
        <v>-4.2324670340704418E-2</v>
      </c>
      <c r="BC90" s="91">
        <f>BC88/BB88-1</f>
        <v>7.9729056023057687E-2</v>
      </c>
      <c r="BD90" s="91">
        <f>BD88/BC88-1</f>
        <v>9.4793000054039345E-2</v>
      </c>
      <c r="BE90" s="91">
        <f>BE88/BD88-1</f>
        <v>7.9391852223441362E-2</v>
      </c>
      <c r="BF90" s="91">
        <f>BF88/BE88-1</f>
        <v>-4.8664495213133541E-2</v>
      </c>
      <c r="BG90" s="91">
        <f>BG88/BF88-1</f>
        <v>8.7000757125813566E-2</v>
      </c>
      <c r="BH90" s="91">
        <f>BH88/BG88-1</f>
        <v>0.12200814126736059</v>
      </c>
      <c r="BI90" s="91">
        <f>BI88/BH88-1</f>
        <v>7.5674851932654885E-2</v>
      </c>
      <c r="BJ90" s="91">
        <f>BJ88/BI88-1</f>
        <v>-5.4673848525099267E-2</v>
      </c>
      <c r="BK90" s="91">
        <f>BK88/BJ88-1</f>
        <v>9.4148419644452641E-2</v>
      </c>
      <c r="BL90" s="91">
        <f>BL88/BK88-1</f>
        <v>0.1514819084310004</v>
      </c>
      <c r="BM90" s="91">
        <f>BM88/BL88-1</f>
        <v>7.1267789291641348E-2</v>
      </c>
      <c r="BN90" s="91">
        <f>BN88/BM88-1</f>
        <v>-5.9970091404957682E-2</v>
      </c>
      <c r="BO90" s="91">
        <f>BO88/BN88-1</f>
        <v>0.10073511033738658</v>
      </c>
      <c r="BP90" s="91">
        <f>BP88/BO88-1</f>
        <v>0.1821316155817776</v>
      </c>
      <c r="BQ90" s="91">
        <f>BQ88/BP88-1</f>
        <v>6.6288391827758142E-2</v>
      </c>
      <c r="BR90" s="91">
        <f>BR88/BQ88-1</f>
        <v>-6.4222906668981006E-2</v>
      </c>
    </row>
    <row r="91" spans="1:70" x14ac:dyDescent="0.2">
      <c r="A91" s="65" t="s">
        <v>7</v>
      </c>
      <c r="B91" s="13"/>
      <c r="C91" s="88"/>
      <c r="D91" s="88"/>
      <c r="E91" s="88"/>
      <c r="F91" s="88"/>
      <c r="G91" s="88"/>
      <c r="H91" s="88"/>
      <c r="I91" s="88"/>
      <c r="J91" s="88">
        <f>SUM(J85,J82,J79)-J88</f>
        <v>0</v>
      </c>
      <c r="K91" s="88">
        <f>SUM(K85,K82,K79)-K88</f>
        <v>0</v>
      </c>
      <c r="L91" s="90">
        <f>SUM(L85,L82,L79)-L88</f>
        <v>0</v>
      </c>
      <c r="M91" s="89"/>
      <c r="N91" s="88"/>
      <c r="O91" s="88"/>
      <c r="P91" s="88"/>
      <c r="Q91" s="88"/>
      <c r="R91" s="50"/>
      <c r="S91" s="88"/>
      <c r="T91" s="88"/>
      <c r="U91" s="88"/>
      <c r="V91" s="88"/>
      <c r="W91" s="88"/>
      <c r="X91" s="88"/>
      <c r="Y91" s="88"/>
      <c r="Z91" s="88"/>
      <c r="AA91" s="88"/>
      <c r="AB91" s="88"/>
      <c r="AC91" s="88"/>
      <c r="AD91" s="88"/>
      <c r="AE91" s="88"/>
      <c r="AF91" s="88"/>
      <c r="AG91" s="88"/>
      <c r="AH91" s="88"/>
      <c r="AI91" s="88"/>
      <c r="AJ91" s="88"/>
      <c r="AK91" s="88"/>
      <c r="AL91" s="88"/>
      <c r="AM91" s="88"/>
      <c r="AN91" s="88"/>
      <c r="AO91" s="88"/>
      <c r="AP91" s="88"/>
      <c r="AQ91" s="88">
        <f>SUM(AQ85,AQ82,AQ79)-AQ88</f>
        <v>0</v>
      </c>
      <c r="AR91" s="88">
        <f>SUM(AR85,AR82,AR79)-AR88</f>
        <v>0</v>
      </c>
      <c r="AS91" s="88">
        <f>SUM(AS85,AS82,AS79)-AS88</f>
        <v>0</v>
      </c>
      <c r="AT91" s="88">
        <f>SUM(AT85,AT82,AT79)-AT88</f>
        <v>0</v>
      </c>
      <c r="AU91" s="88">
        <f>SUM(AU85,AU82,AU79)-AU88</f>
        <v>0</v>
      </c>
      <c r="AV91" s="88">
        <f>SUM(AV85,AV82,AV79)-AV88</f>
        <v>0</v>
      </c>
      <c r="AW91" s="88">
        <f>SUM(AW85,AW82,AW79)-AW88</f>
        <v>0</v>
      </c>
      <c r="AX91" s="88">
        <f>SUM(AX85,AX82,AX79)-AX88</f>
        <v>0</v>
      </c>
      <c r="AY91" s="88">
        <f>SUM(AY85,AY82,AY79)-AY88</f>
        <v>0</v>
      </c>
      <c r="AZ91" s="88">
        <f>SUM(AZ85,AZ82,AZ79)-AZ88</f>
        <v>0</v>
      </c>
      <c r="BA91" s="90">
        <f>SUM(BA85,BA82,BA79)-BA88</f>
        <v>0</v>
      </c>
      <c r="BB91" s="89">
        <f>SUM(BB85,BB82,BB79)-BB88</f>
        <v>0</v>
      </c>
      <c r="BC91" s="88">
        <f>SUM(BC85,BC82,BC79)-BC88</f>
        <v>0</v>
      </c>
      <c r="BD91" s="88">
        <f>SUM(BD85,BD82,BD79)-BD88</f>
        <v>0</v>
      </c>
      <c r="BE91" s="88">
        <f>SUM(BE85,BE82,BE79)-BE88</f>
        <v>0</v>
      </c>
      <c r="BF91" s="88">
        <f>SUM(BF85,BF82,BF79)-BF88</f>
        <v>0</v>
      </c>
      <c r="BG91" s="88">
        <f>SUM(BG85,BG82,BG79)-BG88</f>
        <v>0</v>
      </c>
      <c r="BH91" s="88">
        <f>SUM(BH85,BH82,BH79)-BH88</f>
        <v>0</v>
      </c>
      <c r="BI91" s="88">
        <f>SUM(BI85,BI82,BI79)-BI88</f>
        <v>0</v>
      </c>
      <c r="BJ91" s="88">
        <f>SUM(BJ85,BJ82,BJ79)-BJ88</f>
        <v>0</v>
      </c>
      <c r="BK91" s="88">
        <f>SUM(BK85,BK82,BK79)-BK88</f>
        <v>0</v>
      </c>
      <c r="BL91" s="88">
        <f>SUM(BL85,BL82,BL79)-BL88</f>
        <v>0</v>
      </c>
      <c r="BM91" s="88">
        <f>SUM(BM85,BM82,BM79)-BM88</f>
        <v>0</v>
      </c>
      <c r="BN91" s="88">
        <f>SUM(BN85,BN82,BN79)-BN88</f>
        <v>0</v>
      </c>
      <c r="BO91" s="88">
        <f>SUM(BO85,BO82,BO79)-BO88</f>
        <v>0</v>
      </c>
      <c r="BP91" s="88">
        <f>SUM(BP85,BP82,BP79)-BP88</f>
        <v>0</v>
      </c>
      <c r="BQ91" s="88">
        <f>SUM(BQ85,BQ82,BQ79)-BQ88</f>
        <v>0</v>
      </c>
      <c r="BR91" s="88">
        <f>SUM(BR85,BR82,BR79)-BR88</f>
        <v>0</v>
      </c>
    </row>
    <row r="92" spans="1:70" x14ac:dyDescent="0.2">
      <c r="A92" s="271"/>
      <c r="B92" s="9"/>
      <c r="C92" s="94"/>
      <c r="D92" s="94"/>
      <c r="E92" s="94"/>
      <c r="F92" s="94"/>
      <c r="G92" s="94"/>
      <c r="H92" s="94"/>
      <c r="I92" s="94"/>
      <c r="J92" s="94"/>
      <c r="K92" s="94"/>
      <c r="L92" s="95"/>
      <c r="M92" s="83"/>
      <c r="N92" s="84"/>
      <c r="O92" s="84"/>
      <c r="P92" s="84"/>
      <c r="Q92" s="84"/>
      <c r="R92" s="46"/>
      <c r="S92" s="94"/>
      <c r="T92" s="94"/>
      <c r="U92" s="94"/>
      <c r="V92" s="94"/>
      <c r="W92" s="94"/>
      <c r="X92" s="94"/>
      <c r="Y92" s="94"/>
      <c r="Z92" s="94"/>
      <c r="AA92" s="94"/>
      <c r="AB92" s="94"/>
      <c r="AC92" s="94"/>
      <c r="AD92" s="94"/>
      <c r="AE92" s="94"/>
      <c r="AF92" s="94"/>
      <c r="AG92" s="94"/>
      <c r="AH92" s="94"/>
      <c r="AI92" s="94"/>
      <c r="AJ92" s="94"/>
      <c r="AK92" s="94"/>
      <c r="AL92" s="94"/>
      <c r="AM92" s="94"/>
      <c r="AN92" s="94"/>
      <c r="AO92" s="94"/>
      <c r="AP92" s="94"/>
      <c r="AQ92" s="94"/>
      <c r="AR92" s="94"/>
      <c r="AS92" s="94"/>
      <c r="AT92" s="94"/>
      <c r="AU92" s="94"/>
      <c r="AV92" s="94"/>
      <c r="AW92" s="94"/>
      <c r="AX92" s="94"/>
      <c r="AY92" s="94"/>
      <c r="AZ92" s="94"/>
      <c r="BA92" s="95"/>
      <c r="BB92" s="96"/>
      <c r="BC92" s="94"/>
      <c r="BD92" s="94"/>
      <c r="BE92" s="94"/>
      <c r="BF92" s="94"/>
      <c r="BG92" s="94"/>
      <c r="BH92" s="94"/>
      <c r="BI92" s="94"/>
      <c r="BJ92" s="94"/>
      <c r="BK92" s="94"/>
      <c r="BL92" s="94"/>
      <c r="BM92" s="94"/>
      <c r="BN92" s="94"/>
      <c r="BO92" s="94"/>
      <c r="BP92" s="94"/>
      <c r="BQ92" s="94"/>
      <c r="BR92" s="94"/>
    </row>
    <row r="93" spans="1:70" x14ac:dyDescent="0.2">
      <c r="A93" s="272" t="s">
        <v>211</v>
      </c>
      <c r="B93" s="24"/>
      <c r="C93" s="141"/>
      <c r="D93" s="141"/>
      <c r="E93" s="141"/>
      <c r="F93" s="141"/>
      <c r="G93" s="141"/>
      <c r="H93" s="141"/>
      <c r="I93" s="142"/>
      <c r="J93" s="142"/>
      <c r="K93" s="142"/>
      <c r="L93" s="142"/>
      <c r="M93" s="77"/>
      <c r="N93" s="76"/>
      <c r="O93" s="76"/>
      <c r="P93" s="76"/>
      <c r="Q93" s="76"/>
      <c r="R93" s="48"/>
      <c r="S93" s="142"/>
      <c r="T93" s="142"/>
      <c r="U93" s="142"/>
      <c r="V93" s="142"/>
      <c r="W93" s="142"/>
      <c r="X93" s="142"/>
      <c r="Y93" s="142"/>
      <c r="Z93" s="142"/>
      <c r="AA93" s="142"/>
      <c r="AB93" s="142"/>
      <c r="AC93" s="142"/>
      <c r="AD93" s="142"/>
      <c r="AE93" s="142"/>
      <c r="AF93" s="142"/>
      <c r="AG93" s="142"/>
      <c r="AH93" s="142"/>
      <c r="AI93" s="142"/>
      <c r="AJ93" s="142"/>
      <c r="AK93" s="142"/>
      <c r="AL93" s="142"/>
      <c r="AM93" s="142"/>
      <c r="AN93" s="142"/>
      <c r="AO93" s="142"/>
      <c r="AP93" s="142"/>
      <c r="AQ93" s="142"/>
      <c r="AR93" s="142"/>
      <c r="AS93" s="142"/>
      <c r="AT93" s="142"/>
      <c r="AU93" s="142"/>
      <c r="AV93" s="142"/>
      <c r="AW93" s="142"/>
      <c r="AX93" s="142"/>
      <c r="AY93" s="142"/>
      <c r="AZ93" s="142"/>
      <c r="BA93" s="153"/>
      <c r="BB93" s="79"/>
      <c r="BC93" s="80"/>
      <c r="BD93" s="80"/>
      <c r="BE93" s="80"/>
      <c r="BF93" s="80"/>
      <c r="BG93" s="80"/>
      <c r="BH93" s="80"/>
      <c r="BI93" s="80"/>
      <c r="BJ93" s="80"/>
      <c r="BK93" s="80"/>
      <c r="BL93" s="80"/>
      <c r="BM93" s="80"/>
      <c r="BN93" s="80"/>
      <c r="BO93" s="80"/>
      <c r="BP93" s="80"/>
      <c r="BQ93" s="80"/>
      <c r="BR93" s="80"/>
    </row>
    <row r="94" spans="1:70" x14ac:dyDescent="0.2">
      <c r="A94" s="168" t="s">
        <v>233</v>
      </c>
      <c r="B94" s="24"/>
      <c r="C94" s="141"/>
      <c r="D94" s="141"/>
      <c r="E94" s="141"/>
      <c r="F94" s="141"/>
      <c r="G94" s="141"/>
      <c r="H94" s="141"/>
      <c r="I94" s="141"/>
      <c r="J94" s="142">
        <v>485.06099999999998</v>
      </c>
      <c r="K94" s="142">
        <v>572.88</v>
      </c>
      <c r="L94" s="142">
        <v>9.7170000000000005</v>
      </c>
      <c r="M94" s="77">
        <f>SUM(AY94:BB94)</f>
        <v>13.892756585291583</v>
      </c>
      <c r="N94" s="76">
        <f>SUM(BC94:BF94)</f>
        <v>17.41296473045989</v>
      </c>
      <c r="O94" s="76">
        <f>SUM(BG94:BJ94)</f>
        <v>19.068270163142802</v>
      </c>
      <c r="P94" s="76">
        <f>SUM(BK94:BN94)</f>
        <v>20.880931687558704</v>
      </c>
      <c r="Q94" s="76">
        <f>SUM(BO94:BR94)</f>
        <v>22.865907835901471</v>
      </c>
      <c r="R94" s="48"/>
      <c r="S94" s="142"/>
      <c r="T94" s="142"/>
      <c r="U94" s="142"/>
      <c r="V94" s="142"/>
      <c r="W94" s="142"/>
      <c r="X94" s="142"/>
      <c r="Y94" s="142"/>
      <c r="Z94" s="142"/>
      <c r="AA94" s="142"/>
      <c r="AB94" s="142"/>
      <c r="AC94" s="142"/>
      <c r="AD94" s="142"/>
      <c r="AE94" s="141"/>
      <c r="AF94" s="141"/>
      <c r="AG94" s="141"/>
      <c r="AH94" s="141"/>
      <c r="AI94" s="141"/>
      <c r="AJ94" s="141"/>
      <c r="AK94" s="141"/>
      <c r="AL94" s="141"/>
      <c r="AM94" s="141"/>
      <c r="AN94" s="141"/>
      <c r="AO94" s="141"/>
      <c r="AP94" s="141"/>
      <c r="AQ94" s="142">
        <v>138.661</v>
      </c>
      <c r="AR94" s="142">
        <v>142.44499999999999</v>
      </c>
      <c r="AS94" s="142">
        <v>147.078</v>
      </c>
      <c r="AT94" s="142">
        <v>144.696</v>
      </c>
      <c r="AU94" s="142">
        <v>2.2309999999999999</v>
      </c>
      <c r="AV94" s="142">
        <v>2.4460000000000002</v>
      </c>
      <c r="AW94" s="142">
        <v>2.234</v>
      </c>
      <c r="AX94" s="142">
        <v>2.8069999999999999</v>
      </c>
      <c r="AY94" s="142">
        <v>2.6970000000000001</v>
      </c>
      <c r="AZ94" s="142">
        <v>2.968</v>
      </c>
      <c r="BA94" s="153">
        <v>4.1120000000000001</v>
      </c>
      <c r="BB94" s="77">
        <f>BB95*BB79</f>
        <v>4.1157565852915807</v>
      </c>
      <c r="BC94" s="76">
        <f>BC95*BC79</f>
        <v>4.2608025173831399</v>
      </c>
      <c r="BD94" s="76">
        <f>BD95*BD79</f>
        <v>4.1422613815155058</v>
      </c>
      <c r="BE94" s="76">
        <f>BE95*BE79</f>
        <v>4.5028935695071821</v>
      </c>
      <c r="BF94" s="76">
        <f>BF95*BF79</f>
        <v>4.5070072620540618</v>
      </c>
      <c r="BG94" s="76">
        <f>BG95*BG79</f>
        <v>4.6658415020585009</v>
      </c>
      <c r="BH94" s="76">
        <f>BH95*BH79</f>
        <v>4.5360316483570307</v>
      </c>
      <c r="BI94" s="76">
        <f>BI95*BI79</f>
        <v>4.9309461328572795</v>
      </c>
      <c r="BJ94" s="76">
        <f>BJ95*BJ79</f>
        <v>4.9354508798699914</v>
      </c>
      <c r="BK94" s="76">
        <f>BK95*BK79</f>
        <v>5.1093841673051941</v>
      </c>
      <c r="BL94" s="76">
        <f>BL95*BL79</f>
        <v>4.9672343726818911</v>
      </c>
      <c r="BM94" s="76">
        <f>BM95*BM79</f>
        <v>5.3996900859020798</v>
      </c>
      <c r="BN94" s="76">
        <f>BN95*BN79</f>
        <v>5.4046230616695405</v>
      </c>
      <c r="BO94" s="76">
        <f>BO95*BO79</f>
        <v>5.5950907371353029</v>
      </c>
      <c r="BP94" s="76">
        <f>BP95*BP79</f>
        <v>5.4394279462510529</v>
      </c>
      <c r="BQ94" s="76">
        <f>BQ95*BQ79</f>
        <v>5.9129936199270814</v>
      </c>
      <c r="BR94" s="76">
        <f>BR95*BR79</f>
        <v>5.9183955325880326</v>
      </c>
    </row>
    <row r="95" spans="1:70" x14ac:dyDescent="0.2">
      <c r="A95" s="161" t="s">
        <v>6</v>
      </c>
      <c r="B95" s="12"/>
      <c r="C95" s="163"/>
      <c r="D95" s="163"/>
      <c r="E95" s="163"/>
      <c r="F95" s="163"/>
      <c r="G95" s="163"/>
      <c r="H95" s="163"/>
      <c r="I95" s="163"/>
      <c r="J95" s="163">
        <f>J94/J79</f>
        <v>0.8059178499154307</v>
      </c>
      <c r="K95" s="163">
        <f>K94/K79</f>
        <v>0.81004267401183794</v>
      </c>
      <c r="L95" s="173">
        <f>L94/L79</f>
        <v>6.1968292029641721E-2</v>
      </c>
      <c r="M95" s="174">
        <f>M94/M79</f>
        <v>8.3254258880699372E-2</v>
      </c>
      <c r="N95" s="163">
        <f>N94/N79</f>
        <v>9.5291064145346688E-2</v>
      </c>
      <c r="O95" s="163">
        <f>O94/O79</f>
        <v>9.5291064145346674E-2</v>
      </c>
      <c r="P95" s="163">
        <f>P94/P79</f>
        <v>9.5291064145346674E-2</v>
      </c>
      <c r="Q95" s="163">
        <f>Q94/Q79</f>
        <v>9.5291064145346688E-2</v>
      </c>
      <c r="R95" s="300"/>
      <c r="S95" s="91"/>
      <c r="T95" s="91"/>
      <c r="U95" s="91"/>
      <c r="V95" s="91"/>
      <c r="W95" s="91"/>
      <c r="X95" s="91"/>
      <c r="Y95" s="91"/>
      <c r="Z95" s="91"/>
      <c r="AA95" s="91"/>
      <c r="AB95" s="91"/>
      <c r="AC95" s="91"/>
      <c r="AD95" s="91"/>
      <c r="AE95" s="91"/>
      <c r="AF95" s="91"/>
      <c r="AG95" s="91"/>
      <c r="AH95" s="91"/>
      <c r="AI95" s="91"/>
      <c r="AJ95" s="91"/>
      <c r="AK95" s="91"/>
      <c r="AL95" s="91"/>
      <c r="AM95" s="91"/>
      <c r="AN95" s="91"/>
      <c r="AO95" s="91"/>
      <c r="AP95" s="91"/>
      <c r="AQ95" s="91">
        <f>AQ94/AQ79</f>
        <v>0.80741258334061194</v>
      </c>
      <c r="AR95" s="91">
        <f>AR94/AR79</f>
        <v>0.81192074873747444</v>
      </c>
      <c r="AS95" s="91">
        <f>AS94/AS79</f>
        <v>0.812119003445534</v>
      </c>
      <c r="AT95" s="91">
        <f>AT94/AT79</f>
        <v>0.80861955270422814</v>
      </c>
      <c r="AU95" s="91">
        <f>AU94/AU79</f>
        <v>5.8375634517766492E-2</v>
      </c>
      <c r="AV95" s="91">
        <f>AV94/AV79</f>
        <v>6.1551624348876427E-2</v>
      </c>
      <c r="AW95" s="91">
        <f>AW94/AW79</f>
        <v>5.6691874333857792E-2</v>
      </c>
      <c r="AX95" s="91">
        <f>AX94/AX79</f>
        <v>7.1167790679985798E-2</v>
      </c>
      <c r="AY95" s="91">
        <f>AY94/AY79</f>
        <v>6.6051136363636367E-2</v>
      </c>
      <c r="AZ95" s="91">
        <f>AZ94/AZ79</f>
        <v>7.4768238613462323E-2</v>
      </c>
      <c r="BA95" s="93">
        <f>BA94/BA79</f>
        <v>9.5291064145346688E-2</v>
      </c>
      <c r="BB95" s="248">
        <f>BA95</f>
        <v>9.5291064145346688E-2</v>
      </c>
      <c r="BC95" s="215">
        <f>BB95</f>
        <v>9.5291064145346688E-2</v>
      </c>
      <c r="BD95" s="215">
        <f>BC95</f>
        <v>9.5291064145346688E-2</v>
      </c>
      <c r="BE95" s="215">
        <f>BD95</f>
        <v>9.5291064145346688E-2</v>
      </c>
      <c r="BF95" s="215">
        <f>BE95</f>
        <v>9.5291064145346688E-2</v>
      </c>
      <c r="BG95" s="215">
        <f>BF95</f>
        <v>9.5291064145346688E-2</v>
      </c>
      <c r="BH95" s="215">
        <f>BG95</f>
        <v>9.5291064145346688E-2</v>
      </c>
      <c r="BI95" s="215">
        <f>BH95</f>
        <v>9.5291064145346688E-2</v>
      </c>
      <c r="BJ95" s="215">
        <f>BI95</f>
        <v>9.5291064145346688E-2</v>
      </c>
      <c r="BK95" s="215">
        <f>BJ95</f>
        <v>9.5291064145346688E-2</v>
      </c>
      <c r="BL95" s="215">
        <f>BK95</f>
        <v>9.5291064145346688E-2</v>
      </c>
      <c r="BM95" s="215">
        <f>BL95</f>
        <v>9.5291064145346688E-2</v>
      </c>
      <c r="BN95" s="215">
        <f>BM95</f>
        <v>9.5291064145346688E-2</v>
      </c>
      <c r="BO95" s="215">
        <f>BN95</f>
        <v>9.5291064145346688E-2</v>
      </c>
      <c r="BP95" s="215">
        <f>BO95</f>
        <v>9.5291064145346688E-2</v>
      </c>
      <c r="BQ95" s="215">
        <f>BP95</f>
        <v>9.5291064145346688E-2</v>
      </c>
      <c r="BR95" s="215">
        <f>BQ95</f>
        <v>9.5291064145346688E-2</v>
      </c>
    </row>
    <row r="96" spans="1:70" x14ac:dyDescent="0.2">
      <c r="A96" s="168" t="s">
        <v>234</v>
      </c>
      <c r="B96" s="24"/>
      <c r="C96" s="141"/>
      <c r="D96" s="142"/>
      <c r="E96" s="142"/>
      <c r="F96" s="142"/>
      <c r="G96" s="142"/>
      <c r="H96" s="142"/>
      <c r="I96" s="142"/>
      <c r="J96" s="142">
        <v>9.8889999999999993</v>
      </c>
      <c r="K96" s="142">
        <v>7.7169999999999996</v>
      </c>
      <c r="L96" s="142">
        <v>12.601000000000001</v>
      </c>
      <c r="M96" s="77">
        <f>SUM(AY96:BB96)</f>
        <v>18.746267365478687</v>
      </c>
      <c r="N96" s="76">
        <f>SUM(BC96:BF96)</f>
        <v>26.35605687204708</v>
      </c>
      <c r="O96" s="76">
        <f>SUM(BG96:BJ96)</f>
        <v>37.528372803971436</v>
      </c>
      <c r="P96" s="76">
        <f>SUM(BK96:BN96)</f>
        <v>53.436626432824745</v>
      </c>
      <c r="Q96" s="76">
        <f>SUM(BO96:BR96)</f>
        <v>76.088378769758009</v>
      </c>
      <c r="R96" s="48"/>
      <c r="S96" s="142"/>
      <c r="T96" s="142"/>
      <c r="U96" s="142"/>
      <c r="V96" s="142"/>
      <c r="W96" s="142"/>
      <c r="X96" s="142"/>
      <c r="Y96" s="142"/>
      <c r="Z96" s="142"/>
      <c r="AA96" s="142"/>
      <c r="AB96" s="142"/>
      <c r="AC96" s="142"/>
      <c r="AD96" s="142"/>
      <c r="AE96" s="142"/>
      <c r="AF96" s="142"/>
      <c r="AG96" s="142"/>
      <c r="AH96" s="142"/>
      <c r="AI96" s="142"/>
      <c r="AJ96" s="142"/>
      <c r="AK96" s="142"/>
      <c r="AL96" s="142"/>
      <c r="AM96" s="142"/>
      <c r="AN96" s="142"/>
      <c r="AO96" s="142"/>
      <c r="AP96" s="142"/>
      <c r="AQ96" s="142">
        <v>1.419</v>
      </c>
      <c r="AR96" s="142">
        <v>2.2120000000000002</v>
      </c>
      <c r="AS96" s="142">
        <v>1.887</v>
      </c>
      <c r="AT96" s="142">
        <v>2.1989999999999998</v>
      </c>
      <c r="AU96" s="142">
        <v>2.5139999999999998</v>
      </c>
      <c r="AV96" s="142">
        <v>3.4260000000000002</v>
      </c>
      <c r="AW96" s="142">
        <v>3.8460000000000001</v>
      </c>
      <c r="AX96" s="142">
        <v>2.8149999999999999</v>
      </c>
      <c r="AY96" s="142">
        <v>4.33</v>
      </c>
      <c r="AZ96" s="142">
        <v>4.5970000000000004</v>
      </c>
      <c r="BA96" s="153">
        <v>5.9569999999999999</v>
      </c>
      <c r="BB96" s="77">
        <f>BB97*BB82</f>
        <v>3.8622673654786861</v>
      </c>
      <c r="BC96" s="76">
        <f>BC97*BC82</f>
        <v>5.8512642907057995</v>
      </c>
      <c r="BD96" s="76">
        <f>BD97*BD82</f>
        <v>6.5231439552760309</v>
      </c>
      <c r="BE96" s="76">
        <f>BE97*BE82</f>
        <v>8.48216855345912</v>
      </c>
      <c r="BF96" s="76">
        <f>BF97*BF82</f>
        <v>5.4994800726061293</v>
      </c>
      <c r="BG96" s="76">
        <f>BG97*BG82</f>
        <v>8.3316115434955549</v>
      </c>
      <c r="BH96" s="76">
        <f>BH97*BH82</f>
        <v>9.2883005753112791</v>
      </c>
      <c r="BI96" s="76">
        <f>BI97*BI82</f>
        <v>12.077754468573238</v>
      </c>
      <c r="BJ96" s="76">
        <f>BJ97*BJ82</f>
        <v>7.8307062165913699</v>
      </c>
      <c r="BK96" s="76">
        <f>BK97*BK82</f>
        <v>11.863376436776061</v>
      </c>
      <c r="BL96" s="76">
        <f>BL97*BL82</f>
        <v>13.225605347487258</v>
      </c>
      <c r="BM96" s="76">
        <f>BM97*BM82</f>
        <v>17.197506991729441</v>
      </c>
      <c r="BN96" s="76">
        <f>BN97*BN82</f>
        <v>11.150137656831989</v>
      </c>
      <c r="BO96" s="76">
        <f>BO97*BO82</f>
        <v>16.892254247082391</v>
      </c>
      <c r="BP96" s="76">
        <f>BP97*BP82</f>
        <v>18.831931136296323</v>
      </c>
      <c r="BQ96" s="76">
        <f>BQ97*BQ82</f>
        <v>24.487519389481424</v>
      </c>
      <c r="BR96" s="76">
        <f>BR97*BR82</f>
        <v>15.87667399689788</v>
      </c>
    </row>
    <row r="97" spans="1:70" x14ac:dyDescent="0.2">
      <c r="A97" s="161" t="s">
        <v>6</v>
      </c>
      <c r="B97" s="12"/>
      <c r="C97" s="163"/>
      <c r="D97" s="163"/>
      <c r="E97" s="163"/>
      <c r="F97" s="163"/>
      <c r="G97" s="163"/>
      <c r="H97" s="163"/>
      <c r="I97" s="163"/>
      <c r="J97" s="163">
        <f>J96/J82</f>
        <v>0.65948649549849947</v>
      </c>
      <c r="K97" s="163">
        <f>K96/K82</f>
        <v>0.5820636596771761</v>
      </c>
      <c r="L97" s="173">
        <f>L96/L82</f>
        <v>0.60070553463316967</v>
      </c>
      <c r="M97" s="174">
        <f>M96/M82</f>
        <v>0.59217808712245701</v>
      </c>
      <c r="N97" s="163">
        <f>N96/N82</f>
        <v>0.58470749901845298</v>
      </c>
      <c r="O97" s="163">
        <f>O96/O82</f>
        <v>0.58470749901845287</v>
      </c>
      <c r="P97" s="163">
        <f>P96/P82</f>
        <v>0.58470749901845298</v>
      </c>
      <c r="Q97" s="163">
        <f>Q96/Q82</f>
        <v>0.58470749901845298</v>
      </c>
      <c r="R97" s="300"/>
      <c r="S97" s="91"/>
      <c r="T97" s="91"/>
      <c r="U97" s="91"/>
      <c r="V97" s="91"/>
      <c r="W97" s="91"/>
      <c r="X97" s="91"/>
      <c r="Y97" s="91"/>
      <c r="Z97" s="91"/>
      <c r="AA97" s="91"/>
      <c r="AB97" s="91"/>
      <c r="AC97" s="91"/>
      <c r="AD97" s="91"/>
      <c r="AE97" s="91"/>
      <c r="AF97" s="91"/>
      <c r="AG97" s="91"/>
      <c r="AH97" s="91"/>
      <c r="AI97" s="91"/>
      <c r="AJ97" s="91"/>
      <c r="AK97" s="91"/>
      <c r="AL97" s="91"/>
      <c r="AM97" s="91"/>
      <c r="AN97" s="91"/>
      <c r="AO97" s="91"/>
      <c r="AP97" s="91"/>
      <c r="AQ97" s="91">
        <f>AQ96/AQ82</f>
        <v>0.61722488038277512</v>
      </c>
      <c r="AR97" s="91">
        <f>AR96/AR82</f>
        <v>0.5983229645658642</v>
      </c>
      <c r="AS97" s="91">
        <f>AS96/AS82</f>
        <v>0.62670209232813012</v>
      </c>
      <c r="AT97" s="91">
        <f>AT96/AT82</f>
        <v>0.51729004940014112</v>
      </c>
      <c r="AU97" s="91">
        <f>AU96/AU82</f>
        <v>0.56890699253224708</v>
      </c>
      <c r="AV97" s="91">
        <f>AV96/AV82</f>
        <v>0.71899265477439678</v>
      </c>
      <c r="AW97" s="91">
        <f>AW96/AW82</f>
        <v>0.53752620545073371</v>
      </c>
      <c r="AX97" s="91">
        <f>AX96/AX82</f>
        <v>0.60681181289070918</v>
      </c>
      <c r="AY97" s="91">
        <f>AY96/AY82</f>
        <v>0.61610700056915202</v>
      </c>
      <c r="AZ97" s="91">
        <f>AZ96/AZ82</f>
        <v>0.58672622846202938</v>
      </c>
      <c r="BA97" s="93">
        <f>BA96/BA82</f>
        <v>0.58470749901845298</v>
      </c>
      <c r="BB97" s="248">
        <f>BA97</f>
        <v>0.58470749901845298</v>
      </c>
      <c r="BC97" s="215">
        <f>BB97</f>
        <v>0.58470749901845298</v>
      </c>
      <c r="BD97" s="215">
        <f>BC97</f>
        <v>0.58470749901845298</v>
      </c>
      <c r="BE97" s="215">
        <f>BD97</f>
        <v>0.58470749901845298</v>
      </c>
      <c r="BF97" s="215">
        <f>BE97</f>
        <v>0.58470749901845298</v>
      </c>
      <c r="BG97" s="215">
        <f>BF97</f>
        <v>0.58470749901845298</v>
      </c>
      <c r="BH97" s="215">
        <f>BG97</f>
        <v>0.58470749901845298</v>
      </c>
      <c r="BI97" s="215">
        <f>BH97</f>
        <v>0.58470749901845298</v>
      </c>
      <c r="BJ97" s="215">
        <f>BI97</f>
        <v>0.58470749901845298</v>
      </c>
      <c r="BK97" s="215">
        <f>BJ97</f>
        <v>0.58470749901845298</v>
      </c>
      <c r="BL97" s="215">
        <f>BK97</f>
        <v>0.58470749901845298</v>
      </c>
      <c r="BM97" s="215">
        <f>BL97</f>
        <v>0.58470749901845298</v>
      </c>
      <c r="BN97" s="215">
        <f>BM97</f>
        <v>0.58470749901845298</v>
      </c>
      <c r="BO97" s="215">
        <f>BN97</f>
        <v>0.58470749901845298</v>
      </c>
      <c r="BP97" s="215">
        <f>BO97</f>
        <v>0.58470749901845298</v>
      </c>
      <c r="BQ97" s="215">
        <f>BP97</f>
        <v>0.58470749901845298</v>
      </c>
      <c r="BR97" s="215">
        <f>BQ97</f>
        <v>0.58470749901845298</v>
      </c>
    </row>
    <row r="98" spans="1:70" x14ac:dyDescent="0.2">
      <c r="A98" s="168" t="s">
        <v>235</v>
      </c>
      <c r="B98" s="24"/>
      <c r="C98" s="141"/>
      <c r="D98" s="142"/>
      <c r="E98" s="142"/>
      <c r="F98" s="142"/>
      <c r="G98" s="142"/>
      <c r="H98" s="142"/>
      <c r="I98" s="142"/>
      <c r="J98" s="142">
        <v>3.7559999999999998</v>
      </c>
      <c r="K98" s="142">
        <v>3.2530000000000001</v>
      </c>
      <c r="L98" s="142">
        <v>4.1100000000000003</v>
      </c>
      <c r="M98" s="77">
        <f>SUM(AY98:BB98)</f>
        <v>4.0427601513240861</v>
      </c>
      <c r="N98" s="76">
        <f>SUM(BC98:BF98)</f>
        <v>5.9368081171791642</v>
      </c>
      <c r="O98" s="76">
        <f>SUM(BG98:BJ98)</f>
        <v>8.9508799305162796</v>
      </c>
      <c r="P98" s="76">
        <f>SUM(BK98:BN98)</f>
        <v>13.495172818316851</v>
      </c>
      <c r="Q98" s="76">
        <f>SUM(BO98:BR98)</f>
        <v>20.346568249154636</v>
      </c>
      <c r="R98" s="48"/>
      <c r="S98" s="142"/>
      <c r="T98" s="142"/>
      <c r="U98" s="142"/>
      <c r="V98" s="142"/>
      <c r="W98" s="142"/>
      <c r="X98" s="142"/>
      <c r="Y98" s="142"/>
      <c r="Z98" s="142"/>
      <c r="AA98" s="142"/>
      <c r="AB98" s="142"/>
      <c r="AC98" s="142"/>
      <c r="AD98" s="142"/>
      <c r="AE98" s="142"/>
      <c r="AF98" s="142"/>
      <c r="AG98" s="142"/>
      <c r="AH98" s="142"/>
      <c r="AI98" s="142"/>
      <c r="AJ98" s="142"/>
      <c r="AK98" s="142"/>
      <c r="AL98" s="142"/>
      <c r="AM98" s="142"/>
      <c r="AN98" s="142"/>
      <c r="AO98" s="142"/>
      <c r="AP98" s="142"/>
      <c r="AQ98" s="142">
        <v>0.71899999999999997</v>
      </c>
      <c r="AR98" s="142">
        <v>0.81</v>
      </c>
      <c r="AS98" s="142">
        <v>0.873</v>
      </c>
      <c r="AT98" s="142">
        <v>0.85099999999999998</v>
      </c>
      <c r="AU98" s="142">
        <v>1.216</v>
      </c>
      <c r="AV98" s="142">
        <v>0.98</v>
      </c>
      <c r="AW98" s="142">
        <v>0.94899999999999995</v>
      </c>
      <c r="AX98" s="142">
        <v>0.96399999999999997</v>
      </c>
      <c r="AY98" s="142">
        <v>0.95799999999999996</v>
      </c>
      <c r="AZ98" s="142">
        <v>0.97</v>
      </c>
      <c r="BA98" s="153">
        <v>1.024</v>
      </c>
      <c r="BB98" s="77">
        <f>BB99*BB85</f>
        <v>1.0907601513240859</v>
      </c>
      <c r="BC98" s="76">
        <f>BC99*BC85</f>
        <v>1.0960544766708702</v>
      </c>
      <c r="BD98" s="76">
        <f>BD99*BD85</f>
        <v>1.6523460277427493</v>
      </c>
      <c r="BE98" s="76">
        <f>BE99*BE85</f>
        <v>1.5438769230769234</v>
      </c>
      <c r="BF98" s="76">
        <f>BF99*BF85</f>
        <v>1.6445306896886216</v>
      </c>
      <c r="BG98" s="76">
        <f>BG99*BG85</f>
        <v>1.6525129032883887</v>
      </c>
      <c r="BH98" s="76">
        <f>BH99*BH85</f>
        <v>2.4912293956736837</v>
      </c>
      <c r="BI98" s="76">
        <f>BI99*BI85</f>
        <v>2.327691360946746</v>
      </c>
      <c r="BJ98" s="76">
        <f>BJ99*BJ85</f>
        <v>2.4794462706074603</v>
      </c>
      <c r="BK98" s="76">
        <f>BK99*BK85</f>
        <v>2.4914809926501857</v>
      </c>
      <c r="BL98" s="76">
        <f>BL99*BL85</f>
        <v>3.7560073965541694</v>
      </c>
      <c r="BM98" s="76">
        <f>BM99*BM85</f>
        <v>3.5094423595812474</v>
      </c>
      <c r="BN98" s="76">
        <f>BN99*BN85</f>
        <v>3.7382420695312484</v>
      </c>
      <c r="BO98" s="76">
        <f>BO99*BO85</f>
        <v>3.75638672738028</v>
      </c>
      <c r="BP98" s="76">
        <f>BP99*BP85</f>
        <v>5.6629034594201322</v>
      </c>
      <c r="BQ98" s="76">
        <f>BQ99*BQ85</f>
        <v>5.291159249830188</v>
      </c>
      <c r="BR98" s="76">
        <f>BR99*BR85</f>
        <v>5.6361188125240353</v>
      </c>
    </row>
    <row r="99" spans="1:70" x14ac:dyDescent="0.2">
      <c r="A99" s="164" t="s">
        <v>6</v>
      </c>
      <c r="B99" s="30"/>
      <c r="C99" s="165"/>
      <c r="D99" s="165"/>
      <c r="E99" s="165"/>
      <c r="F99" s="165"/>
      <c r="G99" s="165"/>
      <c r="H99" s="165"/>
      <c r="I99" s="165"/>
      <c r="J99" s="165">
        <f>J98/J85</f>
        <v>0.12804254448762528</v>
      </c>
      <c r="K99" s="165">
        <f>K98/K85</f>
        <v>0.10264743933608912</v>
      </c>
      <c r="L99" s="185">
        <f>L98/L85</f>
        <v>0.1254808572998718</v>
      </c>
      <c r="M99" s="186">
        <f>M98/M85</f>
        <v>8.7932968223215197E-2</v>
      </c>
      <c r="N99" s="165">
        <f>N98/N85</f>
        <v>8.5647373703579804E-2</v>
      </c>
      <c r="O99" s="165">
        <f>O98/O85</f>
        <v>8.5647373703579818E-2</v>
      </c>
      <c r="P99" s="165">
        <f>P98/P85</f>
        <v>8.5647373703579804E-2</v>
      </c>
      <c r="Q99" s="165">
        <f>Q98/Q85</f>
        <v>8.5647373703579804E-2</v>
      </c>
      <c r="R99" s="301"/>
      <c r="S99" s="122"/>
      <c r="T99" s="122"/>
      <c r="U99" s="122"/>
      <c r="V99" s="122"/>
      <c r="W99" s="122"/>
      <c r="X99" s="122"/>
      <c r="Y99" s="122"/>
      <c r="Z99" s="122"/>
      <c r="AA99" s="122"/>
      <c r="AB99" s="122"/>
      <c r="AC99" s="122"/>
      <c r="AD99" s="122"/>
      <c r="AE99" s="122"/>
      <c r="AF99" s="122"/>
      <c r="AG99" s="122"/>
      <c r="AH99" s="122"/>
      <c r="AI99" s="122"/>
      <c r="AJ99" s="122"/>
      <c r="AK99" s="122"/>
      <c r="AL99" s="122"/>
      <c r="AM99" s="122"/>
      <c r="AN99" s="122"/>
      <c r="AO99" s="122"/>
      <c r="AP99" s="122"/>
      <c r="AQ99" s="122">
        <f>AQ98/AQ85</f>
        <v>8.7395162270572493E-2</v>
      </c>
      <c r="AR99" s="122">
        <f>AR98/AR85</f>
        <v>0.10141479904845374</v>
      </c>
      <c r="AS99" s="122">
        <f>AS98/AS85</f>
        <v>0.11257253384912959</v>
      </c>
      <c r="AT99" s="122">
        <f>AT98/AT85</f>
        <v>0.11021888356430513</v>
      </c>
      <c r="AU99" s="122">
        <f>AU98/AU85</f>
        <v>0.14925739536025531</v>
      </c>
      <c r="AV99" s="122">
        <f>AV98/AV85</f>
        <v>0.11907654921020655</v>
      </c>
      <c r="AW99" s="122">
        <f>AW98/AW85</f>
        <v>0.11967213114754098</v>
      </c>
      <c r="AX99" s="122">
        <f>AX98/AX85</f>
        <v>0.11412335740499586</v>
      </c>
      <c r="AY99" s="122">
        <f>AY98/AY85</f>
        <v>0.11286522148916117</v>
      </c>
      <c r="AZ99" s="122">
        <f>AZ98/AZ85</f>
        <v>7.5804939043451078E-2</v>
      </c>
      <c r="BA99" s="123">
        <f>BA98/BA85</f>
        <v>8.5647373703579804E-2</v>
      </c>
      <c r="BB99" s="249">
        <f>BA99</f>
        <v>8.5647373703579804E-2</v>
      </c>
      <c r="BC99" s="220">
        <f>BB99</f>
        <v>8.5647373703579804E-2</v>
      </c>
      <c r="BD99" s="220">
        <f>BC99</f>
        <v>8.5647373703579804E-2</v>
      </c>
      <c r="BE99" s="220">
        <f>BD99</f>
        <v>8.5647373703579804E-2</v>
      </c>
      <c r="BF99" s="220">
        <f>BE99</f>
        <v>8.5647373703579804E-2</v>
      </c>
      <c r="BG99" s="220">
        <f>BF99</f>
        <v>8.5647373703579804E-2</v>
      </c>
      <c r="BH99" s="220">
        <f>BG99</f>
        <v>8.5647373703579804E-2</v>
      </c>
      <c r="BI99" s="220">
        <f>BH99</f>
        <v>8.5647373703579804E-2</v>
      </c>
      <c r="BJ99" s="220">
        <f>BI99</f>
        <v>8.5647373703579804E-2</v>
      </c>
      <c r="BK99" s="220">
        <f>BJ99</f>
        <v>8.5647373703579804E-2</v>
      </c>
      <c r="BL99" s="220">
        <f>BK99</f>
        <v>8.5647373703579804E-2</v>
      </c>
      <c r="BM99" s="220">
        <f>BL99</f>
        <v>8.5647373703579804E-2</v>
      </c>
      <c r="BN99" s="220">
        <f>BM99</f>
        <v>8.5647373703579804E-2</v>
      </c>
      <c r="BO99" s="220">
        <f>BN99</f>
        <v>8.5647373703579804E-2</v>
      </c>
      <c r="BP99" s="220">
        <f>BO99</f>
        <v>8.5647373703579804E-2</v>
      </c>
      <c r="BQ99" s="220">
        <f>BP99</f>
        <v>8.5647373703579804E-2</v>
      </c>
      <c r="BR99" s="220">
        <f>BQ99</f>
        <v>8.5647373703579804E-2</v>
      </c>
    </row>
    <row r="100" spans="1:70" x14ac:dyDescent="0.2">
      <c r="A100" s="189" t="s">
        <v>237</v>
      </c>
      <c r="B100" s="42"/>
      <c r="C100" s="144">
        <f>IS!C8</f>
        <v>501.81</v>
      </c>
      <c r="D100" s="144">
        <f>IS!D8</f>
        <v>463.04500000000002</v>
      </c>
      <c r="E100" s="144">
        <f>IS!E8</f>
        <v>419.60599999999999</v>
      </c>
      <c r="F100" s="144">
        <f>IS!F8</f>
        <v>436.05900000000003</v>
      </c>
      <c r="G100" s="144">
        <f>IS!G8</f>
        <v>439.79399999999998</v>
      </c>
      <c r="H100" s="145">
        <v>438.31799999999998</v>
      </c>
      <c r="I100" s="145">
        <v>463.38</v>
      </c>
      <c r="J100" s="145">
        <v>498.70600000000002</v>
      </c>
      <c r="K100" s="145">
        <v>583.85</v>
      </c>
      <c r="L100" s="145">
        <v>26.428000000000001</v>
      </c>
      <c r="M100" s="86">
        <f>SUM(AY100:BB100)</f>
        <v>36.681784102094355</v>
      </c>
      <c r="N100" s="72">
        <f>SUM(BC100:BF100)</f>
        <v>49.705829719686136</v>
      </c>
      <c r="O100" s="72">
        <f>SUM(BG100:BJ100)</f>
        <v>65.547522897630529</v>
      </c>
      <c r="P100" s="72">
        <f>SUM(BK100:BN100)</f>
        <v>87.812730938700298</v>
      </c>
      <c r="Q100" s="72">
        <f>SUM(BO100:BR100)</f>
        <v>119.30085485481412</v>
      </c>
      <c r="R100" s="48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45"/>
      <c r="AE100" s="145"/>
      <c r="AF100" s="145"/>
      <c r="AG100" s="145"/>
      <c r="AH100" s="145"/>
      <c r="AI100" s="145">
        <v>114.946</v>
      </c>
      <c r="AJ100" s="145">
        <v>114.976</v>
      </c>
      <c r="AK100" s="145">
        <v>117.396</v>
      </c>
      <c r="AL100" s="207">
        <f>I100-AK100-AJ100-AI100</f>
        <v>116.06199999999998</v>
      </c>
      <c r="AM100" s="145">
        <v>122.657</v>
      </c>
      <c r="AN100" s="145">
        <v>123.498</v>
      </c>
      <c r="AO100" s="145">
        <v>127.211</v>
      </c>
      <c r="AP100" s="207">
        <f>J100-AO100-AN100-AM100</f>
        <v>125.34000000000002</v>
      </c>
      <c r="AQ100" s="145">
        <v>140.79900000000001</v>
      </c>
      <c r="AR100" s="145">
        <v>145.46700000000001</v>
      </c>
      <c r="AS100" s="145">
        <v>149.83799999999999</v>
      </c>
      <c r="AT100" s="145">
        <v>147.74600000000001</v>
      </c>
      <c r="AU100" s="145">
        <v>5.9610000000000003</v>
      </c>
      <c r="AV100" s="145">
        <v>6.8520000000000003</v>
      </c>
      <c r="AW100" s="145">
        <v>7.0289999999999999</v>
      </c>
      <c r="AX100" s="145">
        <v>6.5860000000000003</v>
      </c>
      <c r="AY100" s="145">
        <v>7.9850000000000003</v>
      </c>
      <c r="AZ100" s="145">
        <v>8.5350000000000001</v>
      </c>
      <c r="BA100" s="155">
        <v>11.093</v>
      </c>
      <c r="BB100" s="86">
        <f>SUM(BB98,BB96,BB94)</f>
        <v>9.0687841020943516</v>
      </c>
      <c r="BC100" s="72">
        <f>SUM(BC98,BC96,BC94)</f>
        <v>11.208121284759809</v>
      </c>
      <c r="BD100" s="72">
        <f>SUM(BD98,BD96,BD94)</f>
        <v>12.317751364534285</v>
      </c>
      <c r="BE100" s="72">
        <f>SUM(BE98,BE96,BE94)</f>
        <v>14.528939046043227</v>
      </c>
      <c r="BF100" s="72">
        <f>SUM(BF98,BF96,BF94)</f>
        <v>11.651018024348812</v>
      </c>
      <c r="BG100" s="72">
        <f>SUM(BG98,BG96,BG94)</f>
        <v>14.649965948842446</v>
      </c>
      <c r="BH100" s="72">
        <f>SUM(BH98,BH96,BH94)</f>
        <v>16.315561619341995</v>
      </c>
      <c r="BI100" s="72">
        <f>SUM(BI98,BI96,BI94)</f>
        <v>19.336391962377263</v>
      </c>
      <c r="BJ100" s="72">
        <f>SUM(BJ98,BJ96,BJ94)</f>
        <v>15.245603367068822</v>
      </c>
      <c r="BK100" s="72">
        <f>SUM(BK98,BK96,BK94)</f>
        <v>19.464241596731441</v>
      </c>
      <c r="BL100" s="72">
        <f>SUM(BL98,BL96,BL94)</f>
        <v>21.948847116723318</v>
      </c>
      <c r="BM100" s="72">
        <f>SUM(BM98,BM96,BM94)</f>
        <v>26.106639437212767</v>
      </c>
      <c r="BN100" s="72">
        <f>SUM(BN98,BN96,BN94)</f>
        <v>20.293002788032776</v>
      </c>
      <c r="BO100" s="72">
        <f>SUM(BO98,BO96,BO94)</f>
        <v>26.243731711597974</v>
      </c>
      <c r="BP100" s="72">
        <f>SUM(BP98,BP96,BP94)</f>
        <v>29.934262541967506</v>
      </c>
      <c r="BQ100" s="72">
        <f>SUM(BQ98,BQ96,BQ94)</f>
        <v>35.691672259238693</v>
      </c>
      <c r="BR100" s="72">
        <f>SUM(BR98,BR96,BR94)</f>
        <v>27.43118834200995</v>
      </c>
    </row>
    <row r="101" spans="1:70" x14ac:dyDescent="0.2">
      <c r="A101" s="161" t="s">
        <v>6</v>
      </c>
      <c r="B101" s="12"/>
      <c r="C101" s="163">
        <f>C100/C88</f>
        <v>0.75152758641346673</v>
      </c>
      <c r="D101" s="163">
        <f>D100/D88</f>
        <v>0.76461797585825397</v>
      </c>
      <c r="E101" s="163">
        <f>E100/E88</f>
        <v>0.77124524181942167</v>
      </c>
      <c r="F101" s="163">
        <f>F100/F88</f>
        <v>0.74605550860071934</v>
      </c>
      <c r="G101" s="163">
        <f>G100/G88</f>
        <v>0.75508375054082455</v>
      </c>
      <c r="H101" s="163">
        <f>H100/H88</f>
        <v>0.74843378349073753</v>
      </c>
      <c r="I101" s="163">
        <f>I100/I88</f>
        <v>0.75644614945108757</v>
      </c>
      <c r="J101" s="163">
        <f>J100/J88</f>
        <v>0.7717481967740788</v>
      </c>
      <c r="K101" s="163">
        <f>K100/K88</f>
        <v>0.7762197691748286</v>
      </c>
      <c r="L101" s="173">
        <f>L100/L88</f>
        <v>0.12552662952355167</v>
      </c>
      <c r="M101" s="174">
        <f>M100/M88</f>
        <v>0.15002568002773276</v>
      </c>
      <c r="N101" s="163">
        <f>N100/N88</f>
        <v>0.16728816369807847</v>
      </c>
      <c r="O101" s="163">
        <f>O100/O88</f>
        <v>0.17773323688718348</v>
      </c>
      <c r="P101" s="163">
        <f>P100/P88</f>
        <v>0.18759998736768574</v>
      </c>
      <c r="Q101" s="163">
        <f>Q100/Q88</f>
        <v>0.19633110327927442</v>
      </c>
      <c r="R101" s="300"/>
      <c r="S101" s="91"/>
      <c r="T101" s="91"/>
      <c r="U101" s="91"/>
      <c r="V101" s="91"/>
      <c r="W101" s="91"/>
      <c r="X101" s="91"/>
      <c r="Y101" s="91"/>
      <c r="Z101" s="91"/>
      <c r="AA101" s="91"/>
      <c r="AB101" s="91"/>
      <c r="AC101" s="91"/>
      <c r="AD101" s="91"/>
      <c r="AE101" s="91"/>
      <c r="AF101" s="91"/>
      <c r="AG101" s="91"/>
      <c r="AH101" s="91"/>
      <c r="AI101" s="91">
        <f>AI100/AI88</f>
        <v>0.75410029653344535</v>
      </c>
      <c r="AJ101" s="91">
        <f>AJ100/AJ88</f>
        <v>0.7589375297037545</v>
      </c>
      <c r="AK101" s="91">
        <f>AK100/AK88</f>
        <v>0.75855340100670055</v>
      </c>
      <c r="AL101" s="91">
        <f>AL100/AL88</f>
        <v>0.75413905133203363</v>
      </c>
      <c r="AM101" s="91">
        <f>AM100/AM88</f>
        <v>0.77832490434098389</v>
      </c>
      <c r="AN101" s="91">
        <f>AN100/AN88</f>
        <v>0.77313817799368967</v>
      </c>
      <c r="AO101" s="91">
        <f>AO100/AO88</f>
        <v>0.76652064666574271</v>
      </c>
      <c r="AP101" s="91">
        <f>AP100/AP88</f>
        <v>0.76942909760589329</v>
      </c>
      <c r="AQ101" s="91">
        <f>AQ100/AQ88</f>
        <v>0.77251304448016855</v>
      </c>
      <c r="AR101" s="91">
        <f>AR100/AR88</f>
        <v>0.77737460320853335</v>
      </c>
      <c r="AS101" s="91">
        <f>AS100/AS88</f>
        <v>0.78093500807838634</v>
      </c>
      <c r="AT101" s="91">
        <f>AT100/AT88</f>
        <v>0.77388771907770004</v>
      </c>
      <c r="AU101" s="91">
        <f>AU100/AU88</f>
        <v>0.11737948960302458</v>
      </c>
      <c r="AV101" s="91">
        <f>AV100/AV88</f>
        <v>0.12993514620548413</v>
      </c>
      <c r="AW101" s="91">
        <f>AW100/AW88</f>
        <v>0.12899377878915785</v>
      </c>
      <c r="AX101" s="91">
        <f>AX100/AX88</f>
        <v>0.12538074931465124</v>
      </c>
      <c r="AY101" s="91">
        <f>AY100/AY88</f>
        <v>0.14170866756584086</v>
      </c>
      <c r="AZ101" s="91">
        <f>AZ100/AZ88</f>
        <v>0.14147893977820877</v>
      </c>
      <c r="BA101" s="93">
        <f>BA100/BA88</f>
        <v>0.16988789512374416</v>
      </c>
      <c r="BB101" s="92">
        <f>BB100/BB88</f>
        <v>0.14502543794436562</v>
      </c>
      <c r="BC101" s="91">
        <f>BC100/BC88</f>
        <v>0.16600193712681444</v>
      </c>
      <c r="BD101" s="91">
        <f>BD100/BD88</f>
        <v>0.1666401913885048</v>
      </c>
      <c r="BE101" s="91">
        <f>BE100/BE88</f>
        <v>0.18209712473765893</v>
      </c>
      <c r="BF101" s="91">
        <f>BF100/BF88</f>
        <v>0.15349681041056443</v>
      </c>
      <c r="BG101" s="91">
        <f>BG100/BG88</f>
        <v>0.17755881993760453</v>
      </c>
      <c r="BH101" s="91">
        <f>BH100/BH88</f>
        <v>0.17624290977311591</v>
      </c>
      <c r="BI101" s="91">
        <f>BI100/BI88</f>
        <v>0.19417980120164924</v>
      </c>
      <c r="BJ101" s="91">
        <f>BJ100/BJ88</f>
        <v>0.16195395407519231</v>
      </c>
      <c r="BK101" s="91">
        <f>BK100/BK88</f>
        <v>0.18897666828012097</v>
      </c>
      <c r="BL101" s="91">
        <f>BL100/BL88</f>
        <v>0.18506542800157913</v>
      </c>
      <c r="BM101" s="91">
        <f>BM100/BM88</f>
        <v>0.20547855681417102</v>
      </c>
      <c r="BN101" s="91">
        <f>BN100/BN88</f>
        <v>0.16991048482169024</v>
      </c>
      <c r="BO101" s="91">
        <f>BO100/BO88</f>
        <v>0.1996257836160292</v>
      </c>
      <c r="BP101" s="91">
        <f>BP100/BP88</f>
        <v>0.19261662789472592</v>
      </c>
      <c r="BQ101" s="91">
        <f>BQ100/BQ88</f>
        <v>0.21538597833059278</v>
      </c>
      <c r="BR101" s="91">
        <f>BR100/BR88</f>
        <v>0.17689792669031359</v>
      </c>
    </row>
    <row r="102" spans="1:70" x14ac:dyDescent="0.2">
      <c r="A102" s="65" t="s">
        <v>7</v>
      </c>
      <c r="B102" s="13"/>
      <c r="C102" s="88"/>
      <c r="D102" s="88"/>
      <c r="E102" s="88"/>
      <c r="F102" s="88"/>
      <c r="G102" s="88"/>
      <c r="H102" s="88"/>
      <c r="I102" s="88"/>
      <c r="J102" s="88">
        <f>SUM(J98,J96,J94)-J100</f>
        <v>0</v>
      </c>
      <c r="K102" s="88">
        <f>SUM(K98,K96,K94)-K100</f>
        <v>0</v>
      </c>
      <c r="L102" s="90">
        <f>SUM(L98,L96,L94)-L100</f>
        <v>0</v>
      </c>
      <c r="M102" s="89">
        <f>SUM(M98,M96,M94)-M100</f>
        <v>0</v>
      </c>
      <c r="N102" s="88">
        <f>SUM(N98,N96,N94)-N100</f>
        <v>0</v>
      </c>
      <c r="O102" s="88">
        <f>SUM(O98,O96,O94)-O100</f>
        <v>0</v>
      </c>
      <c r="P102" s="88">
        <f>SUM(P98,P96,P94)-P100</f>
        <v>0</v>
      </c>
      <c r="Q102" s="88">
        <f>SUM(Q98,Q96,Q94)-Q100</f>
        <v>0</v>
      </c>
      <c r="R102" s="50"/>
      <c r="S102" s="88"/>
      <c r="T102" s="88"/>
      <c r="U102" s="88"/>
      <c r="V102" s="88"/>
      <c r="W102" s="88"/>
      <c r="X102" s="88"/>
      <c r="Y102" s="88"/>
      <c r="Z102" s="88"/>
      <c r="AA102" s="88"/>
      <c r="AB102" s="88"/>
      <c r="AC102" s="88"/>
      <c r="AD102" s="88"/>
      <c r="AE102" s="88"/>
      <c r="AF102" s="88"/>
      <c r="AG102" s="88"/>
      <c r="AH102" s="88"/>
      <c r="AI102" s="88"/>
      <c r="AJ102" s="88"/>
      <c r="AK102" s="88"/>
      <c r="AL102" s="88"/>
      <c r="AM102" s="88"/>
      <c r="AN102" s="88"/>
      <c r="AO102" s="88"/>
      <c r="AP102" s="88"/>
      <c r="AQ102" s="88">
        <f>SUM(AQ98,AQ96,AQ94)-AQ100</f>
        <v>0</v>
      </c>
      <c r="AR102" s="88">
        <f>SUM(AR98,AR96,AR94)-AR100</f>
        <v>0</v>
      </c>
      <c r="AS102" s="88">
        <f>SUM(AS98,AS96,AS94)-AS100</f>
        <v>0</v>
      </c>
      <c r="AT102" s="88">
        <f>SUM(AT98,AT96,AT94)-AT100</f>
        <v>0</v>
      </c>
      <c r="AU102" s="88">
        <f>SUM(AU98,AU96,AU94)-AU100</f>
        <v>0</v>
      </c>
      <c r="AV102" s="88">
        <f>SUM(AV98,AV96,AV94)-AV100</f>
        <v>0</v>
      </c>
      <c r="AW102" s="88">
        <f>SUM(AW98,AW96,AW94)-AW100</f>
        <v>0</v>
      </c>
      <c r="AX102" s="88">
        <f>SUM(AX98,AX96,AX94)-AX100</f>
        <v>0</v>
      </c>
      <c r="AY102" s="88">
        <f>SUM(AY98,AY96,AY94)-AY100</f>
        <v>0</v>
      </c>
      <c r="AZ102" s="88">
        <f>SUM(AZ98,AZ96,AZ94)-AZ100</f>
        <v>0</v>
      </c>
      <c r="BA102" s="90">
        <f>SUM(BA98,BA96,BA94)-BA100</f>
        <v>0</v>
      </c>
      <c r="BB102" s="89">
        <f>SUM(BB98,BB96,BB94)-BB100</f>
        <v>0</v>
      </c>
      <c r="BC102" s="88">
        <f>SUM(BC98,BC96,BC94)-BC100</f>
        <v>0</v>
      </c>
      <c r="BD102" s="88">
        <f>SUM(BD98,BD96,BD94)-BD100</f>
        <v>0</v>
      </c>
      <c r="BE102" s="88">
        <f>SUM(BE98,BE96,BE94)-BE100</f>
        <v>0</v>
      </c>
      <c r="BF102" s="88">
        <f>SUM(BF98,BF96,BF94)-BF100</f>
        <v>0</v>
      </c>
      <c r="BG102" s="88">
        <f>SUM(BG98,BG96,BG94)-BG100</f>
        <v>0</v>
      </c>
      <c r="BH102" s="88">
        <f>SUM(BH98,BH96,BH94)-BH100</f>
        <v>0</v>
      </c>
      <c r="BI102" s="88">
        <f>SUM(BI98,BI96,BI94)-BI100</f>
        <v>0</v>
      </c>
      <c r="BJ102" s="88">
        <f>SUM(BJ98,BJ96,BJ94)-BJ100</f>
        <v>0</v>
      </c>
      <c r="BK102" s="88">
        <f>SUM(BK98,BK96,BK94)-BK100</f>
        <v>0</v>
      </c>
      <c r="BL102" s="88">
        <f>SUM(BL98,BL96,BL94)-BL100</f>
        <v>0</v>
      </c>
      <c r="BM102" s="88">
        <f>SUM(BM98,BM96,BM94)-BM100</f>
        <v>0</v>
      </c>
      <c r="BN102" s="88">
        <f>SUM(BN98,BN96,BN94)-BN100</f>
        <v>0</v>
      </c>
      <c r="BO102" s="88">
        <f>SUM(BO98,BO96,BO94)-BO100</f>
        <v>0</v>
      </c>
      <c r="BP102" s="88">
        <f>SUM(BP98,BP96,BP94)-BP100</f>
        <v>0</v>
      </c>
      <c r="BQ102" s="88">
        <f>SUM(BQ98,BQ96,BQ94)-BQ100</f>
        <v>0</v>
      </c>
      <c r="BR102" s="88">
        <f>SUM(BR98,BR96,BR94)-BR100</f>
        <v>0</v>
      </c>
    </row>
    <row r="103" spans="1:70" x14ac:dyDescent="0.2">
      <c r="A103" s="271"/>
      <c r="B103" s="9"/>
      <c r="C103" s="94"/>
      <c r="D103" s="94"/>
      <c r="E103" s="94"/>
      <c r="F103" s="94"/>
      <c r="G103" s="94"/>
      <c r="H103" s="94"/>
      <c r="I103" s="94"/>
      <c r="J103" s="94"/>
      <c r="K103" s="94"/>
      <c r="L103" s="95"/>
      <c r="M103" s="83"/>
      <c r="N103" s="84"/>
      <c r="O103" s="84"/>
      <c r="P103" s="84"/>
      <c r="Q103" s="84"/>
      <c r="R103" s="46"/>
      <c r="S103" s="94"/>
      <c r="T103" s="94"/>
      <c r="U103" s="94"/>
      <c r="V103" s="94"/>
      <c r="W103" s="94"/>
      <c r="X103" s="94"/>
      <c r="Y103" s="94"/>
      <c r="Z103" s="94"/>
      <c r="AA103" s="94"/>
      <c r="AB103" s="94"/>
      <c r="AC103" s="94"/>
      <c r="AD103" s="94"/>
      <c r="AE103" s="94"/>
      <c r="AF103" s="94"/>
      <c r="AG103" s="94"/>
      <c r="AH103" s="94"/>
      <c r="AI103" s="94"/>
      <c r="AJ103" s="94"/>
      <c r="AK103" s="94"/>
      <c r="AL103" s="94"/>
      <c r="AM103" s="94"/>
      <c r="AN103" s="94"/>
      <c r="AO103" s="94"/>
      <c r="AP103" s="94"/>
      <c r="AQ103" s="94"/>
      <c r="AR103" s="94"/>
      <c r="AS103" s="94"/>
      <c r="AT103" s="94"/>
      <c r="AU103" s="94"/>
      <c r="AV103" s="94"/>
      <c r="AW103" s="94"/>
      <c r="AX103" s="94"/>
      <c r="AY103" s="94"/>
      <c r="AZ103" s="94"/>
      <c r="BA103" s="95"/>
      <c r="BB103" s="96"/>
      <c r="BC103" s="94"/>
      <c r="BD103" s="94"/>
      <c r="BE103" s="94"/>
      <c r="BF103" s="94"/>
      <c r="BG103" s="94"/>
      <c r="BH103" s="94"/>
      <c r="BI103" s="94"/>
      <c r="BJ103" s="94"/>
      <c r="BK103" s="94"/>
      <c r="BL103" s="94"/>
      <c r="BM103" s="94"/>
      <c r="BN103" s="94"/>
      <c r="BO103" s="94"/>
      <c r="BP103" s="94"/>
      <c r="BQ103" s="94"/>
      <c r="BR103" s="94"/>
    </row>
    <row r="104" spans="1:70" x14ac:dyDescent="0.2">
      <c r="A104" s="168" t="s">
        <v>213</v>
      </c>
      <c r="B104" s="24"/>
      <c r="C104" s="141"/>
      <c r="D104" s="141"/>
      <c r="E104" s="141"/>
      <c r="F104" s="141"/>
      <c r="G104" s="141"/>
      <c r="H104" s="141"/>
      <c r="I104" s="142">
        <v>65.048000000000002</v>
      </c>
      <c r="J104" s="142">
        <v>76.147999999999996</v>
      </c>
      <c r="K104" s="142">
        <v>76.155000000000001</v>
      </c>
      <c r="L104" s="142">
        <v>85.054000000000002</v>
      </c>
      <c r="M104" s="77">
        <f>SUM(AY104:BB104)</f>
        <v>89.508471325727896</v>
      </c>
      <c r="N104" s="76">
        <f>SUM(BC104:BF104)</f>
        <v>107.67759328168283</v>
      </c>
      <c r="O104" s="76">
        <f>SUM(BG104:BJ104)</f>
        <v>133.65058372051868</v>
      </c>
      <c r="P104" s="76">
        <f>SUM(BK104:BN104)</f>
        <v>169.63204792139072</v>
      </c>
      <c r="Q104" s="76">
        <f>SUM(BO104:BR104)</f>
        <v>220.2103234560829</v>
      </c>
      <c r="R104" s="48"/>
      <c r="S104" s="142"/>
      <c r="T104" s="142"/>
      <c r="U104" s="142"/>
      <c r="V104" s="142"/>
      <c r="W104" s="142"/>
      <c r="X104" s="142"/>
      <c r="Y104" s="142"/>
      <c r="Z104" s="142"/>
      <c r="AA104" s="142"/>
      <c r="AB104" s="142"/>
      <c r="AC104" s="142"/>
      <c r="AD104" s="142"/>
      <c r="AE104" s="141"/>
      <c r="AF104" s="141"/>
      <c r="AG104" s="141"/>
      <c r="AH104" s="141"/>
      <c r="AI104" s="141"/>
      <c r="AJ104" s="141"/>
      <c r="AK104" s="141"/>
      <c r="AL104" s="141"/>
      <c r="AM104" s="141"/>
      <c r="AN104" s="141"/>
      <c r="AO104" s="141"/>
      <c r="AP104" s="141"/>
      <c r="AQ104" s="142">
        <v>18.385000000000002</v>
      </c>
      <c r="AR104" s="142">
        <v>18.190999999999999</v>
      </c>
      <c r="AS104" s="142">
        <v>19.495999999999999</v>
      </c>
      <c r="AT104" s="146">
        <f>K104-AS104-AR104-AQ104</f>
        <v>20.083000000000002</v>
      </c>
      <c r="AU104" s="142">
        <v>20.18</v>
      </c>
      <c r="AV104" s="142">
        <v>21.36</v>
      </c>
      <c r="AW104" s="142">
        <v>21.45</v>
      </c>
      <c r="AX104" s="146">
        <f>L104-AW104-AV104-AU104</f>
        <v>22.064</v>
      </c>
      <c r="AY104" s="142">
        <v>19.981000000000002</v>
      </c>
      <c r="AZ104" s="142">
        <v>23.202999999999999</v>
      </c>
      <c r="BA104" s="153">
        <v>23.663</v>
      </c>
      <c r="BB104" s="77">
        <f>BB105*BB88</f>
        <v>22.661471325727909</v>
      </c>
      <c r="BC104" s="76">
        <f>BC105*BC88</f>
        <v>24.468249042621789</v>
      </c>
      <c r="BD104" s="76">
        <f>BD105*BD88</f>
        <v>26.787667775441285</v>
      </c>
      <c r="BE104" s="76">
        <f>BE105*BE88</f>
        <v>28.914390336879759</v>
      </c>
      <c r="BF104" s="76">
        <f>BF105*BF88</f>
        <v>27.507286126739999</v>
      </c>
      <c r="BG104" s="76">
        <f>BG105*BG88</f>
        <v>29.900440846242763</v>
      </c>
      <c r="BH104" s="76">
        <f>BH105*BH88</f>
        <v>33.548538056967509</v>
      </c>
      <c r="BI104" s="76">
        <f>BI105*BI88</f>
        <v>36.087318706985563</v>
      </c>
      <c r="BJ104" s="76">
        <f>BJ105*BJ88</f>
        <v>34.114286110322851</v>
      </c>
      <c r="BK104" s="76">
        <f>BK105*BK88</f>
        <v>37.326092234908451</v>
      </c>
      <c r="BL104" s="76">
        <f>BL105*BL88</f>
        <v>42.980319920923925</v>
      </c>
      <c r="BM104" s="76">
        <f>BM105*BM88</f>
        <v>46.043432304735667</v>
      </c>
      <c r="BN104" s="76">
        <f>BN105*BN88</f>
        <v>43.282203460822686</v>
      </c>
      <c r="BO104" s="76">
        <f>BO105*BO88</f>
        <v>47.642241002093868</v>
      </c>
      <c r="BP104" s="76">
        <f>BP105*BP88</f>
        <v>56.319399325741635</v>
      </c>
      <c r="BQ104" s="76">
        <f>BQ105*BQ88</f>
        <v>60.052721735750382</v>
      </c>
      <c r="BR104" s="76">
        <f>BR105*BR88</f>
        <v>56.195961392496997</v>
      </c>
    </row>
    <row r="105" spans="1:70" x14ac:dyDescent="0.2">
      <c r="A105" s="161" t="s">
        <v>6</v>
      </c>
      <c r="B105" s="12"/>
      <c r="C105" s="163"/>
      <c r="D105" s="163"/>
      <c r="E105" s="163"/>
      <c r="F105" s="163"/>
      <c r="G105" s="163"/>
      <c r="H105" s="163"/>
      <c r="I105" s="163">
        <f>I104/I88</f>
        <v>0.10618781373709341</v>
      </c>
      <c r="J105" s="163">
        <f>J104/J88</f>
        <v>0.11783913104705487</v>
      </c>
      <c r="K105" s="163">
        <f>K104/K88</f>
        <v>0.10124692390427176</v>
      </c>
      <c r="L105" s="173">
        <f>L104/L88</f>
        <v>0.40398599771061616</v>
      </c>
      <c r="M105" s="174">
        <f>M104/M88</f>
        <v>0.36608277398695116</v>
      </c>
      <c r="N105" s="163">
        <f>N104/N88</f>
        <v>0.36239585885812298</v>
      </c>
      <c r="O105" s="163">
        <f>O104/O88</f>
        <v>0.36239585885812298</v>
      </c>
      <c r="P105" s="163">
        <f>P104/P88</f>
        <v>0.36239585885812298</v>
      </c>
      <c r="Q105" s="163">
        <f>Q104/Q88</f>
        <v>0.36239585885812303</v>
      </c>
      <c r="R105" s="300"/>
      <c r="S105" s="91"/>
      <c r="T105" s="91"/>
      <c r="U105" s="91"/>
      <c r="V105" s="91"/>
      <c r="W105" s="91"/>
      <c r="X105" s="91"/>
      <c r="Y105" s="91"/>
      <c r="Z105" s="91"/>
      <c r="AA105" s="91"/>
      <c r="AB105" s="91"/>
      <c r="AC105" s="91"/>
      <c r="AD105" s="91"/>
      <c r="AE105" s="91"/>
      <c r="AF105" s="91"/>
      <c r="AG105" s="91"/>
      <c r="AH105" s="91"/>
      <c r="AI105" s="91"/>
      <c r="AJ105" s="91"/>
      <c r="AK105" s="91"/>
      <c r="AL105" s="91"/>
      <c r="AM105" s="91"/>
      <c r="AN105" s="91"/>
      <c r="AO105" s="91"/>
      <c r="AP105" s="91"/>
      <c r="AQ105" s="91">
        <f>AQ104/AQ88</f>
        <v>0.10087182666615459</v>
      </c>
      <c r="AR105" s="91">
        <f>AR104/AR88</f>
        <v>9.7212573346301415E-2</v>
      </c>
      <c r="AS105" s="91">
        <f>AS104/AS88</f>
        <v>0.1016104654192943</v>
      </c>
      <c r="AT105" s="91">
        <f>AT104/AT88</f>
        <v>0.10519396167908066</v>
      </c>
      <c r="AU105" s="91">
        <f>AU104/AU88</f>
        <v>0.39736925015752994</v>
      </c>
      <c r="AV105" s="91">
        <f>AV104/AV88</f>
        <v>0.4050517692570258</v>
      </c>
      <c r="AW105" s="91">
        <f>AW104/AW88</f>
        <v>0.39364298691527039</v>
      </c>
      <c r="AX105" s="91">
        <f>AX104/AX88</f>
        <v>0.42004264392324098</v>
      </c>
      <c r="AY105" s="91">
        <f>AY104/AY88</f>
        <v>0.35459998580251301</v>
      </c>
      <c r="AZ105" s="91">
        <f>AZ104/AZ88</f>
        <v>0.38462048502328972</v>
      </c>
      <c r="BA105" s="93">
        <f>BA104/BA88</f>
        <v>0.36239585885812298</v>
      </c>
      <c r="BB105" s="248">
        <f>BA105</f>
        <v>0.36239585885812298</v>
      </c>
      <c r="BC105" s="215">
        <f>BB105</f>
        <v>0.36239585885812298</v>
      </c>
      <c r="BD105" s="215">
        <f>BC105</f>
        <v>0.36239585885812298</v>
      </c>
      <c r="BE105" s="215">
        <f>BD105</f>
        <v>0.36239585885812298</v>
      </c>
      <c r="BF105" s="215">
        <f>BE105</f>
        <v>0.36239585885812298</v>
      </c>
      <c r="BG105" s="215">
        <f>BF105</f>
        <v>0.36239585885812298</v>
      </c>
      <c r="BH105" s="215">
        <f>BG105</f>
        <v>0.36239585885812298</v>
      </c>
      <c r="BI105" s="215">
        <f>BH105</f>
        <v>0.36239585885812298</v>
      </c>
      <c r="BJ105" s="215">
        <f>BI105</f>
        <v>0.36239585885812298</v>
      </c>
      <c r="BK105" s="215">
        <f>BJ105</f>
        <v>0.36239585885812298</v>
      </c>
      <c r="BL105" s="215">
        <f>BK105</f>
        <v>0.36239585885812298</v>
      </c>
      <c r="BM105" s="215">
        <f>BL105</f>
        <v>0.36239585885812298</v>
      </c>
      <c r="BN105" s="215">
        <f>BM105</f>
        <v>0.36239585885812298</v>
      </c>
      <c r="BO105" s="215">
        <f>BN105</f>
        <v>0.36239585885812298</v>
      </c>
      <c r="BP105" s="215">
        <f>BO105</f>
        <v>0.36239585885812298</v>
      </c>
      <c r="BQ105" s="215">
        <f>BP105</f>
        <v>0.36239585885812298</v>
      </c>
      <c r="BR105" s="215">
        <f>BQ105</f>
        <v>0.36239585885812298</v>
      </c>
    </row>
    <row r="106" spans="1:70" x14ac:dyDescent="0.2">
      <c r="A106" s="168" t="s">
        <v>214</v>
      </c>
      <c r="B106" s="24"/>
      <c r="C106" s="141"/>
      <c r="D106" s="142"/>
      <c r="E106" s="142"/>
      <c r="F106" s="142"/>
      <c r="G106" s="142"/>
      <c r="H106" s="142"/>
      <c r="I106" s="142">
        <v>0</v>
      </c>
      <c r="J106" s="142">
        <v>0</v>
      </c>
      <c r="K106" s="142">
        <v>0</v>
      </c>
      <c r="L106" s="142">
        <v>0</v>
      </c>
      <c r="M106" s="77">
        <f>SUM(AY106:BB106)</f>
        <v>6.6676728272875332</v>
      </c>
      <c r="N106" s="76">
        <f>SUM(BC106:BF106)</f>
        <v>8.3136949214230871</v>
      </c>
      <c r="O106" s="76">
        <f>SUM(BG106:BJ106)</f>
        <v>10.319047308345841</v>
      </c>
      <c r="P106" s="76">
        <f>SUM(BK106:BN106)</f>
        <v>13.097145397979158</v>
      </c>
      <c r="Q106" s="76">
        <f>SUM(BO106:BR106)</f>
        <v>17.002250811573486</v>
      </c>
      <c r="R106" s="48"/>
      <c r="S106" s="142"/>
      <c r="T106" s="142"/>
      <c r="U106" s="142"/>
      <c r="V106" s="142"/>
      <c r="W106" s="142"/>
      <c r="X106" s="142"/>
      <c r="Y106" s="142"/>
      <c r="Z106" s="142"/>
      <c r="AA106" s="142"/>
      <c r="AB106" s="142"/>
      <c r="AC106" s="142"/>
      <c r="AD106" s="142"/>
      <c r="AE106" s="142"/>
      <c r="AF106" s="142"/>
      <c r="AG106" s="142"/>
      <c r="AH106" s="142"/>
      <c r="AI106" s="142"/>
      <c r="AJ106" s="142"/>
      <c r="AK106" s="142"/>
      <c r="AL106" s="142"/>
      <c r="AM106" s="142"/>
      <c r="AN106" s="142"/>
      <c r="AO106" s="142"/>
      <c r="AP106" s="142"/>
      <c r="AQ106" s="142">
        <v>0</v>
      </c>
      <c r="AR106" s="142">
        <v>0</v>
      </c>
      <c r="AS106" s="142">
        <v>0</v>
      </c>
      <c r="AT106" s="146">
        <f>K106-AS106-AR106-AQ106</f>
        <v>0</v>
      </c>
      <c r="AU106" s="142">
        <v>0</v>
      </c>
      <c r="AV106" s="142">
        <v>0</v>
      </c>
      <c r="AW106" s="142">
        <v>0</v>
      </c>
      <c r="AX106" s="146">
        <f>L106-AW106-AV106-AU106</f>
        <v>0</v>
      </c>
      <c r="AY106" s="142">
        <v>1.6839999999999999</v>
      </c>
      <c r="AZ106" s="142">
        <v>1.407</v>
      </c>
      <c r="BA106" s="153">
        <v>1.827</v>
      </c>
      <c r="BB106" s="77">
        <f>BB107*BB88</f>
        <v>1.7496728272875328</v>
      </c>
      <c r="BC106" s="76">
        <f>BC107*BC88</f>
        <v>1.8891725901563623</v>
      </c>
      <c r="BD106" s="76">
        <f>BD107*BD88</f>
        <v>2.0682529275971442</v>
      </c>
      <c r="BE106" s="76">
        <f>BE107*BE88</f>
        <v>2.2324553583856366</v>
      </c>
      <c r="BF106" s="76">
        <f>BF107*BF88</f>
        <v>2.1238140452839445</v>
      </c>
      <c r="BG106" s="76">
        <f>BG107*BG88</f>
        <v>2.3085874752180842</v>
      </c>
      <c r="BH106" s="76">
        <f>BH107*BH88</f>
        <v>2.5902539420225517</v>
      </c>
      <c r="BI106" s="76">
        <f>BI107*BI88</f>
        <v>2.7862710255530834</v>
      </c>
      <c r="BJ106" s="76">
        <f>BJ107*BJ88</f>
        <v>2.6339348655521211</v>
      </c>
      <c r="BK106" s="76">
        <f>BK107*BK88</f>
        <v>2.8819156705902773</v>
      </c>
      <c r="BL106" s="76">
        <f>BL107*BL88</f>
        <v>3.3184737563084985</v>
      </c>
      <c r="BM106" s="76">
        <f>BM107*BM88</f>
        <v>3.5549740447429343</v>
      </c>
      <c r="BN106" s="76">
        <f>BN107*BN88</f>
        <v>3.3417819263374482</v>
      </c>
      <c r="BO106" s="76">
        <f>BO107*BO88</f>
        <v>3.678416697410535</v>
      </c>
      <c r="BP106" s="76">
        <f>BP107*BP88</f>
        <v>4.3483726732929027</v>
      </c>
      <c r="BQ106" s="76">
        <f>BQ107*BQ88</f>
        <v>4.6366193048732596</v>
      </c>
      <c r="BR106" s="76">
        <f>BR107*BR88</f>
        <v>4.3388421359967886</v>
      </c>
    </row>
    <row r="107" spans="1:70" x14ac:dyDescent="0.2">
      <c r="A107" s="161" t="s">
        <v>6</v>
      </c>
      <c r="B107" s="12"/>
      <c r="C107" s="163"/>
      <c r="D107" s="163"/>
      <c r="E107" s="163"/>
      <c r="F107" s="163"/>
      <c r="G107" s="163"/>
      <c r="H107" s="163"/>
      <c r="I107" s="163">
        <f>I106/I88</f>
        <v>0</v>
      </c>
      <c r="J107" s="163">
        <f>J106/J88</f>
        <v>0</v>
      </c>
      <c r="K107" s="163">
        <f>K106/K88</f>
        <v>0</v>
      </c>
      <c r="L107" s="173">
        <f>L106/L88</f>
        <v>0</v>
      </c>
      <c r="M107" s="174">
        <f>M106/M88</f>
        <v>2.7270269824720278E-2</v>
      </c>
      <c r="N107" s="163">
        <f>N106/N88</f>
        <v>2.7980274442538589E-2</v>
      </c>
      <c r="O107" s="163">
        <f>O106/O88</f>
        <v>2.7980274442538589E-2</v>
      </c>
      <c r="P107" s="163">
        <f>P106/P88</f>
        <v>2.7980274442538589E-2</v>
      </c>
      <c r="Q107" s="163">
        <f>Q106/Q88</f>
        <v>2.7980274442538589E-2</v>
      </c>
      <c r="R107" s="300"/>
      <c r="S107" s="91"/>
      <c r="T107" s="91"/>
      <c r="U107" s="91"/>
      <c r="V107" s="91"/>
      <c r="W107" s="91"/>
      <c r="X107" s="91"/>
      <c r="Y107" s="91"/>
      <c r="Z107" s="91"/>
      <c r="AA107" s="91"/>
      <c r="AB107" s="91"/>
      <c r="AC107" s="91"/>
      <c r="AD107" s="91"/>
      <c r="AE107" s="91"/>
      <c r="AF107" s="91"/>
      <c r="AG107" s="91"/>
      <c r="AH107" s="91"/>
      <c r="AI107" s="91"/>
      <c r="AJ107" s="91"/>
      <c r="AK107" s="91"/>
      <c r="AL107" s="91"/>
      <c r="AM107" s="91"/>
      <c r="AN107" s="91"/>
      <c r="AO107" s="91"/>
      <c r="AP107" s="91"/>
      <c r="AQ107" s="91">
        <f>AQ106/AQ88</f>
        <v>0</v>
      </c>
      <c r="AR107" s="91">
        <f>AR106/AR88</f>
        <v>0</v>
      </c>
      <c r="AS107" s="91">
        <f>AS106/AS88</f>
        <v>0</v>
      </c>
      <c r="AT107" s="91">
        <f>AT106/AT88</f>
        <v>0</v>
      </c>
      <c r="AU107" s="91">
        <f>AU106/AU88</f>
        <v>0</v>
      </c>
      <c r="AV107" s="91">
        <f>AV106/AV88</f>
        <v>0</v>
      </c>
      <c r="AW107" s="91">
        <f>AW106/AW88</f>
        <v>0</v>
      </c>
      <c r="AX107" s="91">
        <f>AX106/AX88</f>
        <v>0</v>
      </c>
      <c r="AY107" s="91">
        <f>AY106/AY88</f>
        <v>2.9885710229289417E-2</v>
      </c>
      <c r="AZ107" s="91">
        <f>AZ106/AZ88</f>
        <v>2.3322890248147595E-2</v>
      </c>
      <c r="BA107" s="93">
        <f>BA106/BA88</f>
        <v>2.7980274442538589E-2</v>
      </c>
      <c r="BB107" s="248">
        <f>BA107</f>
        <v>2.7980274442538589E-2</v>
      </c>
      <c r="BC107" s="215">
        <f>BB107</f>
        <v>2.7980274442538589E-2</v>
      </c>
      <c r="BD107" s="215">
        <f>BC107</f>
        <v>2.7980274442538589E-2</v>
      </c>
      <c r="BE107" s="215">
        <f>BD107</f>
        <v>2.7980274442538589E-2</v>
      </c>
      <c r="BF107" s="215">
        <f>BE107</f>
        <v>2.7980274442538589E-2</v>
      </c>
      <c r="BG107" s="215">
        <f>BF107</f>
        <v>2.7980274442538589E-2</v>
      </c>
      <c r="BH107" s="215">
        <f>BG107</f>
        <v>2.7980274442538589E-2</v>
      </c>
      <c r="BI107" s="215">
        <f>BH107</f>
        <v>2.7980274442538589E-2</v>
      </c>
      <c r="BJ107" s="215">
        <f>BI107</f>
        <v>2.7980274442538589E-2</v>
      </c>
      <c r="BK107" s="215">
        <f>BJ107</f>
        <v>2.7980274442538589E-2</v>
      </c>
      <c r="BL107" s="215">
        <f>BK107</f>
        <v>2.7980274442538589E-2</v>
      </c>
      <c r="BM107" s="215">
        <f>BL107</f>
        <v>2.7980274442538589E-2</v>
      </c>
      <c r="BN107" s="215">
        <f>BM107</f>
        <v>2.7980274442538589E-2</v>
      </c>
      <c r="BO107" s="215">
        <f>BN107</f>
        <v>2.7980274442538589E-2</v>
      </c>
      <c r="BP107" s="215">
        <f>BO107</f>
        <v>2.7980274442538589E-2</v>
      </c>
      <c r="BQ107" s="215">
        <f>BP107</f>
        <v>2.7980274442538589E-2</v>
      </c>
      <c r="BR107" s="215">
        <f>BQ107</f>
        <v>2.7980274442538589E-2</v>
      </c>
    </row>
    <row r="108" spans="1:70" x14ac:dyDescent="0.2">
      <c r="A108" s="168" t="s">
        <v>216</v>
      </c>
      <c r="B108" s="24"/>
      <c r="C108" s="141"/>
      <c r="D108" s="142"/>
      <c r="E108" s="142"/>
      <c r="F108" s="142"/>
      <c r="G108" s="142"/>
      <c r="H108" s="142"/>
      <c r="I108" s="142">
        <v>7.835</v>
      </c>
      <c r="J108" s="142">
        <v>8.4130000000000003</v>
      </c>
      <c r="K108" s="142">
        <v>6.8540000000000001</v>
      </c>
      <c r="L108" s="142">
        <v>6.1669999999999998</v>
      </c>
      <c r="M108" s="77">
        <f>SUM(AY108:BB108)</f>
        <v>6.3064921508065765</v>
      </c>
      <c r="N108" s="76">
        <f>SUM(BC108:BF108)</f>
        <v>7.2579876298138064</v>
      </c>
      <c r="O108" s="76">
        <f>SUM(BG108:BJ108)</f>
        <v>9.0086920945876372</v>
      </c>
      <c r="P108" s="76">
        <f>SUM(BK108:BN108)</f>
        <v>11.434015823632599</v>
      </c>
      <c r="Q108" s="76">
        <f>SUM(BO108:BR108)</f>
        <v>14.843234835500661</v>
      </c>
      <c r="R108" s="48"/>
      <c r="S108" s="142"/>
      <c r="T108" s="142"/>
      <c r="U108" s="142"/>
      <c r="V108" s="142"/>
      <c r="W108" s="142"/>
      <c r="X108" s="142"/>
      <c r="Y108" s="142"/>
      <c r="Z108" s="142"/>
      <c r="AA108" s="142"/>
      <c r="AB108" s="142"/>
      <c r="AC108" s="142"/>
      <c r="AD108" s="142"/>
      <c r="AE108" s="142"/>
      <c r="AF108" s="142"/>
      <c r="AG108" s="142"/>
      <c r="AH108" s="142"/>
      <c r="AI108" s="142"/>
      <c r="AJ108" s="142"/>
      <c r="AK108" s="142"/>
      <c r="AL108" s="142"/>
      <c r="AM108" s="142"/>
      <c r="AN108" s="142"/>
      <c r="AO108" s="142"/>
      <c r="AP108" s="142"/>
      <c r="AQ108" s="142">
        <v>1.7989999999999999</v>
      </c>
      <c r="AR108" s="142">
        <v>1.6990000000000001</v>
      </c>
      <c r="AS108" s="142">
        <v>1.6759999999999999</v>
      </c>
      <c r="AT108" s="146">
        <f>K108-AS108-AR108-AQ108</f>
        <v>1.6800000000000002</v>
      </c>
      <c r="AU108" s="142">
        <v>1.6859999999999999</v>
      </c>
      <c r="AV108" s="142">
        <v>1.589</v>
      </c>
      <c r="AW108" s="142">
        <v>1.4570000000000001</v>
      </c>
      <c r="AX108" s="146">
        <f>L108-AW108-AV108-AU108</f>
        <v>1.4350000000000001</v>
      </c>
      <c r="AY108" s="142">
        <v>1.415</v>
      </c>
      <c r="AZ108" s="142">
        <v>1.7689999999999999</v>
      </c>
      <c r="BA108" s="153">
        <v>1.595</v>
      </c>
      <c r="BB108" s="77">
        <f>BB109*BB88</f>
        <v>1.5274921508065762</v>
      </c>
      <c r="BC108" s="76">
        <f>BC109*BC88</f>
        <v>1.6492776580730146</v>
      </c>
      <c r="BD108" s="76">
        <f>BD109*BD88</f>
        <v>1.805617635203856</v>
      </c>
      <c r="BE108" s="76">
        <f>BE109*BE88</f>
        <v>1.9489689636700001</v>
      </c>
      <c r="BF108" s="76">
        <f>BF109*BF88</f>
        <v>1.8541233728669355</v>
      </c>
      <c r="BG108" s="76">
        <f>BG109*BG88</f>
        <v>2.0154335101110257</v>
      </c>
      <c r="BH108" s="76">
        <f>BH109*BH88</f>
        <v>2.2613328065276241</v>
      </c>
      <c r="BI108" s="76">
        <f>BI109*BI88</f>
        <v>2.432458831832057</v>
      </c>
      <c r="BJ108" s="76">
        <f>BJ109*BJ88</f>
        <v>2.2994669461169313</v>
      </c>
      <c r="BK108" s="76">
        <f>BK109*BK88</f>
        <v>2.5159581251184959</v>
      </c>
      <c r="BL108" s="76">
        <f>BL109*BL88</f>
        <v>2.8970802634439274</v>
      </c>
      <c r="BM108" s="76">
        <f>BM109*BM88</f>
        <v>3.1035487692200219</v>
      </c>
      <c r="BN108" s="76">
        <f>BN109*BN88</f>
        <v>2.9174286658501534</v>
      </c>
      <c r="BO108" s="76">
        <f>BO109*BO88</f>
        <v>3.2113161644060226</v>
      </c>
      <c r="BP108" s="76">
        <f>BP109*BP88</f>
        <v>3.796198365573169</v>
      </c>
      <c r="BQ108" s="76">
        <f>BQ109*BQ88</f>
        <v>4.0478422502861786</v>
      </c>
      <c r="BR108" s="76">
        <f>BR109*BR88</f>
        <v>3.7878780552352915</v>
      </c>
    </row>
    <row r="109" spans="1:70" x14ac:dyDescent="0.2">
      <c r="A109" s="161" t="s">
        <v>6</v>
      </c>
      <c r="B109" s="12"/>
      <c r="C109" s="163"/>
      <c r="D109" s="163"/>
      <c r="E109" s="163"/>
      <c r="F109" s="163"/>
      <c r="G109" s="163"/>
      <c r="H109" s="163"/>
      <c r="I109" s="163">
        <f>I108/I88</f>
        <v>1.2790270579112761E-2</v>
      </c>
      <c r="J109" s="163">
        <f>J108/J88</f>
        <v>1.301912866390283E-2</v>
      </c>
      <c r="K109" s="163">
        <f>K108/K88</f>
        <v>9.1122896256303418E-3</v>
      </c>
      <c r="L109" s="173">
        <f>L108/L88</f>
        <v>2.9291763443005266E-2</v>
      </c>
      <c r="M109" s="174">
        <f>M108/M88</f>
        <v>2.5793068594509715E-2</v>
      </c>
      <c r="N109" s="163">
        <f>N108/N88</f>
        <v>2.4427223719676545E-2</v>
      </c>
      <c r="O109" s="163">
        <f>O108/O88</f>
        <v>2.4427223719676542E-2</v>
      </c>
      <c r="P109" s="163">
        <f>P108/P88</f>
        <v>2.4427223719676545E-2</v>
      </c>
      <c r="Q109" s="163">
        <f>Q108/Q88</f>
        <v>2.4427223719676545E-2</v>
      </c>
      <c r="R109" s="300"/>
      <c r="S109" s="91"/>
      <c r="T109" s="91"/>
      <c r="U109" s="91"/>
      <c r="V109" s="91"/>
      <c r="W109" s="91"/>
      <c r="X109" s="91"/>
      <c r="Y109" s="91"/>
      <c r="Z109" s="91"/>
      <c r="AA109" s="91"/>
      <c r="AB109" s="91"/>
      <c r="AC109" s="91"/>
      <c r="AD109" s="91"/>
      <c r="AE109" s="91"/>
      <c r="AF109" s="91"/>
      <c r="AG109" s="91"/>
      <c r="AH109" s="91"/>
      <c r="AI109" s="91"/>
      <c r="AJ109" s="91"/>
      <c r="AK109" s="91"/>
      <c r="AL109" s="91"/>
      <c r="AM109" s="91"/>
      <c r="AN109" s="91"/>
      <c r="AO109" s="91"/>
      <c r="AP109" s="91"/>
      <c r="AQ109" s="91">
        <f>AQ108/AQ88</f>
        <v>9.870460493468158E-3</v>
      </c>
      <c r="AR109" s="91">
        <f>AR108/AR88</f>
        <v>9.079443797227537E-3</v>
      </c>
      <c r="AS109" s="91">
        <f>AS108/AS88</f>
        <v>8.7350810444571832E-3</v>
      </c>
      <c r="AT109" s="91">
        <f>AT108/AT88</f>
        <v>8.7997737201043411E-3</v>
      </c>
      <c r="AU109" s="91">
        <f>AU108/AU88</f>
        <v>3.3199432892249525E-2</v>
      </c>
      <c r="AV109" s="91">
        <f>AV108/AV88</f>
        <v>3.0132362422725375E-2</v>
      </c>
      <c r="AW109" s="91">
        <f>AW108/AW88</f>
        <v>2.6738360463195759E-2</v>
      </c>
      <c r="AX109" s="91">
        <f>AX108/AX88</f>
        <v>2.7318763326226014E-2</v>
      </c>
      <c r="AY109" s="91">
        <f>AY108/AY88</f>
        <v>2.5111805210477747E-2</v>
      </c>
      <c r="AZ109" s="91">
        <f>AZ108/AZ88</f>
        <v>2.9323520148523876E-2</v>
      </c>
      <c r="BA109" s="93">
        <f>BA108/BA88</f>
        <v>2.4427223719676545E-2</v>
      </c>
      <c r="BB109" s="248">
        <f>BA109</f>
        <v>2.4427223719676545E-2</v>
      </c>
      <c r="BC109" s="215">
        <f>BB109</f>
        <v>2.4427223719676545E-2</v>
      </c>
      <c r="BD109" s="215">
        <f>BC109</f>
        <v>2.4427223719676545E-2</v>
      </c>
      <c r="BE109" s="215">
        <f>BD109</f>
        <v>2.4427223719676545E-2</v>
      </c>
      <c r="BF109" s="215">
        <f>BE109</f>
        <v>2.4427223719676545E-2</v>
      </c>
      <c r="BG109" s="215">
        <f>BF109</f>
        <v>2.4427223719676545E-2</v>
      </c>
      <c r="BH109" s="215">
        <f>BG109</f>
        <v>2.4427223719676545E-2</v>
      </c>
      <c r="BI109" s="215">
        <f>BH109</f>
        <v>2.4427223719676545E-2</v>
      </c>
      <c r="BJ109" s="215">
        <f>BI109</f>
        <v>2.4427223719676545E-2</v>
      </c>
      <c r="BK109" s="215">
        <f>BJ109</f>
        <v>2.4427223719676545E-2</v>
      </c>
      <c r="BL109" s="215">
        <f>BK109</f>
        <v>2.4427223719676545E-2</v>
      </c>
      <c r="BM109" s="215">
        <f>BL109</f>
        <v>2.4427223719676545E-2</v>
      </c>
      <c r="BN109" s="215">
        <f>BM109</f>
        <v>2.4427223719676545E-2</v>
      </c>
      <c r="BO109" s="215">
        <f>BN109</f>
        <v>2.4427223719676545E-2</v>
      </c>
      <c r="BP109" s="215">
        <f>BO109</f>
        <v>2.4427223719676545E-2</v>
      </c>
      <c r="BQ109" s="215">
        <f>BP109</f>
        <v>2.4427223719676545E-2</v>
      </c>
      <c r="BR109" s="215">
        <f>BQ109</f>
        <v>2.4427223719676545E-2</v>
      </c>
    </row>
    <row r="110" spans="1:70" x14ac:dyDescent="0.2">
      <c r="A110" s="168" t="s">
        <v>217</v>
      </c>
      <c r="B110" s="24"/>
      <c r="C110" s="141"/>
      <c r="D110" s="142"/>
      <c r="E110" s="142"/>
      <c r="F110" s="142"/>
      <c r="G110" s="142"/>
      <c r="H110" s="142"/>
      <c r="I110" s="142">
        <v>12.539</v>
      </c>
      <c r="J110" s="142">
        <v>15.247999999999999</v>
      </c>
      <c r="K110" s="142">
        <v>12.445</v>
      </c>
      <c r="L110" s="142">
        <v>10.146000000000001</v>
      </c>
      <c r="M110" s="77">
        <f>SUM(AY110:BB110)</f>
        <v>11.274343105352639</v>
      </c>
      <c r="N110" s="76">
        <f>SUM(BC110:BF110)</f>
        <v>13.187240220188349</v>
      </c>
      <c r="O110" s="76">
        <f>SUM(BG110:BJ110)</f>
        <v>16.36814400634168</v>
      </c>
      <c r="P110" s="76">
        <f>SUM(BK110:BN110)</f>
        <v>20.774782355415219</v>
      </c>
      <c r="Q110" s="76">
        <f>SUM(BO110:BR110)</f>
        <v>26.969087494220013</v>
      </c>
      <c r="R110" s="48"/>
      <c r="S110" s="142"/>
      <c r="T110" s="142"/>
      <c r="U110" s="142"/>
      <c r="V110" s="142"/>
      <c r="W110" s="142"/>
      <c r="X110" s="142"/>
      <c r="Y110" s="142"/>
      <c r="Z110" s="142"/>
      <c r="AA110" s="142"/>
      <c r="AB110" s="142"/>
      <c r="AC110" s="142"/>
      <c r="AD110" s="142"/>
      <c r="AE110" s="142"/>
      <c r="AF110" s="142"/>
      <c r="AG110" s="142"/>
      <c r="AH110" s="142"/>
      <c r="AI110" s="142"/>
      <c r="AJ110" s="142"/>
      <c r="AK110" s="142"/>
      <c r="AL110" s="142"/>
      <c r="AM110" s="142"/>
      <c r="AN110" s="142"/>
      <c r="AO110" s="142"/>
      <c r="AP110" s="142"/>
      <c r="AQ110" s="142">
        <v>3.4670000000000001</v>
      </c>
      <c r="AR110" s="142">
        <v>3.198</v>
      </c>
      <c r="AS110" s="142">
        <v>2.8519999999999999</v>
      </c>
      <c r="AT110" s="146">
        <f>K110-AS110-AR110-AQ110</f>
        <v>2.9279999999999995</v>
      </c>
      <c r="AU110" s="142">
        <v>2.819</v>
      </c>
      <c r="AV110" s="142">
        <v>2.645</v>
      </c>
      <c r="AW110" s="142">
        <v>2.2989999999999999</v>
      </c>
      <c r="AX110" s="146">
        <f>L110-AW110-AV110-AU110</f>
        <v>2.3830000000000018</v>
      </c>
      <c r="AY110" s="142">
        <v>2.5150000000000001</v>
      </c>
      <c r="AZ110" s="142">
        <v>3.0859999999999999</v>
      </c>
      <c r="BA110" s="153">
        <v>2.8980000000000001</v>
      </c>
      <c r="BB110" s="77">
        <f>BB111*BB88</f>
        <v>2.7753431053526385</v>
      </c>
      <c r="BC110" s="76">
        <f>BC111*BC88</f>
        <v>2.9966185912825063</v>
      </c>
      <c r="BD110" s="76">
        <f>BD111*BD88</f>
        <v>3.2806770575678841</v>
      </c>
      <c r="BE110" s="76">
        <f>BE111*BE88</f>
        <v>3.5411360857151477</v>
      </c>
      <c r="BF110" s="76">
        <f>BF111*BF88</f>
        <v>3.3688084856228087</v>
      </c>
      <c r="BG110" s="76">
        <f>BG111*BG88</f>
        <v>3.6618973744838579</v>
      </c>
      <c r="BH110" s="76">
        <f>BH111*BH88</f>
        <v>4.1086786666564619</v>
      </c>
      <c r="BI110" s="76">
        <f>BI111*BI88</f>
        <v>4.4196023163945464</v>
      </c>
      <c r="BJ110" s="76">
        <f>BJ111*BJ88</f>
        <v>4.1779656488068131</v>
      </c>
      <c r="BK110" s="76">
        <f>BK111*BK88</f>
        <v>4.571314511970785</v>
      </c>
      <c r="BL110" s="76">
        <f>BL111*BL88</f>
        <v>5.2637859582824467</v>
      </c>
      <c r="BM110" s="76">
        <f>BM111*BM88</f>
        <v>5.6389243468336208</v>
      </c>
      <c r="BN110" s="76">
        <f>BN111*BN88</f>
        <v>5.3007575383283667</v>
      </c>
      <c r="BO110" s="76">
        <f>BO111*BO88</f>
        <v>5.8347299338236081</v>
      </c>
      <c r="BP110" s="76">
        <f>BP111*BP88</f>
        <v>6.8974187231542601</v>
      </c>
      <c r="BQ110" s="76">
        <f>BQ111*BQ88</f>
        <v>7.354637518074826</v>
      </c>
      <c r="BR110" s="76">
        <f>BR111*BR88</f>
        <v>6.8823013191673201</v>
      </c>
    </row>
    <row r="111" spans="1:70" x14ac:dyDescent="0.2">
      <c r="A111" s="164" t="s">
        <v>6</v>
      </c>
      <c r="B111" s="30"/>
      <c r="C111" s="165"/>
      <c r="D111" s="165"/>
      <c r="E111" s="165"/>
      <c r="F111" s="165"/>
      <c r="G111" s="165"/>
      <c r="H111" s="165"/>
      <c r="I111" s="165">
        <f>I110/I88</f>
        <v>2.0469330286087415E-2</v>
      </c>
      <c r="J111" s="165">
        <f>J110/J88</f>
        <v>2.3596300233827451E-2</v>
      </c>
      <c r="K111" s="165">
        <f>K110/K88</f>
        <v>1.6545439800258185E-2</v>
      </c>
      <c r="L111" s="185">
        <f>L110/L88</f>
        <v>4.8191054303994077E-2</v>
      </c>
      <c r="M111" s="186">
        <f>M110/M88</f>
        <v>4.6111197496250915E-2</v>
      </c>
      <c r="N111" s="165">
        <f>N110/N88</f>
        <v>4.4382504288164669E-2</v>
      </c>
      <c r="O111" s="165">
        <f>O110/O88</f>
        <v>4.4382504288164662E-2</v>
      </c>
      <c r="P111" s="165">
        <f>P110/P88</f>
        <v>4.4382504288164662E-2</v>
      </c>
      <c r="Q111" s="165">
        <f>Q110/Q88</f>
        <v>4.4382504288164662E-2</v>
      </c>
      <c r="R111" s="301"/>
      <c r="S111" s="122"/>
      <c r="T111" s="122"/>
      <c r="U111" s="122"/>
      <c r="V111" s="122"/>
      <c r="W111" s="122"/>
      <c r="X111" s="122"/>
      <c r="Y111" s="122"/>
      <c r="Z111" s="122"/>
      <c r="AA111" s="122"/>
      <c r="AB111" s="122"/>
      <c r="AC111" s="122"/>
      <c r="AD111" s="122"/>
      <c r="AE111" s="122"/>
      <c r="AF111" s="122"/>
      <c r="AG111" s="122"/>
      <c r="AH111" s="122"/>
      <c r="AI111" s="122"/>
      <c r="AJ111" s="122"/>
      <c r="AK111" s="122"/>
      <c r="AL111" s="122"/>
      <c r="AM111" s="122"/>
      <c r="AN111" s="122"/>
      <c r="AO111" s="122"/>
      <c r="AP111" s="122"/>
      <c r="AQ111" s="122">
        <f>AQ110/AQ88</f>
        <v>1.9022171501308565E-2</v>
      </c>
      <c r="AR111" s="122">
        <f>AR110/AR88</f>
        <v>1.7090089030920342E-2</v>
      </c>
      <c r="AS111" s="122">
        <f>AS110/AS88</f>
        <v>1.486423098973263E-2</v>
      </c>
      <c r="AT111" s="122">
        <f>AT110/AT88</f>
        <v>1.533674848361042E-2</v>
      </c>
      <c r="AU111" s="122">
        <f>AU110/AU88</f>
        <v>5.5509609325771897E-2</v>
      </c>
      <c r="AV111" s="122">
        <f>AV110/AV88</f>
        <v>5.0157393711836765E-2</v>
      </c>
      <c r="AW111" s="122">
        <f>AW110/AW88</f>
        <v>4.2190453469380267E-2</v>
      </c>
      <c r="AX111" s="122">
        <f>AX110/AX88</f>
        <v>4.5366280840694523E-2</v>
      </c>
      <c r="AY111" s="122">
        <f>AY110/AY88</f>
        <v>4.4633349897068221E-2</v>
      </c>
      <c r="AZ111" s="122">
        <f>AZ110/AZ88</f>
        <v>5.1154541084423223E-2</v>
      </c>
      <c r="BA111" s="123">
        <f>BA110/BA88</f>
        <v>4.4382504288164662E-2</v>
      </c>
      <c r="BB111" s="249">
        <f>BA111</f>
        <v>4.4382504288164662E-2</v>
      </c>
      <c r="BC111" s="220">
        <f>BB111</f>
        <v>4.4382504288164662E-2</v>
      </c>
      <c r="BD111" s="220">
        <f>BC111</f>
        <v>4.4382504288164662E-2</v>
      </c>
      <c r="BE111" s="220">
        <f>BD111</f>
        <v>4.4382504288164662E-2</v>
      </c>
      <c r="BF111" s="220">
        <f>BE111</f>
        <v>4.4382504288164662E-2</v>
      </c>
      <c r="BG111" s="220">
        <f>BF111</f>
        <v>4.4382504288164662E-2</v>
      </c>
      <c r="BH111" s="220">
        <f>BG111</f>
        <v>4.4382504288164662E-2</v>
      </c>
      <c r="BI111" s="220">
        <f>BH111</f>
        <v>4.4382504288164662E-2</v>
      </c>
      <c r="BJ111" s="220">
        <f>BI111</f>
        <v>4.4382504288164662E-2</v>
      </c>
      <c r="BK111" s="220">
        <f>BJ111</f>
        <v>4.4382504288164662E-2</v>
      </c>
      <c r="BL111" s="220">
        <f>BK111</f>
        <v>4.4382504288164662E-2</v>
      </c>
      <c r="BM111" s="220">
        <f>BL111</f>
        <v>4.4382504288164662E-2</v>
      </c>
      <c r="BN111" s="220">
        <f>BM111</f>
        <v>4.4382504288164662E-2</v>
      </c>
      <c r="BO111" s="220">
        <f>BN111</f>
        <v>4.4382504288164662E-2</v>
      </c>
      <c r="BP111" s="220">
        <f>BO111</f>
        <v>4.4382504288164662E-2</v>
      </c>
      <c r="BQ111" s="220">
        <f>BP111</f>
        <v>4.4382504288164662E-2</v>
      </c>
      <c r="BR111" s="220">
        <f>BQ111</f>
        <v>4.4382504288164662E-2</v>
      </c>
    </row>
    <row r="112" spans="1:70" x14ac:dyDescent="0.2">
      <c r="A112" s="189" t="s">
        <v>218</v>
      </c>
      <c r="B112" s="42"/>
      <c r="C112" s="144">
        <f>IS!C28</f>
        <v>595.75099999999998</v>
      </c>
      <c r="D112" s="144">
        <f>IS!D28</f>
        <v>552.96</v>
      </c>
      <c r="E112" s="144">
        <f>IS!E28</f>
        <v>505.767</v>
      </c>
      <c r="F112" s="144">
        <f>IS!F28</f>
        <v>528.50400000000002</v>
      </c>
      <c r="G112" s="144">
        <f>IS!G28</f>
        <v>533.29399999999998</v>
      </c>
      <c r="H112" s="144">
        <f>H88-H116</f>
        <v>551.86500000000001</v>
      </c>
      <c r="I112" s="145">
        <v>548.80200000000002</v>
      </c>
      <c r="J112" s="145">
        <v>598.51499999999999</v>
      </c>
      <c r="K112" s="145">
        <v>679.30399999999997</v>
      </c>
      <c r="L112" s="145">
        <v>127.795</v>
      </c>
      <c r="M112" s="86">
        <f>SUM(AY112:BB112)</f>
        <v>150.438763511269</v>
      </c>
      <c r="N112" s="72">
        <f>SUM(BC112:BF112)</f>
        <v>186.14234577279419</v>
      </c>
      <c r="O112" s="72">
        <f>SUM(BG112:BJ112)</f>
        <v>234.89399002742437</v>
      </c>
      <c r="P112" s="72">
        <f>SUM(BK112:BN112)</f>
        <v>302.75072243711799</v>
      </c>
      <c r="Q112" s="72">
        <f>SUM(BO112:BR112)</f>
        <v>398.32575145219118</v>
      </c>
      <c r="R112" s="48"/>
      <c r="S112" s="145"/>
      <c r="T112" s="145"/>
      <c r="U112" s="145"/>
      <c r="V112" s="145"/>
      <c r="W112" s="145"/>
      <c r="X112" s="145"/>
      <c r="Y112" s="145"/>
      <c r="Z112" s="145"/>
      <c r="AA112" s="145"/>
      <c r="AB112" s="145"/>
      <c r="AC112" s="144"/>
      <c r="AD112" s="145"/>
      <c r="AE112" s="144">
        <f>AE88-AE116</f>
        <v>137.55799999999999</v>
      </c>
      <c r="AF112" s="144">
        <f>AF88-AF116</f>
        <v>135.32400000000001</v>
      </c>
      <c r="AG112" s="144">
        <f>AG88-AG116</f>
        <v>134.70999999999998</v>
      </c>
      <c r="AH112" s="144">
        <f>AH88-AH116</f>
        <v>142.79999999999998</v>
      </c>
      <c r="AI112" s="144">
        <f>AI88-AI116</f>
        <v>124.901</v>
      </c>
      <c r="AJ112" s="144">
        <f>AJ88-AJ116</f>
        <v>139.35900000000001</v>
      </c>
      <c r="AK112" s="144">
        <f>AK88-AK116</f>
        <v>142.41499999999999</v>
      </c>
      <c r="AL112" s="144">
        <f>AL88-AL116</f>
        <v>142.1</v>
      </c>
      <c r="AM112" s="144">
        <f>AM88-AM116</f>
        <v>150.56100000000001</v>
      </c>
      <c r="AN112" s="144">
        <f>AN88-AN116</f>
        <v>146.46599999999998</v>
      </c>
      <c r="AO112" s="144">
        <f>AO88-AO116</f>
        <v>150.20400000000001</v>
      </c>
      <c r="AP112" s="144">
        <f>AP88-AP116</f>
        <v>151.30000000000001</v>
      </c>
      <c r="AQ112" s="145">
        <v>164.45</v>
      </c>
      <c r="AR112" s="145">
        <v>168.55500000000001</v>
      </c>
      <c r="AS112" s="145">
        <v>173.86199999999999</v>
      </c>
      <c r="AT112" s="144">
        <f>K112-AS112-AR112-AQ112</f>
        <v>172.43700000000001</v>
      </c>
      <c r="AU112" s="145">
        <v>30.646000000000001</v>
      </c>
      <c r="AV112" s="145">
        <v>32.445999999999998</v>
      </c>
      <c r="AW112" s="145">
        <v>32.234999999999999</v>
      </c>
      <c r="AX112" s="144">
        <f>L112-AW112-AV112-AU112</f>
        <v>32.468000000000004</v>
      </c>
      <c r="AY112" s="145">
        <v>33.58</v>
      </c>
      <c r="AZ112" s="145">
        <v>38</v>
      </c>
      <c r="BA112" s="155">
        <v>41.076000000000001</v>
      </c>
      <c r="BB112" s="86">
        <f>SUM(BB100,BB104,BB110,BB108,BB106)</f>
        <v>37.782763511269003</v>
      </c>
      <c r="BC112" s="72">
        <f>SUM(BC100,BC104,BC110,BC108,BC106)</f>
        <v>42.211439166893484</v>
      </c>
      <c r="BD112" s="72">
        <f>SUM(BD100,BD104,BD110,BD108,BD106)</f>
        <v>46.259966760344454</v>
      </c>
      <c r="BE112" s="72">
        <f>SUM(BE100,BE104,BE110,BE108,BE106)</f>
        <v>51.165889790693761</v>
      </c>
      <c r="BF112" s="72">
        <f>SUM(BF100,BF104,BF110,BF108,BF106)</f>
        <v>46.505050054862501</v>
      </c>
      <c r="BG112" s="72">
        <f>SUM(BG100,BG104,BG110,BG108,BG106)</f>
        <v>52.536325154898172</v>
      </c>
      <c r="BH112" s="72">
        <f>SUM(BH100,BH104,BH110,BH108,BH106)</f>
        <v>58.824365091516142</v>
      </c>
      <c r="BI112" s="72">
        <f>SUM(BI100,BI104,BI110,BI108,BI106)</f>
        <v>65.062042843142507</v>
      </c>
      <c r="BJ112" s="72">
        <f>SUM(BJ100,BJ104,BJ110,BJ108,BJ106)</f>
        <v>58.471256937867537</v>
      </c>
      <c r="BK112" s="72">
        <f>SUM(BK100,BK104,BK110,BK108,BK106)</f>
        <v>66.759522139319444</v>
      </c>
      <c r="BL112" s="72">
        <f>SUM(BL100,BL104,BL110,BL108,BL106)</f>
        <v>76.408507015682105</v>
      </c>
      <c r="BM112" s="72">
        <f>SUM(BM100,BM104,BM110,BM108,BM106)</f>
        <v>84.447518902745017</v>
      </c>
      <c r="BN112" s="72">
        <f>SUM(BN100,BN104,BN110,BN108,BN106)</f>
        <v>75.135174379371435</v>
      </c>
      <c r="BO112" s="72">
        <f>SUM(BO100,BO104,BO110,BO108,BO106)</f>
        <v>86.610435509332021</v>
      </c>
      <c r="BP112" s="72">
        <f>SUM(BP100,BP104,BP110,BP108,BP106)</f>
        <v>101.29565162972948</v>
      </c>
      <c r="BQ112" s="72">
        <f>SUM(BQ100,BQ104,BQ110,BQ108,BQ106)</f>
        <v>111.78349306822335</v>
      </c>
      <c r="BR112" s="72">
        <f>SUM(BR100,BR104,BR110,BR108,BR106)</f>
        <v>98.63617124490635</v>
      </c>
    </row>
    <row r="113" spans="1:70" x14ac:dyDescent="0.2">
      <c r="A113" s="161" t="s">
        <v>6</v>
      </c>
      <c r="B113" s="12"/>
      <c r="C113" s="163">
        <f>C112/C88</f>
        <v>0.89221679746001314</v>
      </c>
      <c r="D113" s="163">
        <f>D112/D88</f>
        <v>0.91309301672748888</v>
      </c>
      <c r="E113" s="163">
        <f>E112/E88</f>
        <v>0.92961109283299914</v>
      </c>
      <c r="F113" s="163">
        <f>F112/F88</f>
        <v>0.90422011818931514</v>
      </c>
      <c r="G113" s="163">
        <f>G112/G88</f>
        <v>0.91561420497077839</v>
      </c>
      <c r="H113" s="163">
        <f>H112/H88</f>
        <v>0.94231678809931574</v>
      </c>
      <c r="I113" s="163">
        <f>I112/I88</f>
        <v>0.89589356405338116</v>
      </c>
      <c r="J113" s="163">
        <f>J112/J88</f>
        <v>0.92620275671886387</v>
      </c>
      <c r="K113" s="163">
        <f>K112/K88</f>
        <v>0.90312442250498881</v>
      </c>
      <c r="L113" s="173">
        <f>L112/L88</f>
        <v>0.6069954449811672</v>
      </c>
      <c r="M113" s="174">
        <f>M112/M88</f>
        <v>0.61528298993016484</v>
      </c>
      <c r="N113" s="163">
        <f>N112/N88</f>
        <v>0.62647402500658123</v>
      </c>
      <c r="O113" s="163">
        <f>O112/O88</f>
        <v>0.63691909819568626</v>
      </c>
      <c r="P113" s="163">
        <f>P112/P88</f>
        <v>0.64678584867618849</v>
      </c>
      <c r="Q113" s="163">
        <f>Q112/Q88</f>
        <v>0.6555169645877772</v>
      </c>
      <c r="R113" s="300"/>
      <c r="S113" s="91"/>
      <c r="T113" s="91"/>
      <c r="U113" s="91"/>
      <c r="V113" s="91"/>
      <c r="W113" s="91"/>
      <c r="X113" s="91"/>
      <c r="Y113" s="91"/>
      <c r="Z113" s="91"/>
      <c r="AA113" s="91"/>
      <c r="AB113" s="91"/>
      <c r="AC113" s="91"/>
      <c r="AD113" s="91"/>
      <c r="AE113" s="91">
        <f>AE112/AE88</f>
        <v>0.91357565533867735</v>
      </c>
      <c r="AF113" s="91">
        <f>AF112/AF88</f>
        <v>0.93361665723786802</v>
      </c>
      <c r="AG113" s="91">
        <f>AG112/AG88</f>
        <v>0.9259628405083824</v>
      </c>
      <c r="AH113" s="91">
        <f>AH112/AH88</f>
        <v>0.98755186721991695</v>
      </c>
      <c r="AI113" s="91">
        <f>AI112/AI88</f>
        <v>0.81940981971816196</v>
      </c>
      <c r="AJ113" s="91">
        <f>AJ112/AJ88</f>
        <v>0.91988567354913664</v>
      </c>
      <c r="AK113" s="91">
        <f>AK112/AK88</f>
        <v>0.92021348771993294</v>
      </c>
      <c r="AL113" s="91">
        <f>AL112/AL88</f>
        <v>0.92332683560753726</v>
      </c>
      <c r="AM113" s="91">
        <f>AM112/AM88</f>
        <v>0.95539085353859043</v>
      </c>
      <c r="AN113" s="91">
        <f>AN112/AN88</f>
        <v>0.91692542695447476</v>
      </c>
      <c r="AO113" s="91">
        <f>AO112/AO88</f>
        <v>0.9050669141173423</v>
      </c>
      <c r="AP113" s="91">
        <f>AP112/AP88</f>
        <v>0.92879066912216091</v>
      </c>
      <c r="AQ113" s="91">
        <f>AQ112/AQ88</f>
        <v>0.90227750314109978</v>
      </c>
      <c r="AR113" s="91">
        <f>AR112/AR88</f>
        <v>0.90075670938298258</v>
      </c>
      <c r="AS113" s="91">
        <f>AS112/AS88</f>
        <v>0.9061447855318705</v>
      </c>
      <c r="AT113" s="91">
        <f>AT112/AT88</f>
        <v>0.90321820296049538</v>
      </c>
      <c r="AU113" s="91">
        <f>AU112/AU88</f>
        <v>0.60345778197857591</v>
      </c>
      <c r="AV113" s="91">
        <f>AV112/AV88</f>
        <v>0.615276671597072</v>
      </c>
      <c r="AW113" s="91">
        <f>AW112/AW88</f>
        <v>0.59156557963700429</v>
      </c>
      <c r="AX113" s="91">
        <f>AX112/AX88</f>
        <v>0.6181084374048128</v>
      </c>
      <c r="AY113" s="91">
        <f>AY112/AY88</f>
        <v>0.59593951870518913</v>
      </c>
      <c r="AZ113" s="91">
        <f>AZ112/AZ88</f>
        <v>0.62990037628259321</v>
      </c>
      <c r="BA113" s="93">
        <f>BA112/BA88</f>
        <v>0.62907375643224694</v>
      </c>
      <c r="BB113" s="92">
        <f>BB112/BB88</f>
        <v>0.60421129925286832</v>
      </c>
      <c r="BC113" s="91">
        <f>BC112/BC88</f>
        <v>0.62518779843531724</v>
      </c>
      <c r="BD113" s="91">
        <f>BD112/BD88</f>
        <v>0.62582605269700764</v>
      </c>
      <c r="BE113" s="91">
        <f>BE112/BE88</f>
        <v>0.64128298604616152</v>
      </c>
      <c r="BF113" s="91">
        <f>BF112/BF88</f>
        <v>0.61268267171906721</v>
      </c>
      <c r="BG113" s="91">
        <f>BG112/BG88</f>
        <v>0.63674468124610728</v>
      </c>
      <c r="BH113" s="91">
        <f>BH112/BH88</f>
        <v>0.63542877108161866</v>
      </c>
      <c r="BI113" s="91">
        <f>BI112/BI88</f>
        <v>0.65336566251015193</v>
      </c>
      <c r="BJ113" s="91">
        <f>BJ112/BJ88</f>
        <v>0.621139815383695</v>
      </c>
      <c r="BK113" s="91">
        <f>BK112/BK88</f>
        <v>0.64816252958862375</v>
      </c>
      <c r="BL113" s="91">
        <f>BL112/BL88</f>
        <v>0.6442512893100818</v>
      </c>
      <c r="BM113" s="91">
        <f>BM112/BM88</f>
        <v>0.66466441812267385</v>
      </c>
      <c r="BN113" s="91">
        <f>BN112/BN88</f>
        <v>0.62909634613019305</v>
      </c>
      <c r="BO113" s="91">
        <f>BO112/BO88</f>
        <v>0.65881164492453204</v>
      </c>
      <c r="BP113" s="91">
        <f>BP112/BP88</f>
        <v>0.6518024892032287</v>
      </c>
      <c r="BQ113" s="91">
        <f>BQ112/BQ88</f>
        <v>0.67457183963909562</v>
      </c>
      <c r="BR113" s="91">
        <f>BR112/BR88</f>
        <v>0.63608378799881637</v>
      </c>
    </row>
    <row r="114" spans="1:70" x14ac:dyDescent="0.2">
      <c r="A114" s="65" t="s">
        <v>7</v>
      </c>
      <c r="B114" s="13"/>
      <c r="C114" s="88"/>
      <c r="D114" s="88"/>
      <c r="E114" s="88"/>
      <c r="F114" s="88"/>
      <c r="G114" s="88"/>
      <c r="H114" s="88"/>
      <c r="I114" s="88">
        <f>SUM(I100,I104,I110,I108,I106)-I112</f>
        <v>0</v>
      </c>
      <c r="J114" s="88">
        <f>SUM(J100,J104,J110,J108,J106)-J112</f>
        <v>0</v>
      </c>
      <c r="K114" s="88">
        <f>SUM(K100,K104,K110,K108,K106)-K112</f>
        <v>0</v>
      </c>
      <c r="L114" s="90">
        <f>SUM(L100,L104,L110,L108,L106)-L112</f>
        <v>0</v>
      </c>
      <c r="M114" s="89">
        <f>SUM(M100,M104,M110,M108,M106)-M112</f>
        <v>0</v>
      </c>
      <c r="N114" s="88">
        <f>SUM(N100,N104,N110,N108,N106)-N112</f>
        <v>0</v>
      </c>
      <c r="O114" s="88">
        <f>SUM(O100,O104,O110,O108,O106)-O112</f>
        <v>0</v>
      </c>
      <c r="P114" s="88">
        <f>SUM(P100,P104,P110,P108,P106)-P112</f>
        <v>0</v>
      </c>
      <c r="Q114" s="88">
        <f>SUM(Q100,Q104,Q110,Q108,Q106)-Q112</f>
        <v>0</v>
      </c>
      <c r="R114" s="50"/>
      <c r="S114" s="88"/>
      <c r="T114" s="88"/>
      <c r="U114" s="88"/>
      <c r="V114" s="88"/>
      <c r="W114" s="88"/>
      <c r="X114" s="88"/>
      <c r="Y114" s="88"/>
      <c r="Z114" s="88"/>
      <c r="AA114" s="88"/>
      <c r="AB114" s="88"/>
      <c r="AC114" s="88"/>
      <c r="AD114" s="88"/>
      <c r="AE114" s="88"/>
      <c r="AF114" s="88"/>
      <c r="AG114" s="88"/>
      <c r="AH114" s="88"/>
      <c r="AI114" s="88"/>
      <c r="AJ114" s="88"/>
      <c r="AK114" s="88"/>
      <c r="AL114" s="88"/>
      <c r="AM114" s="88"/>
      <c r="AN114" s="88"/>
      <c r="AO114" s="88"/>
      <c r="AP114" s="88"/>
      <c r="AQ114" s="88">
        <f>SUM(AQ100,AQ104,AQ110,AQ108,AQ106)-AQ112</f>
        <v>0</v>
      </c>
      <c r="AR114" s="88">
        <f>SUM(AR100,AR104,AR110,AR108,AR106)-AR112</f>
        <v>0</v>
      </c>
      <c r="AS114" s="88">
        <f>SUM(AS100,AS104,AS110,AS108,AS106)-AS112</f>
        <v>0</v>
      </c>
      <c r="AT114" s="88">
        <f>SUM(AT100,AT104,AT110,AT108,AT106)-AT112</f>
        <v>0</v>
      </c>
      <c r="AU114" s="88">
        <f>SUM(AU100,AU104,AU110,AU108,AU106)-AU112</f>
        <v>0</v>
      </c>
      <c r="AV114" s="88">
        <f>SUM(AV100,AV104,AV110,AV108,AV106)-AV112</f>
        <v>0</v>
      </c>
      <c r="AW114" s="88">
        <f>SUM(AW100,AW104,AW110,AW108,AW106)-AW112</f>
        <v>0</v>
      </c>
      <c r="AX114" s="88">
        <f>SUM(AX100,AX104,AX110,AX108,AX106)-AX112</f>
        <v>0</v>
      </c>
      <c r="AY114" s="88">
        <f>SUM(AY100,AY104,AY110,AY108,AY106)-AY112</f>
        <v>0</v>
      </c>
      <c r="AZ114" s="88">
        <f>SUM(AZ100,AZ104,AZ110,AZ108,AZ106)-AZ112</f>
        <v>0</v>
      </c>
      <c r="BA114" s="90">
        <f>SUM(BA100,BA104,BA110,BA108,BA106)-BA112</f>
        <v>0</v>
      </c>
      <c r="BB114" s="89">
        <f>SUM(BB100,BB104,BB110,BB108,BB106)-BB112</f>
        <v>0</v>
      </c>
      <c r="BC114" s="88">
        <f>SUM(BC100,BC104,BC110,BC108,BC106)-BC112</f>
        <v>0</v>
      </c>
      <c r="BD114" s="88">
        <f>SUM(BD100,BD104,BD110,BD108,BD106)-BD112</f>
        <v>0</v>
      </c>
      <c r="BE114" s="88">
        <f>SUM(BE100,BE104,BE110,BE108,BE106)-BE112</f>
        <v>0</v>
      </c>
      <c r="BF114" s="88">
        <f>SUM(BF100,BF104,BF110,BF108,BF106)-BF112</f>
        <v>0</v>
      </c>
      <c r="BG114" s="88">
        <f>SUM(BG100,BG104,BG110,BG108,BG106)-BG112</f>
        <v>0</v>
      </c>
      <c r="BH114" s="88">
        <f>SUM(BH100,BH104,BH110,BH108,BH106)-BH112</f>
        <v>0</v>
      </c>
      <c r="BI114" s="88">
        <f>SUM(BI100,BI104,BI110,BI108,BI106)-BI112</f>
        <v>0</v>
      </c>
      <c r="BJ114" s="88">
        <f>SUM(BJ100,BJ104,BJ110,BJ108,BJ106)-BJ112</f>
        <v>0</v>
      </c>
      <c r="BK114" s="88">
        <f>SUM(BK100,BK104,BK110,BK108,BK106)-BK112</f>
        <v>0</v>
      </c>
      <c r="BL114" s="88">
        <f>SUM(BL100,BL104,BL110,BL108,BL106)-BL112</f>
        <v>0</v>
      </c>
      <c r="BM114" s="88">
        <f>SUM(BM100,BM104,BM110,BM108,BM106)-BM112</f>
        <v>0</v>
      </c>
      <c r="BN114" s="88">
        <f>SUM(BN100,BN104,BN110,BN108,BN106)-BN112</f>
        <v>0</v>
      </c>
      <c r="BO114" s="88">
        <f>SUM(BO100,BO104,BO110,BO108,BO106)-BO112</f>
        <v>0</v>
      </c>
      <c r="BP114" s="88">
        <f>SUM(BP100,BP104,BP110,BP108,BP106)-BP112</f>
        <v>0</v>
      </c>
      <c r="BQ114" s="88">
        <f>SUM(BQ100,BQ104,BQ110,BQ108,BQ106)-BQ112</f>
        <v>0</v>
      </c>
      <c r="BR114" s="88">
        <f>SUM(BR100,BR104,BR110,BR108,BR106)-BR112</f>
        <v>0</v>
      </c>
    </row>
    <row r="115" spans="1:70" x14ac:dyDescent="0.2">
      <c r="A115" s="271"/>
      <c r="B115" s="9"/>
      <c r="C115" s="94"/>
      <c r="D115" s="94"/>
      <c r="E115" s="94"/>
      <c r="F115" s="94"/>
      <c r="G115" s="94"/>
      <c r="H115" s="94"/>
      <c r="I115" s="94"/>
      <c r="J115" s="94"/>
      <c r="K115" s="94"/>
      <c r="L115" s="95"/>
      <c r="M115" s="83"/>
      <c r="N115" s="84"/>
      <c r="O115" s="84"/>
      <c r="P115" s="84"/>
      <c r="Q115" s="84"/>
      <c r="R115" s="46"/>
      <c r="S115" s="94"/>
      <c r="T115" s="94"/>
      <c r="U115" s="94"/>
      <c r="V115" s="94"/>
      <c r="W115" s="94"/>
      <c r="X115" s="94"/>
      <c r="Y115" s="94"/>
      <c r="Z115" s="94"/>
      <c r="AA115" s="94"/>
      <c r="AB115" s="94"/>
      <c r="AC115" s="94"/>
      <c r="AD115" s="94"/>
      <c r="AE115" s="94"/>
      <c r="AF115" s="94"/>
      <c r="AG115" s="94"/>
      <c r="AH115" s="94"/>
      <c r="AI115" s="94"/>
      <c r="AJ115" s="94"/>
      <c r="AK115" s="94"/>
      <c r="AL115" s="94"/>
      <c r="AM115" s="94"/>
      <c r="AN115" s="94"/>
      <c r="AO115" s="94"/>
      <c r="AP115" s="94"/>
      <c r="AQ115" s="94"/>
      <c r="AR115" s="94"/>
      <c r="AS115" s="94"/>
      <c r="AT115" s="94"/>
      <c r="AU115" s="94"/>
      <c r="AV115" s="94"/>
      <c r="AW115" s="94"/>
      <c r="AX115" s="94"/>
      <c r="AY115" s="94"/>
      <c r="AZ115" s="94"/>
      <c r="BA115" s="95"/>
      <c r="BB115" s="96"/>
      <c r="BC115" s="94"/>
      <c r="BD115" s="94"/>
      <c r="BE115" s="94"/>
      <c r="BF115" s="94"/>
      <c r="BG115" s="94"/>
      <c r="BH115" s="94"/>
      <c r="BI115" s="94"/>
      <c r="BJ115" s="94"/>
      <c r="BK115" s="94"/>
      <c r="BL115" s="94"/>
      <c r="BM115" s="94"/>
      <c r="BN115" s="94"/>
      <c r="BO115" s="94"/>
      <c r="BP115" s="94"/>
      <c r="BQ115" s="94"/>
      <c r="BR115" s="94"/>
    </row>
    <row r="116" spans="1:70" x14ac:dyDescent="0.2">
      <c r="A116" s="189" t="s">
        <v>117</v>
      </c>
      <c r="B116" s="42"/>
      <c r="C116" s="144">
        <f>IS!C32</f>
        <v>72.054000000000002</v>
      </c>
      <c r="D116" s="144">
        <f>IS!D32</f>
        <v>52.63</v>
      </c>
      <c r="E116" s="144">
        <f>IS!E32</f>
        <v>38.295999999999999</v>
      </c>
      <c r="F116" s="144">
        <f>IS!F32</f>
        <v>55.981999999999999</v>
      </c>
      <c r="G116" s="144">
        <f>IS!G32</f>
        <v>49.15</v>
      </c>
      <c r="H116" s="144">
        <f>IS!H32</f>
        <v>33.781999999999996</v>
      </c>
      <c r="I116" s="145">
        <v>63.773000000000003</v>
      </c>
      <c r="J116" s="145">
        <v>47.688000000000002</v>
      </c>
      <c r="K116" s="145">
        <v>72.867000000000004</v>
      </c>
      <c r="L116" s="145">
        <v>82.742000000000004</v>
      </c>
      <c r="M116" s="86">
        <f>SUM(AY116:BB116)</f>
        <v>94.064604814164369</v>
      </c>
      <c r="N116" s="72">
        <f>SUM(BC116:BF116)</f>
        <v>110.98465126565245</v>
      </c>
      <c r="O116" s="72">
        <f>SUM(BG116:BJ116)</f>
        <v>133.90322565169447</v>
      </c>
      <c r="P116" s="72">
        <f>SUM(BK116:BN116)</f>
        <v>165.33422879793798</v>
      </c>
      <c r="Q116" s="72">
        <f>SUM(BO116:BR116)</f>
        <v>209.32557257216706</v>
      </c>
      <c r="R116" s="48"/>
      <c r="S116" s="145"/>
      <c r="T116" s="145"/>
      <c r="U116" s="145"/>
      <c r="V116" s="145"/>
      <c r="W116" s="145"/>
      <c r="X116" s="145"/>
      <c r="Y116" s="145"/>
      <c r="Z116" s="145"/>
      <c r="AA116" s="145"/>
      <c r="AB116" s="145"/>
      <c r="AC116" s="145"/>
      <c r="AD116" s="145"/>
      <c r="AE116" s="145">
        <v>13.013</v>
      </c>
      <c r="AF116" s="145">
        <v>9.6219999999999999</v>
      </c>
      <c r="AG116" s="145">
        <v>10.771000000000001</v>
      </c>
      <c r="AH116" s="145">
        <v>1.8</v>
      </c>
      <c r="AI116" s="145">
        <v>27.527000000000001</v>
      </c>
      <c r="AJ116" s="145">
        <v>12.137</v>
      </c>
      <c r="AK116" s="145">
        <v>12.348000000000001</v>
      </c>
      <c r="AL116" s="145">
        <v>11.8</v>
      </c>
      <c r="AM116" s="145">
        <v>7.03</v>
      </c>
      <c r="AN116" s="145">
        <v>13.27</v>
      </c>
      <c r="AO116" s="145">
        <v>15.755000000000001</v>
      </c>
      <c r="AP116" s="145">
        <v>11.6</v>
      </c>
      <c r="AQ116" s="145">
        <v>17.811</v>
      </c>
      <c r="AR116" s="145">
        <v>18.571000000000002</v>
      </c>
      <c r="AS116" s="145">
        <v>18.007999999999999</v>
      </c>
      <c r="AT116" s="144">
        <f>K116-AS116-AR116-AQ116</f>
        <v>18.477000000000011</v>
      </c>
      <c r="AU116" s="145">
        <v>20.138000000000002</v>
      </c>
      <c r="AV116" s="145">
        <v>20.288</v>
      </c>
      <c r="AW116" s="145">
        <v>22.256</v>
      </c>
      <c r="AX116" s="144">
        <f>L116-AW116-AV116-AU116</f>
        <v>20.060000000000006</v>
      </c>
      <c r="AY116" s="145">
        <v>22.768000000000001</v>
      </c>
      <c r="AZ116" s="145">
        <v>22.327000000000002</v>
      </c>
      <c r="BA116" s="155">
        <v>24.22</v>
      </c>
      <c r="BB116" s="86">
        <f>BB88-BB112</f>
        <v>24.749604814164364</v>
      </c>
      <c r="BC116" s="72">
        <f>BC88-BC112</f>
        <v>25.306575856012842</v>
      </c>
      <c r="BD116" s="72">
        <f>BD88-BD112</f>
        <v>27.658283464276863</v>
      </c>
      <c r="BE116" s="72">
        <f>BE88-BE112</f>
        <v>28.62086723237605</v>
      </c>
      <c r="BF116" s="72">
        <f>BF88-BF112</f>
        <v>29.398924712986677</v>
      </c>
      <c r="BG116" s="72">
        <f>BG88-BG112</f>
        <v>29.971352886612529</v>
      </c>
      <c r="BH116" s="72">
        <f>BH88-BH112</f>
        <v>33.749921388125102</v>
      </c>
      <c r="BI116" s="72">
        <f>BI88-BI112</f>
        <v>34.517789058616756</v>
      </c>
      <c r="BJ116" s="72">
        <f>BJ88-BJ112</f>
        <v>35.66416231834009</v>
      </c>
      <c r="BK116" s="72">
        <f>BK88-BK112</f>
        <v>36.238598072428104</v>
      </c>
      <c r="BL116" s="72">
        <f>BL88-BL112</f>
        <v>42.191965010546554</v>
      </c>
      <c r="BM116" s="72">
        <f>BM88-BM112</f>
        <v>42.605346573738117</v>
      </c>
      <c r="BN116" s="72">
        <f>BN88-BN112</f>
        <v>44.298319141225207</v>
      </c>
      <c r="BO116" s="72">
        <f>BO88-BO112</f>
        <v>44.854204159041458</v>
      </c>
      <c r="BP116" s="72">
        <f>BP88-BP112</f>
        <v>54.112855253321115</v>
      </c>
      <c r="BQ116" s="72">
        <f>BQ88-BQ112</f>
        <v>53.92679381245776</v>
      </c>
      <c r="BR116" s="72">
        <f>BR88-BR112</f>
        <v>56.431719347346714</v>
      </c>
    </row>
    <row r="117" spans="1:70" x14ac:dyDescent="0.2">
      <c r="A117" s="161" t="s">
        <v>6</v>
      </c>
      <c r="B117" s="12"/>
      <c r="C117" s="163">
        <f>C116/C88</f>
        <v>0.10791050140777571</v>
      </c>
      <c r="D117" s="163">
        <f>D116/D88</f>
        <v>8.6906983272511104E-2</v>
      </c>
      <c r="E117" s="163">
        <f>E116/E88</f>
        <v>7.0388907167000886E-2</v>
      </c>
      <c r="F117" s="163">
        <f>F116/F88</f>
        <v>9.5779881810684947E-2</v>
      </c>
      <c r="G117" s="163">
        <f>G116/G88</f>
        <v>8.4385795029221694E-2</v>
      </c>
      <c r="H117" s="163">
        <f>H116/H88</f>
        <v>5.7683211900684192E-2</v>
      </c>
      <c r="I117" s="163">
        <f>I116/I88</f>
        <v>0.10410643594661878</v>
      </c>
      <c r="J117" s="163">
        <f>J116/J88</f>
        <v>7.3797243281136127E-2</v>
      </c>
      <c r="K117" s="163">
        <f>K116/K88</f>
        <v>9.6875577495011106E-2</v>
      </c>
      <c r="L117" s="173">
        <f>L116/L88</f>
        <v>0.3930045550188328</v>
      </c>
      <c r="M117" s="174">
        <f>M116/M88</f>
        <v>0.38471701006983516</v>
      </c>
      <c r="N117" s="163">
        <f>N116/N88</f>
        <v>0.37352597499341883</v>
      </c>
      <c r="O117" s="163">
        <f>O116/O88</f>
        <v>0.36308090180431374</v>
      </c>
      <c r="P117" s="163">
        <f>P116/P88</f>
        <v>0.35321415132381145</v>
      </c>
      <c r="Q117" s="163">
        <f>Q116/Q88</f>
        <v>0.3444830354122228</v>
      </c>
      <c r="R117" s="300"/>
      <c r="S117" s="91"/>
      <c r="T117" s="91"/>
      <c r="U117" s="91"/>
      <c r="V117" s="91"/>
      <c r="W117" s="91"/>
      <c r="X117" s="91"/>
      <c r="Y117" s="91"/>
      <c r="Z117" s="91"/>
      <c r="AA117" s="91"/>
      <c r="AB117" s="91"/>
      <c r="AC117" s="91"/>
      <c r="AD117" s="91"/>
      <c r="AE117" s="91">
        <f>AE116/AE88</f>
        <v>8.6424344661322566E-2</v>
      </c>
      <c r="AF117" s="91">
        <f>AF116/AF88</f>
        <v>6.6383342762132105E-2</v>
      </c>
      <c r="AG117" s="91">
        <f>AG116/AG88</f>
        <v>7.4037159491617474E-2</v>
      </c>
      <c r="AH117" s="91">
        <f>AH116/AH88</f>
        <v>1.2448132780082988E-2</v>
      </c>
      <c r="AI117" s="91">
        <f>AI116/AI88</f>
        <v>0.18059018028183799</v>
      </c>
      <c r="AJ117" s="91">
        <f>AJ116/AJ88</f>
        <v>8.0114326450863388E-2</v>
      </c>
      <c r="AK117" s="91">
        <f>AK116/AK88</f>
        <v>7.9786512280066946E-2</v>
      </c>
      <c r="AL117" s="91">
        <f>AL116/AL88</f>
        <v>7.6673164392462634E-2</v>
      </c>
      <c r="AM117" s="91">
        <f>AM116/AM88</f>
        <v>4.46091464614096E-2</v>
      </c>
      <c r="AN117" s="91">
        <f>AN116/AN88</f>
        <v>8.3074573045525124E-2</v>
      </c>
      <c r="AO117" s="91">
        <f>AO116/AO88</f>
        <v>9.4933085882657767E-2</v>
      </c>
      <c r="AP117" s="91">
        <f>AP116/AP88</f>
        <v>7.1209330877839164E-2</v>
      </c>
      <c r="AQ117" s="91">
        <f>AQ116/AQ88</f>
        <v>9.7722496858900151E-2</v>
      </c>
      <c r="AR117" s="91">
        <f>AR116/AR88</f>
        <v>9.9243290617017421E-2</v>
      </c>
      <c r="AS117" s="91">
        <f>AS116/AS88</f>
        <v>9.3855214468129458E-2</v>
      </c>
      <c r="AT117" s="91">
        <f>AT116/AT88</f>
        <v>9.6781797039504763E-2</v>
      </c>
      <c r="AU117" s="91">
        <f>AU116/AU88</f>
        <v>0.39654221802142409</v>
      </c>
      <c r="AV117" s="91">
        <f>AV116/AV88</f>
        <v>0.38472332840292789</v>
      </c>
      <c r="AW117" s="91">
        <f>AW116/AW88</f>
        <v>0.40843442036299571</v>
      </c>
      <c r="AX117" s="91">
        <f>AX116/AX88</f>
        <v>0.38189156259518747</v>
      </c>
      <c r="AY117" s="91">
        <f>AY116/AY88</f>
        <v>0.40406048129481081</v>
      </c>
      <c r="AZ117" s="91">
        <f>AZ116/AZ88</f>
        <v>0.37009962371740684</v>
      </c>
      <c r="BA117" s="93">
        <f>BA116/BA88</f>
        <v>0.37092624356775294</v>
      </c>
      <c r="BB117" s="92">
        <f>BB116/BB88</f>
        <v>0.39578870074713168</v>
      </c>
      <c r="BC117" s="91">
        <f>BC116/BC88</f>
        <v>0.3748122015646827</v>
      </c>
      <c r="BD117" s="91">
        <f>BD116/BD88</f>
        <v>0.37417394730299242</v>
      </c>
      <c r="BE117" s="91">
        <f>BE116/BE88</f>
        <v>0.35871701395383843</v>
      </c>
      <c r="BF117" s="91">
        <f>BF116/BF88</f>
        <v>0.38731732828093274</v>
      </c>
      <c r="BG117" s="91">
        <f>BG116/BG88</f>
        <v>0.36325531875389278</v>
      </c>
      <c r="BH117" s="91">
        <f>BH116/BH88</f>
        <v>0.36457122891838134</v>
      </c>
      <c r="BI117" s="91">
        <f>BI116/BI88</f>
        <v>0.34663433748984801</v>
      </c>
      <c r="BJ117" s="91">
        <f>BJ116/BJ88</f>
        <v>0.37886018461630494</v>
      </c>
      <c r="BK117" s="91">
        <f>BK116/BK88</f>
        <v>0.35183747041137625</v>
      </c>
      <c r="BL117" s="91">
        <f>BL116/BL88</f>
        <v>0.3557487106899182</v>
      </c>
      <c r="BM117" s="91">
        <f>BM116/BM88</f>
        <v>0.33533558187732615</v>
      </c>
      <c r="BN117" s="91">
        <f>BN116/BN88</f>
        <v>0.37090365386980695</v>
      </c>
      <c r="BO117" s="91">
        <f>BO116/BO88</f>
        <v>0.34118835507546796</v>
      </c>
      <c r="BP117" s="91">
        <f>BP116/BP88</f>
        <v>0.3481975107967713</v>
      </c>
      <c r="BQ117" s="91">
        <f>BQ116/BQ88</f>
        <v>0.32542816036090438</v>
      </c>
      <c r="BR117" s="91">
        <f>BR116/BR88</f>
        <v>0.36391621200118363</v>
      </c>
    </row>
    <row r="118" spans="1:70" x14ac:dyDescent="0.2">
      <c r="A118" s="65" t="s">
        <v>7</v>
      </c>
      <c r="B118" s="13"/>
      <c r="C118" s="88">
        <f>C88-C112-C116</f>
        <v>-8.4999999999951115E-2</v>
      </c>
      <c r="D118" s="88">
        <f>D88-D112-D116</f>
        <v>0</v>
      </c>
      <c r="E118" s="88">
        <f>E88-E112-E116</f>
        <v>0</v>
      </c>
      <c r="F118" s="88">
        <f>F88-F112-F116</f>
        <v>0</v>
      </c>
      <c r="G118" s="88">
        <f>G88-G112-G116</f>
        <v>0</v>
      </c>
      <c r="H118" s="88">
        <f>H88-H112-H116</f>
        <v>0</v>
      </c>
      <c r="I118" s="88">
        <f>I88-I112-I116</f>
        <v>0</v>
      </c>
      <c r="J118" s="88">
        <f>J88-J112-J116</f>
        <v>0</v>
      </c>
      <c r="K118" s="88">
        <f>K88-K112-K116</f>
        <v>0</v>
      </c>
      <c r="L118" s="90">
        <f>L88-L112-L116</f>
        <v>0</v>
      </c>
      <c r="M118" s="89">
        <f>M88-M112-M116</f>
        <v>0</v>
      </c>
      <c r="N118" s="88">
        <f>N88-N112-N116</f>
        <v>0</v>
      </c>
      <c r="O118" s="88">
        <f>O88-O112-O116</f>
        <v>0</v>
      </c>
      <c r="P118" s="88">
        <f>P88-P112-P116</f>
        <v>0</v>
      </c>
      <c r="Q118" s="88">
        <f>Q88-Q112-Q116</f>
        <v>0</v>
      </c>
      <c r="R118" s="50"/>
      <c r="S118" s="88"/>
      <c r="T118" s="88"/>
      <c r="U118" s="88"/>
      <c r="V118" s="88"/>
      <c r="W118" s="88"/>
      <c r="X118" s="88"/>
      <c r="Y118" s="88"/>
      <c r="Z118" s="88"/>
      <c r="AA118" s="88"/>
      <c r="AB118" s="88"/>
      <c r="AC118" s="88"/>
      <c r="AD118" s="88"/>
      <c r="AE118" s="88">
        <f>AE88-AE112-AE116</f>
        <v>0</v>
      </c>
      <c r="AF118" s="88">
        <f>AF88-AF112-AF116</f>
        <v>-1.4210854715202004E-14</v>
      </c>
      <c r="AG118" s="88">
        <f>AG88-AG112-AG116</f>
        <v>1.4210854715202004E-14</v>
      </c>
      <c r="AH118" s="88">
        <f>AH88-AH112-AH116</f>
        <v>1.1324274851176597E-14</v>
      </c>
      <c r="AI118" s="88">
        <f>AI88-AI112-AI116</f>
        <v>0</v>
      </c>
      <c r="AJ118" s="88">
        <f>AJ88-AJ112-AJ116</f>
        <v>0</v>
      </c>
      <c r="AK118" s="88">
        <f>AK88-AK112-AK116</f>
        <v>0</v>
      </c>
      <c r="AL118" s="88">
        <f>AL88-AL112-AL116</f>
        <v>0</v>
      </c>
      <c r="AM118" s="88">
        <f>AM88-AM112-AM116</f>
        <v>0</v>
      </c>
      <c r="AN118" s="88">
        <f>AN88-AN112-AN116</f>
        <v>0</v>
      </c>
      <c r="AO118" s="88">
        <f>AO88-AO112-AO116</f>
        <v>0</v>
      </c>
      <c r="AP118" s="88">
        <f>AP88-AP112-AP116</f>
        <v>0</v>
      </c>
      <c r="AQ118" s="88">
        <f>AQ88-AQ112-AQ116</f>
        <v>0</v>
      </c>
      <c r="AR118" s="88">
        <f>AR88-AR112-AR116</f>
        <v>0</v>
      </c>
      <c r="AS118" s="88">
        <f>AS88-AS112-AS116</f>
        <v>0</v>
      </c>
      <c r="AT118" s="88">
        <f>AT88-AT112-AT116</f>
        <v>-3.5527136788005009E-14</v>
      </c>
      <c r="AU118" s="88">
        <f>AU88-AU112-AU116</f>
        <v>0</v>
      </c>
      <c r="AV118" s="88">
        <f>AV88-AV112-AV116</f>
        <v>0</v>
      </c>
      <c r="AW118" s="88">
        <f>AW88-AW112-AW116</f>
        <v>0</v>
      </c>
      <c r="AX118" s="88">
        <f>AX88-AX112-AX116</f>
        <v>0</v>
      </c>
      <c r="AY118" s="88">
        <f>AY88-AY112-AY116</f>
        <v>0</v>
      </c>
      <c r="AZ118" s="88">
        <f>AZ88-AZ112-AZ116</f>
        <v>0</v>
      </c>
      <c r="BA118" s="90">
        <f>BA88-BA112-BA116</f>
        <v>0</v>
      </c>
      <c r="BB118" s="89">
        <f>BB88-BB112-BB116</f>
        <v>0</v>
      </c>
      <c r="BC118" s="88">
        <f>BC88-BC112-BC116</f>
        <v>0</v>
      </c>
      <c r="BD118" s="88">
        <f>BD88-BD112-BD116</f>
        <v>0</v>
      </c>
      <c r="BE118" s="88">
        <f>BE88-BE112-BE116</f>
        <v>0</v>
      </c>
      <c r="BF118" s="88">
        <f>BF88-BF112-BF116</f>
        <v>0</v>
      </c>
      <c r="BG118" s="88">
        <f>BG88-BG112-BG116</f>
        <v>0</v>
      </c>
      <c r="BH118" s="88">
        <f>BH88-BH112-BH116</f>
        <v>0</v>
      </c>
      <c r="BI118" s="88">
        <f>BI88-BI112-BI116</f>
        <v>0</v>
      </c>
      <c r="BJ118" s="88">
        <f>BJ88-BJ112-BJ116</f>
        <v>0</v>
      </c>
      <c r="BK118" s="88">
        <f>BK88-BK112-BK116</f>
        <v>0</v>
      </c>
      <c r="BL118" s="88">
        <f>BL88-BL112-BL116</f>
        <v>0</v>
      </c>
      <c r="BM118" s="88">
        <f>BM88-BM112-BM116</f>
        <v>0</v>
      </c>
      <c r="BN118" s="88">
        <f>BN88-BN112-BN116</f>
        <v>0</v>
      </c>
      <c r="BO118" s="88">
        <f>BO88-BO112-BO116</f>
        <v>0</v>
      </c>
      <c r="BP118" s="88">
        <f>BP88-BP112-BP116</f>
        <v>0</v>
      </c>
      <c r="BQ118" s="88">
        <f>BQ88-BQ112-BQ116</f>
        <v>0</v>
      </c>
      <c r="BR118" s="88">
        <f>BR88-BR112-BR116</f>
        <v>0</v>
      </c>
    </row>
    <row r="119" spans="1:70" x14ac:dyDescent="0.2">
      <c r="A119" s="273"/>
      <c r="B119" s="9"/>
      <c r="C119" s="94"/>
      <c r="D119" s="94"/>
      <c r="E119" s="94"/>
      <c r="F119" s="94"/>
      <c r="G119" s="94"/>
      <c r="H119" s="94"/>
      <c r="I119" s="94"/>
      <c r="J119" s="94"/>
      <c r="K119" s="94"/>
      <c r="L119" s="95"/>
      <c r="M119" s="83"/>
      <c r="N119" s="84"/>
      <c r="O119" s="84"/>
      <c r="P119" s="84"/>
      <c r="Q119" s="84"/>
      <c r="R119" s="46"/>
      <c r="S119" s="94"/>
      <c r="T119" s="94"/>
      <c r="U119" s="94"/>
      <c r="V119" s="94"/>
      <c r="W119" s="94"/>
      <c r="X119" s="94"/>
      <c r="Y119" s="94"/>
      <c r="Z119" s="94"/>
      <c r="AA119" s="94"/>
      <c r="AB119" s="94"/>
      <c r="AC119" s="94"/>
      <c r="AD119" s="94"/>
      <c r="AE119" s="94"/>
      <c r="AF119" s="94"/>
      <c r="AG119" s="94"/>
      <c r="AH119" s="94"/>
      <c r="AI119" s="94"/>
      <c r="AJ119" s="94"/>
      <c r="AK119" s="94"/>
      <c r="AL119" s="94"/>
      <c r="AM119" s="94"/>
      <c r="AN119" s="94"/>
      <c r="AO119" s="94"/>
      <c r="AP119" s="94"/>
      <c r="AQ119" s="94"/>
      <c r="AR119" s="94"/>
      <c r="AS119" s="94"/>
      <c r="AT119" s="94"/>
      <c r="AU119" s="94"/>
      <c r="AV119" s="94"/>
      <c r="AW119" s="94"/>
      <c r="AX119" s="94"/>
      <c r="AY119" s="94"/>
      <c r="AZ119" s="94"/>
      <c r="BA119" s="95"/>
      <c r="BB119" s="96"/>
      <c r="BC119" s="94"/>
      <c r="BD119" s="94"/>
      <c r="BE119" s="94"/>
      <c r="BF119" s="94"/>
      <c r="BG119" s="94"/>
      <c r="BH119" s="94"/>
      <c r="BI119" s="94"/>
      <c r="BJ119" s="94"/>
      <c r="BK119" s="94"/>
      <c r="BL119" s="94"/>
      <c r="BM119" s="94"/>
      <c r="BN119" s="94"/>
      <c r="BO119" s="94"/>
      <c r="BP119" s="94"/>
      <c r="BQ119" s="94"/>
      <c r="BR119" s="94"/>
    </row>
    <row r="120" spans="1:70" x14ac:dyDescent="0.2">
      <c r="A120" s="189" t="s">
        <v>219</v>
      </c>
      <c r="B120" s="42"/>
      <c r="C120" s="141"/>
      <c r="D120" s="141"/>
      <c r="E120" s="141"/>
      <c r="F120" s="141"/>
      <c r="G120" s="141"/>
      <c r="H120" s="144">
        <f>SUM(AE120:AH120)</f>
        <v>76.099999999999994</v>
      </c>
      <c r="I120" s="144">
        <f>SUM(AI120:AL120)</f>
        <v>77.599999999999994</v>
      </c>
      <c r="J120" s="144">
        <f>SUM(AM120:AP120)</f>
        <v>81.900000000000006</v>
      </c>
      <c r="K120" s="145">
        <v>96.85</v>
      </c>
      <c r="L120" s="145">
        <v>103.643</v>
      </c>
      <c r="M120" s="86">
        <f>SUM(AY120:BB120)</f>
        <v>116.52602742274479</v>
      </c>
      <c r="N120" s="72">
        <f>SUM(BC120:BF120)</f>
        <v>136.96892016137656</v>
      </c>
      <c r="O120" s="72">
        <f>SUM(BG120:BJ120)</f>
        <v>170.00729281949086</v>
      </c>
      <c r="P120" s="72">
        <f>SUM(BK120:BN120)</f>
        <v>215.77672494754938</v>
      </c>
      <c r="Q120" s="72">
        <f>SUM(BO120:BR120)</f>
        <v>280.1137106887586</v>
      </c>
      <c r="R120" s="48"/>
      <c r="S120" s="145"/>
      <c r="T120" s="145"/>
      <c r="U120" s="145"/>
      <c r="V120" s="145"/>
      <c r="W120" s="145"/>
      <c r="X120" s="145"/>
      <c r="Y120" s="145"/>
      <c r="Z120" s="145"/>
      <c r="AA120" s="145"/>
      <c r="AB120" s="145"/>
      <c r="AC120" s="145"/>
      <c r="AD120" s="145"/>
      <c r="AE120" s="145">
        <v>19.399999999999999</v>
      </c>
      <c r="AF120" s="145">
        <v>17.7</v>
      </c>
      <c r="AG120" s="145">
        <v>19.100000000000001</v>
      </c>
      <c r="AH120" s="145">
        <v>19.899999999999999</v>
      </c>
      <c r="AI120" s="145">
        <v>20</v>
      </c>
      <c r="AJ120" s="145">
        <v>18.899999999999999</v>
      </c>
      <c r="AK120" s="145">
        <v>19.3</v>
      </c>
      <c r="AL120" s="145">
        <v>19.399999999999999</v>
      </c>
      <c r="AM120" s="145">
        <v>17.3</v>
      </c>
      <c r="AN120" s="145">
        <v>21.2</v>
      </c>
      <c r="AO120" s="145">
        <v>22.4</v>
      </c>
      <c r="AP120" s="145">
        <v>21</v>
      </c>
      <c r="AQ120" s="145">
        <v>24.1</v>
      </c>
      <c r="AR120" s="145">
        <v>24.9</v>
      </c>
      <c r="AS120" s="145">
        <v>23.8</v>
      </c>
      <c r="AT120" s="145">
        <v>24.1</v>
      </c>
      <c r="AU120" s="145">
        <v>26.3</v>
      </c>
      <c r="AV120" s="145">
        <v>25.8</v>
      </c>
      <c r="AW120" s="145">
        <v>26.5</v>
      </c>
      <c r="AX120" s="145">
        <v>25</v>
      </c>
      <c r="AY120" s="145">
        <v>28.2</v>
      </c>
      <c r="AZ120" s="145">
        <v>29.4</v>
      </c>
      <c r="BA120" s="155">
        <v>30.1</v>
      </c>
      <c r="BB120" s="86">
        <f>BB121*BB88</f>
        <v>28.826027422744797</v>
      </c>
      <c r="BC120" s="72">
        <f>BC121*BC88</f>
        <v>31.124299378055014</v>
      </c>
      <c r="BD120" s="72">
        <f>BD121*BD88</f>
        <v>34.074665090680924</v>
      </c>
      <c r="BE120" s="72">
        <f>BE121*BE88</f>
        <v>36.779915866123517</v>
      </c>
      <c r="BF120" s="72">
        <f>BF121*BF88</f>
        <v>34.990039826517091</v>
      </c>
      <c r="BG120" s="72">
        <f>BG121*BG88</f>
        <v>38.034199783286446</v>
      </c>
      <c r="BH120" s="72">
        <f>BH121*BH88</f>
        <v>42.674681803436677</v>
      </c>
      <c r="BI120" s="72">
        <f>BI121*BI88</f>
        <v>45.904082030184902</v>
      </c>
      <c r="BJ120" s="72">
        <f>BJ121*BJ88</f>
        <v>43.394329202582846</v>
      </c>
      <c r="BK120" s="72">
        <f>BK121*BK88</f>
        <v>47.479836718537136</v>
      </c>
      <c r="BL120" s="72">
        <f>BL121*BL88</f>
        <v>54.67217299665343</v>
      </c>
      <c r="BM120" s="72">
        <f>BM121*BM88</f>
        <v>58.568537901895091</v>
      </c>
      <c r="BN120" s="72">
        <f>BN121*BN88</f>
        <v>55.056177330463711</v>
      </c>
      <c r="BO120" s="72">
        <f>BO121*BO88</f>
        <v>60.602267428602694</v>
      </c>
      <c r="BP120" s="72">
        <f>BP121*BP88</f>
        <v>71.639856303293044</v>
      </c>
      <c r="BQ120" s="72">
        <f>BQ121*BQ88</f>
        <v>76.388747168410021</v>
      </c>
      <c r="BR120" s="72">
        <f>BR121*BR88</f>
        <v>71.482839788452836</v>
      </c>
    </row>
    <row r="121" spans="1:70" x14ac:dyDescent="0.2">
      <c r="A121" s="161" t="s">
        <v>6</v>
      </c>
      <c r="B121" s="12"/>
      <c r="C121" s="163"/>
      <c r="D121" s="163"/>
      <c r="E121" s="163"/>
      <c r="F121" s="163"/>
      <c r="G121" s="163"/>
      <c r="H121" s="163">
        <f>H120/H88</f>
        <v>0.12994175672376021</v>
      </c>
      <c r="I121" s="163">
        <f>I120/I88</f>
        <v>0.12667836591437781</v>
      </c>
      <c r="J121" s="163">
        <f>J120/J88</f>
        <v>0.12674035867985758</v>
      </c>
      <c r="K121" s="163">
        <f>K120/K88</f>
        <v>0.12876061427521135</v>
      </c>
      <c r="L121" s="173">
        <f>L120/L88</f>
        <v>0.49227926682720852</v>
      </c>
      <c r="M121" s="174">
        <f>M120/M88</f>
        <v>0.47658250363098859</v>
      </c>
      <c r="N121" s="163">
        <f>N120/N88</f>
        <v>0.46097770154373929</v>
      </c>
      <c r="O121" s="163">
        <f>O120/O88</f>
        <v>0.46097770154373918</v>
      </c>
      <c r="P121" s="163">
        <f>P120/P88</f>
        <v>0.46097770154373924</v>
      </c>
      <c r="Q121" s="163">
        <f>Q120/Q88</f>
        <v>0.46097770154373924</v>
      </c>
      <c r="R121" s="300"/>
      <c r="S121" s="91"/>
      <c r="T121" s="91"/>
      <c r="U121" s="91"/>
      <c r="V121" s="91"/>
      <c r="W121" s="91"/>
      <c r="X121" s="91"/>
      <c r="Y121" s="91"/>
      <c r="Z121" s="91"/>
      <c r="AA121" s="91"/>
      <c r="AB121" s="91"/>
      <c r="AC121" s="91"/>
      <c r="AD121" s="91"/>
      <c r="AE121" s="91">
        <f>AE120/AE88</f>
        <v>0.12884287146927362</v>
      </c>
      <c r="AF121" s="91">
        <f>AF120/AF88</f>
        <v>0.12211444262001021</v>
      </c>
      <c r="AG121" s="91">
        <f>AG120/AG88</f>
        <v>0.13128862188189525</v>
      </c>
      <c r="AH121" s="91">
        <f>AH120/AH88</f>
        <v>0.13762102351313968</v>
      </c>
      <c r="AI121" s="91">
        <f>AI120/AI88</f>
        <v>0.13120948907024957</v>
      </c>
      <c r="AJ121" s="91">
        <f>AJ120/AJ88</f>
        <v>0.12475576912921792</v>
      </c>
      <c r="AK121" s="91">
        <f>AK120/AK88</f>
        <v>0.12470680976719242</v>
      </c>
      <c r="AL121" s="91">
        <f>AL120/AL88</f>
        <v>0.12605588044184535</v>
      </c>
      <c r="AM121" s="91">
        <f>AM120/AM88</f>
        <v>0.10977784264329815</v>
      </c>
      <c r="AN121" s="91">
        <f>AN120/AN88</f>
        <v>0.13271898632744028</v>
      </c>
      <c r="AO121" s="91">
        <f>AO120/AO88</f>
        <v>0.13497309576461655</v>
      </c>
      <c r="AP121" s="91">
        <f>AP120/AP88</f>
        <v>0.12891344383057091</v>
      </c>
      <c r="AQ121" s="91">
        <f>AQ120/AQ88</f>
        <v>0.13222795880632721</v>
      </c>
      <c r="AR121" s="91">
        <f>AR120/AR88</f>
        <v>0.13306542116007394</v>
      </c>
      <c r="AS121" s="91">
        <f>AS120/AS88</f>
        <v>0.12404232032105071</v>
      </c>
      <c r="AT121" s="91">
        <f>AT120/AT88</f>
        <v>0.12623484919911585</v>
      </c>
      <c r="AU121" s="91">
        <f>AU120/AU88</f>
        <v>0.51787964713295531</v>
      </c>
      <c r="AV121" s="91">
        <f>AV120/AV88</f>
        <v>0.48924792354078961</v>
      </c>
      <c r="AW121" s="91">
        <f>AW120/AW88</f>
        <v>0.4863188416435742</v>
      </c>
      <c r="AX121" s="91">
        <f>AX120/AX88</f>
        <v>0.47593664331404206</v>
      </c>
      <c r="AY121" s="91">
        <f>AY120/AY88</f>
        <v>0.50046141832895574</v>
      </c>
      <c r="AZ121" s="91">
        <f>AZ120/AZ88</f>
        <v>0.48734397533442736</v>
      </c>
      <c r="BA121" s="93">
        <f>BA120/BA88</f>
        <v>0.46097770154373924</v>
      </c>
      <c r="BB121" s="248">
        <f>BA121</f>
        <v>0.46097770154373924</v>
      </c>
      <c r="BC121" s="215">
        <f>BB121</f>
        <v>0.46097770154373924</v>
      </c>
      <c r="BD121" s="215">
        <f>BC121</f>
        <v>0.46097770154373924</v>
      </c>
      <c r="BE121" s="215">
        <f>BD121</f>
        <v>0.46097770154373924</v>
      </c>
      <c r="BF121" s="215">
        <f>BE121</f>
        <v>0.46097770154373924</v>
      </c>
      <c r="BG121" s="215">
        <f>BF121</f>
        <v>0.46097770154373924</v>
      </c>
      <c r="BH121" s="215">
        <f>BG121</f>
        <v>0.46097770154373924</v>
      </c>
      <c r="BI121" s="215">
        <f>BH121</f>
        <v>0.46097770154373924</v>
      </c>
      <c r="BJ121" s="215">
        <f>BI121</f>
        <v>0.46097770154373924</v>
      </c>
      <c r="BK121" s="215">
        <f>BJ121</f>
        <v>0.46097770154373924</v>
      </c>
      <c r="BL121" s="215">
        <f>BK121</f>
        <v>0.46097770154373924</v>
      </c>
      <c r="BM121" s="215">
        <f>BL121</f>
        <v>0.46097770154373924</v>
      </c>
      <c r="BN121" s="215">
        <f>BM121</f>
        <v>0.46097770154373924</v>
      </c>
      <c r="BO121" s="215">
        <f>BN121</f>
        <v>0.46097770154373924</v>
      </c>
      <c r="BP121" s="215">
        <f>BO121</f>
        <v>0.46097770154373924</v>
      </c>
      <c r="BQ121" s="215">
        <f>BP121</f>
        <v>0.46097770154373924</v>
      </c>
      <c r="BR121" s="215">
        <f>BQ121</f>
        <v>0.46097770154373924</v>
      </c>
    </row>
    <row r="122" spans="1:70" x14ac:dyDescent="0.2">
      <c r="A122" s="273"/>
      <c r="B122" s="9"/>
      <c r="C122" s="94"/>
      <c r="D122" s="94"/>
      <c r="E122" s="94"/>
      <c r="F122" s="94"/>
      <c r="G122" s="94"/>
      <c r="H122" s="94"/>
      <c r="I122" s="94"/>
      <c r="J122" s="94"/>
      <c r="K122" s="94"/>
      <c r="L122" s="95"/>
      <c r="M122" s="83"/>
      <c r="N122" s="84"/>
      <c r="O122" s="84"/>
      <c r="P122" s="84"/>
      <c r="Q122" s="84"/>
      <c r="R122" s="46"/>
      <c r="S122" s="94"/>
      <c r="T122" s="94"/>
      <c r="U122" s="94"/>
      <c r="V122" s="94"/>
      <c r="W122" s="94"/>
      <c r="X122" s="94"/>
      <c r="Y122" s="94"/>
      <c r="Z122" s="94"/>
      <c r="AA122" s="94"/>
      <c r="AB122" s="94"/>
      <c r="AC122" s="94"/>
      <c r="AD122" s="94"/>
      <c r="AE122" s="94"/>
      <c r="AF122" s="94"/>
      <c r="AG122" s="94"/>
      <c r="AH122" s="94"/>
      <c r="AI122" s="94"/>
      <c r="AJ122" s="94"/>
      <c r="AK122" s="94"/>
      <c r="AL122" s="94"/>
      <c r="AM122" s="94"/>
      <c r="AN122" s="94"/>
      <c r="AO122" s="94"/>
      <c r="AP122" s="94"/>
      <c r="AQ122" s="94"/>
      <c r="AR122" s="94"/>
      <c r="AS122" s="94"/>
      <c r="AT122" s="94"/>
      <c r="AU122" s="94"/>
      <c r="AV122" s="94"/>
      <c r="AW122" s="94"/>
      <c r="AX122" s="94"/>
      <c r="AY122" s="94"/>
      <c r="AZ122" s="94"/>
      <c r="BA122" s="95"/>
      <c r="BB122" s="96"/>
      <c r="BC122" s="94"/>
      <c r="BD122" s="94"/>
      <c r="BE122" s="94"/>
      <c r="BF122" s="94"/>
      <c r="BG122" s="94"/>
      <c r="BH122" s="94"/>
      <c r="BI122" s="94"/>
      <c r="BJ122" s="94"/>
      <c r="BK122" s="94"/>
      <c r="BL122" s="94"/>
      <c r="BM122" s="94"/>
      <c r="BN122" s="94"/>
      <c r="BO122" s="94"/>
      <c r="BP122" s="94"/>
      <c r="BQ122" s="94"/>
      <c r="BR122" s="94"/>
    </row>
    <row r="123" spans="1:70" x14ac:dyDescent="0.2">
      <c r="A123" s="189" t="s">
        <v>309</v>
      </c>
      <c r="B123" s="24"/>
      <c r="C123" s="141"/>
      <c r="D123" s="141"/>
      <c r="E123" s="141"/>
      <c r="F123" s="141"/>
      <c r="G123" s="141"/>
      <c r="H123" s="141"/>
      <c r="I123" s="142"/>
      <c r="J123" s="142"/>
      <c r="K123" s="142"/>
      <c r="L123" s="142"/>
      <c r="M123" s="77"/>
      <c r="N123" s="76"/>
      <c r="O123" s="76"/>
      <c r="P123" s="76"/>
      <c r="Q123" s="76"/>
      <c r="R123" s="48"/>
      <c r="S123" s="142"/>
      <c r="T123" s="142"/>
      <c r="U123" s="142"/>
      <c r="V123" s="142"/>
      <c r="W123" s="142"/>
      <c r="X123" s="142"/>
      <c r="Y123" s="142"/>
      <c r="Z123" s="142"/>
      <c r="AA123" s="142"/>
      <c r="AB123" s="142"/>
      <c r="AC123" s="142"/>
      <c r="AD123" s="142"/>
      <c r="AE123" s="142"/>
      <c r="AF123" s="142"/>
      <c r="AG123" s="142"/>
      <c r="AH123" s="142"/>
      <c r="AI123" s="142"/>
      <c r="AJ123" s="142"/>
      <c r="AK123" s="142"/>
      <c r="AL123" s="142"/>
      <c r="AM123" s="142"/>
      <c r="AN123" s="142"/>
      <c r="AO123" s="142"/>
      <c r="AP123" s="142"/>
      <c r="AQ123" s="142"/>
      <c r="AR123" s="142"/>
      <c r="AS123" s="142"/>
      <c r="AT123" s="142"/>
      <c r="AU123" s="142"/>
      <c r="AV123" s="142"/>
      <c r="AW123" s="142"/>
      <c r="AX123" s="142"/>
      <c r="AY123" s="142"/>
      <c r="AZ123" s="142"/>
      <c r="BA123" s="153"/>
      <c r="BB123" s="79"/>
      <c r="BC123" s="80"/>
      <c r="BD123" s="80"/>
      <c r="BE123" s="80"/>
      <c r="BF123" s="80"/>
      <c r="BG123" s="80"/>
      <c r="BH123" s="80"/>
      <c r="BI123" s="80"/>
      <c r="BJ123" s="80"/>
      <c r="BK123" s="80"/>
      <c r="BL123" s="80"/>
      <c r="BM123" s="80"/>
      <c r="BN123" s="80"/>
      <c r="BO123" s="80"/>
      <c r="BP123" s="80"/>
      <c r="BQ123" s="80"/>
      <c r="BR123" s="80"/>
    </row>
    <row r="124" spans="1:70" x14ac:dyDescent="0.2">
      <c r="A124" s="235" t="s">
        <v>238</v>
      </c>
      <c r="B124" s="236"/>
      <c r="C124" s="239"/>
      <c r="D124" s="208"/>
      <c r="E124" s="208"/>
      <c r="F124" s="208">
        <v>4800</v>
      </c>
      <c r="G124" s="208">
        <v>4900</v>
      </c>
      <c r="H124" s="208">
        <v>5000</v>
      </c>
      <c r="I124" s="219">
        <f>SUM(AI124:AL124)</f>
        <v>5100</v>
      </c>
      <c r="J124" s="219">
        <f>SUM(AM124:AP124)</f>
        <v>5200</v>
      </c>
      <c r="K124" s="219">
        <f>SUM(AQ124:AT124)</f>
        <v>6200</v>
      </c>
      <c r="L124" s="219">
        <f>SUM(AU124:AX124)</f>
        <v>7000</v>
      </c>
      <c r="M124" s="217"/>
      <c r="N124" s="218"/>
      <c r="O124" s="218"/>
      <c r="P124" s="218"/>
      <c r="Q124" s="218"/>
      <c r="R124" s="302"/>
      <c r="S124" s="210"/>
      <c r="T124" s="208"/>
      <c r="U124" s="208"/>
      <c r="V124" s="208"/>
      <c r="W124" s="208"/>
      <c r="X124" s="208"/>
      <c r="Y124" s="208"/>
      <c r="Z124" s="208"/>
      <c r="AA124" s="208"/>
      <c r="AB124" s="208"/>
      <c r="AC124" s="208"/>
      <c r="AD124" s="208"/>
      <c r="AE124" s="208">
        <v>1300</v>
      </c>
      <c r="AF124" s="208">
        <v>1200</v>
      </c>
      <c r="AG124" s="208">
        <v>1200</v>
      </c>
      <c r="AH124" s="208">
        <v>1200</v>
      </c>
      <c r="AI124" s="208">
        <v>1300</v>
      </c>
      <c r="AJ124" s="208">
        <v>1300</v>
      </c>
      <c r="AK124" s="208">
        <v>1300</v>
      </c>
      <c r="AL124" s="208">
        <v>1200</v>
      </c>
      <c r="AM124" s="208">
        <v>1300</v>
      </c>
      <c r="AN124" s="208">
        <v>1300</v>
      </c>
      <c r="AO124" s="208">
        <v>1300</v>
      </c>
      <c r="AP124" s="208">
        <v>1300</v>
      </c>
      <c r="AQ124" s="208">
        <v>1500</v>
      </c>
      <c r="AR124" s="208">
        <v>1500</v>
      </c>
      <c r="AS124" s="208">
        <v>1600</v>
      </c>
      <c r="AT124" s="208">
        <v>1600</v>
      </c>
      <c r="AU124" s="208">
        <v>1700</v>
      </c>
      <c r="AV124" s="208">
        <v>1700</v>
      </c>
      <c r="AW124" s="208">
        <v>1800</v>
      </c>
      <c r="AX124" s="208">
        <v>1800</v>
      </c>
      <c r="AY124" s="208">
        <v>1900</v>
      </c>
      <c r="AZ124" s="208">
        <v>1900</v>
      </c>
      <c r="BA124" s="250">
        <v>1900</v>
      </c>
      <c r="BB124" s="240"/>
      <c r="BC124" s="241"/>
      <c r="BD124" s="241"/>
      <c r="BE124" s="241"/>
      <c r="BF124" s="241"/>
      <c r="BG124" s="241"/>
      <c r="BH124" s="241"/>
      <c r="BI124" s="241"/>
      <c r="BJ124" s="241"/>
      <c r="BK124" s="241"/>
      <c r="BL124" s="241"/>
      <c r="BM124" s="241"/>
      <c r="BN124" s="241"/>
      <c r="BO124" s="241"/>
      <c r="BP124" s="241"/>
      <c r="BQ124" s="241"/>
      <c r="BR124" s="241"/>
    </row>
    <row r="125" spans="1:70" x14ac:dyDescent="0.2">
      <c r="A125" s="235" t="s">
        <v>239</v>
      </c>
      <c r="B125" s="236"/>
      <c r="C125" s="239"/>
      <c r="D125" s="208"/>
      <c r="E125" s="208"/>
      <c r="F125" s="208">
        <v>13600</v>
      </c>
      <c r="G125" s="208">
        <v>12900</v>
      </c>
      <c r="H125" s="208">
        <v>12700</v>
      </c>
      <c r="I125" s="219">
        <f>SUM(AI125:AL125)</f>
        <v>13700</v>
      </c>
      <c r="J125" s="219">
        <f>SUM(AM125:AP125)</f>
        <v>14900</v>
      </c>
      <c r="K125" s="219">
        <f>SUM(AQ125:AT125)</f>
        <v>17600</v>
      </c>
      <c r="L125" s="219">
        <f>SUM(AU125:AX125)</f>
        <v>19500</v>
      </c>
      <c r="M125" s="217"/>
      <c r="N125" s="218"/>
      <c r="O125" s="218"/>
      <c r="P125" s="218"/>
      <c r="Q125" s="218"/>
      <c r="R125" s="302"/>
      <c r="S125" s="210"/>
      <c r="T125" s="208"/>
      <c r="U125" s="208"/>
      <c r="V125" s="208"/>
      <c r="W125" s="208"/>
      <c r="X125" s="208"/>
      <c r="Y125" s="208"/>
      <c r="Z125" s="208"/>
      <c r="AA125" s="208"/>
      <c r="AB125" s="208"/>
      <c r="AC125" s="208"/>
      <c r="AD125" s="208"/>
      <c r="AE125" s="208">
        <v>3300</v>
      </c>
      <c r="AF125" s="208">
        <v>3200</v>
      </c>
      <c r="AG125" s="208">
        <v>3200</v>
      </c>
      <c r="AH125" s="208">
        <v>3100</v>
      </c>
      <c r="AI125" s="208">
        <v>3400</v>
      </c>
      <c r="AJ125" s="208">
        <v>3400</v>
      </c>
      <c r="AK125" s="208">
        <v>3400</v>
      </c>
      <c r="AL125" s="208">
        <v>3500</v>
      </c>
      <c r="AM125" s="208">
        <v>3800</v>
      </c>
      <c r="AN125" s="208">
        <v>3700</v>
      </c>
      <c r="AO125" s="208">
        <v>3700</v>
      </c>
      <c r="AP125" s="208">
        <v>3700</v>
      </c>
      <c r="AQ125" s="208">
        <v>4300</v>
      </c>
      <c r="AR125" s="208">
        <v>4400</v>
      </c>
      <c r="AS125" s="208">
        <v>4500</v>
      </c>
      <c r="AT125" s="208">
        <v>4400</v>
      </c>
      <c r="AU125" s="208">
        <v>4800</v>
      </c>
      <c r="AV125" s="208">
        <v>4900</v>
      </c>
      <c r="AW125" s="208">
        <v>4900</v>
      </c>
      <c r="AX125" s="208">
        <v>4900</v>
      </c>
      <c r="AY125" s="208">
        <v>5300</v>
      </c>
      <c r="AZ125" s="208">
        <v>5300</v>
      </c>
      <c r="BA125" s="250">
        <v>5400</v>
      </c>
      <c r="BB125" s="240"/>
      <c r="BC125" s="241"/>
      <c r="BD125" s="241"/>
      <c r="BE125" s="241"/>
      <c r="BF125" s="241"/>
      <c r="BG125" s="241"/>
      <c r="BH125" s="241"/>
      <c r="BI125" s="241"/>
      <c r="BJ125" s="241"/>
      <c r="BK125" s="241"/>
      <c r="BL125" s="241"/>
      <c r="BM125" s="241"/>
      <c r="BN125" s="241"/>
      <c r="BO125" s="241"/>
      <c r="BP125" s="241"/>
      <c r="BQ125" s="241"/>
      <c r="BR125" s="241"/>
    </row>
    <row r="126" spans="1:70" x14ac:dyDescent="0.2">
      <c r="A126" s="235" t="s">
        <v>240</v>
      </c>
      <c r="B126" s="236"/>
      <c r="C126" s="239"/>
      <c r="D126" s="208"/>
      <c r="E126" s="208"/>
      <c r="F126" s="208">
        <v>1200</v>
      </c>
      <c r="G126" s="208">
        <v>1100</v>
      </c>
      <c r="H126" s="208">
        <v>1100</v>
      </c>
      <c r="I126" s="219">
        <f>SUM(AI126:AL126)</f>
        <v>1200</v>
      </c>
      <c r="J126" s="219">
        <f>SUM(AM126:AP126)</f>
        <v>1200</v>
      </c>
      <c r="K126" s="219">
        <f>SUM(AQ126:AT126)</f>
        <v>1200</v>
      </c>
      <c r="L126" s="219">
        <f>SUM(AU126:AX126)</f>
        <v>1200</v>
      </c>
      <c r="M126" s="217"/>
      <c r="N126" s="218"/>
      <c r="O126" s="218"/>
      <c r="P126" s="218"/>
      <c r="Q126" s="218"/>
      <c r="R126" s="302"/>
      <c r="S126" s="210"/>
      <c r="T126" s="208"/>
      <c r="U126" s="208"/>
      <c r="V126" s="208"/>
      <c r="W126" s="208"/>
      <c r="X126" s="208"/>
      <c r="Y126" s="208"/>
      <c r="Z126" s="208"/>
      <c r="AA126" s="208"/>
      <c r="AB126" s="208"/>
      <c r="AC126" s="208"/>
      <c r="AD126" s="208"/>
      <c r="AE126" s="208">
        <v>300</v>
      </c>
      <c r="AF126" s="208">
        <v>300</v>
      </c>
      <c r="AG126" s="208">
        <v>300</v>
      </c>
      <c r="AH126" s="208">
        <v>300</v>
      </c>
      <c r="AI126" s="208">
        <v>300</v>
      </c>
      <c r="AJ126" s="208">
        <v>300</v>
      </c>
      <c r="AK126" s="208">
        <v>300</v>
      </c>
      <c r="AL126" s="208">
        <v>300</v>
      </c>
      <c r="AM126" s="208">
        <v>300</v>
      </c>
      <c r="AN126" s="208">
        <v>300</v>
      </c>
      <c r="AO126" s="208">
        <v>300</v>
      </c>
      <c r="AP126" s="208">
        <v>300</v>
      </c>
      <c r="AQ126" s="208">
        <v>300</v>
      </c>
      <c r="AR126" s="208">
        <v>300</v>
      </c>
      <c r="AS126" s="208">
        <v>300</v>
      </c>
      <c r="AT126" s="208">
        <v>300</v>
      </c>
      <c r="AU126" s="208">
        <v>300</v>
      </c>
      <c r="AV126" s="208">
        <v>300</v>
      </c>
      <c r="AW126" s="208">
        <v>300</v>
      </c>
      <c r="AX126" s="208">
        <v>300</v>
      </c>
      <c r="AY126" s="208">
        <v>300</v>
      </c>
      <c r="AZ126" s="208">
        <v>400</v>
      </c>
      <c r="BA126" s="250">
        <v>400</v>
      </c>
      <c r="BB126" s="240"/>
      <c r="BC126" s="241"/>
      <c r="BD126" s="241"/>
      <c r="BE126" s="241"/>
      <c r="BF126" s="241"/>
      <c r="BG126" s="241"/>
      <c r="BH126" s="241"/>
      <c r="BI126" s="241"/>
      <c r="BJ126" s="241"/>
      <c r="BK126" s="241"/>
      <c r="BL126" s="241"/>
      <c r="BM126" s="241"/>
      <c r="BN126" s="241"/>
      <c r="BO126" s="241"/>
      <c r="BP126" s="241"/>
      <c r="BQ126" s="241"/>
      <c r="BR126" s="241"/>
    </row>
    <row r="127" spans="1:70" x14ac:dyDescent="0.2">
      <c r="A127" s="273"/>
      <c r="B127" s="9"/>
      <c r="C127" s="94"/>
      <c r="D127" s="94"/>
      <c r="E127" s="94"/>
      <c r="F127" s="94"/>
      <c r="G127" s="94"/>
      <c r="H127" s="94"/>
      <c r="I127" s="94"/>
      <c r="J127" s="94"/>
      <c r="K127" s="94"/>
      <c r="L127" s="95"/>
      <c r="M127" s="83"/>
      <c r="N127" s="84"/>
      <c r="O127" s="84"/>
      <c r="P127" s="84"/>
      <c r="Q127" s="84"/>
      <c r="R127" s="46"/>
      <c r="S127" s="94"/>
      <c r="T127" s="94"/>
      <c r="U127" s="94"/>
      <c r="V127" s="94"/>
      <c r="W127" s="94"/>
      <c r="X127" s="94"/>
      <c r="Y127" s="94"/>
      <c r="Z127" s="94"/>
      <c r="AA127" s="94"/>
      <c r="AB127" s="94"/>
      <c r="AC127" s="94"/>
      <c r="AD127" s="94"/>
      <c r="AE127" s="94"/>
      <c r="AF127" s="94"/>
      <c r="AG127" s="94"/>
      <c r="AH127" s="94"/>
      <c r="AI127" s="94"/>
      <c r="AJ127" s="94"/>
      <c r="AK127" s="94"/>
      <c r="AL127" s="94"/>
      <c r="AM127" s="94"/>
      <c r="AN127" s="94"/>
      <c r="AO127" s="94"/>
      <c r="AP127" s="94"/>
      <c r="AQ127" s="94"/>
      <c r="AR127" s="94"/>
      <c r="AS127" s="94"/>
      <c r="AT127" s="94"/>
      <c r="AU127" s="94"/>
      <c r="AV127" s="94"/>
      <c r="AW127" s="94"/>
      <c r="AX127" s="94"/>
      <c r="AY127" s="94"/>
      <c r="AZ127" s="94"/>
      <c r="BA127" s="95"/>
      <c r="BB127" s="96"/>
      <c r="BC127" s="94"/>
      <c r="BD127" s="94"/>
      <c r="BE127" s="94"/>
      <c r="BF127" s="94"/>
      <c r="BG127" s="94"/>
      <c r="BH127" s="94"/>
      <c r="BI127" s="94"/>
      <c r="BJ127" s="94"/>
      <c r="BK127" s="94"/>
      <c r="BL127" s="94"/>
      <c r="BM127" s="94"/>
      <c r="BN127" s="94"/>
      <c r="BO127" s="94"/>
      <c r="BP127" s="94"/>
      <c r="BQ127" s="94"/>
      <c r="BR127" s="94"/>
    </row>
    <row r="128" spans="1:70" x14ac:dyDescent="0.2">
      <c r="A128" s="189" t="s">
        <v>241</v>
      </c>
      <c r="B128" s="24"/>
      <c r="C128" s="141"/>
      <c r="D128" s="141"/>
      <c r="E128" s="141"/>
      <c r="F128" s="141"/>
      <c r="G128" s="141"/>
      <c r="H128" s="141"/>
      <c r="I128" s="142"/>
      <c r="J128" s="142"/>
      <c r="K128" s="142"/>
      <c r="L128" s="142"/>
      <c r="M128" s="77"/>
      <c r="N128" s="76"/>
      <c r="O128" s="76"/>
      <c r="P128" s="76"/>
      <c r="Q128" s="76"/>
      <c r="R128" s="48"/>
      <c r="S128" s="142"/>
      <c r="T128" s="142"/>
      <c r="U128" s="142"/>
      <c r="V128" s="142"/>
      <c r="W128" s="142"/>
      <c r="X128" s="142"/>
      <c r="Y128" s="142"/>
      <c r="Z128" s="142"/>
      <c r="AA128" s="142"/>
      <c r="AB128" s="142"/>
      <c r="AC128" s="142"/>
      <c r="AD128" s="142"/>
      <c r="AE128" s="142"/>
      <c r="AF128" s="142"/>
      <c r="AG128" s="142"/>
      <c r="AH128" s="142"/>
      <c r="AI128" s="142"/>
      <c r="AJ128" s="142"/>
      <c r="AK128" s="142"/>
      <c r="AL128" s="142"/>
      <c r="AM128" s="142"/>
      <c r="AN128" s="142"/>
      <c r="AO128" s="142"/>
      <c r="AP128" s="142"/>
      <c r="AQ128" s="142"/>
      <c r="AR128" s="142"/>
      <c r="AS128" s="142"/>
      <c r="AT128" s="142"/>
      <c r="AU128" s="142"/>
      <c r="AV128" s="142"/>
      <c r="AW128" s="142"/>
      <c r="AX128" s="142"/>
      <c r="AY128" s="142"/>
      <c r="AZ128" s="142"/>
      <c r="BA128" s="153"/>
      <c r="BB128" s="79"/>
      <c r="BC128" s="80"/>
      <c r="BD128" s="80"/>
      <c r="BE128" s="80"/>
      <c r="BF128" s="80"/>
      <c r="BG128" s="80"/>
      <c r="BH128" s="80"/>
      <c r="BI128" s="80"/>
      <c r="BJ128" s="80"/>
      <c r="BK128" s="80"/>
      <c r="BL128" s="80"/>
      <c r="BM128" s="80"/>
      <c r="BN128" s="80"/>
      <c r="BO128" s="80"/>
      <c r="BP128" s="80"/>
      <c r="BQ128" s="80"/>
      <c r="BR128" s="80"/>
    </row>
    <row r="129" spans="1:70" x14ac:dyDescent="0.2">
      <c r="A129" s="168" t="s">
        <v>238</v>
      </c>
      <c r="B129" s="24"/>
      <c r="C129" s="141"/>
      <c r="D129" s="142"/>
      <c r="E129" s="142"/>
      <c r="F129" s="142">
        <v>9</v>
      </c>
      <c r="G129" s="142">
        <v>8.8000000000000007</v>
      </c>
      <c r="H129" s="142">
        <v>8.8000000000000007</v>
      </c>
      <c r="I129" s="183">
        <f>SUM(AI129:AL129)</f>
        <v>9</v>
      </c>
      <c r="J129" s="183">
        <f>SUM(AM129:AP129)</f>
        <v>8.9</v>
      </c>
      <c r="K129" s="183">
        <f>SUM(AQ129:AT129)</f>
        <v>9.6999999999999993</v>
      </c>
      <c r="L129" s="183">
        <f>SUM(AU129:AX129)</f>
        <v>11</v>
      </c>
      <c r="M129" s="77"/>
      <c r="N129" s="76"/>
      <c r="O129" s="76"/>
      <c r="P129" s="76"/>
      <c r="Q129" s="76"/>
      <c r="R129" s="48"/>
      <c r="S129" s="146"/>
      <c r="T129" s="142"/>
      <c r="U129" s="142"/>
      <c r="V129" s="142"/>
      <c r="W129" s="142"/>
      <c r="X129" s="142"/>
      <c r="Y129" s="142"/>
      <c r="Z129" s="142"/>
      <c r="AA129" s="142"/>
      <c r="AB129" s="142"/>
      <c r="AC129" s="142"/>
      <c r="AD129" s="142"/>
      <c r="AE129" s="142">
        <v>2.2999999999999998</v>
      </c>
      <c r="AF129" s="142">
        <v>2.2000000000000002</v>
      </c>
      <c r="AG129" s="142">
        <v>2.2000000000000002</v>
      </c>
      <c r="AH129" s="142">
        <v>2.1</v>
      </c>
      <c r="AI129" s="142">
        <v>2.2999999999999998</v>
      </c>
      <c r="AJ129" s="142">
        <v>2.2999999999999998</v>
      </c>
      <c r="AK129" s="142">
        <v>2.2999999999999998</v>
      </c>
      <c r="AL129" s="142">
        <v>2.1</v>
      </c>
      <c r="AM129" s="142">
        <v>2.2999999999999998</v>
      </c>
      <c r="AN129" s="142">
        <v>2.2000000000000002</v>
      </c>
      <c r="AO129" s="142">
        <v>2.2000000000000002</v>
      </c>
      <c r="AP129" s="142">
        <v>2.2000000000000002</v>
      </c>
      <c r="AQ129" s="142">
        <v>2.4</v>
      </c>
      <c r="AR129" s="142">
        <v>2.4</v>
      </c>
      <c r="AS129" s="142">
        <v>2.4</v>
      </c>
      <c r="AT129" s="142">
        <v>2.5</v>
      </c>
      <c r="AU129" s="142">
        <v>2.7</v>
      </c>
      <c r="AV129" s="142">
        <v>2.7</v>
      </c>
      <c r="AW129" s="142">
        <v>2.8</v>
      </c>
      <c r="AX129" s="142">
        <v>2.8</v>
      </c>
      <c r="AY129" s="142">
        <v>2.9</v>
      </c>
      <c r="AZ129" s="142">
        <v>2.9</v>
      </c>
      <c r="BA129" s="153">
        <v>3</v>
      </c>
      <c r="BB129" s="79"/>
      <c r="BC129" s="80"/>
      <c r="BD129" s="80"/>
      <c r="BE129" s="80"/>
      <c r="BF129" s="80"/>
      <c r="BG129" s="80"/>
      <c r="BH129" s="80"/>
      <c r="BI129" s="80"/>
      <c r="BJ129" s="80"/>
      <c r="BK129" s="80"/>
      <c r="BL129" s="80"/>
      <c r="BM129" s="80"/>
      <c r="BN129" s="80"/>
      <c r="BO129" s="80"/>
      <c r="BP129" s="80"/>
      <c r="BQ129" s="80"/>
      <c r="BR129" s="80"/>
    </row>
    <row r="130" spans="1:70" x14ac:dyDescent="0.2">
      <c r="A130" s="168" t="s">
        <v>239</v>
      </c>
      <c r="B130" s="24"/>
      <c r="C130" s="141"/>
      <c r="D130" s="142"/>
      <c r="E130" s="142"/>
      <c r="F130" s="142">
        <v>72.3</v>
      </c>
      <c r="G130" s="142">
        <v>66.2</v>
      </c>
      <c r="H130" s="142">
        <v>65</v>
      </c>
      <c r="I130" s="183">
        <f>SUM(AI130:AL130)</f>
        <v>69.300000000000011</v>
      </c>
      <c r="J130" s="183">
        <f>SUM(AM130:AP130)</f>
        <v>74.099999999999994</v>
      </c>
      <c r="K130" s="183">
        <f>SUM(AQ130:AT130)</f>
        <v>85</v>
      </c>
      <c r="L130" s="183">
        <f>SUM(AU130:AX130)</f>
        <v>92.3</v>
      </c>
      <c r="M130" s="77"/>
      <c r="N130" s="76"/>
      <c r="O130" s="76"/>
      <c r="P130" s="76"/>
      <c r="Q130" s="76"/>
      <c r="R130" s="48"/>
      <c r="S130" s="146"/>
      <c r="T130" s="142"/>
      <c r="U130" s="142"/>
      <c r="V130" s="142"/>
      <c r="W130" s="142"/>
      <c r="X130" s="142"/>
      <c r="Y130" s="142"/>
      <c r="Z130" s="142"/>
      <c r="AA130" s="142"/>
      <c r="AB130" s="142"/>
      <c r="AC130" s="142"/>
      <c r="AD130" s="142"/>
      <c r="AE130" s="142">
        <v>16.8</v>
      </c>
      <c r="AF130" s="142">
        <v>16.2</v>
      </c>
      <c r="AG130" s="142">
        <v>16.2</v>
      </c>
      <c r="AH130" s="142">
        <v>15.9</v>
      </c>
      <c r="AI130" s="142">
        <v>17.3</v>
      </c>
      <c r="AJ130" s="142">
        <v>17.399999999999999</v>
      </c>
      <c r="AK130" s="142">
        <v>17.100000000000001</v>
      </c>
      <c r="AL130" s="142">
        <v>17.5</v>
      </c>
      <c r="AM130" s="142">
        <v>18.899999999999999</v>
      </c>
      <c r="AN130" s="142">
        <v>18.5</v>
      </c>
      <c r="AO130" s="142">
        <v>18.399999999999999</v>
      </c>
      <c r="AP130" s="142">
        <v>18.3</v>
      </c>
      <c r="AQ130" s="142">
        <v>20.8</v>
      </c>
      <c r="AR130" s="142">
        <v>21.3</v>
      </c>
      <c r="AS130" s="142">
        <v>21.6</v>
      </c>
      <c r="AT130" s="142">
        <v>21.3</v>
      </c>
      <c r="AU130" s="142">
        <v>22.9</v>
      </c>
      <c r="AV130" s="142">
        <v>23</v>
      </c>
      <c r="AW130" s="142">
        <v>23.4</v>
      </c>
      <c r="AX130" s="142">
        <v>23</v>
      </c>
      <c r="AY130" s="142">
        <v>24.8</v>
      </c>
      <c r="AZ130" s="142">
        <v>24.8</v>
      </c>
      <c r="BA130" s="153">
        <v>25</v>
      </c>
      <c r="BB130" s="79"/>
      <c r="BC130" s="80"/>
      <c r="BD130" s="80"/>
      <c r="BE130" s="80"/>
      <c r="BF130" s="80"/>
      <c r="BG130" s="80"/>
      <c r="BH130" s="80"/>
      <c r="BI130" s="80"/>
      <c r="BJ130" s="80"/>
      <c r="BK130" s="80"/>
      <c r="BL130" s="80"/>
      <c r="BM130" s="80"/>
      <c r="BN130" s="80"/>
      <c r="BO130" s="80"/>
      <c r="BP130" s="80"/>
      <c r="BQ130" s="80"/>
      <c r="BR130" s="80"/>
    </row>
    <row r="131" spans="1:70" x14ac:dyDescent="0.2">
      <c r="A131" s="168" t="s">
        <v>240</v>
      </c>
      <c r="B131" s="24"/>
      <c r="C131" s="141"/>
      <c r="D131" s="142"/>
      <c r="E131" s="142"/>
      <c r="F131" s="142">
        <v>4.3</v>
      </c>
      <c r="G131" s="142">
        <v>3.7</v>
      </c>
      <c r="H131" s="142">
        <v>3.6</v>
      </c>
      <c r="I131" s="183">
        <f>SUM(AI131:AL131)</f>
        <v>3.5</v>
      </c>
      <c r="J131" s="183">
        <f>SUM(AM131:AP131)</f>
        <v>3.6</v>
      </c>
      <c r="K131" s="183">
        <f>SUM(AQ131:AT131)</f>
        <v>3.6</v>
      </c>
      <c r="L131" s="183">
        <f>SUM(AU131:AX131)</f>
        <v>3.6</v>
      </c>
      <c r="M131" s="77"/>
      <c r="N131" s="76"/>
      <c r="O131" s="76"/>
      <c r="P131" s="76"/>
      <c r="Q131" s="76"/>
      <c r="R131" s="48"/>
      <c r="S131" s="146"/>
      <c r="T131" s="142"/>
      <c r="U131" s="142"/>
      <c r="V131" s="142"/>
      <c r="W131" s="142"/>
      <c r="X131" s="142"/>
      <c r="Y131" s="142"/>
      <c r="Z131" s="142"/>
      <c r="AA131" s="142"/>
      <c r="AB131" s="142"/>
      <c r="AC131" s="142"/>
      <c r="AD131" s="142"/>
      <c r="AE131" s="142">
        <v>0.9</v>
      </c>
      <c r="AF131" s="142">
        <v>0.9</v>
      </c>
      <c r="AG131" s="142">
        <v>0.9</v>
      </c>
      <c r="AH131" s="142">
        <v>0.9</v>
      </c>
      <c r="AI131" s="142">
        <v>0.9</v>
      </c>
      <c r="AJ131" s="142">
        <v>0.9</v>
      </c>
      <c r="AK131" s="142">
        <v>0.9</v>
      </c>
      <c r="AL131" s="142">
        <v>0.8</v>
      </c>
      <c r="AM131" s="142">
        <v>0.9</v>
      </c>
      <c r="AN131" s="142">
        <v>0.9</v>
      </c>
      <c r="AO131" s="142">
        <v>0.9</v>
      </c>
      <c r="AP131" s="142">
        <v>0.9</v>
      </c>
      <c r="AQ131" s="142">
        <v>0.9</v>
      </c>
      <c r="AR131" s="142">
        <v>0.9</v>
      </c>
      <c r="AS131" s="142">
        <v>0.9</v>
      </c>
      <c r="AT131" s="142">
        <v>0.9</v>
      </c>
      <c r="AU131" s="142">
        <v>0.9</v>
      </c>
      <c r="AV131" s="142">
        <v>0.9</v>
      </c>
      <c r="AW131" s="142">
        <v>0.9</v>
      </c>
      <c r="AX131" s="142">
        <v>0.9</v>
      </c>
      <c r="AY131" s="142">
        <v>0.9</v>
      </c>
      <c r="AZ131" s="142">
        <v>0.9</v>
      </c>
      <c r="BA131" s="153">
        <v>0.9</v>
      </c>
      <c r="BB131" s="79"/>
      <c r="BC131" s="80"/>
      <c r="BD131" s="80"/>
      <c r="BE131" s="80"/>
      <c r="BF131" s="80"/>
      <c r="BG131" s="80"/>
      <c r="BH131" s="80"/>
      <c r="BI131" s="80"/>
      <c r="BJ131" s="80"/>
      <c r="BK131" s="80"/>
      <c r="BL131" s="80"/>
      <c r="BM131" s="80"/>
      <c r="BN131" s="80"/>
      <c r="BO131" s="80"/>
      <c r="BP131" s="80"/>
      <c r="BQ131" s="80"/>
      <c r="BR131" s="80"/>
    </row>
  </sheetData>
  <mergeCells count="1">
    <mergeCell ref="B1:B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64"/>
  <sheetViews>
    <sheetView topLeftCell="A9" workbookViewId="0">
      <selection activeCell="F4" sqref="F4"/>
    </sheetView>
  </sheetViews>
  <sheetFormatPr defaultRowHeight="12.75" x14ac:dyDescent="0.2"/>
  <cols>
    <col min="1" max="2" width="27.85546875" style="6" bestFit="1" customWidth="1"/>
    <col min="3" max="11" width="7.42578125" style="6" bestFit="1" customWidth="1"/>
    <col min="12" max="12" width="7.42578125" style="6" customWidth="1"/>
    <col min="13" max="16" width="7.42578125" style="6" bestFit="1" customWidth="1"/>
    <col min="17" max="16384" width="9.140625" style="6"/>
  </cols>
  <sheetData>
    <row r="1" spans="1:16" x14ac:dyDescent="0.2">
      <c r="A1" s="5" t="s">
        <v>83</v>
      </c>
      <c r="B1" s="5"/>
      <c r="C1" s="2">
        <v>2018</v>
      </c>
    </row>
    <row r="2" spans="1:16" s="7" customFormat="1" x14ac:dyDescent="0.2">
      <c r="B2" s="7" t="s">
        <v>84</v>
      </c>
      <c r="C2" s="35">
        <f>IS_NG!L25</f>
        <v>469.51499999999999</v>
      </c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</row>
    <row r="3" spans="1:16" s="7" customFormat="1" x14ac:dyDescent="0.2">
      <c r="B3" s="7" t="s">
        <v>95</v>
      </c>
      <c r="C3" s="35">
        <f>IS_NG!L47*-1</f>
        <v>-365.59699999999998</v>
      </c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</row>
    <row r="4" spans="1:16" s="7" customFormat="1" x14ac:dyDescent="0.2">
      <c r="B4" s="7" t="s">
        <v>81</v>
      </c>
      <c r="C4" s="35">
        <f>IS_NG!L50</f>
        <v>103.91800000000001</v>
      </c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</row>
    <row r="5" spans="1:16" s="7" customFormat="1" x14ac:dyDescent="0.2">
      <c r="B5" s="7" t="s">
        <v>96</v>
      </c>
      <c r="C5" s="35">
        <f>IS_NG!L53</f>
        <v>-83.001000000000005</v>
      </c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</row>
    <row r="6" spans="1:16" s="7" customFormat="1" x14ac:dyDescent="0.2">
      <c r="B6" s="7" t="s">
        <v>97</v>
      </c>
      <c r="C6" s="35">
        <f>IS_NG!L56</f>
        <v>-76.758907785336362</v>
      </c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</row>
    <row r="7" spans="1:16" s="7" customFormat="1" x14ac:dyDescent="0.2">
      <c r="B7" s="7" t="s">
        <v>10</v>
      </c>
      <c r="C7" s="35">
        <f>IS_NG!L59</f>
        <v>97.675907785336364</v>
      </c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</row>
    <row r="9" spans="1:16" x14ac:dyDescent="0.2">
      <c r="A9" s="39" t="s">
        <v>85</v>
      </c>
      <c r="B9" s="39"/>
      <c r="C9" s="242" t="s">
        <v>180</v>
      </c>
      <c r="D9" s="242" t="s">
        <v>15</v>
      </c>
      <c r="E9" s="242" t="s">
        <v>16</v>
      </c>
      <c r="F9" s="242" t="s">
        <v>17</v>
      </c>
      <c r="G9" s="2" t="s">
        <v>18</v>
      </c>
      <c r="H9" s="2" t="s">
        <v>25</v>
      </c>
      <c r="I9" s="2" t="s">
        <v>37</v>
      </c>
      <c r="J9" s="2" t="s">
        <v>134</v>
      </c>
      <c r="K9" s="2" t="s">
        <v>61</v>
      </c>
      <c r="L9" s="2" t="s">
        <v>62</v>
      </c>
      <c r="M9" s="2" t="s">
        <v>63</v>
      </c>
      <c r="N9" s="2" t="s">
        <v>64</v>
      </c>
    </row>
    <row r="10" spans="1:16" x14ac:dyDescent="0.2">
      <c r="B10" s="6" t="s">
        <v>68</v>
      </c>
      <c r="C10" s="8" t="e">
        <f>#REF!</f>
        <v>#REF!</v>
      </c>
      <c r="D10" s="8" t="e">
        <f>#REF!</f>
        <v>#REF!</v>
      </c>
      <c r="E10" s="8" t="e">
        <f>#REF!</f>
        <v>#REF!</v>
      </c>
      <c r="F10" s="8" t="e">
        <f>#REF!</f>
        <v>#REF!</v>
      </c>
      <c r="G10" s="8" t="e">
        <f>#REF!</f>
        <v>#REF!</v>
      </c>
      <c r="H10" s="8" t="e">
        <f>#REF!</f>
        <v>#REF!</v>
      </c>
      <c r="I10" s="4" t="e">
        <f>#REF!</f>
        <v>#REF!</v>
      </c>
      <c r="J10" s="4" t="e">
        <f>#REF!</f>
        <v>#REF!</v>
      </c>
      <c r="K10" s="32" t="e">
        <f>#REF!</f>
        <v>#REF!</v>
      </c>
      <c r="L10" s="8" t="e">
        <f>#REF!</f>
        <v>#REF!</v>
      </c>
      <c r="M10" s="8" t="e">
        <f>#REF!</f>
        <v>#REF!</v>
      </c>
      <c r="N10" s="8" t="e">
        <f>#REF!</f>
        <v>#REF!</v>
      </c>
    </row>
    <row r="11" spans="1:16" x14ac:dyDescent="0.2">
      <c r="B11" s="6" t="s">
        <v>67</v>
      </c>
      <c r="C11" s="8" t="e">
        <f>#REF!</f>
        <v>#REF!</v>
      </c>
      <c r="D11" s="8" t="e">
        <f>#REF!</f>
        <v>#REF!</v>
      </c>
      <c r="E11" s="8" t="e">
        <f>#REF!</f>
        <v>#REF!</v>
      </c>
      <c r="F11" s="8" t="e">
        <f>#REF!</f>
        <v>#REF!</v>
      </c>
      <c r="G11" s="8" t="e">
        <f>#REF!</f>
        <v>#REF!</v>
      </c>
      <c r="H11" s="8" t="e">
        <f>#REF!</f>
        <v>#REF!</v>
      </c>
      <c r="I11" s="4" t="e">
        <f>#REF!</f>
        <v>#REF!</v>
      </c>
      <c r="J11" s="4" t="e">
        <f>#REF!</f>
        <v>#REF!</v>
      </c>
      <c r="K11" s="32" t="e">
        <f>#REF!</f>
        <v>#REF!</v>
      </c>
      <c r="L11" s="8" t="e">
        <f>#REF!</f>
        <v>#REF!</v>
      </c>
      <c r="M11" s="8" t="e">
        <f>#REF!</f>
        <v>#REF!</v>
      </c>
      <c r="N11" s="8" t="e">
        <f>#REF!</f>
        <v>#REF!</v>
      </c>
    </row>
    <row r="13" spans="1:16" x14ac:dyDescent="0.2">
      <c r="A13" s="39" t="s">
        <v>86</v>
      </c>
      <c r="B13" s="39"/>
      <c r="C13" s="242" t="s">
        <v>180</v>
      </c>
      <c r="D13" s="242" t="s">
        <v>15</v>
      </c>
      <c r="E13" s="242" t="s">
        <v>16</v>
      </c>
      <c r="F13" s="242" t="s">
        <v>17</v>
      </c>
      <c r="G13" s="242" t="s">
        <v>18</v>
      </c>
      <c r="H13" s="242" t="s">
        <v>25</v>
      </c>
      <c r="I13" s="242" t="s">
        <v>37</v>
      </c>
      <c r="J13" s="242" t="s">
        <v>134</v>
      </c>
      <c r="K13" s="242" t="s">
        <v>61</v>
      </c>
      <c r="L13" s="242" t="s">
        <v>62</v>
      </c>
      <c r="M13" s="242" t="s">
        <v>63</v>
      </c>
      <c r="N13" s="242" t="s">
        <v>64</v>
      </c>
    </row>
    <row r="14" spans="1:16" s="243" customFormat="1" x14ac:dyDescent="0.2">
      <c r="B14" s="243" t="s">
        <v>347</v>
      </c>
      <c r="C14" s="8" t="e">
        <f>#REF!</f>
        <v>#REF!</v>
      </c>
      <c r="D14" s="8" t="e">
        <f>#REF!</f>
        <v>#REF!</v>
      </c>
      <c r="E14" s="8" t="e">
        <f>#REF!</f>
        <v>#REF!</v>
      </c>
      <c r="F14" s="8" t="e">
        <f>#REF!</f>
        <v>#REF!</v>
      </c>
      <c r="G14" s="8" t="e">
        <f>#REF!</f>
        <v>#REF!</v>
      </c>
      <c r="H14" s="8" t="e">
        <f>#REF!</f>
        <v>#REF!</v>
      </c>
      <c r="I14" s="4" t="e">
        <f>#REF!</f>
        <v>#REF!</v>
      </c>
      <c r="J14" s="4" t="e">
        <f>#REF!</f>
        <v>#REF!</v>
      </c>
      <c r="K14" s="32" t="e">
        <f>#REF!</f>
        <v>#REF!</v>
      </c>
      <c r="L14" s="8" t="e">
        <f>#REF!</f>
        <v>#REF!</v>
      </c>
      <c r="M14" s="8" t="e">
        <f>#REF!</f>
        <v>#REF!</v>
      </c>
      <c r="N14" s="8" t="e">
        <f>#REF!</f>
        <v>#REF!</v>
      </c>
    </row>
    <row r="15" spans="1:16" s="243" customFormat="1" x14ac:dyDescent="0.2">
      <c r="B15" s="243" t="s">
        <v>351</v>
      </c>
      <c r="C15" s="8" t="e">
        <f>#REF!</f>
        <v>#REF!</v>
      </c>
      <c r="D15" s="8" t="e">
        <f>#REF!</f>
        <v>#REF!</v>
      </c>
      <c r="E15" s="8" t="e">
        <f>#REF!</f>
        <v>#REF!</v>
      </c>
      <c r="F15" s="8" t="e">
        <f>#REF!</f>
        <v>#REF!</v>
      </c>
      <c r="G15" s="8" t="e">
        <f>#REF!</f>
        <v>#REF!</v>
      </c>
      <c r="H15" s="8" t="e">
        <f>#REF!</f>
        <v>#REF!</v>
      </c>
      <c r="I15" s="4" t="e">
        <f>#REF!</f>
        <v>#REF!</v>
      </c>
      <c r="J15" s="4" t="e">
        <f>#REF!</f>
        <v>#REF!</v>
      </c>
      <c r="K15" s="32" t="e">
        <f>#REF!</f>
        <v>#REF!</v>
      </c>
      <c r="L15" s="8" t="e">
        <f>#REF!</f>
        <v>#REF!</v>
      </c>
      <c r="M15" s="8" t="e">
        <f>#REF!</f>
        <v>#REF!</v>
      </c>
      <c r="N15" s="8" t="e">
        <f>#REF!</f>
        <v>#REF!</v>
      </c>
    </row>
    <row r="16" spans="1:16" s="243" customFormat="1" x14ac:dyDescent="0.2">
      <c r="B16" s="243" t="s">
        <v>348</v>
      </c>
      <c r="C16" s="8" t="e">
        <f>#REF!</f>
        <v>#REF!</v>
      </c>
      <c r="D16" s="8" t="e">
        <f>#REF!</f>
        <v>#REF!</v>
      </c>
      <c r="E16" s="8" t="e">
        <f>#REF!</f>
        <v>#REF!</v>
      </c>
      <c r="F16" s="8" t="e">
        <f>#REF!</f>
        <v>#REF!</v>
      </c>
      <c r="G16" s="8" t="e">
        <f>#REF!</f>
        <v>#REF!</v>
      </c>
      <c r="H16" s="8" t="e">
        <f>#REF!</f>
        <v>#REF!</v>
      </c>
      <c r="I16" s="4" t="e">
        <f>#REF!</f>
        <v>#REF!</v>
      </c>
      <c r="J16" s="4" t="e">
        <f>#REF!</f>
        <v>#REF!</v>
      </c>
      <c r="K16" s="32" t="e">
        <f>#REF!</f>
        <v>#REF!</v>
      </c>
      <c r="L16" s="8" t="e">
        <f>#REF!</f>
        <v>#REF!</v>
      </c>
      <c r="M16" s="8" t="e">
        <f>#REF!</f>
        <v>#REF!</v>
      </c>
      <c r="N16" s="8" t="e">
        <f>#REF!</f>
        <v>#REF!</v>
      </c>
    </row>
    <row r="17" spans="1:14" s="243" customFormat="1" x14ac:dyDescent="0.2">
      <c r="B17" s="243" t="s">
        <v>87</v>
      </c>
      <c r="C17" s="8" t="e">
        <f>#REF!</f>
        <v>#REF!</v>
      </c>
      <c r="D17" s="8" t="e">
        <f>#REF!</f>
        <v>#REF!</v>
      </c>
      <c r="E17" s="8" t="e">
        <f>#REF!</f>
        <v>#REF!</v>
      </c>
      <c r="F17" s="8" t="e">
        <f>#REF!</f>
        <v>#REF!</v>
      </c>
      <c r="G17" s="8" t="e">
        <f>#REF!</f>
        <v>#REF!</v>
      </c>
      <c r="H17" s="8" t="e">
        <f>#REF!</f>
        <v>#REF!</v>
      </c>
      <c r="I17" s="4" t="e">
        <f>#REF!</f>
        <v>#REF!</v>
      </c>
      <c r="J17" s="4" t="e">
        <f>#REF!</f>
        <v>#REF!</v>
      </c>
      <c r="K17" s="32" t="e">
        <f>#REF!</f>
        <v>#REF!</v>
      </c>
      <c r="L17" s="8" t="e">
        <f>#REF!</f>
        <v>#REF!</v>
      </c>
      <c r="M17" s="8" t="e">
        <f>#REF!</f>
        <v>#REF!</v>
      </c>
      <c r="N17" s="8" t="e">
        <f>#REF!</f>
        <v>#REF!</v>
      </c>
    </row>
    <row r="18" spans="1:14" x14ac:dyDescent="0.2">
      <c r="B18" s="6" t="s">
        <v>78</v>
      </c>
      <c r="C18" s="8" t="e">
        <f>#REF!</f>
        <v>#REF!</v>
      </c>
      <c r="D18" s="8" t="e">
        <f>#REF!</f>
        <v>#REF!</v>
      </c>
      <c r="E18" s="8" t="e">
        <f>#REF!</f>
        <v>#REF!</v>
      </c>
      <c r="F18" s="8" t="e">
        <f>#REF!</f>
        <v>#REF!</v>
      </c>
      <c r="G18" s="8" t="e">
        <f>#REF!</f>
        <v>#REF!</v>
      </c>
      <c r="H18" s="8" t="e">
        <f>#REF!</f>
        <v>#REF!</v>
      </c>
      <c r="I18" s="4" t="e">
        <f>#REF!</f>
        <v>#REF!</v>
      </c>
      <c r="J18" s="4" t="e">
        <f>#REF!</f>
        <v>#REF!</v>
      </c>
      <c r="K18" s="32" t="e">
        <f>#REF!</f>
        <v>#REF!</v>
      </c>
      <c r="L18" s="8" t="e">
        <f>#REF!</f>
        <v>#REF!</v>
      </c>
      <c r="M18" s="8" t="e">
        <f>#REF!</f>
        <v>#REF!</v>
      </c>
      <c r="N18" s="8" t="e">
        <f>#REF!</f>
        <v>#REF!</v>
      </c>
    </row>
    <row r="20" spans="1:14" x14ac:dyDescent="0.2">
      <c r="A20" s="39" t="s">
        <v>88</v>
      </c>
      <c r="B20" s="39"/>
      <c r="C20" s="242" t="s">
        <v>180</v>
      </c>
      <c r="D20" s="242" t="s">
        <v>15</v>
      </c>
      <c r="E20" s="242" t="s">
        <v>16</v>
      </c>
      <c r="F20" s="242" t="s">
        <v>17</v>
      </c>
      <c r="G20" s="2" t="s">
        <v>18</v>
      </c>
      <c r="H20" s="2" t="s">
        <v>25</v>
      </c>
      <c r="I20" s="2" t="s">
        <v>37</v>
      </c>
      <c r="J20" s="2" t="s">
        <v>134</v>
      </c>
      <c r="K20" s="2" t="s">
        <v>61</v>
      </c>
      <c r="L20" s="2" t="s">
        <v>62</v>
      </c>
      <c r="M20" s="2" t="s">
        <v>63</v>
      </c>
      <c r="N20" s="2" t="s">
        <v>64</v>
      </c>
    </row>
    <row r="21" spans="1:14" x14ac:dyDescent="0.2">
      <c r="B21" s="6" t="s">
        <v>65</v>
      </c>
      <c r="C21" s="31" t="e">
        <f>#REF!</f>
        <v>#REF!</v>
      </c>
      <c r="D21" s="31" t="e">
        <f>#REF!</f>
        <v>#REF!</v>
      </c>
      <c r="E21" s="31" t="e">
        <f>#REF!</f>
        <v>#REF!</v>
      </c>
      <c r="F21" s="31" t="e">
        <f>#REF!</f>
        <v>#REF!</v>
      </c>
      <c r="G21" s="31" t="e">
        <f>#REF!</f>
        <v>#REF!</v>
      </c>
      <c r="H21" s="31" t="e">
        <f>#REF!</f>
        <v>#REF!</v>
      </c>
      <c r="I21" s="33" t="e">
        <f>#REF!</f>
        <v>#REF!</v>
      </c>
      <c r="J21" s="33" t="e">
        <f>#REF!</f>
        <v>#REF!</v>
      </c>
      <c r="K21" s="34" t="e">
        <f>#REF!</f>
        <v>#REF!</v>
      </c>
      <c r="L21" s="31" t="e">
        <f>#REF!</f>
        <v>#REF!</v>
      </c>
      <c r="M21" s="31" t="e">
        <f>#REF!</f>
        <v>#REF!</v>
      </c>
      <c r="N21" s="31" t="e">
        <f>#REF!</f>
        <v>#REF!</v>
      </c>
    </row>
    <row r="22" spans="1:14" x14ac:dyDescent="0.2">
      <c r="B22" s="6" t="s">
        <v>66</v>
      </c>
      <c r="C22" s="31" t="e">
        <f>#REF!</f>
        <v>#REF!</v>
      </c>
      <c r="D22" s="31" t="e">
        <f>#REF!</f>
        <v>#REF!</v>
      </c>
      <c r="E22" s="31" t="e">
        <f>#REF!</f>
        <v>#REF!</v>
      </c>
      <c r="F22" s="31" t="e">
        <f>#REF!</f>
        <v>#REF!</v>
      </c>
      <c r="G22" s="31" t="e">
        <f>#REF!</f>
        <v>#REF!</v>
      </c>
      <c r="H22" s="31" t="e">
        <f>#REF!</f>
        <v>#REF!</v>
      </c>
      <c r="I22" s="33" t="e">
        <f>#REF!</f>
        <v>#REF!</v>
      </c>
      <c r="J22" s="33" t="e">
        <f>#REF!</f>
        <v>#REF!</v>
      </c>
      <c r="K22" s="34" t="e">
        <f>#REF!</f>
        <v>#REF!</v>
      </c>
      <c r="L22" s="31" t="e">
        <f>#REF!</f>
        <v>#REF!</v>
      </c>
      <c r="M22" s="31" t="e">
        <f>#REF!</f>
        <v>#REF!</v>
      </c>
      <c r="N22" s="31" t="e">
        <f>#REF!</f>
        <v>#REF!</v>
      </c>
    </row>
    <row r="24" spans="1:14" x14ac:dyDescent="0.2">
      <c r="A24" s="39" t="s">
        <v>89</v>
      </c>
      <c r="B24" s="39"/>
      <c r="C24" s="242" t="s">
        <v>180</v>
      </c>
      <c r="D24" s="242" t="s">
        <v>15</v>
      </c>
      <c r="E24" s="242" t="s">
        <v>16</v>
      </c>
      <c r="F24" s="242" t="s">
        <v>17</v>
      </c>
      <c r="G24" s="2" t="s">
        <v>18</v>
      </c>
      <c r="H24" s="2" t="s">
        <v>25</v>
      </c>
      <c r="I24" s="2" t="s">
        <v>37</v>
      </c>
      <c r="J24" s="2" t="s">
        <v>134</v>
      </c>
      <c r="K24" s="2" t="s">
        <v>61</v>
      </c>
      <c r="L24" s="2" t="s">
        <v>62</v>
      </c>
      <c r="M24" s="2" t="s">
        <v>63</v>
      </c>
      <c r="N24" s="2" t="s">
        <v>64</v>
      </c>
    </row>
    <row r="25" spans="1:14" x14ac:dyDescent="0.2">
      <c r="B25" s="6" t="s">
        <v>72</v>
      </c>
      <c r="C25" s="36" t="e">
        <f>#REF!</f>
        <v>#REF!</v>
      </c>
      <c r="D25" s="36" t="e">
        <f>#REF!</f>
        <v>#REF!</v>
      </c>
      <c r="E25" s="36" t="e">
        <f>#REF!</f>
        <v>#REF!</v>
      </c>
      <c r="F25" s="36" t="e">
        <f>#REF!</f>
        <v>#REF!</v>
      </c>
      <c r="G25" s="36" t="e">
        <f>#REF!</f>
        <v>#REF!</v>
      </c>
      <c r="H25" s="36" t="e">
        <f>#REF!</f>
        <v>#REF!</v>
      </c>
      <c r="I25" s="37" t="e">
        <f>#REF!</f>
        <v>#REF!</v>
      </c>
      <c r="J25" s="37" t="e">
        <f>#REF!</f>
        <v>#REF!</v>
      </c>
      <c r="K25" s="38" t="e">
        <f>#REF!</f>
        <v>#REF!</v>
      </c>
      <c r="L25" s="36" t="e">
        <f>#REF!</f>
        <v>#REF!</v>
      </c>
      <c r="M25" s="36" t="e">
        <f>#REF!</f>
        <v>#REF!</v>
      </c>
      <c r="N25" s="36" t="e">
        <f>#REF!</f>
        <v>#REF!</v>
      </c>
    </row>
    <row r="26" spans="1:14" x14ac:dyDescent="0.2">
      <c r="B26" s="6" t="s">
        <v>94</v>
      </c>
      <c r="C26" s="36" t="e">
        <f>#REF!</f>
        <v>#REF!</v>
      </c>
      <c r="D26" s="36" t="e">
        <f>#REF!</f>
        <v>#REF!</v>
      </c>
      <c r="E26" s="36" t="e">
        <f>#REF!</f>
        <v>#REF!</v>
      </c>
      <c r="F26" s="36" t="e">
        <f>#REF!</f>
        <v>#REF!</v>
      </c>
      <c r="G26" s="36" t="e">
        <f>#REF!</f>
        <v>#REF!</v>
      </c>
      <c r="H26" s="36" t="e">
        <f>#REF!</f>
        <v>#REF!</v>
      </c>
      <c r="I26" s="37" t="e">
        <f>#REF!</f>
        <v>#REF!</v>
      </c>
      <c r="J26" s="37" t="e">
        <f>#REF!</f>
        <v>#REF!</v>
      </c>
      <c r="K26" s="38" t="e">
        <f>#REF!</f>
        <v>#REF!</v>
      </c>
      <c r="L26" s="36" t="e">
        <f>#REF!</f>
        <v>#REF!</v>
      </c>
      <c r="M26" s="36" t="e">
        <f>#REF!</f>
        <v>#REF!</v>
      </c>
      <c r="N26" s="36" t="e">
        <f>#REF!</f>
        <v>#REF!</v>
      </c>
    </row>
    <row r="27" spans="1:14" x14ac:dyDescent="0.2">
      <c r="B27" s="6" t="s">
        <v>70</v>
      </c>
      <c r="C27" s="36" t="e">
        <f>#REF!</f>
        <v>#REF!</v>
      </c>
      <c r="D27" s="36" t="e">
        <f>#REF!</f>
        <v>#REF!</v>
      </c>
      <c r="E27" s="36" t="e">
        <f>#REF!</f>
        <v>#REF!</v>
      </c>
      <c r="F27" s="36" t="e">
        <f>#REF!</f>
        <v>#REF!</v>
      </c>
      <c r="G27" s="36" t="e">
        <f>#REF!</f>
        <v>#REF!</v>
      </c>
      <c r="H27" s="36" t="e">
        <f>#REF!</f>
        <v>#REF!</v>
      </c>
      <c r="I27" s="37" t="e">
        <f>#REF!</f>
        <v>#REF!</v>
      </c>
      <c r="J27" s="37" t="e">
        <f>#REF!</f>
        <v>#REF!</v>
      </c>
      <c r="K27" s="38" t="e">
        <f>#REF!</f>
        <v>#REF!</v>
      </c>
      <c r="L27" s="36" t="e">
        <f>#REF!</f>
        <v>#REF!</v>
      </c>
      <c r="M27" s="36" t="e">
        <f>#REF!</f>
        <v>#REF!</v>
      </c>
      <c r="N27" s="36" t="e">
        <f>#REF!</f>
        <v>#REF!</v>
      </c>
    </row>
    <row r="28" spans="1:14" s="243" customFormat="1" x14ac:dyDescent="0.2">
      <c r="B28" s="243" t="s">
        <v>71</v>
      </c>
      <c r="C28" s="36" t="e">
        <f>#REF!</f>
        <v>#REF!</v>
      </c>
      <c r="D28" s="36" t="e">
        <f>#REF!</f>
        <v>#REF!</v>
      </c>
      <c r="E28" s="36" t="e">
        <f>#REF!</f>
        <v>#REF!</v>
      </c>
      <c r="F28" s="36" t="e">
        <f>#REF!</f>
        <v>#REF!</v>
      </c>
      <c r="G28" s="36" t="e">
        <f>#REF!</f>
        <v>#REF!</v>
      </c>
      <c r="H28" s="36" t="e">
        <f>#REF!</f>
        <v>#REF!</v>
      </c>
      <c r="I28" s="37" t="e">
        <f>#REF!</f>
        <v>#REF!</v>
      </c>
      <c r="J28" s="37" t="e">
        <f>#REF!</f>
        <v>#REF!</v>
      </c>
      <c r="K28" s="38" t="e">
        <f>#REF!</f>
        <v>#REF!</v>
      </c>
      <c r="L28" s="36" t="e">
        <f>#REF!</f>
        <v>#REF!</v>
      </c>
      <c r="M28" s="36" t="e">
        <f>#REF!</f>
        <v>#REF!</v>
      </c>
      <c r="N28" s="36" t="e">
        <f>#REF!</f>
        <v>#REF!</v>
      </c>
    </row>
    <row r="30" spans="1:14" x14ac:dyDescent="0.2">
      <c r="A30" s="39" t="s">
        <v>98</v>
      </c>
      <c r="B30" s="39"/>
      <c r="C30" s="242" t="s">
        <v>180</v>
      </c>
      <c r="D30" s="242" t="s">
        <v>15</v>
      </c>
      <c r="E30" s="242" t="s">
        <v>16</v>
      </c>
      <c r="F30" s="242" t="s">
        <v>17</v>
      </c>
      <c r="G30" s="2" t="s">
        <v>18</v>
      </c>
      <c r="H30" s="2" t="s">
        <v>25</v>
      </c>
      <c r="I30" s="2" t="s">
        <v>37</v>
      </c>
      <c r="J30" s="2" t="s">
        <v>134</v>
      </c>
      <c r="K30" s="2" t="s">
        <v>61</v>
      </c>
      <c r="L30" s="2" t="s">
        <v>62</v>
      </c>
      <c r="M30" s="2" t="s">
        <v>63</v>
      </c>
      <c r="N30" s="2" t="s">
        <v>64</v>
      </c>
    </row>
    <row r="31" spans="1:14" x14ac:dyDescent="0.2">
      <c r="B31" s="6" t="s">
        <v>90</v>
      </c>
      <c r="C31" s="25">
        <f>IS_NG!F64</f>
        <v>0.44424464739173197</v>
      </c>
      <c r="D31" s="25">
        <f>IS_NG!G64</f>
        <v>0.41044773075519836</v>
      </c>
      <c r="E31" s="25">
        <f>IS_NG!H64</f>
        <v>0.70837383609717397</v>
      </c>
      <c r="F31" s="25">
        <f>IS_NG!I64</f>
        <v>-0.39985285896733869</v>
      </c>
      <c r="G31" s="25">
        <f>IS_NG!J64</f>
        <v>-0.79514827201456695</v>
      </c>
      <c r="H31" s="25">
        <f>IS_NG!K64</f>
        <v>-6.5611330742631729E-2</v>
      </c>
      <c r="I31" s="25">
        <f>IS_NG!L64</f>
        <v>1.3235935251956252</v>
      </c>
      <c r="J31" s="25">
        <f>IS_NG!M64</f>
        <v>0.59470482614132381</v>
      </c>
      <c r="K31" s="25">
        <f>IS_NG!N64</f>
        <v>0.64052866455741064</v>
      </c>
      <c r="L31" s="25">
        <f>IS_NG!O64</f>
        <v>1.0095640145631373</v>
      </c>
      <c r="M31" s="25">
        <f>IS_NG!P64</f>
        <v>1.4703143298581645</v>
      </c>
      <c r="N31" s="25">
        <f>IS_NG!Q64</f>
        <v>2.0835230517677066</v>
      </c>
    </row>
    <row r="33" spans="1:14" x14ac:dyDescent="0.2">
      <c r="A33" s="39" t="s">
        <v>91</v>
      </c>
      <c r="B33" s="39"/>
      <c r="C33" s="242" t="s">
        <v>180</v>
      </c>
      <c r="D33" s="242" t="s">
        <v>15</v>
      </c>
      <c r="E33" s="242" t="s">
        <v>16</v>
      </c>
      <c r="F33" s="242" t="s">
        <v>17</v>
      </c>
      <c r="G33" s="2" t="s">
        <v>18</v>
      </c>
      <c r="H33" s="2" t="s">
        <v>25</v>
      </c>
      <c r="I33" s="2" t="s">
        <v>37</v>
      </c>
      <c r="J33" s="2" t="s">
        <v>134</v>
      </c>
      <c r="K33" s="2" t="s">
        <v>61</v>
      </c>
      <c r="L33" s="2" t="s">
        <v>62</v>
      </c>
      <c r="M33" s="2" t="s">
        <v>63</v>
      </c>
      <c r="N33" s="2" t="s">
        <v>64</v>
      </c>
    </row>
    <row r="34" spans="1:14" x14ac:dyDescent="0.2">
      <c r="B34" s="6" t="s">
        <v>84</v>
      </c>
      <c r="C34" s="244">
        <f>IS_NG!F25</f>
        <v>584.48599999999999</v>
      </c>
      <c r="D34" s="244">
        <f>IS_NG!G25</f>
        <v>582.44399999999996</v>
      </c>
      <c r="E34" s="244">
        <f>IS_NG!H25</f>
        <v>593.053</v>
      </c>
      <c r="F34" s="244">
        <f>IS_NG!I25</f>
        <v>826.99900000000002</v>
      </c>
      <c r="G34" s="7">
        <f>IS_NG!J25</f>
        <v>859.45600000000002</v>
      </c>
      <c r="H34" s="7">
        <f>IS_NG!K25</f>
        <v>974.94799999999998</v>
      </c>
      <c r="I34" s="7">
        <f>IS_NG!L25</f>
        <v>469.51499999999999</v>
      </c>
      <c r="J34" s="7">
        <f>IS_NG!M25</f>
        <v>520.05026632025942</v>
      </c>
      <c r="K34" s="7">
        <f>IS_NG!N25</f>
        <v>595.08215948616999</v>
      </c>
      <c r="L34" s="7">
        <f>IS_NG!O25</f>
        <v>718.66704753675015</v>
      </c>
      <c r="M34" s="7">
        <f>IS_NG!P25</f>
        <v>872.96602223963896</v>
      </c>
      <c r="N34" s="7">
        <f>IS_NG!Q25</f>
        <v>1078.3212307519229</v>
      </c>
    </row>
    <row r="35" spans="1:14" x14ac:dyDescent="0.2">
      <c r="B35" s="6" t="s">
        <v>4</v>
      </c>
      <c r="C35" s="3">
        <f>IS_NG!F26</f>
        <v>7.429838088603713E-2</v>
      </c>
      <c r="D35" s="3">
        <f>IS_NG!G26</f>
        <v>-3.4936679407205906E-3</v>
      </c>
      <c r="E35" s="3">
        <f>IS_NG!H26</f>
        <v>1.8214626642218068E-2</v>
      </c>
      <c r="F35" s="3">
        <f>IS_NG!I26</f>
        <v>0.39447739072224586</v>
      </c>
      <c r="G35" s="3">
        <f>IS_NG!J26</f>
        <v>3.924672218467018E-2</v>
      </c>
      <c r="H35" s="3">
        <f>IS_NG!K26</f>
        <v>0.13437802516940933</v>
      </c>
      <c r="I35" s="3">
        <f>IS_NG!L26</f>
        <v>-0.5184204696045327</v>
      </c>
      <c r="J35" s="3">
        <f>IS_NG!M26</f>
        <v>0.10763291123874508</v>
      </c>
      <c r="K35" s="3">
        <f>IS_NG!N26</f>
        <v>0.14427815544988909</v>
      </c>
      <c r="L35" s="3">
        <f>IS_NG!O26</f>
        <v>0.20767701750173595</v>
      </c>
      <c r="M35" s="3">
        <f>IS_NG!P26</f>
        <v>0.21470161353821982</v>
      </c>
      <c r="N35" s="3">
        <f>IS_NG!Q26</f>
        <v>0.23523848956392901</v>
      </c>
    </row>
    <row r="37" spans="1:14" x14ac:dyDescent="0.2">
      <c r="A37" s="5" t="s">
        <v>92</v>
      </c>
      <c r="B37" s="5"/>
      <c r="C37" s="242" t="s">
        <v>180</v>
      </c>
      <c r="D37" s="242" t="s">
        <v>15</v>
      </c>
      <c r="E37" s="242" t="s">
        <v>16</v>
      </c>
      <c r="F37" s="242" t="s">
        <v>17</v>
      </c>
      <c r="G37" s="242" t="s">
        <v>18</v>
      </c>
      <c r="H37" s="242" t="s">
        <v>25</v>
      </c>
      <c r="I37" s="2" t="s">
        <v>37</v>
      </c>
      <c r="J37" s="2" t="s">
        <v>134</v>
      </c>
      <c r="K37" s="2" t="s">
        <v>61</v>
      </c>
      <c r="L37" s="2" t="s">
        <v>62</v>
      </c>
      <c r="M37" s="2" t="s">
        <v>63</v>
      </c>
      <c r="N37" s="2" t="s">
        <v>64</v>
      </c>
    </row>
    <row r="38" spans="1:14" x14ac:dyDescent="0.2">
      <c r="B38" s="6" t="s">
        <v>74</v>
      </c>
      <c r="C38" s="245" t="e">
        <f>#REF!</f>
        <v>#REF!</v>
      </c>
      <c r="D38" s="245" t="e">
        <f>#REF!</f>
        <v>#REF!</v>
      </c>
      <c r="E38" s="245" t="e">
        <f>#REF!</f>
        <v>#REF!</v>
      </c>
      <c r="F38" s="245" t="e">
        <f>#REF!</f>
        <v>#REF!</v>
      </c>
      <c r="G38" s="245" t="e">
        <f>#REF!</f>
        <v>#REF!</v>
      </c>
      <c r="H38" s="245" t="e">
        <f>#REF!</f>
        <v>#REF!</v>
      </c>
      <c r="I38" s="33" t="e">
        <f>#REF!</f>
        <v>#REF!</v>
      </c>
      <c r="J38" s="33" t="e">
        <f>#REF!</f>
        <v>#REF!</v>
      </c>
      <c r="K38" s="34" t="e">
        <f>#REF!</f>
        <v>#REF!</v>
      </c>
      <c r="L38" s="31" t="e">
        <f>#REF!</f>
        <v>#REF!</v>
      </c>
      <c r="M38" s="31" t="e">
        <f>#REF!</f>
        <v>#REF!</v>
      </c>
      <c r="N38" s="31" t="e">
        <f>#REF!</f>
        <v>#REF!</v>
      </c>
    </row>
    <row r="39" spans="1:14" x14ac:dyDescent="0.2">
      <c r="B39" s="6" t="s">
        <v>75</v>
      </c>
      <c r="C39" s="245" t="e">
        <f>#REF!</f>
        <v>#REF!</v>
      </c>
      <c r="D39" s="245" t="e">
        <f>#REF!</f>
        <v>#REF!</v>
      </c>
      <c r="E39" s="245" t="e">
        <f>#REF!</f>
        <v>#REF!</v>
      </c>
      <c r="F39" s="245" t="e">
        <f>#REF!</f>
        <v>#REF!</v>
      </c>
      <c r="G39" s="245" t="e">
        <f>#REF!</f>
        <v>#REF!</v>
      </c>
      <c r="H39" s="245" t="e">
        <f>#REF!</f>
        <v>#REF!</v>
      </c>
      <c r="I39" s="33" t="e">
        <f>#REF!</f>
        <v>#REF!</v>
      </c>
      <c r="J39" s="33" t="e">
        <f>#REF!</f>
        <v>#REF!</v>
      </c>
      <c r="K39" s="34" t="e">
        <f>#REF!</f>
        <v>#REF!</v>
      </c>
      <c r="L39" s="31" t="e">
        <f>#REF!</f>
        <v>#REF!</v>
      </c>
      <c r="M39" s="31" t="e">
        <f>#REF!</f>
        <v>#REF!</v>
      </c>
      <c r="N39" s="31" t="e">
        <f>#REF!</f>
        <v>#REF!</v>
      </c>
    </row>
    <row r="40" spans="1:14" x14ac:dyDescent="0.2">
      <c r="B40" s="6" t="s">
        <v>76</v>
      </c>
      <c r="C40" s="245" t="e">
        <f>#REF!</f>
        <v>#REF!</v>
      </c>
      <c r="D40" s="245" t="e">
        <f>#REF!</f>
        <v>#REF!</v>
      </c>
      <c r="E40" s="245" t="e">
        <f>#REF!</f>
        <v>#REF!</v>
      </c>
      <c r="F40" s="245" t="e">
        <f>#REF!</f>
        <v>#REF!</v>
      </c>
      <c r="G40" s="245" t="e">
        <f>#REF!</f>
        <v>#REF!</v>
      </c>
      <c r="H40" s="245" t="e">
        <f>#REF!</f>
        <v>#REF!</v>
      </c>
      <c r="I40" s="33" t="e">
        <f>#REF!</f>
        <v>#REF!</v>
      </c>
      <c r="J40" s="33" t="e">
        <f>#REF!</f>
        <v>#REF!</v>
      </c>
      <c r="K40" s="34" t="e">
        <f>#REF!</f>
        <v>#REF!</v>
      </c>
      <c r="L40" s="31" t="e">
        <f>#REF!</f>
        <v>#REF!</v>
      </c>
      <c r="M40" s="31" t="e">
        <f>#REF!</f>
        <v>#REF!</v>
      </c>
      <c r="N40" s="31" t="e">
        <f>#REF!</f>
        <v>#REF!</v>
      </c>
    </row>
    <row r="41" spans="1:14" x14ac:dyDescent="0.2">
      <c r="B41" s="6" t="s">
        <v>77</v>
      </c>
      <c r="C41" s="245" t="e">
        <f>#REF!</f>
        <v>#REF!</v>
      </c>
      <c r="D41" s="245" t="e">
        <f>#REF!</f>
        <v>#REF!</v>
      </c>
      <c r="E41" s="245" t="e">
        <f>#REF!</f>
        <v>#REF!</v>
      </c>
      <c r="F41" s="245" t="e">
        <f>#REF!</f>
        <v>#REF!</v>
      </c>
      <c r="G41" s="245" t="e">
        <f>#REF!</f>
        <v>#REF!</v>
      </c>
      <c r="H41" s="245" t="e">
        <f>#REF!</f>
        <v>#REF!</v>
      </c>
      <c r="I41" s="33" t="e">
        <f>#REF!</f>
        <v>#REF!</v>
      </c>
      <c r="J41" s="33" t="e">
        <f>#REF!</f>
        <v>#REF!</v>
      </c>
      <c r="K41" s="34" t="e">
        <f>#REF!</f>
        <v>#REF!</v>
      </c>
      <c r="L41" s="31" t="e">
        <f>#REF!</f>
        <v>#REF!</v>
      </c>
      <c r="M41" s="31" t="e">
        <f>#REF!</f>
        <v>#REF!</v>
      </c>
      <c r="N41" s="31" t="e">
        <f>#REF!</f>
        <v>#REF!</v>
      </c>
    </row>
    <row r="43" spans="1:14" x14ac:dyDescent="0.2">
      <c r="A43" s="39" t="s">
        <v>93</v>
      </c>
      <c r="C43" s="2">
        <v>2018</v>
      </c>
    </row>
    <row r="44" spans="1:14" x14ac:dyDescent="0.2">
      <c r="B44" s="6" t="s">
        <v>349</v>
      </c>
      <c r="C44" s="35">
        <f>RD!L16</f>
        <v>258.97800000000001</v>
      </c>
    </row>
    <row r="45" spans="1:14" x14ac:dyDescent="0.2">
      <c r="B45" s="6" t="s">
        <v>350</v>
      </c>
      <c r="C45" s="35">
        <f>RD!L88</f>
        <v>210.53700000000001</v>
      </c>
    </row>
    <row r="46" spans="1:14" s="243" customFormat="1" x14ac:dyDescent="0.2">
      <c r="C46" s="35"/>
    </row>
    <row r="48" spans="1:14" x14ac:dyDescent="0.2">
      <c r="A48" s="41" t="str">
        <f>HYPERLINK("#Ratio!A6","Leverage Analysis")</f>
        <v>Leverage Analysis</v>
      </c>
    </row>
    <row r="49" spans="1:1" x14ac:dyDescent="0.2">
      <c r="A49" s="41" t="str">
        <f>HYPERLINK("#Ratio!A24","Fixed Charges")</f>
        <v>Fixed Charges</v>
      </c>
    </row>
    <row r="50" spans="1:1" x14ac:dyDescent="0.2">
      <c r="A50" s="41" t="str">
        <f>HYPERLINK("#Ratio!A30","Liquidity Analysis")</f>
        <v>Liquidity Analysis</v>
      </c>
    </row>
    <row r="51" spans="1:1" x14ac:dyDescent="0.2">
      <c r="A51" s="6" t="s">
        <v>115</v>
      </c>
    </row>
    <row r="52" spans="1:1" x14ac:dyDescent="0.2">
      <c r="A52" s="6" t="s">
        <v>103</v>
      </c>
    </row>
    <row r="53" spans="1:1" x14ac:dyDescent="0.2">
      <c r="A53" s="6" t="s">
        <v>104</v>
      </c>
    </row>
    <row r="54" spans="1:1" x14ac:dyDescent="0.2">
      <c r="A54" s="6" t="s">
        <v>105</v>
      </c>
    </row>
    <row r="55" spans="1:1" x14ac:dyDescent="0.2">
      <c r="A55" s="6" t="s">
        <v>106</v>
      </c>
    </row>
    <row r="56" spans="1:1" x14ac:dyDescent="0.2">
      <c r="A56" s="6" t="s">
        <v>73</v>
      </c>
    </row>
    <row r="57" spans="1:1" x14ac:dyDescent="0.2">
      <c r="A57" s="6" t="s">
        <v>107</v>
      </c>
    </row>
    <row r="58" spans="1:1" x14ac:dyDescent="0.2">
      <c r="A58" s="6" t="s">
        <v>108</v>
      </c>
    </row>
    <row r="59" spans="1:1" x14ac:dyDescent="0.2">
      <c r="A59" s="6" t="s">
        <v>109</v>
      </c>
    </row>
    <row r="60" spans="1:1" x14ac:dyDescent="0.2">
      <c r="A60" s="6" t="s">
        <v>111</v>
      </c>
    </row>
    <row r="61" spans="1:1" x14ac:dyDescent="0.2">
      <c r="A61" s="6" t="s">
        <v>110</v>
      </c>
    </row>
    <row r="62" spans="1:1" x14ac:dyDescent="0.2">
      <c r="A62" s="6" t="s">
        <v>112</v>
      </c>
    </row>
    <row r="63" spans="1:1" x14ac:dyDescent="0.2">
      <c r="A63" s="6" t="s">
        <v>113</v>
      </c>
    </row>
    <row r="64" spans="1:1" x14ac:dyDescent="0.2">
      <c r="A64" s="6" t="s">
        <v>114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3BC6A1A-98C3-4E53-BEC4-1EF1CB60C3F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IS</vt:lpstr>
      <vt:lpstr>CF</vt:lpstr>
      <vt:lpstr>BS</vt:lpstr>
      <vt:lpstr>IS_NG</vt:lpstr>
      <vt:lpstr>RD</vt:lpstr>
      <vt:lpstr>Chart 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Valora Research</dc:creator>
  <cp:lastModifiedBy>Valora Research</cp:lastModifiedBy>
  <dcterms:created xsi:type="dcterms:W3CDTF">2017-04-22T17:33:56Z</dcterms:created>
  <dcterms:modified xsi:type="dcterms:W3CDTF">2020-02-10T23:42:21Z</dcterms:modified>
</cp:coreProperties>
</file>