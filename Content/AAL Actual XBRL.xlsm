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D:\Models\AAL\Actual\"/>
    </mc:Choice>
  </mc:AlternateContent>
  <bookViews>
    <workbookView xWindow="-105" yWindow="-105" windowWidth="23250" windowHeight="12570" tabRatio="840"/>
  </bookViews>
  <sheets>
    <sheet name="IS" sheetId="55" r:id="rId1"/>
    <sheet name="BS" sheetId="56" r:id="rId2"/>
    <sheet name="CF" sheetId="57" r:id="rId3"/>
    <sheet name="IS_NG" sheetId="58" r:id="rId4"/>
    <sheet name="RD" sheetId="59" r:id="rId5"/>
    <sheet name="GUIDE" sheetId="60" r:id="rId6"/>
    <sheet name="RATIO" sheetId="61" r:id="rId7"/>
    <sheet name="IS_METRICS" sheetId="62" r:id="rId8"/>
    <sheet name="LIQUIDITY_MANAGEMENT" sheetId="63" r:id="rId9"/>
    <sheet name="ASSET_MANAGEMENT" sheetId="64" r:id="rId10"/>
    <sheet name="DEBT_MANAGEMENT" sheetId="65" r:id="rId11"/>
    <sheet name="PROFITABILITY_INDICATORS" sheetId="66" r:id="rId12"/>
    <sheet name="BS_METRICS" sheetId="67" r:id="rId13"/>
    <sheet name="EPS_DPS" sheetId="68" r:id="rId14"/>
    <sheet name="PRICE_ANALYSIS" sheetId="69" r:id="rId15"/>
    <sheet name="CAPEX" sheetId="70" r:id="rId16"/>
    <sheet name="EV_MULTIPLES" sheetId="71" r:id="rId17"/>
    <sheet name="REVENUE_SEGMENTS" sheetId="72" r:id="rId18"/>
  </sheets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3" i="61" l="1"/>
  <c r="O13" i="61"/>
  <c r="P13" i="61"/>
  <c r="Q13" i="61"/>
  <c r="N20" i="61"/>
  <c r="O20" i="61"/>
  <c r="P20" i="61"/>
  <c r="Q20" i="61"/>
  <c r="O26" i="61"/>
  <c r="N31" i="61"/>
  <c r="O31" i="61"/>
  <c r="P31" i="61"/>
  <c r="Q31" i="61"/>
  <c r="N32" i="61"/>
  <c r="P32" i="61"/>
  <c r="N33" i="61"/>
  <c r="O33" i="61"/>
  <c r="P33" i="61"/>
  <c r="Q33" i="61"/>
  <c r="N35" i="61"/>
  <c r="O35" i="61"/>
  <c r="P35" i="61"/>
  <c r="Q35" i="61"/>
  <c r="N36" i="61"/>
  <c r="O36" i="61"/>
  <c r="P36" i="61"/>
  <c r="Q36" i="61"/>
  <c r="O41" i="61"/>
  <c r="N44" i="61"/>
  <c r="O44" i="61"/>
  <c r="P44" i="61"/>
  <c r="Q44" i="61"/>
  <c r="N48" i="61"/>
  <c r="O48" i="61"/>
  <c r="P48" i="61"/>
  <c r="Q48" i="61"/>
  <c r="N49" i="61"/>
  <c r="O49" i="61"/>
  <c r="P49" i="61"/>
  <c r="Q49" i="61"/>
  <c r="N50" i="61"/>
  <c r="O50" i="61"/>
  <c r="P50" i="61"/>
  <c r="Q50" i="61"/>
  <c r="N52" i="61"/>
  <c r="O52" i="61"/>
  <c r="P52" i="61"/>
  <c r="Q52" i="61"/>
  <c r="N75" i="61"/>
  <c r="O75" i="61"/>
  <c r="P75" i="61"/>
  <c r="Q75" i="61"/>
  <c r="P81" i="61"/>
  <c r="P88" i="61"/>
  <c r="L89" i="61"/>
  <c r="P90" i="61"/>
  <c r="Q120" i="61"/>
  <c r="N126" i="61"/>
  <c r="O126" i="61"/>
  <c r="P126" i="61"/>
  <c r="Q126" i="61"/>
  <c r="N127" i="61"/>
  <c r="O127" i="61"/>
  <c r="P127" i="61"/>
  <c r="Q127" i="61"/>
  <c r="Q129" i="61"/>
  <c r="Y129" i="61"/>
  <c r="AC129" i="61"/>
  <c r="P131" i="61"/>
  <c r="P79" i="61" s="1"/>
  <c r="N175" i="61"/>
  <c r="O175" i="61"/>
  <c r="P175" i="61"/>
  <c r="Q175" i="61"/>
  <c r="N178" i="61"/>
  <c r="O178" i="61"/>
  <c r="P178" i="61"/>
  <c r="Q178" i="61"/>
  <c r="N179" i="61"/>
  <c r="O179" i="61"/>
  <c r="P179" i="61"/>
  <c r="Q179" i="61"/>
  <c r="N180" i="61"/>
  <c r="O180" i="61"/>
  <c r="P180" i="61"/>
  <c r="Q180" i="61"/>
  <c r="N181" i="61"/>
  <c r="O181" i="61"/>
  <c r="P181" i="61"/>
  <c r="Q181" i="61"/>
  <c r="N182" i="61"/>
  <c r="O182" i="61"/>
  <c r="P182" i="61"/>
  <c r="Q182" i="61"/>
  <c r="N183" i="61"/>
  <c r="N184" i="61"/>
  <c r="O184" i="61"/>
  <c r="P184" i="61"/>
  <c r="Q184" i="61"/>
  <c r="N185" i="61"/>
  <c r="O185" i="61"/>
  <c r="P185" i="61"/>
  <c r="Q185" i="61"/>
  <c r="Q186" i="61"/>
  <c r="N187" i="61"/>
  <c r="O187" i="61"/>
  <c r="P187" i="61"/>
  <c r="Q187" i="61"/>
  <c r="O188" i="61"/>
  <c r="Q188" i="61"/>
  <c r="P189" i="61"/>
  <c r="N192" i="61"/>
  <c r="O192" i="61"/>
  <c r="P192" i="61"/>
  <c r="Q192" i="61"/>
  <c r="N193" i="61"/>
  <c r="O193" i="61"/>
  <c r="P193" i="61"/>
  <c r="Q193" i="61"/>
  <c r="N194" i="61"/>
  <c r="O194" i="61"/>
  <c r="P194" i="61"/>
  <c r="Q194" i="61"/>
  <c r="N195" i="61"/>
  <c r="O195" i="61"/>
  <c r="P195" i="61"/>
  <c r="Q195" i="61"/>
  <c r="N196" i="61"/>
  <c r="O196" i="61"/>
  <c r="P196" i="61"/>
  <c r="Q196" i="61"/>
  <c r="N199" i="61"/>
  <c r="O199" i="61"/>
  <c r="P199" i="61"/>
  <c r="Q199" i="61"/>
  <c r="N202" i="61"/>
  <c r="O202" i="61"/>
  <c r="P202" i="61"/>
  <c r="Q202" i="61"/>
  <c r="N203" i="61"/>
  <c r="O203" i="61"/>
  <c r="P203" i="61"/>
  <c r="Q203" i="61"/>
  <c r="N204" i="61"/>
  <c r="O204" i="61"/>
  <c r="P204" i="61"/>
  <c r="Q204" i="61"/>
  <c r="N205" i="61"/>
  <c r="O205" i="61"/>
  <c r="P205" i="61"/>
  <c r="Q205" i="61"/>
  <c r="N206" i="61"/>
  <c r="O206" i="61"/>
  <c r="P206" i="61"/>
  <c r="Q206" i="61"/>
  <c r="N207" i="61"/>
  <c r="N208" i="61"/>
  <c r="O208" i="61"/>
  <c r="P208" i="61"/>
  <c r="Q208" i="61"/>
  <c r="N209" i="61"/>
  <c r="O209" i="61"/>
  <c r="P209" i="61"/>
  <c r="Q209" i="61"/>
  <c r="Q210" i="61"/>
  <c r="N211" i="61"/>
  <c r="O211" i="61"/>
  <c r="P211" i="61"/>
  <c r="Q211" i="61"/>
  <c r="N216" i="61"/>
  <c r="O216" i="61"/>
  <c r="P216" i="61"/>
  <c r="Q216" i="61"/>
  <c r="N217" i="61"/>
  <c r="O217" i="61"/>
  <c r="P217" i="61"/>
  <c r="Q217" i="61"/>
  <c r="N218" i="61"/>
  <c r="O218" i="61"/>
  <c r="P218" i="61"/>
  <c r="Q218" i="61"/>
  <c r="N219" i="61"/>
  <c r="O219" i="61"/>
  <c r="P219" i="61"/>
  <c r="Q219" i="61"/>
  <c r="N220" i="61"/>
  <c r="O220" i="61"/>
  <c r="P220" i="61"/>
  <c r="Q220" i="61"/>
  <c r="Y228" i="61"/>
  <c r="N235" i="61"/>
  <c r="D4" i="60"/>
  <c r="P5" i="60"/>
  <c r="D12" i="60"/>
  <c r="H12" i="60"/>
  <c r="L12" i="60"/>
  <c r="P12" i="60"/>
  <c r="D13" i="60"/>
  <c r="H13" i="60"/>
  <c r="L13" i="60"/>
  <c r="P13" i="60"/>
  <c r="P14" i="60"/>
  <c r="D15" i="60"/>
  <c r="H15" i="60"/>
  <c r="L15" i="60"/>
  <c r="P15" i="60"/>
  <c r="D21" i="60"/>
  <c r="H21" i="60"/>
  <c r="L21" i="60"/>
  <c r="T21" i="60"/>
  <c r="X21" i="60" s="1"/>
  <c r="D28" i="60"/>
  <c r="D29" i="60"/>
  <c r="H29" i="60"/>
  <c r="L29" i="60"/>
  <c r="P29" i="60"/>
  <c r="D32" i="60"/>
  <c r="H32" i="60"/>
  <c r="L32" i="60"/>
  <c r="P32" i="60"/>
  <c r="D33" i="60"/>
  <c r="H33" i="60"/>
  <c r="L33" i="60"/>
  <c r="P33" i="60"/>
  <c r="D34" i="60"/>
  <c r="H34" i="60"/>
  <c r="L34" i="60"/>
  <c r="P34" i="60"/>
  <c r="T34" i="60"/>
  <c r="D40" i="60"/>
  <c r="D42" i="60" s="1"/>
  <c r="T43" i="60"/>
  <c r="D47" i="60"/>
  <c r="D50" i="60"/>
  <c r="D53" i="60"/>
  <c r="D56" i="60"/>
  <c r="D59" i="60"/>
  <c r="D60" i="60"/>
  <c r="D62" i="60" s="1"/>
  <c r="H60" i="60"/>
  <c r="L60" i="60"/>
  <c r="P60" i="60"/>
  <c r="T60" i="60"/>
  <c r="D63" i="60"/>
  <c r="D65" i="60" s="1"/>
  <c r="H63" i="60"/>
  <c r="L63" i="60"/>
  <c r="P63" i="60"/>
  <c r="T63" i="60"/>
  <c r="D66" i="60"/>
  <c r="D68" i="60" s="1"/>
  <c r="H66" i="60"/>
  <c r="L66" i="60"/>
  <c r="P66" i="60"/>
  <c r="T66" i="60"/>
  <c r="X70" i="60"/>
  <c r="X82" i="60" s="1"/>
  <c r="D72" i="60"/>
  <c r="D75" i="60"/>
  <c r="D78" i="60"/>
  <c r="D81" i="60"/>
  <c r="D82" i="60"/>
  <c r="H82" i="60"/>
  <c r="L82" i="60"/>
  <c r="P82" i="60"/>
  <c r="T82" i="60"/>
  <c r="AB82" i="60"/>
  <c r="D84" i="60"/>
  <c r="D88" i="60"/>
  <c r="D93" i="60"/>
  <c r="F95" i="60"/>
  <c r="D95" i="60" s="1"/>
  <c r="D97" i="60"/>
  <c r="D98" i="60"/>
  <c r="D100" i="60" s="1"/>
  <c r="H98" i="60"/>
  <c r="L98" i="60"/>
  <c r="P98" i="60"/>
  <c r="T98" i="60"/>
  <c r="T100" i="60" s="1"/>
  <c r="D103" i="60"/>
  <c r="D105" i="60"/>
  <c r="D107" i="60" s="1"/>
  <c r="H105" i="60"/>
  <c r="L105" i="60"/>
  <c r="P105" i="60"/>
  <c r="T105" i="60"/>
  <c r="D108" i="60"/>
  <c r="D110" i="60" s="1"/>
  <c r="H108" i="60"/>
  <c r="L108" i="60"/>
  <c r="P108" i="60"/>
  <c r="T108" i="60"/>
  <c r="D111" i="60"/>
  <c r="H111" i="60"/>
  <c r="L111" i="60"/>
  <c r="P111" i="60"/>
  <c r="T111" i="60"/>
  <c r="X111" i="60"/>
  <c r="D113" i="60"/>
  <c r="D116" i="60"/>
  <c r="D121" i="60"/>
  <c r="D123" i="60" s="1"/>
  <c r="T124" i="60"/>
  <c r="T126" i="60"/>
  <c r="T129" i="60"/>
  <c r="D132" i="60"/>
  <c r="T132" i="60"/>
  <c r="D135" i="60"/>
  <c r="T135" i="60"/>
  <c r="D138" i="60"/>
  <c r="T138" i="60"/>
  <c r="D141" i="60"/>
  <c r="T141" i="60"/>
  <c r="D144" i="60"/>
  <c r="T144" i="60"/>
  <c r="D145" i="60"/>
  <c r="D147" i="60" s="1"/>
  <c r="T145" i="60"/>
  <c r="T147" i="60"/>
  <c r="D148" i="60"/>
  <c r="T148" i="60"/>
  <c r="T151" i="60"/>
  <c r="D152" i="60"/>
  <c r="T152" i="60"/>
  <c r="T154" i="60" s="1"/>
  <c r="D154" i="60"/>
  <c r="D160" i="60"/>
  <c r="D162" i="60" s="1"/>
  <c r="T160" i="60"/>
  <c r="T162" i="60" s="1"/>
  <c r="D166" i="60"/>
  <c r="T166" i="60"/>
  <c r="D169" i="60"/>
  <c r="T169" i="60"/>
  <c r="D173" i="60"/>
  <c r="T173" i="60"/>
  <c r="D175" i="60"/>
  <c r="D177" i="60" s="1"/>
  <c r="D178" i="60"/>
  <c r="T178" i="60"/>
  <c r="T180" i="60" s="1"/>
  <c r="D180" i="60"/>
  <c r="D183" i="60"/>
  <c r="T183" i="60"/>
  <c r="D185" i="60"/>
  <c r="D187" i="60" s="1"/>
  <c r="T185" i="60"/>
  <c r="T187" i="60"/>
  <c r="D188" i="60"/>
  <c r="D190" i="60" s="1"/>
  <c r="T188" i="60"/>
  <c r="T190" i="60"/>
  <c r="D191" i="60"/>
  <c r="T191" i="60"/>
  <c r="X191" i="60"/>
  <c r="AB191" i="60"/>
  <c r="D193" i="60"/>
  <c r="T193" i="60"/>
  <c r="D196" i="60"/>
  <c r="T196" i="60"/>
  <c r="D6" i="59"/>
  <c r="E6" i="59"/>
  <c r="F6" i="59"/>
  <c r="G6" i="59"/>
  <c r="H6" i="59"/>
  <c r="I6" i="59"/>
  <c r="J6" i="59"/>
  <c r="L6" i="59"/>
  <c r="M6" i="59"/>
  <c r="N6" i="59"/>
  <c r="O6" i="59"/>
  <c r="P6" i="59"/>
  <c r="Q6" i="59"/>
  <c r="R6" i="59"/>
  <c r="S6" i="59"/>
  <c r="T6" i="59"/>
  <c r="U6" i="59"/>
  <c r="V6" i="59"/>
  <c r="W6" i="59"/>
  <c r="X6" i="59"/>
  <c r="Y6" i="59"/>
  <c r="Z6" i="59"/>
  <c r="AA6" i="59"/>
  <c r="AB6" i="59"/>
  <c r="AC6" i="59"/>
  <c r="AD6" i="59"/>
  <c r="AE6" i="59"/>
  <c r="AF6" i="59"/>
  <c r="D7" i="59"/>
  <c r="E7" i="59"/>
  <c r="F7" i="59"/>
  <c r="G7" i="59"/>
  <c r="H7" i="59"/>
  <c r="I7" i="59"/>
  <c r="J7" i="59"/>
  <c r="L7" i="59"/>
  <c r="M7" i="59"/>
  <c r="N7" i="59"/>
  <c r="O7" i="59"/>
  <c r="P7" i="59"/>
  <c r="Q7" i="59"/>
  <c r="R7" i="59"/>
  <c r="S7" i="59"/>
  <c r="T7" i="59"/>
  <c r="U7" i="59"/>
  <c r="V7" i="59"/>
  <c r="W7" i="59"/>
  <c r="X7" i="59"/>
  <c r="Y7" i="59"/>
  <c r="Z7" i="59"/>
  <c r="AA7" i="59"/>
  <c r="AB7" i="59"/>
  <c r="AC7" i="59"/>
  <c r="AD7" i="59"/>
  <c r="AE7" i="59"/>
  <c r="AF7" i="59"/>
  <c r="D8" i="59"/>
  <c r="E8" i="59"/>
  <c r="F8" i="59"/>
  <c r="G8" i="59"/>
  <c r="H8" i="59"/>
  <c r="I8" i="59"/>
  <c r="J8" i="59"/>
  <c r="L8" i="59"/>
  <c r="M8" i="59"/>
  <c r="N8" i="59"/>
  <c r="O8" i="59"/>
  <c r="P8" i="59"/>
  <c r="Q8" i="59"/>
  <c r="R8" i="59"/>
  <c r="S8" i="59"/>
  <c r="T8" i="59"/>
  <c r="U8" i="59"/>
  <c r="V8" i="59"/>
  <c r="W8" i="59"/>
  <c r="X8" i="59"/>
  <c r="Y8" i="59"/>
  <c r="Z8" i="59"/>
  <c r="AA8" i="59"/>
  <c r="AB8" i="59"/>
  <c r="AC8" i="59"/>
  <c r="AD8" i="59"/>
  <c r="AE8" i="59"/>
  <c r="AF8" i="59"/>
  <c r="D9" i="59"/>
  <c r="E9" i="59"/>
  <c r="F9" i="59"/>
  <c r="G9" i="59"/>
  <c r="H9" i="59"/>
  <c r="I9" i="59"/>
  <c r="J9" i="59"/>
  <c r="L9" i="59"/>
  <c r="M9" i="59"/>
  <c r="N9" i="59"/>
  <c r="O9" i="59"/>
  <c r="P9" i="59"/>
  <c r="Q9" i="59"/>
  <c r="R9" i="59"/>
  <c r="S9" i="59"/>
  <c r="T9" i="59"/>
  <c r="U9" i="59"/>
  <c r="V9" i="59"/>
  <c r="W9" i="59"/>
  <c r="X9" i="59"/>
  <c r="Y9" i="59"/>
  <c r="Z9" i="59"/>
  <c r="AA9" i="59"/>
  <c r="AB9" i="59"/>
  <c r="AC9" i="59"/>
  <c r="AD9" i="59"/>
  <c r="AE9" i="59"/>
  <c r="AF9" i="59"/>
  <c r="D10" i="59"/>
  <c r="E10" i="59"/>
  <c r="F10" i="59"/>
  <c r="G10" i="59"/>
  <c r="H10" i="59"/>
  <c r="I10" i="59"/>
  <c r="J10" i="59"/>
  <c r="L10" i="59"/>
  <c r="M10" i="59"/>
  <c r="N10" i="59"/>
  <c r="O10" i="59"/>
  <c r="P10" i="59"/>
  <c r="Q10" i="59"/>
  <c r="R10" i="59"/>
  <c r="S10" i="59"/>
  <c r="T10" i="59"/>
  <c r="U10" i="59"/>
  <c r="V10" i="59"/>
  <c r="W10" i="59"/>
  <c r="X10" i="59"/>
  <c r="Y10" i="59"/>
  <c r="Z10" i="59"/>
  <c r="AA10" i="59"/>
  <c r="AB10" i="59"/>
  <c r="AC10" i="59"/>
  <c r="AD10" i="59"/>
  <c r="AE10" i="59"/>
  <c r="AF10" i="59"/>
  <c r="D11" i="59"/>
  <c r="E11" i="59"/>
  <c r="F11" i="59"/>
  <c r="G11" i="59"/>
  <c r="H11" i="59"/>
  <c r="I11" i="59"/>
  <c r="J11" i="59"/>
  <c r="L11" i="59"/>
  <c r="M11" i="59"/>
  <c r="N11" i="59"/>
  <c r="O11" i="59"/>
  <c r="P11" i="59"/>
  <c r="Q11" i="59"/>
  <c r="R11" i="59"/>
  <c r="S11" i="59"/>
  <c r="T11" i="59"/>
  <c r="U11" i="59"/>
  <c r="V11" i="59"/>
  <c r="W11" i="59"/>
  <c r="X11" i="59"/>
  <c r="Y11" i="59"/>
  <c r="Z11" i="59"/>
  <c r="AA11" i="59"/>
  <c r="AB11" i="59"/>
  <c r="AC11" i="59"/>
  <c r="AD11" i="59"/>
  <c r="AE11" i="59"/>
  <c r="AF11" i="59"/>
  <c r="D12" i="59"/>
  <c r="E12" i="59"/>
  <c r="F12" i="59"/>
  <c r="G12" i="59"/>
  <c r="H12" i="59"/>
  <c r="I12" i="59"/>
  <c r="J12" i="59"/>
  <c r="L12" i="59"/>
  <c r="M12" i="59"/>
  <c r="N12" i="59"/>
  <c r="O12" i="59"/>
  <c r="P12" i="59"/>
  <c r="Q12" i="59"/>
  <c r="R12" i="59"/>
  <c r="S12" i="59"/>
  <c r="T12" i="59"/>
  <c r="U12" i="59"/>
  <c r="V12" i="59"/>
  <c r="W12" i="59"/>
  <c r="X12" i="59"/>
  <c r="Y12" i="59"/>
  <c r="Z12" i="59"/>
  <c r="AA12" i="59"/>
  <c r="AB12" i="59"/>
  <c r="AC12" i="59"/>
  <c r="AD12" i="59"/>
  <c r="AE12" i="59"/>
  <c r="AF12" i="59"/>
  <c r="D13" i="59"/>
  <c r="E13" i="59"/>
  <c r="F13" i="59"/>
  <c r="G13" i="59"/>
  <c r="H13" i="59"/>
  <c r="I13" i="59"/>
  <c r="J13" i="59"/>
  <c r="L13" i="59"/>
  <c r="M13" i="59"/>
  <c r="N13" i="59"/>
  <c r="O13" i="59"/>
  <c r="P13" i="59"/>
  <c r="Q13" i="59"/>
  <c r="R13" i="59"/>
  <c r="S13" i="59"/>
  <c r="T13" i="59"/>
  <c r="U13" i="59"/>
  <c r="V13" i="59"/>
  <c r="W13" i="59"/>
  <c r="X13" i="59"/>
  <c r="Y13" i="59"/>
  <c r="Z13" i="59"/>
  <c r="AA13" i="59"/>
  <c r="AB13" i="59"/>
  <c r="AC13" i="59"/>
  <c r="AD13" i="59"/>
  <c r="AE13" i="59"/>
  <c r="AF13" i="59"/>
  <c r="D14" i="59"/>
  <c r="E14" i="59"/>
  <c r="F14" i="59"/>
  <c r="G14" i="59"/>
  <c r="H14" i="59"/>
  <c r="I14" i="59"/>
  <c r="J14" i="59"/>
  <c r="L14" i="59"/>
  <c r="M14" i="59"/>
  <c r="N14" i="59"/>
  <c r="O14" i="59"/>
  <c r="P14" i="59"/>
  <c r="Q14" i="59"/>
  <c r="R14" i="59"/>
  <c r="S14" i="59"/>
  <c r="T14" i="59"/>
  <c r="U14" i="59"/>
  <c r="V14" i="59"/>
  <c r="W14" i="59"/>
  <c r="X14" i="59"/>
  <c r="Y14" i="59"/>
  <c r="Z14" i="59"/>
  <c r="AA14" i="59"/>
  <c r="AB14" i="59"/>
  <c r="AC14" i="59"/>
  <c r="AD14" i="59"/>
  <c r="AE14" i="59"/>
  <c r="AF14" i="59"/>
  <c r="D15" i="59"/>
  <c r="E15" i="59"/>
  <c r="F15" i="59"/>
  <c r="G15" i="59"/>
  <c r="H15" i="59"/>
  <c r="I15" i="59"/>
  <c r="J15" i="59"/>
  <c r="L15" i="59"/>
  <c r="M15" i="59"/>
  <c r="N15" i="59"/>
  <c r="O15" i="59"/>
  <c r="P15" i="59"/>
  <c r="Q15" i="59"/>
  <c r="R15" i="59"/>
  <c r="S15" i="59"/>
  <c r="T15" i="59"/>
  <c r="U15" i="59"/>
  <c r="V15" i="59"/>
  <c r="W15" i="59"/>
  <c r="X15" i="59"/>
  <c r="Y15" i="59"/>
  <c r="Z15" i="59"/>
  <c r="AA15" i="59"/>
  <c r="AB15" i="59"/>
  <c r="AC15" i="59"/>
  <c r="AD15" i="59"/>
  <c r="AE15" i="59"/>
  <c r="AF15" i="59"/>
  <c r="D16" i="59"/>
  <c r="E136" i="61" s="1"/>
  <c r="E16" i="59"/>
  <c r="F136" i="61" s="1"/>
  <c r="F16" i="59"/>
  <c r="G136" i="61" s="1"/>
  <c r="G137" i="61" s="1"/>
  <c r="G16" i="59"/>
  <c r="H136" i="61" s="1"/>
  <c r="H16" i="59"/>
  <c r="I136" i="61" s="1"/>
  <c r="I16" i="59"/>
  <c r="J136" i="61" s="1"/>
  <c r="J16" i="59"/>
  <c r="K136" i="61" s="1"/>
  <c r="L16" i="59"/>
  <c r="M16" i="59"/>
  <c r="N16" i="59"/>
  <c r="O16" i="59"/>
  <c r="P16" i="59"/>
  <c r="N136" i="61" s="1"/>
  <c r="N140" i="61" s="1"/>
  <c r="Q16" i="59"/>
  <c r="O136" i="61" s="1"/>
  <c r="O140" i="61" s="1"/>
  <c r="R16" i="59"/>
  <c r="P136" i="61" s="1"/>
  <c r="S16" i="59"/>
  <c r="Q136" i="61" s="1"/>
  <c r="T16" i="59"/>
  <c r="R136" i="61" s="1"/>
  <c r="U16" i="59"/>
  <c r="S136" i="61" s="1"/>
  <c r="V16" i="59"/>
  <c r="T136" i="61" s="1"/>
  <c r="W16" i="59"/>
  <c r="U136" i="61" s="1"/>
  <c r="X16" i="59"/>
  <c r="V136" i="61" s="1"/>
  <c r="Y16" i="59"/>
  <c r="W136" i="61" s="1"/>
  <c r="Z16" i="59"/>
  <c r="X136" i="61" s="1"/>
  <c r="AA16" i="59"/>
  <c r="Y136" i="61" s="1"/>
  <c r="AB16" i="59"/>
  <c r="Z136" i="61" s="1"/>
  <c r="AC16" i="59"/>
  <c r="AA136" i="61" s="1"/>
  <c r="AA137" i="61" s="1"/>
  <c r="AD16" i="59"/>
  <c r="AB136" i="61" s="1"/>
  <c r="AE16" i="59"/>
  <c r="AC136" i="61" s="1"/>
  <c r="AF16" i="59"/>
  <c r="AD136" i="61" s="1"/>
  <c r="L136" i="61" s="1"/>
  <c r="D18" i="59"/>
  <c r="E18" i="59"/>
  <c r="F18" i="59"/>
  <c r="G18" i="59"/>
  <c r="H18" i="59"/>
  <c r="I18" i="59"/>
  <c r="J18" i="59"/>
  <c r="L18" i="59"/>
  <c r="M18" i="59"/>
  <c r="N18" i="59"/>
  <c r="O18" i="59"/>
  <c r="P18" i="59"/>
  <c r="Q18" i="59"/>
  <c r="R18" i="59"/>
  <c r="S18" i="59"/>
  <c r="T18" i="59"/>
  <c r="U18" i="59"/>
  <c r="V18" i="59"/>
  <c r="W18" i="59"/>
  <c r="X18" i="59"/>
  <c r="Y18" i="59"/>
  <c r="Z18" i="59"/>
  <c r="AA18" i="59"/>
  <c r="AB18" i="59"/>
  <c r="AC18" i="59"/>
  <c r="AD18" i="59"/>
  <c r="AE18" i="59"/>
  <c r="AF18" i="59"/>
  <c r="D19" i="59"/>
  <c r="E19" i="59"/>
  <c r="F19" i="59"/>
  <c r="G19" i="59"/>
  <c r="H19" i="59"/>
  <c r="I19" i="59"/>
  <c r="J19" i="59"/>
  <c r="L19" i="59"/>
  <c r="M19" i="59"/>
  <c r="N19" i="59"/>
  <c r="O19" i="59"/>
  <c r="P19" i="59"/>
  <c r="Q19" i="59"/>
  <c r="R19" i="59"/>
  <c r="S19" i="59"/>
  <c r="T19" i="59"/>
  <c r="U19" i="59"/>
  <c r="V19" i="59"/>
  <c r="W19" i="59"/>
  <c r="X19" i="59"/>
  <c r="Y19" i="59"/>
  <c r="Z19" i="59"/>
  <c r="AA19" i="59"/>
  <c r="AB19" i="59"/>
  <c r="AC19" i="59"/>
  <c r="AD19" i="59"/>
  <c r="AE19" i="59"/>
  <c r="AF19" i="59"/>
  <c r="D20" i="59"/>
  <c r="E20" i="59"/>
  <c r="F20" i="59"/>
  <c r="G20" i="59"/>
  <c r="H20" i="59"/>
  <c r="I20" i="59"/>
  <c r="J20" i="59"/>
  <c r="L20" i="59"/>
  <c r="M20" i="59"/>
  <c r="N20" i="59"/>
  <c r="O20" i="59"/>
  <c r="P20" i="59"/>
  <c r="Q20" i="59"/>
  <c r="R20" i="59"/>
  <c r="S20" i="59"/>
  <c r="T20" i="59"/>
  <c r="U20" i="59"/>
  <c r="V20" i="59"/>
  <c r="W20" i="59"/>
  <c r="X20" i="59"/>
  <c r="Y20" i="59"/>
  <c r="Z20" i="59"/>
  <c r="AA20" i="59"/>
  <c r="AB20" i="59"/>
  <c r="AC20" i="59"/>
  <c r="AD20" i="59"/>
  <c r="AE20" i="59"/>
  <c r="AF20" i="59"/>
  <c r="D21" i="59"/>
  <c r="E21" i="59"/>
  <c r="F21" i="59"/>
  <c r="G21" i="59"/>
  <c r="H21" i="59"/>
  <c r="I21" i="59"/>
  <c r="J21" i="59"/>
  <c r="L21" i="59"/>
  <c r="M21" i="59"/>
  <c r="N21" i="59"/>
  <c r="O21" i="59"/>
  <c r="P21" i="59"/>
  <c r="Q21" i="59"/>
  <c r="R21" i="59"/>
  <c r="S21" i="59"/>
  <c r="T21" i="59"/>
  <c r="U21" i="59"/>
  <c r="V21" i="59"/>
  <c r="W21" i="59"/>
  <c r="X21" i="59"/>
  <c r="Y21" i="59"/>
  <c r="Z21" i="59"/>
  <c r="AA21" i="59"/>
  <c r="AB21" i="59"/>
  <c r="AC21" i="59"/>
  <c r="AD21" i="59"/>
  <c r="AE21" i="59"/>
  <c r="AF21" i="59"/>
  <c r="D22" i="59"/>
  <c r="E22" i="59"/>
  <c r="F22" i="59"/>
  <c r="G22" i="59"/>
  <c r="H22" i="59"/>
  <c r="I22" i="59"/>
  <c r="J22" i="59"/>
  <c r="L22" i="59"/>
  <c r="M22" i="59"/>
  <c r="N22" i="59"/>
  <c r="O22" i="59"/>
  <c r="P22" i="59"/>
  <c r="Q22" i="59"/>
  <c r="R22" i="59"/>
  <c r="S22" i="59"/>
  <c r="T22" i="59"/>
  <c r="U22" i="59"/>
  <c r="V22" i="59"/>
  <c r="W22" i="59"/>
  <c r="X22" i="59"/>
  <c r="Y22" i="59"/>
  <c r="Z22" i="59"/>
  <c r="AA22" i="59"/>
  <c r="AB22" i="59"/>
  <c r="AC22" i="59"/>
  <c r="AD22" i="59"/>
  <c r="AE22" i="59"/>
  <c r="AF22" i="59"/>
  <c r="D23" i="59"/>
  <c r="E23" i="59"/>
  <c r="F23" i="59"/>
  <c r="G23" i="59"/>
  <c r="H23" i="59"/>
  <c r="I23" i="59"/>
  <c r="J23" i="59"/>
  <c r="L23" i="59"/>
  <c r="M23" i="59"/>
  <c r="N23" i="59"/>
  <c r="O23" i="59"/>
  <c r="P23" i="59"/>
  <c r="Q23" i="59"/>
  <c r="R23" i="59"/>
  <c r="S23" i="59"/>
  <c r="T23" i="59"/>
  <c r="U23" i="59"/>
  <c r="V23" i="59"/>
  <c r="W23" i="59"/>
  <c r="X23" i="59"/>
  <c r="Y23" i="59"/>
  <c r="Z23" i="59"/>
  <c r="AA23" i="59"/>
  <c r="AB23" i="59"/>
  <c r="AC23" i="59"/>
  <c r="AD23" i="59"/>
  <c r="AE23" i="59"/>
  <c r="AF23" i="59"/>
  <c r="D24" i="59"/>
  <c r="E24" i="59"/>
  <c r="F24" i="59"/>
  <c r="G24" i="59"/>
  <c r="H24" i="59"/>
  <c r="I24" i="59"/>
  <c r="J24" i="59"/>
  <c r="L24" i="59"/>
  <c r="M24" i="59"/>
  <c r="N24" i="59"/>
  <c r="O24" i="59"/>
  <c r="P24" i="59"/>
  <c r="Q24" i="59"/>
  <c r="R24" i="59"/>
  <c r="S24" i="59"/>
  <c r="T24" i="59"/>
  <c r="U24" i="59"/>
  <c r="V24" i="59"/>
  <c r="W24" i="59"/>
  <c r="X24" i="59"/>
  <c r="Y24" i="59"/>
  <c r="Z24" i="59"/>
  <c r="AA24" i="59"/>
  <c r="AB24" i="59"/>
  <c r="AC24" i="59"/>
  <c r="AD24" i="59"/>
  <c r="AE24" i="59"/>
  <c r="AF24" i="59"/>
  <c r="E25" i="59"/>
  <c r="F25" i="59"/>
  <c r="G25" i="59"/>
  <c r="H25" i="59"/>
  <c r="I25" i="59"/>
  <c r="J25" i="59"/>
  <c r="L25" i="59"/>
  <c r="M25" i="59"/>
  <c r="N25" i="59"/>
  <c r="O25" i="59"/>
  <c r="P25" i="59"/>
  <c r="Q25" i="59"/>
  <c r="R25" i="59"/>
  <c r="S25" i="59"/>
  <c r="T25" i="59"/>
  <c r="U25" i="59"/>
  <c r="V25" i="59"/>
  <c r="W25" i="59"/>
  <c r="X25" i="59"/>
  <c r="Y25" i="59"/>
  <c r="Z25" i="59"/>
  <c r="AA25" i="59"/>
  <c r="AB25" i="59"/>
  <c r="AC25" i="59"/>
  <c r="AD25" i="59"/>
  <c r="AE25" i="59"/>
  <c r="AF25" i="59"/>
  <c r="D27" i="59"/>
  <c r="E27" i="59"/>
  <c r="F27" i="59"/>
  <c r="G27" i="59"/>
  <c r="H27" i="59"/>
  <c r="I27" i="59"/>
  <c r="J27" i="59"/>
  <c r="L27" i="59"/>
  <c r="M27" i="59"/>
  <c r="N27" i="59"/>
  <c r="O27" i="59"/>
  <c r="P27" i="59"/>
  <c r="Q27" i="59"/>
  <c r="R27" i="59"/>
  <c r="S27" i="59"/>
  <c r="T27" i="59"/>
  <c r="U27" i="59"/>
  <c r="V27" i="59"/>
  <c r="W27" i="59"/>
  <c r="X27" i="59"/>
  <c r="Y27" i="59"/>
  <c r="Z27" i="59"/>
  <c r="AA27" i="59"/>
  <c r="AB27" i="59"/>
  <c r="AC27" i="59"/>
  <c r="AD27" i="59"/>
  <c r="AE27" i="59"/>
  <c r="AF27" i="59"/>
  <c r="D28" i="59"/>
  <c r="E28" i="59"/>
  <c r="F28" i="59"/>
  <c r="G28" i="59"/>
  <c r="H28" i="59"/>
  <c r="I28" i="59"/>
  <c r="J28" i="59"/>
  <c r="L28" i="59"/>
  <c r="M28" i="59"/>
  <c r="N28" i="59"/>
  <c r="O28" i="59"/>
  <c r="P28" i="59"/>
  <c r="Q28" i="59"/>
  <c r="R28" i="59"/>
  <c r="S28" i="59"/>
  <c r="T28" i="59"/>
  <c r="U28" i="59"/>
  <c r="V28" i="59"/>
  <c r="W28" i="59"/>
  <c r="X28" i="59"/>
  <c r="Y28" i="59"/>
  <c r="Z28" i="59"/>
  <c r="AA28" i="59"/>
  <c r="AB28" i="59"/>
  <c r="AC28" i="59"/>
  <c r="AD28" i="59"/>
  <c r="AE28" i="59"/>
  <c r="AF28" i="59"/>
  <c r="D29" i="59"/>
  <c r="E29" i="59"/>
  <c r="F29" i="59"/>
  <c r="G29" i="59"/>
  <c r="H29" i="59"/>
  <c r="I29" i="59"/>
  <c r="J29" i="59"/>
  <c r="L29" i="59"/>
  <c r="M29" i="59"/>
  <c r="N29" i="59"/>
  <c r="O29" i="59"/>
  <c r="P29" i="59"/>
  <c r="Q29" i="59"/>
  <c r="R29" i="59"/>
  <c r="S29" i="59"/>
  <c r="T29" i="59"/>
  <c r="U29" i="59"/>
  <c r="V29" i="59"/>
  <c r="W29" i="59"/>
  <c r="X29" i="59"/>
  <c r="Y29" i="59"/>
  <c r="Z29" i="59"/>
  <c r="AA29" i="59"/>
  <c r="AB29" i="59"/>
  <c r="AC29" i="59"/>
  <c r="AD29" i="59"/>
  <c r="AE29" i="59"/>
  <c r="AF29" i="59"/>
  <c r="D30" i="59"/>
  <c r="E30" i="59"/>
  <c r="F30" i="59"/>
  <c r="G30" i="59"/>
  <c r="H30" i="59"/>
  <c r="I30" i="59"/>
  <c r="J30" i="59"/>
  <c r="L30" i="59"/>
  <c r="M30" i="59"/>
  <c r="N30" i="59"/>
  <c r="O30" i="59"/>
  <c r="P30" i="59"/>
  <c r="Q30" i="59"/>
  <c r="R30" i="59"/>
  <c r="S30" i="59"/>
  <c r="T30" i="59"/>
  <c r="U30" i="59"/>
  <c r="V30" i="59"/>
  <c r="W30" i="59"/>
  <c r="X30" i="59"/>
  <c r="Y30" i="59"/>
  <c r="Z30" i="59"/>
  <c r="AA30" i="59"/>
  <c r="AB30" i="59"/>
  <c r="AC30" i="59"/>
  <c r="AD30" i="59"/>
  <c r="AE30" i="59"/>
  <c r="AF30" i="59"/>
  <c r="D31" i="59"/>
  <c r="E31" i="59"/>
  <c r="F31" i="59"/>
  <c r="G31" i="59"/>
  <c r="H31" i="59"/>
  <c r="I31" i="59"/>
  <c r="J31" i="59"/>
  <c r="L31" i="59"/>
  <c r="M31" i="59"/>
  <c r="N31" i="59"/>
  <c r="O31" i="59"/>
  <c r="P31" i="59"/>
  <c r="Q31" i="59"/>
  <c r="R31" i="59"/>
  <c r="S31" i="59"/>
  <c r="T31" i="59"/>
  <c r="U31" i="59"/>
  <c r="V31" i="59"/>
  <c r="W31" i="59"/>
  <c r="X31" i="59"/>
  <c r="Y31" i="59"/>
  <c r="Z31" i="59"/>
  <c r="AA31" i="59"/>
  <c r="AB31" i="59"/>
  <c r="AC31" i="59"/>
  <c r="AD31" i="59"/>
  <c r="AE31" i="59"/>
  <c r="AF31" i="59"/>
  <c r="D32" i="59"/>
  <c r="E32" i="59"/>
  <c r="F32" i="59"/>
  <c r="G32" i="59"/>
  <c r="H32" i="59"/>
  <c r="I32" i="59"/>
  <c r="J32" i="59"/>
  <c r="L32" i="59"/>
  <c r="M32" i="59"/>
  <c r="N32" i="59"/>
  <c r="O32" i="59"/>
  <c r="P32" i="59"/>
  <c r="Q32" i="59"/>
  <c r="R32" i="59"/>
  <c r="S32" i="59"/>
  <c r="T32" i="59"/>
  <c r="U32" i="59"/>
  <c r="V32" i="59"/>
  <c r="W32" i="59"/>
  <c r="X32" i="59"/>
  <c r="Y32" i="59"/>
  <c r="Z32" i="59"/>
  <c r="AA32" i="59"/>
  <c r="AB32" i="59"/>
  <c r="AC32" i="59"/>
  <c r="AD32" i="59"/>
  <c r="AE32" i="59"/>
  <c r="AF32" i="59"/>
  <c r="D33" i="59"/>
  <c r="E33" i="59"/>
  <c r="F33" i="59"/>
  <c r="G33" i="59"/>
  <c r="H33" i="59"/>
  <c r="I33" i="59"/>
  <c r="J33" i="59"/>
  <c r="L33" i="59"/>
  <c r="M33" i="59"/>
  <c r="N33" i="59"/>
  <c r="O33" i="59"/>
  <c r="P33" i="59"/>
  <c r="Q33" i="59"/>
  <c r="R33" i="59"/>
  <c r="S33" i="59"/>
  <c r="T33" i="59"/>
  <c r="U33" i="59"/>
  <c r="V33" i="59"/>
  <c r="W33" i="59"/>
  <c r="X33" i="59"/>
  <c r="Y33" i="59"/>
  <c r="Z33" i="59"/>
  <c r="AA33" i="59"/>
  <c r="AB33" i="59"/>
  <c r="AC33" i="59"/>
  <c r="AD33" i="59"/>
  <c r="AE33" i="59"/>
  <c r="AF33" i="59"/>
  <c r="D34" i="59"/>
  <c r="E34" i="59"/>
  <c r="F34" i="59"/>
  <c r="G34" i="59"/>
  <c r="H34" i="59"/>
  <c r="I34" i="59"/>
  <c r="J34" i="59"/>
  <c r="L34" i="59"/>
  <c r="M34" i="59"/>
  <c r="N34" i="59"/>
  <c r="O34" i="59"/>
  <c r="P34" i="59"/>
  <c r="Q34" i="59"/>
  <c r="R34" i="59"/>
  <c r="S34" i="59"/>
  <c r="T34" i="59"/>
  <c r="U34" i="59"/>
  <c r="V34" i="59"/>
  <c r="W34" i="59"/>
  <c r="X34" i="59"/>
  <c r="Y34" i="59"/>
  <c r="Z34" i="59"/>
  <c r="AA34" i="59"/>
  <c r="AB34" i="59"/>
  <c r="AC34" i="59"/>
  <c r="AD34" i="59"/>
  <c r="AE34" i="59"/>
  <c r="AF34" i="59"/>
  <c r="D35" i="59"/>
  <c r="E35" i="59"/>
  <c r="F35" i="59"/>
  <c r="G35" i="59"/>
  <c r="H35" i="59"/>
  <c r="I35" i="59"/>
  <c r="J35" i="59"/>
  <c r="L35" i="59"/>
  <c r="M35" i="59"/>
  <c r="N35" i="59"/>
  <c r="O35" i="59"/>
  <c r="P35" i="59"/>
  <c r="Q35" i="59"/>
  <c r="R35" i="59"/>
  <c r="S35" i="59"/>
  <c r="T35" i="59"/>
  <c r="U35" i="59"/>
  <c r="V35" i="59"/>
  <c r="W35" i="59"/>
  <c r="X35" i="59"/>
  <c r="Y35" i="59"/>
  <c r="Z35" i="59"/>
  <c r="AA35" i="59"/>
  <c r="AB35" i="59"/>
  <c r="AC35" i="59"/>
  <c r="AD35" i="59"/>
  <c r="AE35" i="59"/>
  <c r="AF35" i="59"/>
  <c r="D36" i="59"/>
  <c r="E36" i="59"/>
  <c r="F36" i="59"/>
  <c r="G36" i="59"/>
  <c r="H36" i="59"/>
  <c r="I36" i="59"/>
  <c r="J36" i="59"/>
  <c r="L36" i="59"/>
  <c r="M36" i="59"/>
  <c r="N36" i="59"/>
  <c r="O36" i="59"/>
  <c r="P36" i="59"/>
  <c r="Q36" i="59"/>
  <c r="R36" i="59"/>
  <c r="S36" i="59"/>
  <c r="T36" i="59"/>
  <c r="U36" i="59"/>
  <c r="V36" i="59"/>
  <c r="W36" i="59"/>
  <c r="X36" i="59"/>
  <c r="Y36" i="59"/>
  <c r="Z36" i="59"/>
  <c r="AA36" i="59"/>
  <c r="AB36" i="59"/>
  <c r="AC36" i="59"/>
  <c r="AD36" i="59"/>
  <c r="AE36" i="59"/>
  <c r="AF36" i="59"/>
  <c r="D37" i="59"/>
  <c r="E37" i="59"/>
  <c r="F37" i="59"/>
  <c r="G37" i="59"/>
  <c r="H37" i="59"/>
  <c r="I37" i="59"/>
  <c r="J37" i="59"/>
  <c r="L37" i="59"/>
  <c r="M37" i="59"/>
  <c r="N37" i="59"/>
  <c r="O37" i="59"/>
  <c r="P37" i="59"/>
  <c r="Q37" i="59"/>
  <c r="R37" i="59"/>
  <c r="S37" i="59"/>
  <c r="T37" i="59"/>
  <c r="U37" i="59"/>
  <c r="V37" i="59"/>
  <c r="W37" i="59"/>
  <c r="X37" i="59"/>
  <c r="Y37" i="59"/>
  <c r="Z37" i="59"/>
  <c r="AA37" i="59"/>
  <c r="AB37" i="59"/>
  <c r="AC37" i="59"/>
  <c r="AD37" i="59"/>
  <c r="AE37" i="59"/>
  <c r="AF37" i="59"/>
  <c r="D38" i="59"/>
  <c r="E38" i="59"/>
  <c r="F38" i="59"/>
  <c r="G38" i="59"/>
  <c r="H38" i="59"/>
  <c r="I38" i="59"/>
  <c r="J38" i="59"/>
  <c r="L38" i="59"/>
  <c r="M38" i="59"/>
  <c r="N38" i="59"/>
  <c r="O38" i="59"/>
  <c r="P38" i="59"/>
  <c r="Q38" i="59"/>
  <c r="R38" i="59"/>
  <c r="S38" i="59"/>
  <c r="T38" i="59"/>
  <c r="U38" i="59"/>
  <c r="V38" i="59"/>
  <c r="W38" i="59"/>
  <c r="X38" i="59"/>
  <c r="Y38" i="59"/>
  <c r="Z38" i="59"/>
  <c r="AA38" i="59"/>
  <c r="AB38" i="59"/>
  <c r="AC38" i="59"/>
  <c r="AD38" i="59"/>
  <c r="AE38" i="59"/>
  <c r="AF38" i="59"/>
  <c r="D39" i="59"/>
  <c r="E39" i="59"/>
  <c r="F39" i="59"/>
  <c r="G39" i="59"/>
  <c r="H39" i="59"/>
  <c r="I39" i="59"/>
  <c r="J39" i="59"/>
  <c r="L39" i="59"/>
  <c r="M39" i="59"/>
  <c r="N39" i="59"/>
  <c r="O39" i="59"/>
  <c r="P39" i="59"/>
  <c r="Q39" i="59"/>
  <c r="R39" i="59"/>
  <c r="S39" i="59"/>
  <c r="T39" i="59"/>
  <c r="U39" i="59"/>
  <c r="V39" i="59"/>
  <c r="W39" i="59"/>
  <c r="X39" i="59"/>
  <c r="Y39" i="59"/>
  <c r="Z39" i="59"/>
  <c r="AA39" i="59"/>
  <c r="AB39" i="59"/>
  <c r="AC39" i="59"/>
  <c r="AD39" i="59"/>
  <c r="AE39" i="59"/>
  <c r="AF39" i="59"/>
  <c r="D40" i="59"/>
  <c r="E40" i="59"/>
  <c r="F40" i="59"/>
  <c r="G40" i="59"/>
  <c r="H40" i="59"/>
  <c r="I40" i="59"/>
  <c r="J40" i="59"/>
  <c r="L40" i="59"/>
  <c r="M40" i="59"/>
  <c r="N40" i="59"/>
  <c r="O40" i="59"/>
  <c r="P40" i="59"/>
  <c r="Q40" i="59"/>
  <c r="R40" i="59"/>
  <c r="S40" i="59"/>
  <c r="T40" i="59"/>
  <c r="U40" i="59"/>
  <c r="V40" i="59"/>
  <c r="W40" i="59"/>
  <c r="X40" i="59"/>
  <c r="Y40" i="59"/>
  <c r="Z40" i="59"/>
  <c r="AA40" i="59"/>
  <c r="AB40" i="59"/>
  <c r="AC40" i="59"/>
  <c r="AD40" i="59"/>
  <c r="AE40" i="59"/>
  <c r="AF40" i="59"/>
  <c r="D41" i="59"/>
  <c r="E41" i="59"/>
  <c r="F41" i="59"/>
  <c r="G41" i="59"/>
  <c r="H41" i="59"/>
  <c r="I41" i="59"/>
  <c r="J41" i="59"/>
  <c r="L41" i="59"/>
  <c r="M41" i="59"/>
  <c r="N41" i="59"/>
  <c r="O41" i="59"/>
  <c r="P41" i="59"/>
  <c r="Q41" i="59"/>
  <c r="R41" i="59"/>
  <c r="S41" i="59"/>
  <c r="T41" i="59"/>
  <c r="U41" i="59"/>
  <c r="V41" i="59"/>
  <c r="W41" i="59"/>
  <c r="X41" i="59"/>
  <c r="Y41" i="59"/>
  <c r="Z41" i="59"/>
  <c r="AA41" i="59"/>
  <c r="AB41" i="59"/>
  <c r="AC41" i="59"/>
  <c r="AD41" i="59"/>
  <c r="AE41" i="59"/>
  <c r="AF41" i="59"/>
  <c r="D42" i="59"/>
  <c r="E42" i="59"/>
  <c r="F42" i="59"/>
  <c r="G42" i="59"/>
  <c r="H42" i="59"/>
  <c r="I42" i="59"/>
  <c r="J42" i="59"/>
  <c r="L42" i="59"/>
  <c r="M42" i="59"/>
  <c r="N42" i="59"/>
  <c r="O42" i="59"/>
  <c r="P42" i="59"/>
  <c r="Q42" i="59"/>
  <c r="R42" i="59"/>
  <c r="S42" i="59"/>
  <c r="T42" i="59"/>
  <c r="U42" i="59"/>
  <c r="V42" i="59"/>
  <c r="W42" i="59"/>
  <c r="X42" i="59"/>
  <c r="Y42" i="59"/>
  <c r="Z42" i="59"/>
  <c r="AA42" i="59"/>
  <c r="AB42" i="59"/>
  <c r="AC42" i="59"/>
  <c r="AD42" i="59"/>
  <c r="AE42" i="59"/>
  <c r="AF42" i="59"/>
  <c r="D45" i="59"/>
  <c r="E45" i="59"/>
  <c r="F45" i="59"/>
  <c r="G45" i="59"/>
  <c r="H45" i="59"/>
  <c r="I45" i="59"/>
  <c r="J45" i="59"/>
  <c r="L45" i="59"/>
  <c r="M45" i="59"/>
  <c r="N45" i="59"/>
  <c r="O45" i="59"/>
  <c r="P45" i="59"/>
  <c r="Q45" i="59"/>
  <c r="R45" i="59"/>
  <c r="S45" i="59"/>
  <c r="T45" i="59"/>
  <c r="U45" i="59"/>
  <c r="V45" i="59"/>
  <c r="W45" i="59"/>
  <c r="X45" i="59"/>
  <c r="Y45" i="59"/>
  <c r="Z45" i="59"/>
  <c r="AA45" i="59"/>
  <c r="AB45" i="59"/>
  <c r="AC45" i="59"/>
  <c r="AD45" i="59"/>
  <c r="AE45" i="59"/>
  <c r="AF45" i="59"/>
  <c r="D46" i="59"/>
  <c r="E46" i="59"/>
  <c r="F46" i="59"/>
  <c r="G46" i="59"/>
  <c r="H46" i="59"/>
  <c r="I46" i="59"/>
  <c r="J46" i="59"/>
  <c r="L46" i="59"/>
  <c r="M46" i="59"/>
  <c r="N46" i="59"/>
  <c r="O46" i="59"/>
  <c r="P46" i="59"/>
  <c r="Q46" i="59"/>
  <c r="R46" i="59"/>
  <c r="S46" i="59"/>
  <c r="T46" i="59"/>
  <c r="U46" i="59"/>
  <c r="V46" i="59"/>
  <c r="W46" i="59"/>
  <c r="X46" i="59"/>
  <c r="Y46" i="59"/>
  <c r="Z46" i="59"/>
  <c r="AA46" i="59"/>
  <c r="AB46" i="59"/>
  <c r="AC46" i="59"/>
  <c r="AD46" i="59"/>
  <c r="AE46" i="59"/>
  <c r="AF46" i="59"/>
  <c r="D47" i="59"/>
  <c r="E47" i="59"/>
  <c r="F47" i="59"/>
  <c r="G47" i="59"/>
  <c r="H47" i="59"/>
  <c r="I47" i="59"/>
  <c r="J47" i="59"/>
  <c r="L47" i="59"/>
  <c r="M47" i="59"/>
  <c r="N47" i="59"/>
  <c r="O47" i="59"/>
  <c r="P47" i="59"/>
  <c r="Q47" i="59"/>
  <c r="R47" i="59"/>
  <c r="S47" i="59"/>
  <c r="T47" i="59"/>
  <c r="U47" i="59"/>
  <c r="V47" i="59"/>
  <c r="W47" i="59"/>
  <c r="X47" i="59"/>
  <c r="Y47" i="59"/>
  <c r="Z47" i="59"/>
  <c r="AA47" i="59"/>
  <c r="AB47" i="59"/>
  <c r="AC47" i="59"/>
  <c r="AD47" i="59"/>
  <c r="AE47" i="59"/>
  <c r="AF47" i="59"/>
  <c r="I48" i="59"/>
  <c r="J48" i="59"/>
  <c r="X48" i="59"/>
  <c r="Y48" i="59"/>
  <c r="Z48" i="59"/>
  <c r="AA48" i="59"/>
  <c r="AB48" i="59"/>
  <c r="AC48" i="59"/>
  <c r="AD48" i="59"/>
  <c r="AE48" i="59"/>
  <c r="AF48" i="59"/>
  <c r="D49" i="59"/>
  <c r="E49" i="59"/>
  <c r="F49" i="59"/>
  <c r="G49" i="59"/>
  <c r="H49" i="59"/>
  <c r="I49" i="59"/>
  <c r="J49" i="59"/>
  <c r="L49" i="59"/>
  <c r="M49" i="59"/>
  <c r="N49" i="59"/>
  <c r="O49" i="59"/>
  <c r="P49" i="59"/>
  <c r="Q49" i="59"/>
  <c r="R49" i="59"/>
  <c r="S49" i="59"/>
  <c r="T49" i="59"/>
  <c r="U49" i="59"/>
  <c r="V49" i="59"/>
  <c r="W49" i="59"/>
  <c r="X49" i="59"/>
  <c r="Y49" i="59"/>
  <c r="Z49" i="59"/>
  <c r="AA49" i="59"/>
  <c r="AB49" i="59"/>
  <c r="AC49" i="59"/>
  <c r="AD49" i="59"/>
  <c r="AE49" i="59"/>
  <c r="AF49" i="59"/>
  <c r="D50" i="59"/>
  <c r="E50" i="59"/>
  <c r="F50" i="59"/>
  <c r="G50" i="59"/>
  <c r="G48" i="59" s="1"/>
  <c r="H50" i="59"/>
  <c r="I50" i="59"/>
  <c r="J50" i="59"/>
  <c r="L50" i="59"/>
  <c r="L48" i="59" s="1"/>
  <c r="M50" i="59"/>
  <c r="N50" i="59"/>
  <c r="O50" i="59"/>
  <c r="P50" i="59"/>
  <c r="P48" i="59" s="1"/>
  <c r="Q50" i="59"/>
  <c r="R50" i="59"/>
  <c r="S50" i="59"/>
  <c r="T50" i="59"/>
  <c r="T48" i="59" s="1"/>
  <c r="U50" i="59"/>
  <c r="V50" i="59"/>
  <c r="W50" i="59"/>
  <c r="X50" i="59"/>
  <c r="Y50" i="59"/>
  <c r="Z50" i="59"/>
  <c r="AA50" i="59"/>
  <c r="AB50" i="59"/>
  <c r="AC50" i="59"/>
  <c r="AD50" i="59"/>
  <c r="AE50" i="59"/>
  <c r="AF50" i="59"/>
  <c r="D52" i="59"/>
  <c r="E52" i="59"/>
  <c r="F52" i="59"/>
  <c r="G52" i="59"/>
  <c r="H52" i="59"/>
  <c r="I52" i="59"/>
  <c r="J52" i="59"/>
  <c r="L52" i="59"/>
  <c r="M52" i="59"/>
  <c r="N52" i="59"/>
  <c r="O52" i="59"/>
  <c r="P52" i="59"/>
  <c r="Q52" i="59"/>
  <c r="R52" i="59"/>
  <c r="S52" i="59"/>
  <c r="T52" i="59"/>
  <c r="U52" i="59"/>
  <c r="V52" i="59"/>
  <c r="W52" i="59"/>
  <c r="X52" i="59"/>
  <c r="Y52" i="59"/>
  <c r="Z52" i="59"/>
  <c r="AA52" i="59"/>
  <c r="AB52" i="59"/>
  <c r="AC52" i="59"/>
  <c r="AD52" i="59"/>
  <c r="AE52" i="59"/>
  <c r="AF52" i="59"/>
  <c r="D53" i="59"/>
  <c r="E53" i="59"/>
  <c r="F53" i="59"/>
  <c r="G53" i="59"/>
  <c r="H53" i="59"/>
  <c r="I53" i="59"/>
  <c r="J53" i="59"/>
  <c r="L53" i="59"/>
  <c r="M53" i="59"/>
  <c r="N53" i="59"/>
  <c r="O53" i="59"/>
  <c r="P53" i="59"/>
  <c r="Q53" i="59"/>
  <c r="R53" i="59"/>
  <c r="S53" i="59"/>
  <c r="T53" i="59"/>
  <c r="U53" i="59"/>
  <c r="V53" i="59"/>
  <c r="W53" i="59"/>
  <c r="X53" i="59"/>
  <c r="Y53" i="59"/>
  <c r="Z53" i="59"/>
  <c r="AA53" i="59"/>
  <c r="AB53" i="59"/>
  <c r="AC53" i="59"/>
  <c r="AD53" i="59"/>
  <c r="AE53" i="59"/>
  <c r="AF53" i="59"/>
  <c r="D54" i="59"/>
  <c r="E54" i="59"/>
  <c r="F54" i="59"/>
  <c r="G54" i="59"/>
  <c r="H54" i="59"/>
  <c r="I54" i="59"/>
  <c r="J54" i="59"/>
  <c r="L54" i="59"/>
  <c r="M54" i="59"/>
  <c r="N54" i="59"/>
  <c r="O54" i="59"/>
  <c r="P54" i="59"/>
  <c r="Q54" i="59"/>
  <c r="R54" i="59"/>
  <c r="S54" i="59"/>
  <c r="T54" i="59"/>
  <c r="U54" i="59"/>
  <c r="V54" i="59"/>
  <c r="W54" i="59"/>
  <c r="X54" i="59"/>
  <c r="Y54" i="59"/>
  <c r="Z54" i="59"/>
  <c r="AA54" i="59"/>
  <c r="AB54" i="59"/>
  <c r="AC54" i="59"/>
  <c r="AD54" i="59"/>
  <c r="AE54" i="59"/>
  <c r="AF54" i="59"/>
  <c r="I55" i="59"/>
  <c r="J55" i="59"/>
  <c r="V55" i="59"/>
  <c r="X55" i="59"/>
  <c r="Y55" i="59"/>
  <c r="Z55" i="59"/>
  <c r="AA55" i="59"/>
  <c r="AB55" i="59"/>
  <c r="AC55" i="59"/>
  <c r="AD55" i="59"/>
  <c r="AE55" i="59"/>
  <c r="AF55" i="59"/>
  <c r="D56" i="59"/>
  <c r="E56" i="59"/>
  <c r="F56" i="59"/>
  <c r="G56" i="59"/>
  <c r="H56" i="59"/>
  <c r="I56" i="59"/>
  <c r="J56" i="59"/>
  <c r="L56" i="59"/>
  <c r="M56" i="59"/>
  <c r="N56" i="59"/>
  <c r="O56" i="59"/>
  <c r="P56" i="59"/>
  <c r="Q56" i="59"/>
  <c r="R56" i="59"/>
  <c r="S56" i="59"/>
  <c r="T56" i="59"/>
  <c r="U56" i="59"/>
  <c r="V56" i="59"/>
  <c r="W56" i="59"/>
  <c r="X56" i="59"/>
  <c r="Y56" i="59"/>
  <c r="Z56" i="59"/>
  <c r="AA56" i="59"/>
  <c r="AB56" i="59"/>
  <c r="AC56" i="59"/>
  <c r="AD56" i="59"/>
  <c r="AE56" i="59"/>
  <c r="AF56" i="59"/>
  <c r="D57" i="59"/>
  <c r="E57" i="59"/>
  <c r="F57" i="59"/>
  <c r="F55" i="59" s="1"/>
  <c r="G57" i="59"/>
  <c r="H57" i="59"/>
  <c r="I57" i="59"/>
  <c r="J57" i="59"/>
  <c r="L57" i="59"/>
  <c r="M57" i="59"/>
  <c r="N57" i="59"/>
  <c r="O57" i="59"/>
  <c r="O55" i="59" s="1"/>
  <c r="P57" i="59"/>
  <c r="Q57" i="59"/>
  <c r="Q55" i="59" s="1"/>
  <c r="R57" i="59"/>
  <c r="S57" i="59"/>
  <c r="S55" i="59" s="1"/>
  <c r="T57" i="59"/>
  <c r="U57" i="59"/>
  <c r="V57" i="59"/>
  <c r="W57" i="59"/>
  <c r="W55" i="59" s="1"/>
  <c r="X57" i="59"/>
  <c r="Y57" i="59"/>
  <c r="Z57" i="59"/>
  <c r="AA57" i="59"/>
  <c r="AB57" i="59"/>
  <c r="AC57" i="59"/>
  <c r="AD57" i="59"/>
  <c r="AE57" i="59"/>
  <c r="AF57" i="59"/>
  <c r="D59" i="59"/>
  <c r="E59" i="59"/>
  <c r="F59" i="59"/>
  <c r="G59" i="59"/>
  <c r="H59" i="59"/>
  <c r="I59" i="59"/>
  <c r="J59" i="59"/>
  <c r="L59" i="59"/>
  <c r="M59" i="59"/>
  <c r="N59" i="59"/>
  <c r="O59" i="59"/>
  <c r="P59" i="59"/>
  <c r="Q59" i="59"/>
  <c r="R59" i="59"/>
  <c r="S59" i="59"/>
  <c r="T59" i="59"/>
  <c r="U59" i="59"/>
  <c r="V59" i="59"/>
  <c r="W59" i="59"/>
  <c r="X59" i="59"/>
  <c r="Y59" i="59"/>
  <c r="Z59" i="59"/>
  <c r="AA59" i="59"/>
  <c r="AB59" i="59"/>
  <c r="AC59" i="59"/>
  <c r="AD59" i="59"/>
  <c r="AE59" i="59"/>
  <c r="AF59" i="59"/>
  <c r="D60" i="59"/>
  <c r="E60" i="59"/>
  <c r="F60" i="59"/>
  <c r="G60" i="59"/>
  <c r="H60" i="59"/>
  <c r="I60" i="59"/>
  <c r="J60" i="59"/>
  <c r="L60" i="59"/>
  <c r="M60" i="59"/>
  <c r="N60" i="59"/>
  <c r="O60" i="59"/>
  <c r="P60" i="59"/>
  <c r="Q60" i="59"/>
  <c r="R60" i="59"/>
  <c r="S60" i="59"/>
  <c r="T60" i="59"/>
  <c r="U60" i="59"/>
  <c r="V60" i="59"/>
  <c r="W60" i="59"/>
  <c r="X60" i="59"/>
  <c r="Y60" i="59"/>
  <c r="Z60" i="59"/>
  <c r="AA60" i="59"/>
  <c r="AB60" i="59"/>
  <c r="AC60" i="59"/>
  <c r="AD60" i="59"/>
  <c r="AE60" i="59"/>
  <c r="AF60" i="59"/>
  <c r="D61" i="59"/>
  <c r="E61" i="59"/>
  <c r="F61" i="59"/>
  <c r="G61" i="59"/>
  <c r="H61" i="59"/>
  <c r="I61" i="59"/>
  <c r="J61" i="59"/>
  <c r="L61" i="59"/>
  <c r="M61" i="59"/>
  <c r="N61" i="59"/>
  <c r="O61" i="59"/>
  <c r="P61" i="59"/>
  <c r="Q61" i="59"/>
  <c r="R61" i="59"/>
  <c r="S61" i="59"/>
  <c r="T61" i="59"/>
  <c r="U61" i="59"/>
  <c r="V61" i="59"/>
  <c r="W61" i="59"/>
  <c r="X61" i="59"/>
  <c r="Y61" i="59"/>
  <c r="Z61" i="59"/>
  <c r="AA61" i="59"/>
  <c r="AB61" i="59"/>
  <c r="AC61" i="59"/>
  <c r="AD61" i="59"/>
  <c r="AE61" i="59"/>
  <c r="AF61" i="59"/>
  <c r="I62" i="59"/>
  <c r="J62" i="59"/>
  <c r="T62" i="59"/>
  <c r="X62" i="59"/>
  <c r="Y62" i="59"/>
  <c r="Z62" i="59"/>
  <c r="AA62" i="59"/>
  <c r="AB62" i="59"/>
  <c r="AC62" i="59"/>
  <c r="AD62" i="59"/>
  <c r="AE62" i="59"/>
  <c r="AF62" i="59"/>
  <c r="D63" i="59"/>
  <c r="E63" i="59"/>
  <c r="F63" i="59"/>
  <c r="G63" i="59"/>
  <c r="H63" i="59"/>
  <c r="I63" i="59"/>
  <c r="J63" i="59"/>
  <c r="L63" i="59"/>
  <c r="M63" i="59"/>
  <c r="N63" i="59"/>
  <c r="O63" i="59"/>
  <c r="P63" i="59"/>
  <c r="Q63" i="59"/>
  <c r="R63" i="59"/>
  <c r="S63" i="59"/>
  <c r="T63" i="59"/>
  <c r="U63" i="59"/>
  <c r="V63" i="59"/>
  <c r="W63" i="59"/>
  <c r="X63" i="59"/>
  <c r="Y63" i="59"/>
  <c r="Z63" i="59"/>
  <c r="AA63" i="59"/>
  <c r="AB63" i="59"/>
  <c r="AC63" i="59"/>
  <c r="AD63" i="59"/>
  <c r="AE63" i="59"/>
  <c r="AF63" i="59"/>
  <c r="D64" i="59"/>
  <c r="D62" i="59" s="1"/>
  <c r="E64" i="59"/>
  <c r="F64" i="59"/>
  <c r="G64" i="59"/>
  <c r="H64" i="59"/>
  <c r="I64" i="59"/>
  <c r="J64" i="59"/>
  <c r="L64" i="59"/>
  <c r="M64" i="59"/>
  <c r="N64" i="59"/>
  <c r="O64" i="59"/>
  <c r="P64" i="59"/>
  <c r="Q64" i="59"/>
  <c r="R64" i="59"/>
  <c r="S64" i="59"/>
  <c r="T64" i="59"/>
  <c r="U64" i="59"/>
  <c r="U62" i="59" s="1"/>
  <c r="V64" i="59"/>
  <c r="V62" i="59" s="1"/>
  <c r="W64" i="59"/>
  <c r="X64" i="59"/>
  <c r="Y64" i="59"/>
  <c r="Z64" i="59"/>
  <c r="AA64" i="59"/>
  <c r="AB64" i="59"/>
  <c r="AC64" i="59"/>
  <c r="AD64" i="59"/>
  <c r="AE64" i="59"/>
  <c r="AF64" i="59"/>
  <c r="D66" i="59"/>
  <c r="E66" i="59"/>
  <c r="F66" i="59"/>
  <c r="G66" i="59"/>
  <c r="H66" i="59"/>
  <c r="I66" i="59"/>
  <c r="J66" i="59"/>
  <c r="L66" i="59"/>
  <c r="M66" i="59"/>
  <c r="N66" i="59"/>
  <c r="O66" i="59"/>
  <c r="P66" i="59"/>
  <c r="Q66" i="59"/>
  <c r="R66" i="59"/>
  <c r="S66" i="59"/>
  <c r="T66" i="59"/>
  <c r="U66" i="59"/>
  <c r="V66" i="59"/>
  <c r="W66" i="59"/>
  <c r="X66" i="59"/>
  <c r="Y66" i="59"/>
  <c r="Z66" i="59"/>
  <c r="AA66" i="59"/>
  <c r="AB66" i="59"/>
  <c r="AC66" i="59"/>
  <c r="AD66" i="59"/>
  <c r="AE66" i="59"/>
  <c r="AF66" i="59"/>
  <c r="D67" i="59"/>
  <c r="E67" i="59"/>
  <c r="F67" i="59"/>
  <c r="G67" i="59"/>
  <c r="H67" i="59"/>
  <c r="I67" i="59"/>
  <c r="J67" i="59"/>
  <c r="L67" i="59"/>
  <c r="M67" i="59"/>
  <c r="N67" i="59"/>
  <c r="O67" i="59"/>
  <c r="P67" i="59"/>
  <c r="Q67" i="59"/>
  <c r="R67" i="59"/>
  <c r="S67" i="59"/>
  <c r="T67" i="59"/>
  <c r="U67" i="59"/>
  <c r="V67" i="59"/>
  <c r="W67" i="59"/>
  <c r="X67" i="59"/>
  <c r="Y67" i="59"/>
  <c r="Z67" i="59"/>
  <c r="AA67" i="59"/>
  <c r="AB67" i="59"/>
  <c r="AC67" i="59"/>
  <c r="AD67" i="59"/>
  <c r="AE67" i="59"/>
  <c r="AF67" i="59"/>
  <c r="D68" i="59"/>
  <c r="E68" i="59"/>
  <c r="F68" i="59"/>
  <c r="G68" i="59"/>
  <c r="H68" i="59"/>
  <c r="I68" i="59"/>
  <c r="J68" i="59"/>
  <c r="L68" i="59"/>
  <c r="M68" i="59"/>
  <c r="N68" i="59"/>
  <c r="O68" i="59"/>
  <c r="P68" i="59"/>
  <c r="Q68" i="59"/>
  <c r="R68" i="59"/>
  <c r="S68" i="59"/>
  <c r="T68" i="59"/>
  <c r="U68" i="59"/>
  <c r="V68" i="59"/>
  <c r="W68" i="59"/>
  <c r="X68" i="59"/>
  <c r="Y68" i="59"/>
  <c r="Z68" i="59"/>
  <c r="AA68" i="59"/>
  <c r="AB68" i="59"/>
  <c r="AC68" i="59"/>
  <c r="AD68" i="59"/>
  <c r="AE68" i="59"/>
  <c r="AF68" i="59"/>
  <c r="I69" i="59"/>
  <c r="J69" i="59"/>
  <c r="X69" i="59"/>
  <c r="Y69" i="59"/>
  <c r="Z69" i="59"/>
  <c r="AA69" i="59"/>
  <c r="AB69" i="59"/>
  <c r="AC69" i="59"/>
  <c r="AD69" i="59"/>
  <c r="AE69" i="59"/>
  <c r="AF69" i="59"/>
  <c r="D70" i="59"/>
  <c r="E70" i="59"/>
  <c r="F70" i="59"/>
  <c r="G70" i="59"/>
  <c r="H70" i="59"/>
  <c r="I70" i="59"/>
  <c r="J70" i="59"/>
  <c r="L70" i="59"/>
  <c r="M70" i="59"/>
  <c r="N70" i="59"/>
  <c r="O70" i="59"/>
  <c r="P70" i="59"/>
  <c r="Q70" i="59"/>
  <c r="R70" i="59"/>
  <c r="S70" i="59"/>
  <c r="T70" i="59"/>
  <c r="U70" i="59"/>
  <c r="V70" i="59"/>
  <c r="W70" i="59"/>
  <c r="X70" i="59"/>
  <c r="Y70" i="59"/>
  <c r="Z70" i="59"/>
  <c r="AA70" i="59"/>
  <c r="AB70" i="59"/>
  <c r="AC70" i="59"/>
  <c r="AD70" i="59"/>
  <c r="AE70" i="59"/>
  <c r="AF70" i="59"/>
  <c r="D71" i="59"/>
  <c r="E71" i="59"/>
  <c r="F71" i="59"/>
  <c r="G71" i="59"/>
  <c r="G69" i="59" s="1"/>
  <c r="H71" i="59"/>
  <c r="I71" i="59"/>
  <c r="J71" i="59"/>
  <c r="L71" i="59"/>
  <c r="L69" i="59" s="1"/>
  <c r="M71" i="59"/>
  <c r="N71" i="59"/>
  <c r="O71" i="59"/>
  <c r="P71" i="59"/>
  <c r="P69" i="59" s="1"/>
  <c r="Q71" i="59"/>
  <c r="R71" i="59"/>
  <c r="S71" i="59"/>
  <c r="T71" i="59"/>
  <c r="T69" i="59" s="1"/>
  <c r="U71" i="59"/>
  <c r="V71" i="59"/>
  <c r="W71" i="59"/>
  <c r="X71" i="59"/>
  <c r="Y71" i="59"/>
  <c r="Z71" i="59"/>
  <c r="AA71" i="59"/>
  <c r="AB71" i="59"/>
  <c r="AC71" i="59"/>
  <c r="AD71" i="59"/>
  <c r="AE71" i="59"/>
  <c r="AF71" i="59"/>
  <c r="D73" i="59"/>
  <c r="E73" i="59"/>
  <c r="F73" i="59"/>
  <c r="G73" i="59"/>
  <c r="H73" i="59"/>
  <c r="I73" i="59"/>
  <c r="J73" i="59"/>
  <c r="L73" i="59"/>
  <c r="M73" i="59"/>
  <c r="N73" i="59"/>
  <c r="O73" i="59"/>
  <c r="P73" i="59"/>
  <c r="Q73" i="59"/>
  <c r="R73" i="59"/>
  <c r="S73" i="59"/>
  <c r="T73" i="59"/>
  <c r="U73" i="59"/>
  <c r="V73" i="59"/>
  <c r="W73" i="59"/>
  <c r="X73" i="59"/>
  <c r="Y73" i="59"/>
  <c r="Z73" i="59"/>
  <c r="AA73" i="59"/>
  <c r="AB73" i="59"/>
  <c r="AC73" i="59"/>
  <c r="AD73" i="59"/>
  <c r="AE73" i="59"/>
  <c r="AF73" i="59"/>
  <c r="D74" i="59"/>
  <c r="E74" i="59"/>
  <c r="F74" i="59"/>
  <c r="G74" i="59"/>
  <c r="G76" i="59" s="1"/>
  <c r="H74" i="59"/>
  <c r="I74" i="59"/>
  <c r="J74" i="59"/>
  <c r="L74" i="59"/>
  <c r="L76" i="59" s="1"/>
  <c r="M74" i="59"/>
  <c r="N74" i="59"/>
  <c r="O74" i="59"/>
  <c r="P74" i="59"/>
  <c r="P76" i="59" s="1"/>
  <c r="Q74" i="59"/>
  <c r="R74" i="59"/>
  <c r="S74" i="59"/>
  <c r="T74" i="59"/>
  <c r="T76" i="59" s="1"/>
  <c r="U74" i="59"/>
  <c r="V74" i="59"/>
  <c r="W74" i="59"/>
  <c r="X74" i="59"/>
  <c r="Y74" i="59"/>
  <c r="Z74" i="59"/>
  <c r="AA74" i="59"/>
  <c r="AB74" i="59"/>
  <c r="AC74" i="59"/>
  <c r="AD74" i="59"/>
  <c r="AE74" i="59"/>
  <c r="AF74" i="59"/>
  <c r="D75" i="59"/>
  <c r="E75" i="59"/>
  <c r="F75" i="59"/>
  <c r="G75" i="59"/>
  <c r="H75" i="59"/>
  <c r="I75" i="59"/>
  <c r="J75" i="59"/>
  <c r="L75" i="59"/>
  <c r="M75" i="59"/>
  <c r="N75" i="59"/>
  <c r="O75" i="59"/>
  <c r="P75" i="59"/>
  <c r="Q75" i="59"/>
  <c r="R75" i="59"/>
  <c r="S75" i="59"/>
  <c r="T75" i="59"/>
  <c r="U75" i="59"/>
  <c r="V75" i="59"/>
  <c r="W75" i="59"/>
  <c r="X75" i="59"/>
  <c r="Y75" i="59"/>
  <c r="Z75" i="59"/>
  <c r="AA75" i="59"/>
  <c r="AB75" i="59"/>
  <c r="AC75" i="59"/>
  <c r="AD75" i="59"/>
  <c r="AE75" i="59"/>
  <c r="AF75" i="59"/>
  <c r="I76" i="59"/>
  <c r="J76" i="59"/>
  <c r="X76" i="59"/>
  <c r="Y76" i="59"/>
  <c r="Z76" i="59"/>
  <c r="AA76" i="59"/>
  <c r="AB76" i="59"/>
  <c r="AC76" i="59"/>
  <c r="AD76" i="59"/>
  <c r="AE76" i="59"/>
  <c r="AF76" i="59"/>
  <c r="D77" i="59"/>
  <c r="E77" i="59"/>
  <c r="F77" i="59"/>
  <c r="G77" i="59"/>
  <c r="H77" i="59"/>
  <c r="I77" i="59"/>
  <c r="J77" i="59"/>
  <c r="L77" i="59"/>
  <c r="M77" i="59"/>
  <c r="N77" i="59"/>
  <c r="O77" i="59"/>
  <c r="P77" i="59"/>
  <c r="Q77" i="59"/>
  <c r="R77" i="59"/>
  <c r="S77" i="59"/>
  <c r="T77" i="59"/>
  <c r="U77" i="59"/>
  <c r="V77" i="59"/>
  <c r="W77" i="59"/>
  <c r="X77" i="59"/>
  <c r="Y77" i="59"/>
  <c r="Z77" i="59"/>
  <c r="AA77" i="59"/>
  <c r="AB77" i="59"/>
  <c r="AC77" i="59"/>
  <c r="AD77" i="59"/>
  <c r="AE77" i="59"/>
  <c r="AF77" i="59"/>
  <c r="D78" i="59"/>
  <c r="E78" i="59"/>
  <c r="E76" i="59" s="1"/>
  <c r="F78" i="59"/>
  <c r="G78" i="59"/>
  <c r="H78" i="59"/>
  <c r="I78" i="59"/>
  <c r="J78" i="59"/>
  <c r="L78" i="59"/>
  <c r="M78" i="59"/>
  <c r="N78" i="59"/>
  <c r="O78" i="59"/>
  <c r="P78" i="59"/>
  <c r="Q78" i="59"/>
  <c r="R78" i="59"/>
  <c r="S78" i="59"/>
  <c r="T78" i="59"/>
  <c r="U78" i="59"/>
  <c r="V78" i="59"/>
  <c r="V76" i="59" s="1"/>
  <c r="W78" i="59"/>
  <c r="X78" i="59"/>
  <c r="Y78" i="59"/>
  <c r="Z78" i="59"/>
  <c r="AA78" i="59"/>
  <c r="AB78" i="59"/>
  <c r="AC78" i="59"/>
  <c r="AD78" i="59"/>
  <c r="AE78" i="59"/>
  <c r="AF78" i="59"/>
  <c r="D4" i="58"/>
  <c r="E144" i="61" s="1"/>
  <c r="E4" i="58"/>
  <c r="F139" i="61" s="1"/>
  <c r="F4" i="58"/>
  <c r="G4" i="58"/>
  <c r="H4" i="58"/>
  <c r="I4" i="58"/>
  <c r="J4" i="58"/>
  <c r="H2" i="62" s="1"/>
  <c r="M4" i="58"/>
  <c r="N4" i="58"/>
  <c r="O4" i="58"/>
  <c r="P4" i="58"/>
  <c r="Q4" i="58"/>
  <c r="N110" i="61" s="1"/>
  <c r="N111" i="61" s="1"/>
  <c r="R4" i="58"/>
  <c r="O232" i="61" s="1"/>
  <c r="S4" i="58"/>
  <c r="P229" i="61" s="1"/>
  <c r="T4" i="58"/>
  <c r="Q240" i="61" s="1"/>
  <c r="U4" i="58"/>
  <c r="R159" i="61" s="1"/>
  <c r="V4" i="58"/>
  <c r="W4" i="58"/>
  <c r="X4" i="58"/>
  <c r="Y4" i="58"/>
  <c r="Z4" i="58"/>
  <c r="AA4" i="58"/>
  <c r="AB4" i="58"/>
  <c r="Y139" i="61" s="1"/>
  <c r="AC4" i="58"/>
  <c r="AD4" i="58"/>
  <c r="AE4" i="58"/>
  <c r="AF4" i="58"/>
  <c r="AG4" i="58"/>
  <c r="D5" i="58"/>
  <c r="E5" i="58"/>
  <c r="F5" i="58"/>
  <c r="G5" i="58"/>
  <c r="H5" i="58"/>
  <c r="I5" i="58"/>
  <c r="J5" i="58"/>
  <c r="M5" i="58"/>
  <c r="N5" i="58"/>
  <c r="O5" i="58"/>
  <c r="P5" i="58"/>
  <c r="Q5" i="58"/>
  <c r="R5" i="58"/>
  <c r="S5" i="58"/>
  <c r="T5" i="58"/>
  <c r="U5" i="58"/>
  <c r="V5" i="58"/>
  <c r="W5" i="58"/>
  <c r="X5" i="58"/>
  <c r="Y5" i="58"/>
  <c r="Z5" i="58"/>
  <c r="AA5" i="58"/>
  <c r="AB5" i="58"/>
  <c r="AC5" i="58"/>
  <c r="AD5" i="58"/>
  <c r="AE5" i="58"/>
  <c r="AF5" i="58"/>
  <c r="AG5" i="58"/>
  <c r="D6" i="58"/>
  <c r="E6" i="58"/>
  <c r="F6" i="58"/>
  <c r="G6" i="58"/>
  <c r="H6" i="58"/>
  <c r="I153" i="61" s="1"/>
  <c r="I6" i="58"/>
  <c r="J6" i="58"/>
  <c r="M6" i="58"/>
  <c r="N6" i="58"/>
  <c r="O6" i="58"/>
  <c r="O7" i="58" s="1"/>
  <c r="P6" i="58"/>
  <c r="Q6" i="58"/>
  <c r="R6" i="58"/>
  <c r="S6" i="58"/>
  <c r="P123" i="61" s="1"/>
  <c r="T6" i="58"/>
  <c r="U6" i="58"/>
  <c r="V6" i="58"/>
  <c r="W6" i="58"/>
  <c r="T56" i="61" s="1"/>
  <c r="X6" i="58"/>
  <c r="Y6" i="58"/>
  <c r="Z6" i="58"/>
  <c r="AA6" i="58"/>
  <c r="AB6" i="58"/>
  <c r="AC6" i="58"/>
  <c r="AD6" i="58"/>
  <c r="AA168" i="61" s="1"/>
  <c r="AE6" i="58"/>
  <c r="AF6" i="58"/>
  <c r="AG6" i="58"/>
  <c r="AD153" i="61" s="1"/>
  <c r="F7" i="58"/>
  <c r="J7" i="58"/>
  <c r="S7" i="58"/>
  <c r="W7" i="58"/>
  <c r="AA7" i="58"/>
  <c r="D10" i="58"/>
  <c r="E10" i="58"/>
  <c r="F72" i="61" s="1"/>
  <c r="F10" i="58"/>
  <c r="G10" i="58"/>
  <c r="H10" i="58"/>
  <c r="I10" i="58"/>
  <c r="G5" i="62" s="1"/>
  <c r="J10" i="58"/>
  <c r="K154" i="61" s="1"/>
  <c r="M10" i="58"/>
  <c r="N10" i="58"/>
  <c r="O10" i="58"/>
  <c r="P10" i="58"/>
  <c r="Q10" i="58"/>
  <c r="R10" i="58"/>
  <c r="S10" i="58"/>
  <c r="P57" i="61" s="1"/>
  <c r="T10" i="58"/>
  <c r="U10" i="58"/>
  <c r="V10" i="58"/>
  <c r="W10" i="58"/>
  <c r="T154" i="61" s="1"/>
  <c r="X10" i="58"/>
  <c r="U154" i="61" s="1"/>
  <c r="Y10" i="58"/>
  <c r="Z10" i="58"/>
  <c r="AA10" i="58"/>
  <c r="X57" i="61" s="1"/>
  <c r="AB10" i="58"/>
  <c r="AC10" i="58"/>
  <c r="AD10" i="58"/>
  <c r="AE10" i="58"/>
  <c r="AF10" i="58"/>
  <c r="AG10" i="58"/>
  <c r="D14" i="58"/>
  <c r="E14" i="58"/>
  <c r="F14" i="58"/>
  <c r="G14" i="58"/>
  <c r="H14" i="58"/>
  <c r="I14" i="58"/>
  <c r="J14" i="58"/>
  <c r="M14" i="58"/>
  <c r="N14" i="58"/>
  <c r="O14" i="58"/>
  <c r="O12" i="58" s="1"/>
  <c r="P14" i="58"/>
  <c r="Q14" i="58"/>
  <c r="R14" i="58"/>
  <c r="S14" i="58"/>
  <c r="T14" i="58"/>
  <c r="U14" i="58"/>
  <c r="V14" i="58"/>
  <c r="W14" i="58"/>
  <c r="T156" i="61" s="1"/>
  <c r="X14" i="58"/>
  <c r="Y14" i="58"/>
  <c r="Z14" i="58"/>
  <c r="AA14" i="58"/>
  <c r="AB14" i="58"/>
  <c r="AC14" i="58"/>
  <c r="AC12" i="58" s="1"/>
  <c r="AD14" i="58"/>
  <c r="AE14" i="58"/>
  <c r="AF14" i="58"/>
  <c r="AG14" i="58"/>
  <c r="F16" i="58"/>
  <c r="G16" i="58"/>
  <c r="H78" i="61" s="1"/>
  <c r="E3" i="69" s="1"/>
  <c r="H16" i="58"/>
  <c r="I16" i="58"/>
  <c r="J16" i="58"/>
  <c r="K78" i="61" s="1"/>
  <c r="M16" i="58"/>
  <c r="N16" i="58"/>
  <c r="O16" i="58"/>
  <c r="P16" i="58"/>
  <c r="Q16" i="58"/>
  <c r="R16" i="58"/>
  <c r="S16" i="58"/>
  <c r="T16" i="58"/>
  <c r="U16" i="58"/>
  <c r="U17" i="58" s="1"/>
  <c r="V16" i="58"/>
  <c r="W16" i="58"/>
  <c r="X16" i="58"/>
  <c r="X17" i="58" s="1"/>
  <c r="Y16" i="58"/>
  <c r="Z16" i="58"/>
  <c r="AA16" i="58"/>
  <c r="AB16" i="58"/>
  <c r="AB17" i="58" s="1"/>
  <c r="AC16" i="58"/>
  <c r="AD16" i="58"/>
  <c r="AE16" i="58"/>
  <c r="AE17" i="58" s="1"/>
  <c r="AF16" i="58"/>
  <c r="AF17" i="58" s="1"/>
  <c r="AG16" i="58"/>
  <c r="AG17" i="58" s="1"/>
  <c r="Q17" i="58"/>
  <c r="T17" i="58"/>
  <c r="Y17" i="58"/>
  <c r="AC17" i="58"/>
  <c r="M18" i="58"/>
  <c r="N18" i="58"/>
  <c r="O18" i="58"/>
  <c r="P18" i="58"/>
  <c r="Q18" i="58"/>
  <c r="R18" i="58"/>
  <c r="S18" i="58"/>
  <c r="T18" i="58"/>
  <c r="C5" i="57"/>
  <c r="D5" i="57"/>
  <c r="E5" i="57"/>
  <c r="F5" i="57"/>
  <c r="G5" i="57"/>
  <c r="H5" i="57"/>
  <c r="I5" i="57"/>
  <c r="J5" i="57"/>
  <c r="C7" i="57"/>
  <c r="D7" i="57"/>
  <c r="E7" i="57"/>
  <c r="F7" i="57"/>
  <c r="G7" i="57"/>
  <c r="H7" i="57"/>
  <c r="I7" i="57"/>
  <c r="J7" i="57"/>
  <c r="C8" i="57"/>
  <c r="D8" i="57"/>
  <c r="E8" i="57"/>
  <c r="F8" i="57"/>
  <c r="G8" i="57"/>
  <c r="H8" i="57"/>
  <c r="I8" i="57"/>
  <c r="J8" i="57"/>
  <c r="C9" i="57"/>
  <c r="D9" i="57"/>
  <c r="F9" i="57"/>
  <c r="G9" i="57"/>
  <c r="H9" i="57"/>
  <c r="I9" i="57"/>
  <c r="J9" i="57"/>
  <c r="C10" i="57"/>
  <c r="D10" i="57"/>
  <c r="E10" i="57"/>
  <c r="F10" i="57"/>
  <c r="G10" i="57"/>
  <c r="H10" i="57"/>
  <c r="I10" i="57"/>
  <c r="J10" i="57"/>
  <c r="C11" i="57"/>
  <c r="D11" i="57"/>
  <c r="E11" i="57"/>
  <c r="F11" i="57"/>
  <c r="G11" i="57"/>
  <c r="H11" i="57"/>
  <c r="I11" i="57"/>
  <c r="J11" i="57"/>
  <c r="C12" i="57"/>
  <c r="D12" i="57"/>
  <c r="E12" i="57"/>
  <c r="F12" i="57"/>
  <c r="G12" i="57"/>
  <c r="H12" i="57"/>
  <c r="I12" i="57"/>
  <c r="J12" i="57"/>
  <c r="C13" i="57"/>
  <c r="D13" i="57"/>
  <c r="E13" i="57"/>
  <c r="C14" i="57"/>
  <c r="E14" i="57"/>
  <c r="C15" i="57"/>
  <c r="D15" i="57"/>
  <c r="E15" i="57"/>
  <c r="F15" i="57"/>
  <c r="G15" i="57"/>
  <c r="H15" i="57"/>
  <c r="I15" i="57"/>
  <c r="J15" i="57"/>
  <c r="C17" i="57"/>
  <c r="D17" i="57"/>
  <c r="E17" i="57"/>
  <c r="F17" i="57"/>
  <c r="G17" i="57"/>
  <c r="H17" i="57"/>
  <c r="I17" i="57"/>
  <c r="J17" i="57"/>
  <c r="C18" i="57"/>
  <c r="D18" i="57"/>
  <c r="E18" i="57"/>
  <c r="F18" i="57"/>
  <c r="G18" i="57"/>
  <c r="H18" i="57"/>
  <c r="I18" i="57"/>
  <c r="J18" i="57"/>
  <c r="C19" i="57"/>
  <c r="D19" i="57"/>
  <c r="E19" i="57"/>
  <c r="C20" i="57"/>
  <c r="D20" i="57"/>
  <c r="E20" i="57"/>
  <c r="F20" i="57"/>
  <c r="G20" i="57"/>
  <c r="H20" i="57"/>
  <c r="I20" i="57"/>
  <c r="J20" i="57"/>
  <c r="C21" i="57"/>
  <c r="D21" i="57"/>
  <c r="E21" i="57"/>
  <c r="F21" i="57"/>
  <c r="G21" i="57"/>
  <c r="H21" i="57"/>
  <c r="I21" i="57"/>
  <c r="J21" i="57"/>
  <c r="C22" i="57"/>
  <c r="D22" i="57"/>
  <c r="E22" i="57"/>
  <c r="F22" i="57"/>
  <c r="G22" i="57"/>
  <c r="H22" i="57"/>
  <c r="I22" i="57"/>
  <c r="J22" i="57"/>
  <c r="C23" i="57"/>
  <c r="D23" i="57"/>
  <c r="E23" i="57"/>
  <c r="F23" i="57"/>
  <c r="G23" i="57"/>
  <c r="H23" i="57"/>
  <c r="I23" i="57"/>
  <c r="J23" i="57"/>
  <c r="D24" i="57"/>
  <c r="E24" i="57"/>
  <c r="F24" i="57"/>
  <c r="G24" i="57"/>
  <c r="H24" i="57"/>
  <c r="I24" i="57"/>
  <c r="J24" i="57"/>
  <c r="C26" i="57"/>
  <c r="D26" i="57"/>
  <c r="E26" i="57"/>
  <c r="F26" i="57"/>
  <c r="G26" i="57"/>
  <c r="H26" i="57"/>
  <c r="I26" i="57"/>
  <c r="J26" i="57"/>
  <c r="K42" i="61" s="1"/>
  <c r="U26" i="57"/>
  <c r="V26" i="57" s="1"/>
  <c r="Y26" i="57"/>
  <c r="Z26" i="57" s="1"/>
  <c r="AC26" i="57"/>
  <c r="AG26" i="57"/>
  <c r="C28" i="57"/>
  <c r="C29" i="57"/>
  <c r="D29" i="57"/>
  <c r="B2" i="70" s="1"/>
  <c r="E29" i="57"/>
  <c r="C2" i="70" s="1"/>
  <c r="F29" i="57"/>
  <c r="D2" i="70" s="1"/>
  <c r="G29" i="57"/>
  <c r="E2" i="70" s="1"/>
  <c r="H29" i="57"/>
  <c r="I29" i="57"/>
  <c r="J29" i="57"/>
  <c r="U29" i="57"/>
  <c r="V29" i="57" s="1"/>
  <c r="W29" i="57" s="1"/>
  <c r="Y29" i="57"/>
  <c r="Z29" i="57" s="1"/>
  <c r="AA29" i="57"/>
  <c r="AC29" i="57"/>
  <c r="AD29" i="57" s="1"/>
  <c r="AE29" i="57" s="1"/>
  <c r="AG29" i="57"/>
  <c r="E30" i="57"/>
  <c r="G31" i="57"/>
  <c r="H31" i="57"/>
  <c r="I31" i="57"/>
  <c r="J31" i="57"/>
  <c r="U31" i="57"/>
  <c r="V31" i="57" s="1"/>
  <c r="Y31" i="57"/>
  <c r="Z31" i="57" s="1"/>
  <c r="AA31" i="57" s="1"/>
  <c r="AC31" i="57"/>
  <c r="AD31" i="57" s="1"/>
  <c r="AG31" i="57"/>
  <c r="C32" i="57"/>
  <c r="D32" i="57"/>
  <c r="E32" i="57"/>
  <c r="F32" i="57"/>
  <c r="G32" i="57"/>
  <c r="H32" i="57"/>
  <c r="I32" i="57"/>
  <c r="J32" i="57"/>
  <c r="U32" i="57"/>
  <c r="V32" i="57" s="1"/>
  <c r="W32" i="57" s="1"/>
  <c r="Y32" i="57"/>
  <c r="AC32" i="57"/>
  <c r="AG32" i="57"/>
  <c r="C33" i="57"/>
  <c r="D33" i="57"/>
  <c r="E33" i="57"/>
  <c r="F33" i="57"/>
  <c r="G33" i="57"/>
  <c r="H33" i="57"/>
  <c r="I33" i="57"/>
  <c r="J33" i="57"/>
  <c r="U33" i="57"/>
  <c r="V33" i="57" s="1"/>
  <c r="W33" i="57" s="1"/>
  <c r="Y33" i="57"/>
  <c r="Z33" i="57"/>
  <c r="AA33" i="57" s="1"/>
  <c r="AC33" i="57"/>
  <c r="AD33" i="57" s="1"/>
  <c r="AE33" i="57" s="1"/>
  <c r="AG33" i="57"/>
  <c r="C34" i="57"/>
  <c r="D34" i="57"/>
  <c r="E34" i="57"/>
  <c r="F34" i="57"/>
  <c r="G34" i="57"/>
  <c r="H34" i="57"/>
  <c r="I34" i="57"/>
  <c r="J34" i="57"/>
  <c r="U34" i="57"/>
  <c r="V34" i="57" s="1"/>
  <c r="W34" i="57" s="1"/>
  <c r="Y34" i="57"/>
  <c r="Z34" i="57" s="1"/>
  <c r="AA34" i="57" s="1"/>
  <c r="AC34" i="57"/>
  <c r="AG34" i="57"/>
  <c r="F35" i="57"/>
  <c r="G36" i="57"/>
  <c r="H36" i="57"/>
  <c r="I36" i="57"/>
  <c r="J36" i="57"/>
  <c r="AA36" i="57"/>
  <c r="AE36" i="57"/>
  <c r="G37" i="57"/>
  <c r="H37" i="57"/>
  <c r="I37" i="57"/>
  <c r="J37" i="57"/>
  <c r="AF37" i="57" s="1"/>
  <c r="K37" i="57" s="1"/>
  <c r="C38" i="57"/>
  <c r="D38" i="57"/>
  <c r="E38" i="57"/>
  <c r="F38" i="57"/>
  <c r="H39" i="57"/>
  <c r="I39" i="57"/>
  <c r="J39" i="57"/>
  <c r="AA39" i="57"/>
  <c r="AC39" i="57"/>
  <c r="AE39" i="57"/>
  <c r="AG39" i="57"/>
  <c r="C40" i="57"/>
  <c r="D40" i="57"/>
  <c r="E40" i="57"/>
  <c r="F40" i="57"/>
  <c r="F41" i="57" s="1"/>
  <c r="G40" i="57"/>
  <c r="H40" i="57"/>
  <c r="I40" i="57"/>
  <c r="J40" i="57"/>
  <c r="U40" i="57"/>
  <c r="V40" i="57" s="1"/>
  <c r="W40" i="57" s="1"/>
  <c r="Y40" i="57"/>
  <c r="AC40" i="57"/>
  <c r="AG40" i="57"/>
  <c r="M41" i="57"/>
  <c r="N41" i="57"/>
  <c r="O41" i="57"/>
  <c r="P41" i="57"/>
  <c r="Q41" i="57"/>
  <c r="R41" i="57"/>
  <c r="S41" i="57"/>
  <c r="T41" i="57"/>
  <c r="C43" i="57"/>
  <c r="D43" i="57"/>
  <c r="E43" i="57"/>
  <c r="F43" i="57"/>
  <c r="G43" i="57"/>
  <c r="H43" i="57"/>
  <c r="I43" i="57"/>
  <c r="J43" i="57"/>
  <c r="U43" i="57"/>
  <c r="V43" i="57" s="1"/>
  <c r="W43" i="57" s="1"/>
  <c r="Y43" i="57"/>
  <c r="Z43" i="57"/>
  <c r="AA43" i="57" s="1"/>
  <c r="AC43" i="57"/>
  <c r="AG43" i="57"/>
  <c r="C44" i="57"/>
  <c r="D44" i="57"/>
  <c r="E44" i="57"/>
  <c r="F44" i="57"/>
  <c r="G44" i="57"/>
  <c r="H44" i="57"/>
  <c r="I44" i="57"/>
  <c r="J44" i="57"/>
  <c r="U44" i="57"/>
  <c r="V44" i="57"/>
  <c r="W44" i="57" s="1"/>
  <c r="X44" i="57" s="1"/>
  <c r="Y44" i="57"/>
  <c r="Z44" i="57" s="1"/>
  <c r="AA44" i="57" s="1"/>
  <c r="AB44" i="57" s="1"/>
  <c r="AC44" i="57"/>
  <c r="AD44" i="57" s="1"/>
  <c r="AE44" i="57"/>
  <c r="AG44" i="57"/>
  <c r="C45" i="57"/>
  <c r="D45" i="57"/>
  <c r="E45" i="57"/>
  <c r="F45" i="57"/>
  <c r="G45" i="57"/>
  <c r="H45" i="57"/>
  <c r="I45" i="57"/>
  <c r="J45" i="57"/>
  <c r="U45" i="57"/>
  <c r="V45" i="57" s="1"/>
  <c r="W45" i="57" s="1"/>
  <c r="Y45" i="57"/>
  <c r="Z45" i="57"/>
  <c r="AC45" i="57"/>
  <c r="AD45" i="57" s="1"/>
  <c r="AE45" i="57" s="1"/>
  <c r="AG45" i="57"/>
  <c r="C46" i="57"/>
  <c r="D46" i="57"/>
  <c r="E46" i="57"/>
  <c r="F46" i="57"/>
  <c r="F47" i="57"/>
  <c r="F48" i="57"/>
  <c r="G48" i="57"/>
  <c r="H48" i="57"/>
  <c r="I48" i="57"/>
  <c r="J48" i="57"/>
  <c r="U48" i="57"/>
  <c r="V48" i="57" s="1"/>
  <c r="W48" i="57" s="1"/>
  <c r="Y48" i="57"/>
  <c r="Z48" i="57" s="1"/>
  <c r="AA48" i="57" s="1"/>
  <c r="AC48" i="57"/>
  <c r="AD48" i="57"/>
  <c r="AG48" i="57"/>
  <c r="F49" i="57"/>
  <c r="G49" i="57"/>
  <c r="H49" i="57"/>
  <c r="I49" i="57"/>
  <c r="J49" i="57"/>
  <c r="U49" i="57"/>
  <c r="V49" i="57"/>
  <c r="W49" i="57" s="1"/>
  <c r="Y49" i="57"/>
  <c r="Z49" i="57" s="1"/>
  <c r="AA49" i="57" s="1"/>
  <c r="AC49" i="57"/>
  <c r="AD49" i="57" s="1"/>
  <c r="AE49" i="57" s="1"/>
  <c r="AG49" i="57"/>
  <c r="C50" i="57"/>
  <c r="E50" i="57"/>
  <c r="F50" i="57"/>
  <c r="G50" i="57"/>
  <c r="H50" i="57"/>
  <c r="I50" i="57"/>
  <c r="J50" i="57"/>
  <c r="U50" i="57"/>
  <c r="V50" i="57" s="1"/>
  <c r="W50" i="57" s="1"/>
  <c r="Y50" i="57"/>
  <c r="AD50" i="57"/>
  <c r="AE50" i="57" s="1"/>
  <c r="C51" i="57"/>
  <c r="D51" i="57"/>
  <c r="E51" i="57"/>
  <c r="F51" i="57"/>
  <c r="G51" i="57"/>
  <c r="H51" i="57"/>
  <c r="I51" i="57"/>
  <c r="J51" i="57"/>
  <c r="U51" i="57"/>
  <c r="V51" i="57" s="1"/>
  <c r="W51" i="57" s="1"/>
  <c r="Y51" i="57"/>
  <c r="Z51" i="57"/>
  <c r="AA51" i="57" s="1"/>
  <c r="AC51" i="57"/>
  <c r="AG51" i="57"/>
  <c r="M52" i="57"/>
  <c r="N52" i="57"/>
  <c r="O52" i="57"/>
  <c r="P52" i="57"/>
  <c r="Q52" i="57"/>
  <c r="R52" i="57"/>
  <c r="S52" i="57"/>
  <c r="T52" i="57"/>
  <c r="C53" i="57"/>
  <c r="D53" i="57"/>
  <c r="E53" i="57"/>
  <c r="F53" i="57"/>
  <c r="G53" i="57"/>
  <c r="H53" i="57"/>
  <c r="I53" i="57"/>
  <c r="J53" i="57"/>
  <c r="U53" i="57"/>
  <c r="V53" i="57"/>
  <c r="W53" i="57" s="1"/>
  <c r="Y53" i="57"/>
  <c r="AC53" i="57"/>
  <c r="AD53" i="57" s="1"/>
  <c r="AG53" i="57"/>
  <c r="M54" i="57"/>
  <c r="N54" i="57"/>
  <c r="O54" i="57"/>
  <c r="P54" i="57"/>
  <c r="Q54" i="57"/>
  <c r="R54" i="57"/>
  <c r="S54" i="57"/>
  <c r="T54" i="57"/>
  <c r="C55" i="57"/>
  <c r="D55" i="57"/>
  <c r="N55" i="57"/>
  <c r="N57" i="57" s="1"/>
  <c r="O55" i="57"/>
  <c r="O57" i="57" s="1"/>
  <c r="P55" i="57"/>
  <c r="Q55" i="57"/>
  <c r="R55" i="57"/>
  <c r="R57" i="57" s="1"/>
  <c r="S55" i="57"/>
  <c r="S57" i="57" s="1"/>
  <c r="T55" i="57"/>
  <c r="U55" i="57"/>
  <c r="AA55" i="57"/>
  <c r="C56" i="57"/>
  <c r="D56" i="57"/>
  <c r="E55" i="57" s="1"/>
  <c r="E56" i="57"/>
  <c r="F55" i="57" s="1"/>
  <c r="F56" i="57"/>
  <c r="G55" i="57" s="1"/>
  <c r="G56" i="57"/>
  <c r="H55" i="57" s="1"/>
  <c r="H56" i="57"/>
  <c r="I56" i="57"/>
  <c r="AB56" i="57" s="1"/>
  <c r="AC55" i="57" s="1"/>
  <c r="J56" i="57"/>
  <c r="AF56" i="57" s="1"/>
  <c r="AG55" i="57" s="1"/>
  <c r="U56" i="57"/>
  <c r="V55" i="57" s="1"/>
  <c r="V56" i="57"/>
  <c r="W55" i="57" s="1"/>
  <c r="W56" i="57"/>
  <c r="X55" i="57" s="1"/>
  <c r="Y56" i="57"/>
  <c r="Z55" i="57" s="1"/>
  <c r="Z56" i="57"/>
  <c r="AA56" i="57"/>
  <c r="AB55" i="57" s="1"/>
  <c r="AC56" i="57"/>
  <c r="AD55" i="57" s="1"/>
  <c r="AD56" i="57"/>
  <c r="AE55" i="57" s="1"/>
  <c r="AE56" i="57"/>
  <c r="AF55" i="57" s="1"/>
  <c r="AG56" i="57"/>
  <c r="K56" i="57" s="1"/>
  <c r="F57" i="57"/>
  <c r="P57" i="57"/>
  <c r="Q57" i="57"/>
  <c r="T57" i="57"/>
  <c r="C58" i="57"/>
  <c r="M58" i="57"/>
  <c r="N58" i="57"/>
  <c r="O58" i="57"/>
  <c r="P58" i="57"/>
  <c r="Q58" i="57"/>
  <c r="R58" i="57"/>
  <c r="S58" i="57"/>
  <c r="T58" i="57"/>
  <c r="F59" i="57"/>
  <c r="G59" i="57"/>
  <c r="H129" i="61" s="1"/>
  <c r="E3" i="68" s="1"/>
  <c r="H59" i="57"/>
  <c r="I59" i="57"/>
  <c r="J59" i="57"/>
  <c r="K129" i="61" s="1"/>
  <c r="H3" i="68" s="1"/>
  <c r="M59" i="57"/>
  <c r="N59" i="57"/>
  <c r="N82" i="61" s="1"/>
  <c r="O59" i="57"/>
  <c r="P59" i="57"/>
  <c r="Q59" i="57"/>
  <c r="R59" i="57"/>
  <c r="S59" i="57"/>
  <c r="T59" i="57"/>
  <c r="U59" i="57"/>
  <c r="R129" i="61" s="1"/>
  <c r="V59" i="57"/>
  <c r="W59" i="57"/>
  <c r="Y59" i="57"/>
  <c r="V129" i="61" s="1"/>
  <c r="Z59" i="57"/>
  <c r="AA59" i="57"/>
  <c r="AC59" i="57"/>
  <c r="AD59" i="57"/>
  <c r="AE59" i="57"/>
  <c r="AG59" i="57"/>
  <c r="AD129" i="61" s="1"/>
  <c r="C5" i="56"/>
  <c r="D5" i="56"/>
  <c r="E5" i="56"/>
  <c r="F5" i="56"/>
  <c r="G5" i="56"/>
  <c r="U5" i="56"/>
  <c r="V5" i="56"/>
  <c r="V65" i="56" s="1"/>
  <c r="S94" i="61" s="1"/>
  <c r="W5" i="56"/>
  <c r="T223" i="61" s="1"/>
  <c r="X5" i="56"/>
  <c r="Y5" i="56"/>
  <c r="Z5" i="56"/>
  <c r="AA5" i="56"/>
  <c r="X223" i="61" s="1"/>
  <c r="AB5" i="56"/>
  <c r="Y223" i="61" s="1"/>
  <c r="AC5" i="56"/>
  <c r="AD5" i="56"/>
  <c r="AE5" i="56"/>
  <c r="AB199" i="61" s="1"/>
  <c r="AF5" i="56"/>
  <c r="AG5" i="56"/>
  <c r="C6" i="56"/>
  <c r="D6" i="56"/>
  <c r="E6" i="56"/>
  <c r="F6" i="56"/>
  <c r="G6" i="56"/>
  <c r="G65" i="56" s="1"/>
  <c r="H94" i="61" s="1"/>
  <c r="U6" i="56"/>
  <c r="V6" i="56"/>
  <c r="W6" i="56"/>
  <c r="X6" i="56"/>
  <c r="Y6" i="56"/>
  <c r="Z6" i="56"/>
  <c r="AA6" i="56"/>
  <c r="AB6" i="56"/>
  <c r="AC6" i="56"/>
  <c r="AD6" i="56"/>
  <c r="AE6" i="56"/>
  <c r="AF6" i="56"/>
  <c r="AG6" i="56"/>
  <c r="K6" i="56" s="1"/>
  <c r="C7" i="56"/>
  <c r="D7" i="56"/>
  <c r="E7" i="56"/>
  <c r="F7" i="56"/>
  <c r="G7" i="56"/>
  <c r="U7" i="56"/>
  <c r="V7" i="56"/>
  <c r="W7" i="56"/>
  <c r="X7" i="56"/>
  <c r="H7" i="56" s="1"/>
  <c r="Y7" i="56"/>
  <c r="Z7" i="56"/>
  <c r="AA7" i="56"/>
  <c r="AB7" i="56"/>
  <c r="I7" i="56" s="1"/>
  <c r="AC7" i="56"/>
  <c r="AD7" i="56"/>
  <c r="AE7" i="56"/>
  <c r="AF7" i="56"/>
  <c r="J7" i="56" s="1"/>
  <c r="AG7" i="56"/>
  <c r="K7" i="56" s="1"/>
  <c r="C8" i="56"/>
  <c r="D8" i="56"/>
  <c r="E8" i="56"/>
  <c r="F8" i="56"/>
  <c r="G8" i="56"/>
  <c r="U8" i="56"/>
  <c r="V8" i="56"/>
  <c r="W8" i="56"/>
  <c r="T226" i="61" s="1"/>
  <c r="X8" i="56"/>
  <c r="Y8" i="56"/>
  <c r="Z8" i="56"/>
  <c r="AA8" i="56"/>
  <c r="X226" i="61" s="1"/>
  <c r="AB8" i="56"/>
  <c r="Y226" i="61" s="1"/>
  <c r="AC8" i="56"/>
  <c r="AD8" i="56"/>
  <c r="AE8" i="56"/>
  <c r="AF8" i="56"/>
  <c r="AG8" i="56"/>
  <c r="C9" i="56"/>
  <c r="D9" i="56"/>
  <c r="E9" i="56"/>
  <c r="F9" i="56"/>
  <c r="G9" i="56"/>
  <c r="U9" i="56"/>
  <c r="V9" i="56"/>
  <c r="W9" i="56"/>
  <c r="X9" i="56"/>
  <c r="H9" i="56" s="1"/>
  <c r="Y9" i="56"/>
  <c r="Z9" i="56"/>
  <c r="AA9" i="56"/>
  <c r="AB9" i="56"/>
  <c r="I9" i="56" s="1"/>
  <c r="AC9" i="56"/>
  <c r="AD9" i="56"/>
  <c r="AE9" i="56"/>
  <c r="AF9" i="56"/>
  <c r="J9" i="56" s="1"/>
  <c r="AG9" i="56"/>
  <c r="K9" i="56" s="1"/>
  <c r="C10" i="56"/>
  <c r="D10" i="56"/>
  <c r="E10" i="56"/>
  <c r="F10" i="56"/>
  <c r="G10" i="56"/>
  <c r="U10" i="56"/>
  <c r="V10" i="56"/>
  <c r="W10" i="56"/>
  <c r="X10" i="56"/>
  <c r="H10" i="56" s="1"/>
  <c r="Y10" i="56"/>
  <c r="Z10" i="56"/>
  <c r="AA10" i="56"/>
  <c r="AB10" i="56"/>
  <c r="I10" i="56" s="1"/>
  <c r="AC10" i="56"/>
  <c r="AD10" i="56"/>
  <c r="AE10" i="56"/>
  <c r="AF10" i="56"/>
  <c r="J10" i="56" s="1"/>
  <c r="AG10" i="56"/>
  <c r="K10" i="56" s="1"/>
  <c r="C11" i="56"/>
  <c r="D11" i="56"/>
  <c r="E11" i="56"/>
  <c r="F11" i="56"/>
  <c r="G11" i="56"/>
  <c r="U11" i="56"/>
  <c r="V11" i="56"/>
  <c r="W11" i="56"/>
  <c r="X11" i="56"/>
  <c r="H11" i="56" s="1"/>
  <c r="Y11" i="56"/>
  <c r="Z11" i="56"/>
  <c r="AA11" i="56"/>
  <c r="AB11" i="56"/>
  <c r="I11" i="56" s="1"/>
  <c r="AC11" i="56"/>
  <c r="AD11" i="56"/>
  <c r="AE11" i="56"/>
  <c r="AB227" i="61" s="1"/>
  <c r="AF11" i="56"/>
  <c r="AG11" i="56"/>
  <c r="M12" i="56"/>
  <c r="N12" i="56"/>
  <c r="O12" i="56"/>
  <c r="P12" i="56"/>
  <c r="Q12" i="56"/>
  <c r="R12" i="56"/>
  <c r="S12" i="56"/>
  <c r="T12" i="56"/>
  <c r="C14" i="56"/>
  <c r="D14" i="56"/>
  <c r="E14" i="56"/>
  <c r="F14" i="56"/>
  <c r="G14" i="56"/>
  <c r="U14" i="56"/>
  <c r="V14" i="56"/>
  <c r="W14" i="56"/>
  <c r="X14" i="56"/>
  <c r="H14" i="56" s="1"/>
  <c r="Y14" i="56"/>
  <c r="Z14" i="56"/>
  <c r="AA14" i="56"/>
  <c r="AB14" i="56"/>
  <c r="I14" i="56" s="1"/>
  <c r="AC14" i="56"/>
  <c r="AD14" i="56"/>
  <c r="AE14" i="56"/>
  <c r="AF14" i="56"/>
  <c r="J14" i="56" s="1"/>
  <c r="AG14" i="56"/>
  <c r="K14" i="56" s="1"/>
  <c r="C15" i="56"/>
  <c r="D15" i="56"/>
  <c r="E15" i="56"/>
  <c r="F15" i="56"/>
  <c r="G15" i="56"/>
  <c r="U15" i="56"/>
  <c r="V15" i="56"/>
  <c r="W15" i="56"/>
  <c r="X15" i="56"/>
  <c r="H15" i="56" s="1"/>
  <c r="Y15" i="56"/>
  <c r="Z15" i="56"/>
  <c r="AA15" i="56"/>
  <c r="AB15" i="56"/>
  <c r="I15" i="56" s="1"/>
  <c r="AC15" i="56"/>
  <c r="AD15" i="56"/>
  <c r="AE15" i="56"/>
  <c r="AF15" i="56"/>
  <c r="J15" i="56" s="1"/>
  <c r="AG15" i="56"/>
  <c r="K15" i="56" s="1"/>
  <c r="C16" i="56"/>
  <c r="D16" i="56"/>
  <c r="E16" i="56"/>
  <c r="F16" i="56"/>
  <c r="G16" i="56"/>
  <c r="U16" i="56"/>
  <c r="V16" i="56"/>
  <c r="W16" i="56"/>
  <c r="X16" i="56"/>
  <c r="H16" i="56" s="1"/>
  <c r="Y16" i="56"/>
  <c r="Z16" i="56"/>
  <c r="AA16" i="56"/>
  <c r="AB16" i="56"/>
  <c r="I16" i="56" s="1"/>
  <c r="AC16" i="56"/>
  <c r="AD16" i="56"/>
  <c r="AE16" i="56"/>
  <c r="AF16" i="56"/>
  <c r="J16" i="56" s="1"/>
  <c r="AG16" i="56"/>
  <c r="K16" i="56" s="1"/>
  <c r="D17" i="56"/>
  <c r="E17" i="56"/>
  <c r="F228" i="61" s="1"/>
  <c r="F17" i="56"/>
  <c r="G17" i="56"/>
  <c r="U17" i="56"/>
  <c r="V17" i="56"/>
  <c r="W17" i="56"/>
  <c r="X17" i="56"/>
  <c r="Y17" i="56"/>
  <c r="Z17" i="56"/>
  <c r="W204" i="61" s="1"/>
  <c r="AA17" i="56"/>
  <c r="AB17" i="56"/>
  <c r="AC17" i="56"/>
  <c r="AD17" i="56"/>
  <c r="AE17" i="56"/>
  <c r="AF17" i="56"/>
  <c r="AG17" i="56"/>
  <c r="D18" i="56"/>
  <c r="E18" i="56"/>
  <c r="F18" i="56"/>
  <c r="G18" i="56"/>
  <c r="U18" i="56"/>
  <c r="V18" i="56"/>
  <c r="W18" i="56"/>
  <c r="T229" i="61" s="1"/>
  <c r="X18" i="56"/>
  <c r="U229" i="61" s="1"/>
  <c r="Y18" i="56"/>
  <c r="Z18" i="56"/>
  <c r="AA18" i="56"/>
  <c r="AB18" i="56"/>
  <c r="Y229" i="61" s="1"/>
  <c r="AC18" i="56"/>
  <c r="AD18" i="56"/>
  <c r="AE18" i="56"/>
  <c r="AF18" i="56"/>
  <c r="AC229" i="61" s="1"/>
  <c r="AG18" i="56"/>
  <c r="AD205" i="61" s="1"/>
  <c r="C19" i="56"/>
  <c r="D19" i="56"/>
  <c r="E19" i="56"/>
  <c r="F230" i="61" s="1"/>
  <c r="F19" i="56"/>
  <c r="G19" i="56"/>
  <c r="U19" i="56"/>
  <c r="V19" i="56"/>
  <c r="W19" i="56"/>
  <c r="X19" i="56"/>
  <c r="Y19" i="56"/>
  <c r="Z19" i="56"/>
  <c r="W206" i="61" s="1"/>
  <c r="AA19" i="56"/>
  <c r="AB19" i="56"/>
  <c r="AC19" i="56"/>
  <c r="AD19" i="56"/>
  <c r="AE19" i="56"/>
  <c r="AB230" i="61" s="1"/>
  <c r="AF19" i="56"/>
  <c r="AG19" i="56"/>
  <c r="K19" i="56" s="1"/>
  <c r="M20" i="56"/>
  <c r="N20" i="56"/>
  <c r="O20" i="56"/>
  <c r="P20" i="56"/>
  <c r="Q20" i="56"/>
  <c r="R20" i="56"/>
  <c r="S20" i="56"/>
  <c r="T20" i="56"/>
  <c r="AB21" i="56"/>
  <c r="AF21" i="56"/>
  <c r="AG21" i="56"/>
  <c r="K21" i="56" s="1"/>
  <c r="E23" i="56"/>
  <c r="F23" i="56"/>
  <c r="G23" i="56"/>
  <c r="U23" i="56"/>
  <c r="V23" i="56"/>
  <c r="W23" i="56"/>
  <c r="X23" i="56"/>
  <c r="H23" i="56" s="1"/>
  <c r="Y23" i="56"/>
  <c r="Z23" i="56"/>
  <c r="AA23" i="56"/>
  <c r="AB23" i="56"/>
  <c r="AC23" i="56"/>
  <c r="AD23" i="56"/>
  <c r="AE23" i="56"/>
  <c r="AF23" i="56"/>
  <c r="AG23" i="56"/>
  <c r="C24" i="56"/>
  <c r="C25" i="56" s="1"/>
  <c r="D24" i="56"/>
  <c r="D25" i="56" s="1"/>
  <c r="E24" i="56"/>
  <c r="F24" i="56"/>
  <c r="G24" i="56"/>
  <c r="U24" i="56"/>
  <c r="V24" i="56"/>
  <c r="W24" i="56"/>
  <c r="X24" i="56"/>
  <c r="H24" i="56" s="1"/>
  <c r="Y24" i="56"/>
  <c r="Y25" i="56" s="1"/>
  <c r="Y29" i="56" s="1"/>
  <c r="Z24" i="56"/>
  <c r="AA24" i="56"/>
  <c r="AB24" i="56"/>
  <c r="I24" i="56" s="1"/>
  <c r="AC24" i="56"/>
  <c r="AD24" i="56"/>
  <c r="AE24" i="56"/>
  <c r="AF24" i="56"/>
  <c r="J24" i="56" s="1"/>
  <c r="AG24" i="56"/>
  <c r="K24" i="56" s="1"/>
  <c r="M25" i="56"/>
  <c r="N25" i="56"/>
  <c r="O25" i="56"/>
  <c r="P25" i="56"/>
  <c r="P28" i="56" s="1"/>
  <c r="Q25" i="56"/>
  <c r="R25" i="56"/>
  <c r="S25" i="56"/>
  <c r="T25" i="56"/>
  <c r="G26" i="56"/>
  <c r="U26" i="56"/>
  <c r="V26" i="56"/>
  <c r="W26" i="56"/>
  <c r="X26" i="56"/>
  <c r="H26" i="56" s="1"/>
  <c r="Y26" i="56"/>
  <c r="Z26" i="56"/>
  <c r="AA26" i="56"/>
  <c r="AB26" i="56"/>
  <c r="I26" i="56" s="1"/>
  <c r="AC26" i="56"/>
  <c r="AD26" i="56"/>
  <c r="AE26" i="56"/>
  <c r="AF26" i="56"/>
  <c r="J26" i="56" s="1"/>
  <c r="AG26" i="56"/>
  <c r="K26" i="56" s="1"/>
  <c r="C27" i="56"/>
  <c r="D27" i="56"/>
  <c r="E27" i="56"/>
  <c r="F27" i="56"/>
  <c r="G27" i="56"/>
  <c r="U27" i="56"/>
  <c r="V27" i="56"/>
  <c r="W27" i="56"/>
  <c r="X27" i="56"/>
  <c r="H27" i="56" s="1"/>
  <c r="Y27" i="56"/>
  <c r="Z27" i="56"/>
  <c r="AA27" i="56"/>
  <c r="AB27" i="56"/>
  <c r="I27" i="56" s="1"/>
  <c r="AC27" i="56"/>
  <c r="AD27" i="56"/>
  <c r="AE27" i="56"/>
  <c r="AF27" i="56"/>
  <c r="J27" i="56" s="1"/>
  <c r="AG27" i="56"/>
  <c r="K27" i="56" s="1"/>
  <c r="C28" i="56"/>
  <c r="D28" i="56"/>
  <c r="E28" i="56"/>
  <c r="F28" i="56"/>
  <c r="G28" i="56"/>
  <c r="M28" i="56"/>
  <c r="N28" i="56"/>
  <c r="O28" i="56"/>
  <c r="O31" i="56" s="1"/>
  <c r="Q28" i="56"/>
  <c r="R28" i="56"/>
  <c r="U28" i="56"/>
  <c r="V28" i="56"/>
  <c r="W28" i="56"/>
  <c r="X28" i="56"/>
  <c r="H28" i="56" s="1"/>
  <c r="Y28" i="56"/>
  <c r="Z28" i="56"/>
  <c r="AA28" i="56"/>
  <c r="AB28" i="56"/>
  <c r="I28" i="56" s="1"/>
  <c r="AC28" i="56"/>
  <c r="AD28" i="56"/>
  <c r="AE28" i="56"/>
  <c r="AF28" i="56"/>
  <c r="J28" i="56" s="1"/>
  <c r="AG28" i="56"/>
  <c r="M29" i="56"/>
  <c r="O29" i="56"/>
  <c r="C30" i="56"/>
  <c r="D30" i="56"/>
  <c r="E30" i="56"/>
  <c r="F182" i="61" s="1"/>
  <c r="F30" i="56"/>
  <c r="G30" i="56"/>
  <c r="U30" i="56"/>
  <c r="V30" i="56"/>
  <c r="W30" i="56"/>
  <c r="X30" i="56"/>
  <c r="Y30" i="56"/>
  <c r="Z30" i="56"/>
  <c r="AA30" i="56"/>
  <c r="X184" i="61" s="1"/>
  <c r="AB30" i="56"/>
  <c r="AC30" i="56"/>
  <c r="AD30" i="56"/>
  <c r="AE30" i="56"/>
  <c r="AF30" i="56"/>
  <c r="J30" i="56" s="1"/>
  <c r="AG30" i="56"/>
  <c r="M31" i="56"/>
  <c r="AE31" i="56"/>
  <c r="C33" i="56"/>
  <c r="C66" i="56" s="1"/>
  <c r="D33" i="56"/>
  <c r="D66" i="56" s="1"/>
  <c r="E33" i="56"/>
  <c r="E66" i="56" s="1"/>
  <c r="F210" i="61" s="1"/>
  <c r="F33" i="56"/>
  <c r="G33" i="56"/>
  <c r="G66" i="56" s="1"/>
  <c r="U33" i="56"/>
  <c r="U66" i="56" s="1"/>
  <c r="V33" i="56"/>
  <c r="V66" i="56" s="1"/>
  <c r="W33" i="56"/>
  <c r="W66" i="56" s="1"/>
  <c r="X33" i="56"/>
  <c r="H33" i="56" s="1"/>
  <c r="H66" i="56" s="1"/>
  <c r="Y33" i="56"/>
  <c r="Y66" i="56" s="1"/>
  <c r="Z33" i="56"/>
  <c r="Z66" i="56" s="1"/>
  <c r="AA33" i="56"/>
  <c r="AA66" i="56" s="1"/>
  <c r="X234" i="61" s="1"/>
  <c r="AB33" i="56"/>
  <c r="I33" i="56" s="1"/>
  <c r="AC33" i="56"/>
  <c r="AC66" i="56" s="1"/>
  <c r="AD33" i="56"/>
  <c r="AE33" i="56"/>
  <c r="AE66" i="56" s="1"/>
  <c r="AF33" i="56"/>
  <c r="J33" i="56" s="1"/>
  <c r="AG33" i="56"/>
  <c r="C34" i="56"/>
  <c r="D34" i="56"/>
  <c r="E34" i="56"/>
  <c r="F34" i="56"/>
  <c r="G34" i="56"/>
  <c r="U34" i="56"/>
  <c r="V34" i="56"/>
  <c r="W34" i="56"/>
  <c r="X34" i="56"/>
  <c r="U233" i="61" s="1"/>
  <c r="Y34" i="56"/>
  <c r="Z34" i="56"/>
  <c r="AA34" i="56"/>
  <c r="AB34" i="56"/>
  <c r="AC34" i="56"/>
  <c r="AD34" i="56"/>
  <c r="AE34" i="56"/>
  <c r="AB233" i="61" s="1"/>
  <c r="AF34" i="56"/>
  <c r="AG34" i="56"/>
  <c r="C35" i="56"/>
  <c r="D35" i="56"/>
  <c r="E35" i="56"/>
  <c r="F35" i="56"/>
  <c r="G35" i="56"/>
  <c r="U35" i="56"/>
  <c r="V35" i="56"/>
  <c r="W35" i="56"/>
  <c r="X35" i="56"/>
  <c r="H35" i="56" s="1"/>
  <c r="Y35" i="56"/>
  <c r="Z35" i="56"/>
  <c r="AA35" i="56"/>
  <c r="AB35" i="56"/>
  <c r="I35" i="56" s="1"/>
  <c r="AC35" i="56"/>
  <c r="AD35" i="56"/>
  <c r="AE35" i="56"/>
  <c r="AF35" i="56"/>
  <c r="J35" i="56" s="1"/>
  <c r="AG35" i="56"/>
  <c r="K35" i="56" s="1"/>
  <c r="C36" i="56"/>
  <c r="D36" i="56"/>
  <c r="E36" i="56"/>
  <c r="F36" i="56"/>
  <c r="G36" i="56"/>
  <c r="U36" i="56"/>
  <c r="V36" i="56"/>
  <c r="W36" i="56"/>
  <c r="X36" i="56"/>
  <c r="H36" i="56" s="1"/>
  <c r="Y36" i="56"/>
  <c r="Z36" i="56"/>
  <c r="AA36" i="56"/>
  <c r="AB36" i="56"/>
  <c r="I36" i="56" s="1"/>
  <c r="AC36" i="56"/>
  <c r="AD36" i="56"/>
  <c r="AE36" i="56"/>
  <c r="AF36" i="56"/>
  <c r="J36" i="56" s="1"/>
  <c r="AG36" i="56"/>
  <c r="K36" i="56" s="1"/>
  <c r="D37" i="56"/>
  <c r="E37" i="56"/>
  <c r="F37" i="56"/>
  <c r="G37" i="56"/>
  <c r="U37" i="56"/>
  <c r="V37" i="56"/>
  <c r="W37" i="56"/>
  <c r="X37" i="56"/>
  <c r="H37" i="56" s="1"/>
  <c r="Y37" i="56"/>
  <c r="Z37" i="56"/>
  <c r="AA37" i="56"/>
  <c r="AB37" i="56"/>
  <c r="I37" i="56" s="1"/>
  <c r="AC37" i="56"/>
  <c r="AD37" i="56"/>
  <c r="AE37" i="56"/>
  <c r="AF37" i="56"/>
  <c r="J37" i="56" s="1"/>
  <c r="AG37" i="56"/>
  <c r="K37" i="56" s="1"/>
  <c r="AB38" i="56"/>
  <c r="I38" i="56" s="1"/>
  <c r="AF38" i="56"/>
  <c r="AF66" i="56" s="1"/>
  <c r="AG38" i="56"/>
  <c r="K38" i="56" s="1"/>
  <c r="C39" i="56"/>
  <c r="D39" i="56"/>
  <c r="E39" i="56"/>
  <c r="F39" i="56"/>
  <c r="G39" i="56"/>
  <c r="U39" i="56"/>
  <c r="V39" i="56"/>
  <c r="W39" i="56"/>
  <c r="X39" i="56"/>
  <c r="H39" i="56" s="1"/>
  <c r="Y39" i="56"/>
  <c r="Z39" i="56"/>
  <c r="AA39" i="56"/>
  <c r="AB39" i="56"/>
  <c r="I39" i="56" s="1"/>
  <c r="AC39" i="56"/>
  <c r="AD39" i="56"/>
  <c r="AE39" i="56"/>
  <c r="AF39" i="56"/>
  <c r="J39" i="56" s="1"/>
  <c r="AG39" i="56"/>
  <c r="K39" i="56" s="1"/>
  <c r="C40" i="56"/>
  <c r="C41" i="56" s="1"/>
  <c r="D40" i="56"/>
  <c r="E40" i="56"/>
  <c r="F40" i="56"/>
  <c r="G40" i="56"/>
  <c r="U40" i="56"/>
  <c r="R211" i="61" s="1"/>
  <c r="V40" i="56"/>
  <c r="W40" i="56"/>
  <c r="X40" i="56"/>
  <c r="Y40" i="56"/>
  <c r="Z40" i="56"/>
  <c r="AA40" i="56"/>
  <c r="X235" i="61" s="1"/>
  <c r="AB40" i="56"/>
  <c r="I40" i="56" s="1"/>
  <c r="AC40" i="56"/>
  <c r="AD40" i="56"/>
  <c r="AE40" i="56"/>
  <c r="AF40" i="56"/>
  <c r="AC211" i="61" s="1"/>
  <c r="AG40" i="56"/>
  <c r="M41" i="56"/>
  <c r="N41" i="56"/>
  <c r="O41" i="56"/>
  <c r="P41" i="56"/>
  <c r="Q41" i="56"/>
  <c r="R41" i="56"/>
  <c r="S41" i="56"/>
  <c r="T41" i="56"/>
  <c r="C43" i="56"/>
  <c r="D43" i="56"/>
  <c r="D67" i="56" s="1"/>
  <c r="E43" i="56"/>
  <c r="E67" i="56" s="1"/>
  <c r="F43" i="56"/>
  <c r="G43" i="56"/>
  <c r="U43" i="56"/>
  <c r="U67" i="56" s="1"/>
  <c r="V43" i="56"/>
  <c r="V67" i="56" s="1"/>
  <c r="W43" i="56"/>
  <c r="X43" i="56"/>
  <c r="H43" i="56" s="1"/>
  <c r="Y43" i="56"/>
  <c r="Y67" i="56" s="1"/>
  <c r="Z43" i="56"/>
  <c r="Z67" i="56" s="1"/>
  <c r="AA43" i="56"/>
  <c r="AA67" i="56" s="1"/>
  <c r="AB43" i="56"/>
  <c r="I43" i="56" s="1"/>
  <c r="I67" i="56" s="1"/>
  <c r="AC43" i="56"/>
  <c r="AC67" i="56" s="1"/>
  <c r="Z236" i="61" s="1"/>
  <c r="AD43" i="56"/>
  <c r="AD67" i="56" s="1"/>
  <c r="AE43" i="56"/>
  <c r="AF43" i="56"/>
  <c r="J43" i="56" s="1"/>
  <c r="J67" i="56" s="1"/>
  <c r="AG43" i="56"/>
  <c r="K43" i="56" s="1"/>
  <c r="K67" i="56" s="1"/>
  <c r="C44" i="56"/>
  <c r="D44" i="56"/>
  <c r="E44" i="56"/>
  <c r="F44" i="56"/>
  <c r="G44" i="56"/>
  <c r="K44" i="56"/>
  <c r="U44" i="56"/>
  <c r="V44" i="56"/>
  <c r="W44" i="56"/>
  <c r="X44" i="56"/>
  <c r="Y44" i="56"/>
  <c r="Z44" i="56"/>
  <c r="AA44" i="56"/>
  <c r="AB44" i="56"/>
  <c r="I44" i="56" s="1"/>
  <c r="AC44" i="56"/>
  <c r="AD44" i="56"/>
  <c r="AE44" i="56"/>
  <c r="AF44" i="56"/>
  <c r="J44" i="56" s="1"/>
  <c r="AG44" i="56"/>
  <c r="C45" i="56"/>
  <c r="D45" i="56"/>
  <c r="E45" i="56"/>
  <c r="F45" i="56"/>
  <c r="G45" i="56"/>
  <c r="U45" i="56"/>
  <c r="V45" i="56"/>
  <c r="W45" i="56"/>
  <c r="Y45" i="56"/>
  <c r="AB46" i="56"/>
  <c r="I46" i="56" s="1"/>
  <c r="AC46" i="56"/>
  <c r="AD46" i="56"/>
  <c r="AE46" i="56"/>
  <c r="AF46" i="56"/>
  <c r="J46" i="56" s="1"/>
  <c r="AG46" i="56"/>
  <c r="K46" i="56" s="1"/>
  <c r="AB47" i="56"/>
  <c r="I47" i="56" s="1"/>
  <c r="AF47" i="56"/>
  <c r="J47" i="56" s="1"/>
  <c r="AG47" i="56"/>
  <c r="K47" i="56" s="1"/>
  <c r="E48" i="56"/>
  <c r="F48" i="56"/>
  <c r="C49" i="56"/>
  <c r="D49" i="56"/>
  <c r="E49" i="56"/>
  <c r="F49" i="56"/>
  <c r="G49" i="56"/>
  <c r="K49" i="56"/>
  <c r="U49" i="56"/>
  <c r="V49" i="56"/>
  <c r="W49" i="56"/>
  <c r="X49" i="56"/>
  <c r="H49" i="56" s="1"/>
  <c r="Y49" i="56"/>
  <c r="Z49" i="56"/>
  <c r="AA49" i="56"/>
  <c r="AB49" i="56"/>
  <c r="I49" i="56" s="1"/>
  <c r="AC49" i="56"/>
  <c r="AD49" i="56"/>
  <c r="AE49" i="56"/>
  <c r="AF49" i="56"/>
  <c r="J49" i="56" s="1"/>
  <c r="AG49" i="56"/>
  <c r="D50" i="56"/>
  <c r="E50" i="56"/>
  <c r="F50" i="56"/>
  <c r="G50" i="56"/>
  <c r="M50" i="56"/>
  <c r="M51" i="56" s="1"/>
  <c r="N50" i="56"/>
  <c r="O50" i="56"/>
  <c r="P50" i="56"/>
  <c r="Q50" i="56"/>
  <c r="Q51" i="56" s="1"/>
  <c r="R50" i="56"/>
  <c r="S50" i="56"/>
  <c r="T50" i="56"/>
  <c r="U50" i="56"/>
  <c r="V50" i="56"/>
  <c r="W50" i="56"/>
  <c r="W52" i="56" s="1"/>
  <c r="X50" i="56"/>
  <c r="H50" i="56" s="1"/>
  <c r="Y50" i="56"/>
  <c r="Z50" i="56"/>
  <c r="AA50" i="56"/>
  <c r="AA52" i="56" s="1"/>
  <c r="X237" i="61" s="1"/>
  <c r="AB50" i="56"/>
  <c r="I50" i="56" s="1"/>
  <c r="AC50" i="56"/>
  <c r="AD50" i="56"/>
  <c r="AE50" i="56"/>
  <c r="AE52" i="56" s="1"/>
  <c r="AF50" i="56"/>
  <c r="J50" i="56" s="1"/>
  <c r="AG50" i="56"/>
  <c r="O51" i="56"/>
  <c r="P51" i="56"/>
  <c r="S51" i="56"/>
  <c r="T51" i="56"/>
  <c r="E52" i="56"/>
  <c r="F52" i="56"/>
  <c r="G237" i="61" s="1"/>
  <c r="O52" i="56"/>
  <c r="P52" i="56"/>
  <c r="P63" i="56" s="1"/>
  <c r="S52" i="56"/>
  <c r="T52" i="56"/>
  <c r="C53" i="56"/>
  <c r="D53" i="56"/>
  <c r="C55" i="56"/>
  <c r="D55" i="56"/>
  <c r="E55" i="56"/>
  <c r="F55" i="56"/>
  <c r="G240" i="61" s="1"/>
  <c r="G55" i="56"/>
  <c r="U55" i="56"/>
  <c r="V55" i="56"/>
  <c r="W55" i="56"/>
  <c r="T240" i="61" s="1"/>
  <c r="X55" i="56"/>
  <c r="Y55" i="56"/>
  <c r="Z55" i="56"/>
  <c r="AA55" i="56"/>
  <c r="X240" i="61" s="1"/>
  <c r="AB55" i="56"/>
  <c r="AC55" i="56"/>
  <c r="AD55" i="56"/>
  <c r="AE55" i="56"/>
  <c r="AB240" i="61" s="1"/>
  <c r="AF55" i="56"/>
  <c r="AG55" i="56"/>
  <c r="K55" i="56" s="1"/>
  <c r="C56" i="56"/>
  <c r="D56" i="56"/>
  <c r="E217" i="61" s="1"/>
  <c r="E56" i="56"/>
  <c r="F56" i="56"/>
  <c r="G56" i="56"/>
  <c r="U56" i="56"/>
  <c r="V56" i="56"/>
  <c r="W56" i="56"/>
  <c r="X56" i="56"/>
  <c r="Y56" i="56"/>
  <c r="V241" i="61" s="1"/>
  <c r="Z56" i="56"/>
  <c r="AA56" i="56"/>
  <c r="AB56" i="56"/>
  <c r="AC56" i="56"/>
  <c r="AD56" i="56"/>
  <c r="AE56" i="56"/>
  <c r="AF56" i="56"/>
  <c r="AG56" i="56"/>
  <c r="C57" i="56"/>
  <c r="D57" i="56"/>
  <c r="C58" i="56"/>
  <c r="D58" i="56"/>
  <c r="E58" i="56"/>
  <c r="F58" i="56"/>
  <c r="G58" i="56"/>
  <c r="U58" i="56"/>
  <c r="V58" i="56"/>
  <c r="W58" i="56"/>
  <c r="X58" i="56"/>
  <c r="H58" i="56" s="1"/>
  <c r="Y58" i="56"/>
  <c r="Z58" i="56"/>
  <c r="AA58" i="56"/>
  <c r="AB58" i="56"/>
  <c r="I58" i="56" s="1"/>
  <c r="AC58" i="56"/>
  <c r="AD58" i="56"/>
  <c r="AE58" i="56"/>
  <c r="AF58" i="56"/>
  <c r="J58" i="56" s="1"/>
  <c r="AG58" i="56"/>
  <c r="K58" i="56" s="1"/>
  <c r="C59" i="56"/>
  <c r="D59" i="56"/>
  <c r="E59" i="56"/>
  <c r="F59" i="56"/>
  <c r="G59" i="56"/>
  <c r="U59" i="56"/>
  <c r="V59" i="56"/>
  <c r="W59" i="56"/>
  <c r="X59" i="56"/>
  <c r="Y59" i="56"/>
  <c r="Z59" i="56"/>
  <c r="AA59" i="56"/>
  <c r="AB59" i="56"/>
  <c r="I59" i="56" s="1"/>
  <c r="AC59" i="56"/>
  <c r="AD59" i="56"/>
  <c r="AE59" i="56"/>
  <c r="AF59" i="56"/>
  <c r="AC242" i="61" s="1"/>
  <c r="AG59" i="56"/>
  <c r="C60" i="56"/>
  <c r="D60" i="56"/>
  <c r="E60" i="56"/>
  <c r="F60" i="56"/>
  <c r="G243" i="61" s="1"/>
  <c r="G60" i="56"/>
  <c r="U60" i="56"/>
  <c r="V60" i="56"/>
  <c r="W60" i="56"/>
  <c r="X60" i="56"/>
  <c r="Y60" i="56"/>
  <c r="V219" i="61" s="1"/>
  <c r="Z60" i="56"/>
  <c r="AA60" i="56"/>
  <c r="AB60" i="56"/>
  <c r="Y243" i="61" s="1"/>
  <c r="AC60" i="56"/>
  <c r="AD60" i="56"/>
  <c r="AE60" i="56"/>
  <c r="AF60" i="56"/>
  <c r="AC243" i="61" s="1"/>
  <c r="AG60" i="56"/>
  <c r="L13" i="61" s="1"/>
  <c r="M61" i="56"/>
  <c r="N61" i="56"/>
  <c r="O61" i="56"/>
  <c r="P61" i="56"/>
  <c r="Q61" i="56"/>
  <c r="R61" i="56"/>
  <c r="S61" i="56"/>
  <c r="T61" i="56"/>
  <c r="C62" i="56"/>
  <c r="D62" i="56"/>
  <c r="E196" i="61" s="1"/>
  <c r="E62" i="56"/>
  <c r="F62" i="56"/>
  <c r="F64" i="56" s="1"/>
  <c r="G62" i="56"/>
  <c r="U62" i="56"/>
  <c r="V62" i="56"/>
  <c r="S196" i="61" s="1"/>
  <c r="W62" i="56"/>
  <c r="T244" i="61" s="1"/>
  <c r="X62" i="56"/>
  <c r="Y62" i="56"/>
  <c r="Z62" i="56"/>
  <c r="AA62" i="56"/>
  <c r="AB62" i="56"/>
  <c r="Y244" i="61" s="1"/>
  <c r="AC62" i="56"/>
  <c r="AD62" i="56"/>
  <c r="AE62" i="56"/>
  <c r="AE64" i="56" s="1"/>
  <c r="AF62" i="56"/>
  <c r="AC220" i="61" s="1"/>
  <c r="AG62" i="56"/>
  <c r="K62" i="56" s="1"/>
  <c r="O63" i="56"/>
  <c r="S63" i="56"/>
  <c r="T63" i="56"/>
  <c r="M64" i="56"/>
  <c r="N64" i="56"/>
  <c r="O64" i="56"/>
  <c r="P64" i="56"/>
  <c r="Q64" i="56"/>
  <c r="R64" i="56"/>
  <c r="S64" i="56"/>
  <c r="T64" i="56"/>
  <c r="C65" i="56"/>
  <c r="E65" i="56"/>
  <c r="F32" i="61" s="1"/>
  <c r="C4" i="63" s="1"/>
  <c r="M65" i="56"/>
  <c r="N65" i="56"/>
  <c r="O65" i="56"/>
  <c r="P65" i="56"/>
  <c r="Q65" i="56"/>
  <c r="N34" i="61" s="1"/>
  <c r="R65" i="56"/>
  <c r="S65" i="56"/>
  <c r="T65" i="56"/>
  <c r="Z65" i="56"/>
  <c r="AD65" i="56"/>
  <c r="M66" i="56"/>
  <c r="N66" i="56"/>
  <c r="O66" i="56"/>
  <c r="O68" i="56" s="1"/>
  <c r="O69" i="56" s="1"/>
  <c r="O70" i="56" s="1"/>
  <c r="P66" i="56"/>
  <c r="N210" i="61" s="1"/>
  <c r="Q66" i="56"/>
  <c r="N186" i="61" s="1"/>
  <c r="R66" i="56"/>
  <c r="S66" i="56"/>
  <c r="T66" i="56"/>
  <c r="AD66" i="56"/>
  <c r="C67" i="56"/>
  <c r="F67" i="56"/>
  <c r="G67" i="56"/>
  <c r="H67" i="56"/>
  <c r="M67" i="56"/>
  <c r="M68" i="56" s="1"/>
  <c r="M69" i="56" s="1"/>
  <c r="M70" i="56" s="1"/>
  <c r="N67" i="56"/>
  <c r="O67" i="56"/>
  <c r="P67" i="56"/>
  <c r="P68" i="56" s="1"/>
  <c r="Q67" i="56"/>
  <c r="R67" i="56"/>
  <c r="S67" i="56"/>
  <c r="T67" i="56"/>
  <c r="W67" i="56"/>
  <c r="X67" i="56"/>
  <c r="U236" i="61" s="1"/>
  <c r="AB67" i="56"/>
  <c r="AE67" i="56"/>
  <c r="AF67" i="56"/>
  <c r="N68" i="56"/>
  <c r="N69" i="56" s="1"/>
  <c r="S68" i="56"/>
  <c r="T68" i="56"/>
  <c r="P69" i="56"/>
  <c r="P70" i="56" s="1"/>
  <c r="N70" i="56"/>
  <c r="C5" i="55"/>
  <c r="D5" i="55"/>
  <c r="E5" i="55"/>
  <c r="F5" i="55"/>
  <c r="G5" i="55"/>
  <c r="U5" i="55"/>
  <c r="V5" i="55"/>
  <c r="V7" i="55" s="1"/>
  <c r="W5" i="55"/>
  <c r="C6" i="55"/>
  <c r="D6" i="55"/>
  <c r="E6" i="55"/>
  <c r="F6" i="55"/>
  <c r="G6" i="55"/>
  <c r="U6" i="55"/>
  <c r="V6" i="55"/>
  <c r="W6" i="55"/>
  <c r="C7" i="55"/>
  <c r="D7" i="55"/>
  <c r="B2" i="72" s="1"/>
  <c r="E7" i="55"/>
  <c r="C2" i="72" s="1"/>
  <c r="F7" i="55"/>
  <c r="D2" i="72" s="1"/>
  <c r="G7" i="55"/>
  <c r="H7" i="55"/>
  <c r="I7" i="55"/>
  <c r="G2" i="72" s="1"/>
  <c r="J7" i="55"/>
  <c r="H2" i="72" s="1"/>
  <c r="M7" i="55"/>
  <c r="M11" i="55" s="1"/>
  <c r="N7" i="55"/>
  <c r="O7" i="55"/>
  <c r="P7" i="55"/>
  <c r="P11" i="55" s="1"/>
  <c r="Q7" i="55"/>
  <c r="Q11" i="55" s="1"/>
  <c r="R7" i="55"/>
  <c r="S7" i="55"/>
  <c r="T7" i="55"/>
  <c r="T11" i="55" s="1"/>
  <c r="Y7" i="55"/>
  <c r="Z7" i="55"/>
  <c r="AA7" i="55"/>
  <c r="AB7" i="55"/>
  <c r="AC7" i="55"/>
  <c r="AD7" i="55"/>
  <c r="AE7" i="55"/>
  <c r="AF7" i="55"/>
  <c r="AG7" i="55"/>
  <c r="C8" i="55"/>
  <c r="D8" i="55"/>
  <c r="B3" i="72" s="1"/>
  <c r="E8" i="55"/>
  <c r="C3" i="72" s="1"/>
  <c r="F8" i="55"/>
  <c r="D3" i="72" s="1"/>
  <c r="G8" i="55"/>
  <c r="E3" i="72" s="1"/>
  <c r="H8" i="55"/>
  <c r="F3" i="72" s="1"/>
  <c r="I8" i="55"/>
  <c r="G3" i="72" s="1"/>
  <c r="J8" i="55"/>
  <c r="H3" i="72" s="1"/>
  <c r="U8" i="55"/>
  <c r="V8" i="55"/>
  <c r="W8" i="55"/>
  <c r="Y8" i="55"/>
  <c r="Z8" i="55"/>
  <c r="AA8" i="55"/>
  <c r="AB8" i="55"/>
  <c r="AC8" i="55"/>
  <c r="AD8" i="55"/>
  <c r="AE8" i="55"/>
  <c r="AF8" i="55"/>
  <c r="AG8" i="55"/>
  <c r="C9" i="55"/>
  <c r="D9" i="55"/>
  <c r="B4" i="72" s="1"/>
  <c r="E9" i="55"/>
  <c r="C4" i="72" s="1"/>
  <c r="F9" i="55"/>
  <c r="D4" i="72" s="1"/>
  <c r="G9" i="55"/>
  <c r="E4" i="72" s="1"/>
  <c r="H9" i="55"/>
  <c r="I9" i="55"/>
  <c r="G4" i="72" s="1"/>
  <c r="J9" i="55"/>
  <c r="H4" i="72" s="1"/>
  <c r="U9" i="55"/>
  <c r="V9" i="55"/>
  <c r="W9" i="55"/>
  <c r="Y9" i="55"/>
  <c r="Z9" i="55"/>
  <c r="AA9" i="55"/>
  <c r="AB9" i="55"/>
  <c r="AC9" i="55"/>
  <c r="AD9" i="55"/>
  <c r="AE9" i="55"/>
  <c r="AF9" i="55"/>
  <c r="AG9" i="55"/>
  <c r="C10" i="55"/>
  <c r="D10" i="55"/>
  <c r="E10" i="55"/>
  <c r="F10" i="55"/>
  <c r="G10" i="55"/>
  <c r="H10" i="55"/>
  <c r="I10" i="55"/>
  <c r="J10" i="55"/>
  <c r="U10" i="55"/>
  <c r="V10" i="55"/>
  <c r="W10" i="55"/>
  <c r="Y10" i="55"/>
  <c r="Z10" i="55"/>
  <c r="AA10" i="55"/>
  <c r="AB10" i="55"/>
  <c r="AC10" i="55"/>
  <c r="AD10" i="55"/>
  <c r="AE10" i="55"/>
  <c r="AF10" i="55"/>
  <c r="AG10" i="55"/>
  <c r="N11" i="55"/>
  <c r="O11" i="55"/>
  <c r="R11" i="55"/>
  <c r="S11" i="55"/>
  <c r="C13" i="55"/>
  <c r="D13" i="55"/>
  <c r="E13" i="55"/>
  <c r="H13" i="55"/>
  <c r="X13" i="55" s="1"/>
  <c r="I13" i="55"/>
  <c r="J13" i="55"/>
  <c r="AB13" i="55"/>
  <c r="AC13" i="55"/>
  <c r="AF13" i="55"/>
  <c r="K13" i="55" s="1"/>
  <c r="AG13" i="55"/>
  <c r="C14" i="55"/>
  <c r="D14" i="55"/>
  <c r="E14" i="55"/>
  <c r="H14" i="55"/>
  <c r="I14" i="55"/>
  <c r="J14" i="55"/>
  <c r="X14" i="55"/>
  <c r="AB14" i="55"/>
  <c r="AC14" i="55"/>
  <c r="AF14" i="55"/>
  <c r="AG14" i="55"/>
  <c r="K14" i="55" s="1"/>
  <c r="C15" i="55"/>
  <c r="D15" i="55"/>
  <c r="E15" i="55"/>
  <c r="F15" i="55"/>
  <c r="G15" i="55"/>
  <c r="H15" i="55"/>
  <c r="I15" i="55"/>
  <c r="J15" i="55"/>
  <c r="M15" i="55"/>
  <c r="N15" i="55"/>
  <c r="O15" i="55"/>
  <c r="O26" i="55" s="1"/>
  <c r="P15" i="55"/>
  <c r="Q15" i="55"/>
  <c r="R15" i="55"/>
  <c r="R26" i="55" s="1"/>
  <c r="S15" i="55"/>
  <c r="S26" i="55" s="1"/>
  <c r="T15" i="55"/>
  <c r="T26" i="55" s="1"/>
  <c r="U15" i="55"/>
  <c r="V15" i="55"/>
  <c r="W15" i="55"/>
  <c r="Y15" i="55"/>
  <c r="Z15" i="55"/>
  <c r="AA15" i="55"/>
  <c r="AB15" i="55"/>
  <c r="AC15" i="55"/>
  <c r="AD15" i="55"/>
  <c r="AE15" i="55"/>
  <c r="AF15" i="55"/>
  <c r="AG15" i="55"/>
  <c r="C16" i="55"/>
  <c r="D16" i="55"/>
  <c r="E16" i="55"/>
  <c r="F16" i="55"/>
  <c r="G16" i="55"/>
  <c r="H16" i="55"/>
  <c r="I16" i="55"/>
  <c r="J16" i="55"/>
  <c r="T149" i="60" s="1"/>
  <c r="U16" i="55"/>
  <c r="V16" i="55"/>
  <c r="W16" i="55"/>
  <c r="Y16" i="55"/>
  <c r="Z16" i="55"/>
  <c r="AA16" i="55"/>
  <c r="AB16" i="55"/>
  <c r="AC16" i="55"/>
  <c r="AD16" i="55"/>
  <c r="AE16" i="55"/>
  <c r="AF16" i="55"/>
  <c r="D149" i="60" s="1"/>
  <c r="AG16" i="55"/>
  <c r="C17" i="55"/>
  <c r="D17" i="55"/>
  <c r="E17" i="55"/>
  <c r="F17" i="55"/>
  <c r="G17" i="55"/>
  <c r="H17" i="55"/>
  <c r="I17" i="55"/>
  <c r="J17" i="55"/>
  <c r="U17" i="55"/>
  <c r="V17" i="55"/>
  <c r="W17" i="55"/>
  <c r="Y17" i="55"/>
  <c r="Z17" i="55"/>
  <c r="AA17" i="55"/>
  <c r="AB17" i="55"/>
  <c r="AC17" i="55"/>
  <c r="AD17" i="55"/>
  <c r="AE17" i="55"/>
  <c r="AF17" i="55"/>
  <c r="AG17" i="55"/>
  <c r="C18" i="55"/>
  <c r="D18" i="55"/>
  <c r="E18" i="55"/>
  <c r="F18" i="55"/>
  <c r="G18" i="55"/>
  <c r="H18" i="55"/>
  <c r="I18" i="55"/>
  <c r="J18" i="55"/>
  <c r="U18" i="55"/>
  <c r="V18" i="55"/>
  <c r="W18" i="55"/>
  <c r="Y18" i="55"/>
  <c r="Z18" i="55"/>
  <c r="AA18" i="55"/>
  <c r="AB18" i="55"/>
  <c r="AC18" i="55"/>
  <c r="AD18" i="55"/>
  <c r="AE18" i="55"/>
  <c r="AF18" i="55"/>
  <c r="AG18" i="55"/>
  <c r="C19" i="55"/>
  <c r="D19" i="55"/>
  <c r="E19" i="55"/>
  <c r="F19" i="55"/>
  <c r="G19" i="55"/>
  <c r="H19" i="55"/>
  <c r="I19" i="55"/>
  <c r="J19" i="55"/>
  <c r="U19" i="55"/>
  <c r="V19" i="55"/>
  <c r="W19" i="55"/>
  <c r="Y19" i="55"/>
  <c r="Z19" i="55"/>
  <c r="AA19" i="55"/>
  <c r="AB19" i="55"/>
  <c r="AC19" i="55"/>
  <c r="AD19" i="55"/>
  <c r="AE19" i="55"/>
  <c r="AF19" i="55"/>
  <c r="AG19" i="55"/>
  <c r="C20" i="55"/>
  <c r="D20" i="55"/>
  <c r="E20" i="55"/>
  <c r="F20" i="55"/>
  <c r="G20" i="55"/>
  <c r="H20" i="55"/>
  <c r="I20" i="55"/>
  <c r="J20" i="55"/>
  <c r="U20" i="55"/>
  <c r="V20" i="55"/>
  <c r="W20" i="55"/>
  <c r="Y20" i="55"/>
  <c r="Z20" i="55"/>
  <c r="AA20" i="55"/>
  <c r="AB20" i="55"/>
  <c r="AC20" i="55"/>
  <c r="AD20" i="55"/>
  <c r="AE20" i="55"/>
  <c r="AF20" i="55"/>
  <c r="AG20" i="55"/>
  <c r="C21" i="55"/>
  <c r="D21" i="55"/>
  <c r="E21" i="55"/>
  <c r="F21" i="55"/>
  <c r="G21" i="55"/>
  <c r="H21" i="55"/>
  <c r="I21" i="55"/>
  <c r="J21" i="55"/>
  <c r="U21" i="55"/>
  <c r="V21" i="55"/>
  <c r="W21" i="55"/>
  <c r="Y21" i="55"/>
  <c r="Z21" i="55"/>
  <c r="AA21" i="55"/>
  <c r="AB21" i="55"/>
  <c r="AC21" i="55"/>
  <c r="AD21" i="55"/>
  <c r="AE21" i="55"/>
  <c r="AF21" i="55"/>
  <c r="AG21" i="55"/>
  <c r="C22" i="55"/>
  <c r="D22" i="55"/>
  <c r="E22" i="55"/>
  <c r="F22" i="55"/>
  <c r="G22" i="55"/>
  <c r="H22" i="55"/>
  <c r="I22" i="55"/>
  <c r="J22" i="55"/>
  <c r="U22" i="55"/>
  <c r="V22" i="55"/>
  <c r="W22" i="55"/>
  <c r="Y22" i="55"/>
  <c r="Z22" i="55"/>
  <c r="AA22" i="55"/>
  <c r="AB22" i="55"/>
  <c r="AC22" i="55"/>
  <c r="AD22" i="55"/>
  <c r="AE22" i="55"/>
  <c r="AF22" i="55"/>
  <c r="AG22" i="55"/>
  <c r="C23" i="55"/>
  <c r="D23" i="55"/>
  <c r="E23" i="55"/>
  <c r="F23" i="55"/>
  <c r="G23" i="55"/>
  <c r="H23" i="55"/>
  <c r="I23" i="55"/>
  <c r="J23" i="55"/>
  <c r="U23" i="55"/>
  <c r="V23" i="55"/>
  <c r="W23" i="55"/>
  <c r="Y23" i="55"/>
  <c r="Z23" i="55"/>
  <c r="AA23" i="55"/>
  <c r="AB23" i="55"/>
  <c r="AC23" i="55"/>
  <c r="AD23" i="55"/>
  <c r="AE23" i="55"/>
  <c r="AF23" i="55"/>
  <c r="AG23" i="55"/>
  <c r="C24" i="55"/>
  <c r="D24" i="55"/>
  <c r="E24" i="55"/>
  <c r="F24" i="55"/>
  <c r="G24" i="55"/>
  <c r="H24" i="55"/>
  <c r="I24" i="55"/>
  <c r="J24" i="55"/>
  <c r="U24" i="55"/>
  <c r="V24" i="55"/>
  <c r="W24" i="55"/>
  <c r="Y24" i="55"/>
  <c r="Z24" i="55"/>
  <c r="AA24" i="55"/>
  <c r="AB24" i="55"/>
  <c r="AC24" i="55"/>
  <c r="AD24" i="55"/>
  <c r="AE24" i="55"/>
  <c r="AF24" i="55"/>
  <c r="AG24" i="55"/>
  <c r="C25" i="55"/>
  <c r="D25" i="55"/>
  <c r="E25" i="55"/>
  <c r="E26" i="55" s="1"/>
  <c r="F25" i="55"/>
  <c r="G25" i="55"/>
  <c r="H25" i="55"/>
  <c r="I25" i="55"/>
  <c r="I26" i="55" s="1"/>
  <c r="J25" i="55"/>
  <c r="U25" i="55"/>
  <c r="V25" i="55"/>
  <c r="W25" i="55"/>
  <c r="W26" i="55" s="1"/>
  <c r="Y25" i="55"/>
  <c r="Z25" i="55"/>
  <c r="AA25" i="55"/>
  <c r="AB25" i="55"/>
  <c r="AB26" i="55" s="1"/>
  <c r="AC25" i="55"/>
  <c r="AD25" i="55"/>
  <c r="AE25" i="55"/>
  <c r="AF25" i="55"/>
  <c r="AG25" i="55"/>
  <c r="M26" i="55"/>
  <c r="N26" i="55"/>
  <c r="P26" i="55"/>
  <c r="Q26" i="55"/>
  <c r="Z26" i="55"/>
  <c r="C27" i="55"/>
  <c r="D27" i="55"/>
  <c r="D28" i="55" s="1"/>
  <c r="E27" i="55"/>
  <c r="F27" i="55"/>
  <c r="G27" i="55"/>
  <c r="H27" i="55"/>
  <c r="I27" i="55"/>
  <c r="J27" i="55"/>
  <c r="U27" i="55"/>
  <c r="V27" i="55"/>
  <c r="W27" i="55"/>
  <c r="Y27" i="55"/>
  <c r="Z27" i="55"/>
  <c r="AA27" i="55"/>
  <c r="AB27" i="55"/>
  <c r="AC27" i="55"/>
  <c r="AD27" i="55"/>
  <c r="AE27" i="55"/>
  <c r="AF27" i="55"/>
  <c r="AG27" i="55"/>
  <c r="H28" i="55"/>
  <c r="M28" i="55"/>
  <c r="N28" i="55"/>
  <c r="O28" i="55"/>
  <c r="P28" i="55"/>
  <c r="Q28" i="55"/>
  <c r="R28" i="55"/>
  <c r="S28" i="55"/>
  <c r="T28" i="55"/>
  <c r="C30" i="55"/>
  <c r="D30" i="55"/>
  <c r="E30" i="55"/>
  <c r="F30" i="55"/>
  <c r="G30" i="55"/>
  <c r="H30" i="55"/>
  <c r="I30" i="55"/>
  <c r="J30" i="55"/>
  <c r="U30" i="55"/>
  <c r="V30" i="55"/>
  <c r="W30" i="55"/>
  <c r="Y30" i="55"/>
  <c r="Z30" i="55"/>
  <c r="AA30" i="55"/>
  <c r="AB30" i="55"/>
  <c r="AC30" i="55"/>
  <c r="AD30" i="55"/>
  <c r="AE30" i="55"/>
  <c r="AF30" i="55"/>
  <c r="AG30" i="55"/>
  <c r="C31" i="55"/>
  <c r="D31" i="55"/>
  <c r="E31" i="55"/>
  <c r="F31" i="55"/>
  <c r="G31" i="55"/>
  <c r="H31" i="55"/>
  <c r="I31" i="55"/>
  <c r="J31" i="55"/>
  <c r="U31" i="55"/>
  <c r="V31" i="55"/>
  <c r="W31" i="55"/>
  <c r="Y31" i="55"/>
  <c r="Z31" i="55"/>
  <c r="AA31" i="55"/>
  <c r="AB31" i="55"/>
  <c r="AC31" i="55"/>
  <c r="AD31" i="55"/>
  <c r="AE31" i="55"/>
  <c r="AF31" i="55"/>
  <c r="AG31" i="55"/>
  <c r="C32" i="55"/>
  <c r="D32" i="55"/>
  <c r="E32" i="55"/>
  <c r="F32" i="55"/>
  <c r="G32" i="55"/>
  <c r="H32" i="55"/>
  <c r="I32" i="55"/>
  <c r="J32" i="55"/>
  <c r="U32" i="55"/>
  <c r="X32" i="55" s="1"/>
  <c r="V32" i="55"/>
  <c r="W32" i="55"/>
  <c r="Y32" i="55"/>
  <c r="Z32" i="55"/>
  <c r="AA32" i="55"/>
  <c r="AB32" i="55"/>
  <c r="AC32" i="55"/>
  <c r="AD32" i="55"/>
  <c r="AE32" i="55"/>
  <c r="AF32" i="55"/>
  <c r="AG32" i="55"/>
  <c r="C33" i="55"/>
  <c r="D33" i="55"/>
  <c r="E33" i="55"/>
  <c r="E34" i="55" s="1"/>
  <c r="F33" i="55"/>
  <c r="F34" i="55" s="1"/>
  <c r="G33" i="55"/>
  <c r="H33" i="55"/>
  <c r="I33" i="55"/>
  <c r="I34" i="55" s="1"/>
  <c r="J33" i="55"/>
  <c r="U33" i="55"/>
  <c r="U37" i="55" s="1"/>
  <c r="V33" i="55"/>
  <c r="W33" i="55"/>
  <c r="Y33" i="55"/>
  <c r="Z33" i="55"/>
  <c r="AA33" i="55"/>
  <c r="AA34" i="55" s="1"/>
  <c r="AB33" i="55"/>
  <c r="AC33" i="55"/>
  <c r="AD33" i="55"/>
  <c r="AE33" i="55"/>
  <c r="AF33" i="55"/>
  <c r="AG33" i="55"/>
  <c r="AG34" i="55" s="1"/>
  <c r="M34" i="55"/>
  <c r="N34" i="55"/>
  <c r="O34" i="55"/>
  <c r="P34" i="55"/>
  <c r="Q34" i="55"/>
  <c r="R34" i="55"/>
  <c r="S34" i="55"/>
  <c r="T34" i="55"/>
  <c r="W34" i="55"/>
  <c r="AE34" i="55"/>
  <c r="C35" i="55"/>
  <c r="D35" i="55"/>
  <c r="E35" i="55"/>
  <c r="C36" i="55"/>
  <c r="D36" i="55"/>
  <c r="E36" i="55"/>
  <c r="F36" i="55"/>
  <c r="G36" i="55"/>
  <c r="H36" i="55"/>
  <c r="I36" i="55"/>
  <c r="J36" i="55"/>
  <c r="U36" i="55"/>
  <c r="V36" i="55"/>
  <c r="W36" i="55"/>
  <c r="W40" i="55" s="1"/>
  <c r="Y36" i="55"/>
  <c r="Z36" i="55"/>
  <c r="AA36" i="55"/>
  <c r="AB36" i="55"/>
  <c r="AC36" i="55"/>
  <c r="AD36" i="55"/>
  <c r="AE36" i="55"/>
  <c r="AF36" i="55"/>
  <c r="AG36" i="55"/>
  <c r="M37" i="55"/>
  <c r="N37" i="55"/>
  <c r="O37" i="55"/>
  <c r="P37" i="55"/>
  <c r="Q37" i="55"/>
  <c r="R37" i="55"/>
  <c r="S37" i="55"/>
  <c r="T37" i="55"/>
  <c r="C38" i="55"/>
  <c r="D38" i="55"/>
  <c r="E38" i="55"/>
  <c r="F38" i="55"/>
  <c r="G38" i="55"/>
  <c r="H38" i="55"/>
  <c r="I38" i="55"/>
  <c r="J38" i="55"/>
  <c r="U38" i="55"/>
  <c r="V38" i="55"/>
  <c r="W38" i="55"/>
  <c r="Y38" i="55"/>
  <c r="Z38" i="55"/>
  <c r="AA38" i="55"/>
  <c r="AB38" i="55"/>
  <c r="AC38" i="55"/>
  <c r="AD38" i="55"/>
  <c r="AE38" i="55"/>
  <c r="AF38" i="55"/>
  <c r="AG38" i="55"/>
  <c r="C39" i="55"/>
  <c r="D39" i="55"/>
  <c r="E39" i="55"/>
  <c r="F39" i="55"/>
  <c r="G39" i="55"/>
  <c r="H39" i="55"/>
  <c r="I39" i="55"/>
  <c r="J39" i="55"/>
  <c r="U39" i="55"/>
  <c r="V39" i="55"/>
  <c r="W39" i="55"/>
  <c r="Y39" i="55"/>
  <c r="Z39" i="55"/>
  <c r="Z40" i="55" s="1"/>
  <c r="AA39" i="55"/>
  <c r="AB39" i="55"/>
  <c r="AB40" i="55" s="1"/>
  <c r="AC39" i="55"/>
  <c r="AD39" i="55"/>
  <c r="AD40" i="55" s="1"/>
  <c r="AE39" i="55"/>
  <c r="AF39" i="55"/>
  <c r="AF40" i="55" s="1"/>
  <c r="AG39" i="55"/>
  <c r="M40" i="55"/>
  <c r="N40" i="55"/>
  <c r="O40" i="55"/>
  <c r="P40" i="55"/>
  <c r="Q40" i="55"/>
  <c r="R40" i="55"/>
  <c r="S40" i="55"/>
  <c r="T40" i="55"/>
  <c r="C42" i="55"/>
  <c r="D42" i="55"/>
  <c r="E126" i="61" s="1"/>
  <c r="E42" i="55"/>
  <c r="F126" i="61" s="1"/>
  <c r="F42" i="55"/>
  <c r="G126" i="61" s="1"/>
  <c r="G42" i="55"/>
  <c r="H126" i="61" s="1"/>
  <c r="H42" i="55"/>
  <c r="I126" i="61" s="1"/>
  <c r="I42" i="55"/>
  <c r="J126" i="61" s="1"/>
  <c r="J42" i="55"/>
  <c r="K126" i="61" s="1"/>
  <c r="U42" i="55"/>
  <c r="R126" i="61" s="1"/>
  <c r="V42" i="55"/>
  <c r="S126" i="61" s="1"/>
  <c r="W42" i="55"/>
  <c r="T126" i="61" s="1"/>
  <c r="Y42" i="55"/>
  <c r="V126" i="61" s="1"/>
  <c r="Z42" i="55"/>
  <c r="W126" i="61" s="1"/>
  <c r="AA42" i="55"/>
  <c r="X126" i="61" s="1"/>
  <c r="AB42" i="55"/>
  <c r="Y126" i="61" s="1"/>
  <c r="AC42" i="55"/>
  <c r="Z126" i="61" s="1"/>
  <c r="AD42" i="55"/>
  <c r="AA126" i="61" s="1"/>
  <c r="AE42" i="55"/>
  <c r="AB126" i="61" s="1"/>
  <c r="AF42" i="55"/>
  <c r="AC126" i="61" s="1"/>
  <c r="AG42" i="55"/>
  <c r="AD126" i="61" s="1"/>
  <c r="C43" i="55"/>
  <c r="D43" i="55"/>
  <c r="E127" i="61" s="1"/>
  <c r="B2" i="68" s="1"/>
  <c r="E43" i="55"/>
  <c r="F127" i="61" s="1"/>
  <c r="C2" i="68" s="1"/>
  <c r="F43" i="55"/>
  <c r="G43" i="55"/>
  <c r="H127" i="61" s="1"/>
  <c r="E2" i="68" s="1"/>
  <c r="H43" i="55"/>
  <c r="I43" i="55"/>
  <c r="J127" i="61" s="1"/>
  <c r="G2" i="68" s="1"/>
  <c r="J43" i="55"/>
  <c r="K127" i="61" s="1"/>
  <c r="H2" i="68" s="1"/>
  <c r="U43" i="55"/>
  <c r="R127" i="61" s="1"/>
  <c r="V43" i="55"/>
  <c r="S127" i="61" s="1"/>
  <c r="W43" i="55"/>
  <c r="T127" i="61" s="1"/>
  <c r="Y43" i="55"/>
  <c r="Z43" i="55"/>
  <c r="W127" i="61" s="1"/>
  <c r="AA43" i="55"/>
  <c r="X127" i="61" s="1"/>
  <c r="AB43" i="55"/>
  <c r="AC43" i="55"/>
  <c r="Z127" i="61" s="1"/>
  <c r="AD43" i="55"/>
  <c r="AE43" i="55"/>
  <c r="AB127" i="61" s="1"/>
  <c r="AF43" i="55"/>
  <c r="AG43" i="55"/>
  <c r="AD127" i="61" s="1"/>
  <c r="C45" i="55"/>
  <c r="D45" i="55"/>
  <c r="E45" i="55"/>
  <c r="F45" i="55"/>
  <c r="G45" i="55"/>
  <c r="H45" i="55"/>
  <c r="I45" i="55"/>
  <c r="J45" i="55"/>
  <c r="U45" i="55"/>
  <c r="V45" i="55"/>
  <c r="W45" i="55"/>
  <c r="Y45" i="55"/>
  <c r="Z45" i="55"/>
  <c r="AA45" i="55"/>
  <c r="AB45" i="55"/>
  <c r="AC45" i="55"/>
  <c r="AD45" i="55"/>
  <c r="AE45" i="55"/>
  <c r="AF45" i="55"/>
  <c r="AG45" i="55"/>
  <c r="C46" i="55"/>
  <c r="C59" i="57" s="1"/>
  <c r="D46" i="55"/>
  <c r="E46" i="55"/>
  <c r="F46" i="55"/>
  <c r="F18" i="58" s="1"/>
  <c r="G88" i="61" s="1"/>
  <c r="G46" i="55"/>
  <c r="G18" i="58" s="1"/>
  <c r="H46" i="55"/>
  <c r="H18" i="58" s="1"/>
  <c r="I46" i="55"/>
  <c r="I18" i="58" s="1"/>
  <c r="J46" i="55"/>
  <c r="J18" i="58" s="1"/>
  <c r="U46" i="55"/>
  <c r="U18" i="58" s="1"/>
  <c r="V46" i="55"/>
  <c r="V18" i="58" s="1"/>
  <c r="W46" i="55"/>
  <c r="W18" i="58" s="1"/>
  <c r="Y46" i="55"/>
  <c r="Y18" i="58" s="1"/>
  <c r="Z46" i="55"/>
  <c r="Z18" i="58" s="1"/>
  <c r="AA46" i="55"/>
  <c r="AA18" i="58" s="1"/>
  <c r="AB46" i="55"/>
  <c r="AB18" i="58" s="1"/>
  <c r="AC46" i="55"/>
  <c r="AC18" i="58" s="1"/>
  <c r="AD46" i="55"/>
  <c r="AE46" i="55"/>
  <c r="AE18" i="58" s="1"/>
  <c r="AF46" i="55"/>
  <c r="AF18" i="58" s="1"/>
  <c r="AC124" i="61" s="1"/>
  <c r="AG46" i="55"/>
  <c r="AG18" i="58" s="1"/>
  <c r="AB234" i="61" l="1"/>
  <c r="AE68" i="56"/>
  <c r="Y28" i="55"/>
  <c r="W234" i="61"/>
  <c r="S228" i="61"/>
  <c r="E57" i="57"/>
  <c r="F54" i="57"/>
  <c r="L205" i="61"/>
  <c r="H66" i="55"/>
  <c r="X39" i="55"/>
  <c r="AE40" i="55"/>
  <c r="H37" i="55"/>
  <c r="X21" i="55"/>
  <c r="AD232" i="61"/>
  <c r="AE20" i="56"/>
  <c r="H229" i="61"/>
  <c r="AD223" i="61"/>
  <c r="AC65" i="56"/>
  <c r="Y65" i="56"/>
  <c r="R223" i="61"/>
  <c r="D65" i="56"/>
  <c r="X32" i="57"/>
  <c r="H152" i="61"/>
  <c r="V9" i="58"/>
  <c r="V11" i="58" s="1"/>
  <c r="W76" i="59"/>
  <c r="S76" i="59"/>
  <c r="O76" i="59"/>
  <c r="F76" i="59"/>
  <c r="U48" i="59"/>
  <c r="Q48" i="59"/>
  <c r="D48" i="59"/>
  <c r="G212" i="61"/>
  <c r="N7" i="58"/>
  <c r="G52" i="61"/>
  <c r="E209" i="61"/>
  <c r="H18" i="56"/>
  <c r="I205" i="61" s="1"/>
  <c r="C12" i="56"/>
  <c r="I27" i="57"/>
  <c r="D8" i="58"/>
  <c r="V244" i="61"/>
  <c r="T195" i="61"/>
  <c r="V242" i="61"/>
  <c r="R242" i="61"/>
  <c r="E242" i="61"/>
  <c r="Z240" i="61"/>
  <c r="AB52" i="56"/>
  <c r="Z235" i="61"/>
  <c r="F209" i="61"/>
  <c r="G68" i="56"/>
  <c r="H232" i="61"/>
  <c r="H223" i="61"/>
  <c r="Y58" i="57"/>
  <c r="V43" i="61" s="1"/>
  <c r="X48" i="57"/>
  <c r="AB34" i="57"/>
  <c r="R44" i="61"/>
  <c r="O78" i="61"/>
  <c r="N156" i="61"/>
  <c r="X9" i="58"/>
  <c r="N243" i="61"/>
  <c r="AC28" i="55"/>
  <c r="AC210" i="61"/>
  <c r="X42" i="55"/>
  <c r="U126" i="61" s="1"/>
  <c r="AC50" i="61"/>
  <c r="V11" i="55"/>
  <c r="AA234" i="61"/>
  <c r="AG61" i="56"/>
  <c r="F219" i="61"/>
  <c r="H49" i="61"/>
  <c r="AA241" i="61"/>
  <c r="G52" i="56"/>
  <c r="G211" i="61"/>
  <c r="W64" i="56"/>
  <c r="F25" i="56"/>
  <c r="AA20" i="56"/>
  <c r="H182" i="61"/>
  <c r="V204" i="61"/>
  <c r="U20" i="56"/>
  <c r="W12" i="56"/>
  <c r="D57" i="57"/>
  <c r="U57" i="57"/>
  <c r="X51" i="57"/>
  <c r="V69" i="59"/>
  <c r="R69" i="59"/>
  <c r="N69" i="59"/>
  <c r="E69" i="59"/>
  <c r="N231" i="61"/>
  <c r="P226" i="61"/>
  <c r="V199" i="61"/>
  <c r="Z51" i="56"/>
  <c r="Y40" i="55"/>
  <c r="V40" i="55"/>
  <c r="D40" i="55"/>
  <c r="D37" i="55"/>
  <c r="X23" i="55"/>
  <c r="K21" i="55"/>
  <c r="W7" i="55"/>
  <c r="W11" i="55" s="1"/>
  <c r="I236" i="61"/>
  <c r="AB66" i="56"/>
  <c r="F185" i="61"/>
  <c r="AC61" i="56"/>
  <c r="X188" i="61"/>
  <c r="AD41" i="56"/>
  <c r="S140" i="61"/>
  <c r="C29" i="56"/>
  <c r="X179" i="61"/>
  <c r="AC12" i="56"/>
  <c r="J58" i="57"/>
  <c r="K84" i="61" s="1"/>
  <c r="X50" i="57"/>
  <c r="E54" i="57"/>
  <c r="F171" i="61"/>
  <c r="U69" i="59"/>
  <c r="Q69" i="59"/>
  <c r="M69" i="59"/>
  <c r="H69" i="59"/>
  <c r="R55" i="59"/>
  <c r="N55" i="59"/>
  <c r="E55" i="59"/>
  <c r="V48" i="59"/>
  <c r="E48" i="59"/>
  <c r="P233" i="61"/>
  <c r="V193" i="61"/>
  <c r="K82" i="61"/>
  <c r="AG28" i="55"/>
  <c r="D61" i="56"/>
  <c r="V34" i="55"/>
  <c r="X30" i="55"/>
  <c r="H50" i="61"/>
  <c r="AE26" i="55"/>
  <c r="AA26" i="55"/>
  <c r="V28" i="55"/>
  <c r="X19" i="55"/>
  <c r="X17" i="55"/>
  <c r="X15" i="55"/>
  <c r="AG11" i="55"/>
  <c r="U28" i="55"/>
  <c r="H52" i="61"/>
  <c r="C28" i="55"/>
  <c r="H188" i="61"/>
  <c r="E64" i="56"/>
  <c r="H13" i="61"/>
  <c r="E219" i="61"/>
  <c r="W218" i="61"/>
  <c r="AE51" i="56"/>
  <c r="AA51" i="56"/>
  <c r="V211" i="61"/>
  <c r="W41" i="56"/>
  <c r="Y31" i="56"/>
  <c r="AC25" i="56"/>
  <c r="AC29" i="56" s="1"/>
  <c r="U25" i="56"/>
  <c r="R231" i="61" s="1"/>
  <c r="I18" i="56"/>
  <c r="W203" i="61"/>
  <c r="AB202" i="61"/>
  <c r="F58" i="57"/>
  <c r="AF45" i="57"/>
  <c r="W171" i="61"/>
  <c r="S156" i="61"/>
  <c r="F168" i="61"/>
  <c r="J159" i="61"/>
  <c r="U76" i="59"/>
  <c r="Q76" i="59"/>
  <c r="M76" i="59"/>
  <c r="H76" i="59"/>
  <c r="P62" i="59"/>
  <c r="L62" i="59"/>
  <c r="G62" i="59"/>
  <c r="T55" i="59"/>
  <c r="P55" i="59"/>
  <c r="L55" i="59"/>
  <c r="G55" i="59"/>
  <c r="U55" i="59"/>
  <c r="M55" i="59"/>
  <c r="H55" i="59"/>
  <c r="O244" i="61"/>
  <c r="O236" i="61"/>
  <c r="N232" i="61"/>
  <c r="X206" i="61"/>
  <c r="T184" i="61"/>
  <c r="T50" i="61"/>
  <c r="W37" i="55"/>
  <c r="F2" i="72"/>
  <c r="H11" i="55"/>
  <c r="K184" i="61"/>
  <c r="AG26" i="55"/>
  <c r="I52" i="56"/>
  <c r="J237" i="61" s="1"/>
  <c r="C34" i="55"/>
  <c r="F4" i="72"/>
  <c r="X9" i="55"/>
  <c r="AA196" i="61"/>
  <c r="AA220" i="61"/>
  <c r="AB189" i="61"/>
  <c r="AB237" i="61"/>
  <c r="T189" i="61"/>
  <c r="T237" i="61"/>
  <c r="Y50" i="61"/>
  <c r="AB37" i="55"/>
  <c r="U7" i="55"/>
  <c r="U11" i="55" s="1"/>
  <c r="D18" i="58"/>
  <c r="E128" i="61" s="1"/>
  <c r="D59" i="57"/>
  <c r="X45" i="55"/>
  <c r="F40" i="55"/>
  <c r="AF37" i="55"/>
  <c r="AC34" i="55"/>
  <c r="AC37" i="55"/>
  <c r="AB28" i="55"/>
  <c r="D11" i="55"/>
  <c r="AA192" i="61"/>
  <c r="R195" i="61"/>
  <c r="R243" i="61"/>
  <c r="AA218" i="61"/>
  <c r="AA194" i="61"/>
  <c r="AB241" i="61"/>
  <c r="AB217" i="61"/>
  <c r="T217" i="61"/>
  <c r="T241" i="61"/>
  <c r="T185" i="61"/>
  <c r="T209" i="61"/>
  <c r="R234" i="61"/>
  <c r="R186" i="61"/>
  <c r="R210" i="61"/>
  <c r="E207" i="61"/>
  <c r="G180" i="61"/>
  <c r="C17" i="56"/>
  <c r="E115" i="61" s="1"/>
  <c r="F33" i="61"/>
  <c r="C2" i="63" s="1"/>
  <c r="F227" i="61"/>
  <c r="U178" i="61"/>
  <c r="U202" i="61"/>
  <c r="U226" i="61"/>
  <c r="X53" i="57"/>
  <c r="X33" i="57"/>
  <c r="AC54" i="57"/>
  <c r="H25" i="57"/>
  <c r="L180" i="61"/>
  <c r="E40" i="55"/>
  <c r="AA40" i="55"/>
  <c r="K32" i="55"/>
  <c r="K23" i="55"/>
  <c r="K8" i="55"/>
  <c r="W32" i="61"/>
  <c r="R244" i="61"/>
  <c r="R220" i="61"/>
  <c r="R196" i="61"/>
  <c r="K60" i="56"/>
  <c r="L194" i="61"/>
  <c r="G241" i="61"/>
  <c r="G193" i="61"/>
  <c r="L211" i="61"/>
  <c r="AD235" i="61"/>
  <c r="E41" i="56"/>
  <c r="AA185" i="61"/>
  <c r="Y20" i="61"/>
  <c r="Y184" i="61"/>
  <c r="Y208" i="61"/>
  <c r="Y232" i="61"/>
  <c r="AB12" i="56"/>
  <c r="O171" i="61"/>
  <c r="O62" i="61"/>
  <c r="Z12" i="58"/>
  <c r="Z15" i="58" s="1"/>
  <c r="AD243" i="61"/>
  <c r="AA242" i="61"/>
  <c r="L218" i="61"/>
  <c r="V196" i="61"/>
  <c r="F178" i="61"/>
  <c r="H34" i="55"/>
  <c r="AB34" i="55"/>
  <c r="K19" i="55"/>
  <c r="Y52" i="61"/>
  <c r="AB11" i="55"/>
  <c r="AB61" i="56"/>
  <c r="AB131" i="61"/>
  <c r="AB79" i="61" s="1"/>
  <c r="AB195" i="61"/>
  <c r="J60" i="56"/>
  <c r="K243" i="61" s="1"/>
  <c r="K59" i="56"/>
  <c r="F218" i="61"/>
  <c r="F242" i="61"/>
  <c r="L193" i="61"/>
  <c r="AD193" i="61"/>
  <c r="Z241" i="61"/>
  <c r="Z193" i="61"/>
  <c r="X52" i="56"/>
  <c r="U237" i="61" s="1"/>
  <c r="U235" i="61"/>
  <c r="U211" i="61"/>
  <c r="H40" i="56"/>
  <c r="E234" i="61"/>
  <c r="E210" i="61"/>
  <c r="E186" i="61"/>
  <c r="AD25" i="56"/>
  <c r="AD29" i="56" s="1"/>
  <c r="V25" i="56"/>
  <c r="S231" i="61" s="1"/>
  <c r="AD228" i="61"/>
  <c r="AD204" i="61"/>
  <c r="AC199" i="61"/>
  <c r="AC223" i="61"/>
  <c r="U199" i="61"/>
  <c r="H5" i="56"/>
  <c r="J5" i="56"/>
  <c r="K223" i="61" s="1"/>
  <c r="F175" i="61"/>
  <c r="AB66" i="61"/>
  <c r="I55" i="57"/>
  <c r="I57" i="57" s="1"/>
  <c r="X56" i="57"/>
  <c r="Y55" i="57" s="1"/>
  <c r="Y57" i="57" s="1"/>
  <c r="M55" i="57"/>
  <c r="M57" i="57" s="1"/>
  <c r="D41" i="57"/>
  <c r="AF33" i="57"/>
  <c r="K33" i="57" s="1"/>
  <c r="E42" i="61"/>
  <c r="E120" i="61"/>
  <c r="V12" i="58"/>
  <c r="V15" i="58" s="1"/>
  <c r="AD9" i="58"/>
  <c r="AD12" i="58"/>
  <c r="AA170" i="61" s="1"/>
  <c r="W72" i="61"/>
  <c r="Z9" i="58"/>
  <c r="Z11" i="58" s="1"/>
  <c r="S169" i="61"/>
  <c r="O72" i="61"/>
  <c r="R9" i="58"/>
  <c r="R11" i="58" s="1"/>
  <c r="R12" i="58"/>
  <c r="O71" i="61" s="1"/>
  <c r="N9" i="58"/>
  <c r="N11" i="58" s="1"/>
  <c r="N12" i="58"/>
  <c r="N13" i="58" s="1"/>
  <c r="E9" i="58"/>
  <c r="E11" i="58" s="1"/>
  <c r="Z25" i="61"/>
  <c r="R153" i="61"/>
  <c r="R73" i="61"/>
  <c r="N25" i="61"/>
  <c r="O168" i="61"/>
  <c r="AG7" i="58"/>
  <c r="AC7" i="58"/>
  <c r="Q7" i="58"/>
  <c r="M7" i="58"/>
  <c r="AD74" i="61"/>
  <c r="Z110" i="61"/>
  <c r="Z111" i="61" s="1"/>
  <c r="Z159" i="61"/>
  <c r="V144" i="61"/>
  <c r="Y7" i="58"/>
  <c r="V138" i="61"/>
  <c r="V137" i="61"/>
  <c r="T243" i="61"/>
  <c r="L204" i="61"/>
  <c r="V195" i="61"/>
  <c r="G187" i="61"/>
  <c r="U169" i="61"/>
  <c r="W196" i="61"/>
  <c r="W220" i="61"/>
  <c r="Z195" i="61"/>
  <c r="Z219" i="61"/>
  <c r="AA240" i="61"/>
  <c r="AA216" i="61"/>
  <c r="S240" i="61"/>
  <c r="S192" i="61"/>
  <c r="X233" i="61"/>
  <c r="X185" i="61"/>
  <c r="Z232" i="61"/>
  <c r="AC31" i="56"/>
  <c r="G183" i="61"/>
  <c r="G231" i="61"/>
  <c r="J8" i="56"/>
  <c r="K178" i="61" s="1"/>
  <c r="AC202" i="61"/>
  <c r="H8" i="56"/>
  <c r="I202" i="61" s="1"/>
  <c r="D25" i="57"/>
  <c r="I152" i="61"/>
  <c r="H8" i="58"/>
  <c r="I27" i="61" s="1"/>
  <c r="G6" i="62"/>
  <c r="J171" i="61"/>
  <c r="E12" i="58"/>
  <c r="F170" i="61" s="1"/>
  <c r="H243" i="61"/>
  <c r="G235" i="61"/>
  <c r="R219" i="61"/>
  <c r="I40" i="55"/>
  <c r="G34" i="55"/>
  <c r="C11" i="55"/>
  <c r="Z64" i="56"/>
  <c r="AD196" i="61"/>
  <c r="L196" i="61"/>
  <c r="L220" i="61"/>
  <c r="Z244" i="61"/>
  <c r="Z196" i="61"/>
  <c r="F192" i="61"/>
  <c r="F216" i="61"/>
  <c r="E51" i="56"/>
  <c r="Z187" i="61"/>
  <c r="R187" i="61"/>
  <c r="AC184" i="61"/>
  <c r="AC208" i="61"/>
  <c r="U184" i="61"/>
  <c r="U208" i="61"/>
  <c r="U232" i="61"/>
  <c r="H30" i="56"/>
  <c r="I232" i="61" s="1"/>
  <c r="F180" i="61"/>
  <c r="T36" i="61"/>
  <c r="T48" i="61"/>
  <c r="T31" i="61"/>
  <c r="Z40" i="57"/>
  <c r="AA40" i="57" s="1"/>
  <c r="Y54" i="57"/>
  <c r="AB72" i="61"/>
  <c r="AB154" i="61"/>
  <c r="I9" i="58"/>
  <c r="I11" i="58" s="1"/>
  <c r="X33" i="55"/>
  <c r="D34" i="55"/>
  <c r="K30" i="55"/>
  <c r="V26" i="55"/>
  <c r="K17" i="55"/>
  <c r="K15" i="55"/>
  <c r="AC52" i="61"/>
  <c r="K9" i="55"/>
  <c r="AC11" i="55"/>
  <c r="Y11" i="55"/>
  <c r="AG67" i="56"/>
  <c r="Y212" i="61"/>
  <c r="X66" i="56"/>
  <c r="U210" i="61" s="1"/>
  <c r="X64" i="56"/>
  <c r="U49" i="61"/>
  <c r="U218" i="61"/>
  <c r="R193" i="61"/>
  <c r="R217" i="61"/>
  <c r="U192" i="61"/>
  <c r="E216" i="61"/>
  <c r="E192" i="61"/>
  <c r="AF52" i="56"/>
  <c r="AC237" i="61" s="1"/>
  <c r="AF51" i="56"/>
  <c r="J38" i="56"/>
  <c r="J66" i="56" s="1"/>
  <c r="J68" i="56" s="1"/>
  <c r="I30" i="56"/>
  <c r="J117" i="61" s="1"/>
  <c r="G4" i="64" s="1"/>
  <c r="Z25" i="56"/>
  <c r="Z29" i="56" s="1"/>
  <c r="AG25" i="56"/>
  <c r="K23" i="56"/>
  <c r="F20" i="56"/>
  <c r="K45" i="55"/>
  <c r="G40" i="55"/>
  <c r="C40" i="55"/>
  <c r="K38" i="55"/>
  <c r="U40" i="55"/>
  <c r="AC40" i="55"/>
  <c r="J40" i="55"/>
  <c r="AD34" i="55"/>
  <c r="Z34" i="55"/>
  <c r="U34" i="55"/>
  <c r="G37" i="55"/>
  <c r="C37" i="55"/>
  <c r="AD50" i="61"/>
  <c r="J26" i="55"/>
  <c r="F26" i="55"/>
  <c r="K20" i="55"/>
  <c r="X8" i="55"/>
  <c r="AC188" i="61"/>
  <c r="AC9" i="61"/>
  <c r="AC212" i="61"/>
  <c r="G64" i="56"/>
  <c r="H196" i="61"/>
  <c r="H220" i="61"/>
  <c r="C61" i="56"/>
  <c r="AA219" i="61"/>
  <c r="I60" i="56"/>
  <c r="E195" i="61"/>
  <c r="AB218" i="61"/>
  <c r="X49" i="61"/>
  <c r="T242" i="61"/>
  <c r="T194" i="61"/>
  <c r="K56" i="56"/>
  <c r="K61" i="56" s="1"/>
  <c r="E193" i="61"/>
  <c r="E241" i="61"/>
  <c r="Z52" i="56"/>
  <c r="W189" i="61" s="1"/>
  <c r="V52" i="56"/>
  <c r="T213" i="61" s="1"/>
  <c r="I51" i="56"/>
  <c r="W51" i="56"/>
  <c r="X41" i="56"/>
  <c r="H235" i="61"/>
  <c r="H187" i="61"/>
  <c r="H211" i="61"/>
  <c r="I66" i="56"/>
  <c r="J210" i="61" s="1"/>
  <c r="G31" i="56"/>
  <c r="H184" i="61"/>
  <c r="E2" i="67"/>
  <c r="C31" i="56"/>
  <c r="E20" i="56"/>
  <c r="Z229" i="61"/>
  <c r="R181" i="61"/>
  <c r="R178" i="61"/>
  <c r="I5" i="56"/>
  <c r="J175" i="61" s="1"/>
  <c r="D58" i="57"/>
  <c r="E26" i="61" s="1"/>
  <c r="J55" i="57"/>
  <c r="C52" i="57"/>
  <c r="X43" i="57"/>
  <c r="AD40" i="57"/>
  <c r="AE40" i="57" s="1"/>
  <c r="AB33" i="57"/>
  <c r="W44" i="61"/>
  <c r="H35" i="61"/>
  <c r="G58" i="57"/>
  <c r="H121" i="61" s="1"/>
  <c r="C54" i="57"/>
  <c r="R17" i="58"/>
  <c r="O85" i="61" s="1"/>
  <c r="R78" i="61"/>
  <c r="R85" i="61" s="1"/>
  <c r="AD15" i="58"/>
  <c r="I12" i="58"/>
  <c r="AD7" i="58"/>
  <c r="D150" i="60"/>
  <c r="AC232" i="61"/>
  <c r="F220" i="61"/>
  <c r="AB194" i="61"/>
  <c r="T49" i="61"/>
  <c r="AB187" i="61"/>
  <c r="AB235" i="61"/>
  <c r="T187" i="61"/>
  <c r="T235" i="61"/>
  <c r="E185" i="61"/>
  <c r="E233" i="61"/>
  <c r="AE25" i="56"/>
  <c r="AB231" i="61" s="1"/>
  <c r="W25" i="56"/>
  <c r="T231" i="61" s="1"/>
  <c r="E25" i="56"/>
  <c r="F183" i="61" s="1"/>
  <c r="AC205" i="61"/>
  <c r="J18" i="56"/>
  <c r="K205" i="61" s="1"/>
  <c r="G205" i="61"/>
  <c r="G181" i="61"/>
  <c r="J17" i="56"/>
  <c r="AC204" i="61"/>
  <c r="U204" i="61"/>
  <c r="H17" i="56"/>
  <c r="I180" i="61" s="1"/>
  <c r="AG12" i="56"/>
  <c r="AD36" i="61"/>
  <c r="AD203" i="61"/>
  <c r="Z179" i="61"/>
  <c r="V33" i="61"/>
  <c r="V227" i="61"/>
  <c r="V203" i="61"/>
  <c r="R227" i="61"/>
  <c r="H179" i="61"/>
  <c r="E199" i="61"/>
  <c r="G82" i="61"/>
  <c r="G129" i="61"/>
  <c r="D3" i="68" s="1"/>
  <c r="H57" i="57"/>
  <c r="AG52" i="57"/>
  <c r="AB51" i="57"/>
  <c r="G52" i="57"/>
  <c r="J52" i="57"/>
  <c r="F52" i="57"/>
  <c r="AB43" i="57"/>
  <c r="AG41" i="57"/>
  <c r="U41" i="57"/>
  <c r="C41" i="57"/>
  <c r="C27" i="57"/>
  <c r="G152" i="61"/>
  <c r="G167" i="61"/>
  <c r="AD62" i="61"/>
  <c r="AD59" i="61"/>
  <c r="Z138" i="61"/>
  <c r="Z156" i="61"/>
  <c r="Z154" i="61"/>
  <c r="AC144" i="61"/>
  <c r="AC74" i="61"/>
  <c r="AC139" i="61"/>
  <c r="U74" i="61"/>
  <c r="U144" i="61"/>
  <c r="Q223" i="61"/>
  <c r="Q228" i="61"/>
  <c r="Q230" i="61"/>
  <c r="Q115" i="61"/>
  <c r="Q236" i="61"/>
  <c r="Q242" i="61"/>
  <c r="Q237" i="61"/>
  <c r="Q243" i="61"/>
  <c r="G122" i="61"/>
  <c r="G115" i="61"/>
  <c r="P137" i="61"/>
  <c r="P140" i="61"/>
  <c r="P240" i="61"/>
  <c r="Q234" i="61"/>
  <c r="G74" i="61"/>
  <c r="G25" i="56"/>
  <c r="H207" i="61" s="1"/>
  <c r="AB181" i="61"/>
  <c r="Y205" i="61"/>
  <c r="X181" i="61"/>
  <c r="X229" i="61"/>
  <c r="F181" i="61"/>
  <c r="X180" i="61"/>
  <c r="AC48" i="61"/>
  <c r="AC179" i="61"/>
  <c r="U179" i="61"/>
  <c r="J11" i="56"/>
  <c r="G31" i="61"/>
  <c r="D3" i="63" s="1"/>
  <c r="W202" i="61"/>
  <c r="Z175" i="61"/>
  <c r="AF39" i="57"/>
  <c r="F167" i="61"/>
  <c r="K61" i="61"/>
  <c r="H4" i="66" s="1"/>
  <c r="AC169" i="61"/>
  <c r="AB115" i="61"/>
  <c r="AB139" i="61"/>
  <c r="X144" i="61"/>
  <c r="X115" i="61"/>
  <c r="X116" i="61"/>
  <c r="T144" i="61"/>
  <c r="T110" i="61"/>
  <c r="T111" i="61" s="1"/>
  <c r="T116" i="61"/>
  <c r="P144" i="61"/>
  <c r="P74" i="61"/>
  <c r="P117" i="61"/>
  <c r="P122" i="61"/>
  <c r="P115" i="61"/>
  <c r="P227" i="61"/>
  <c r="P230" i="61"/>
  <c r="P235" i="61"/>
  <c r="P237" i="61"/>
  <c r="P243" i="61"/>
  <c r="P244" i="61"/>
  <c r="P223" i="61"/>
  <c r="P241" i="61"/>
  <c r="D69" i="59"/>
  <c r="Q62" i="59"/>
  <c r="Q233" i="61"/>
  <c r="AC228" i="61"/>
  <c r="G179" i="61"/>
  <c r="X110" i="61"/>
  <c r="X111" i="61" s="1"/>
  <c r="AD33" i="61"/>
  <c r="W168" i="61"/>
  <c r="O25" i="61"/>
  <c r="O56" i="61"/>
  <c r="E25" i="61"/>
  <c r="B5" i="65" s="1"/>
  <c r="H7" i="58"/>
  <c r="AA117" i="61"/>
  <c r="I159" i="61"/>
  <c r="D76" i="59"/>
  <c r="W69" i="59"/>
  <c r="S69" i="59"/>
  <c r="O69" i="59"/>
  <c r="F69" i="59"/>
  <c r="R62" i="59"/>
  <c r="N62" i="59"/>
  <c r="E62" i="59"/>
  <c r="M48" i="59"/>
  <c r="H48" i="59"/>
  <c r="Z137" i="61"/>
  <c r="H137" i="61"/>
  <c r="N229" i="61"/>
  <c r="W62" i="59"/>
  <c r="S62" i="59"/>
  <c r="O62" i="59"/>
  <c r="F62" i="59"/>
  <c r="M62" i="59"/>
  <c r="H62" i="59"/>
  <c r="D55" i="59"/>
  <c r="W48" i="59"/>
  <c r="S48" i="59"/>
  <c r="O48" i="59"/>
  <c r="F48" i="59"/>
  <c r="AC137" i="61"/>
  <c r="Y137" i="61"/>
  <c r="G139" i="61"/>
  <c r="T150" i="60"/>
  <c r="N228" i="61"/>
  <c r="N223" i="61"/>
  <c r="J234" i="61"/>
  <c r="K234" i="61"/>
  <c r="W80" i="61"/>
  <c r="W88" i="61"/>
  <c r="W124" i="61"/>
  <c r="W90" i="61"/>
  <c r="W123" i="61"/>
  <c r="W120" i="61"/>
  <c r="AB132" i="61"/>
  <c r="K46" i="55"/>
  <c r="K18" i="58" s="1"/>
  <c r="L132" i="61" s="1"/>
  <c r="AD18" i="58"/>
  <c r="AA125" i="61" s="1"/>
  <c r="R81" i="61"/>
  <c r="R88" i="61"/>
  <c r="R90" i="61"/>
  <c r="R80" i="61"/>
  <c r="R123" i="61"/>
  <c r="K42" i="55"/>
  <c r="L126" i="61" s="1"/>
  <c r="X20" i="55"/>
  <c r="X18" i="55"/>
  <c r="AC26" i="55"/>
  <c r="Y26" i="55"/>
  <c r="AB8" i="61"/>
  <c r="AB10" i="61"/>
  <c r="AB22" i="61"/>
  <c r="AB133" i="61"/>
  <c r="AB93" i="61"/>
  <c r="P10" i="61"/>
  <c r="P8" i="61"/>
  <c r="P22" i="61"/>
  <c r="P40" i="61"/>
  <c r="P133" i="61"/>
  <c r="S69" i="56"/>
  <c r="P93" i="61"/>
  <c r="AD9" i="61"/>
  <c r="AD11" i="61"/>
  <c r="L9" i="61"/>
  <c r="L11" i="61"/>
  <c r="AD188" i="61"/>
  <c r="AD212" i="61"/>
  <c r="L188" i="61"/>
  <c r="AD236" i="61"/>
  <c r="AD51" i="56"/>
  <c r="AD52" i="56"/>
  <c r="V63" i="56"/>
  <c r="R51" i="56"/>
  <c r="R52" i="56"/>
  <c r="N51" i="56"/>
  <c r="N52" i="56"/>
  <c r="N63" i="56" s="1"/>
  <c r="H189" i="61"/>
  <c r="H213" i="61"/>
  <c r="H237" i="61"/>
  <c r="G63" i="56"/>
  <c r="AA9" i="61"/>
  <c r="AA11" i="61"/>
  <c r="AA188" i="61"/>
  <c r="AA212" i="61"/>
  <c r="AB212" i="61"/>
  <c r="AA236" i="61"/>
  <c r="W11" i="61"/>
  <c r="W9" i="61"/>
  <c r="W236" i="61"/>
  <c r="W212" i="61"/>
  <c r="W188" i="61"/>
  <c r="Z68" i="56"/>
  <c r="W40" i="61" s="1"/>
  <c r="S9" i="61"/>
  <c r="S188" i="61"/>
  <c r="V68" i="56"/>
  <c r="S236" i="61"/>
  <c r="S11" i="61"/>
  <c r="S212" i="61"/>
  <c r="I211" i="61"/>
  <c r="D41" i="56"/>
  <c r="E235" i="61"/>
  <c r="E187" i="61"/>
  <c r="E211" i="61"/>
  <c r="L185" i="61"/>
  <c r="L209" i="61"/>
  <c r="AD209" i="61"/>
  <c r="AD233" i="61"/>
  <c r="Z185" i="61"/>
  <c r="AA209" i="61"/>
  <c r="W209" i="61"/>
  <c r="V233" i="61"/>
  <c r="R185" i="61"/>
  <c r="R209" i="61"/>
  <c r="R233" i="61"/>
  <c r="S209" i="61"/>
  <c r="F41" i="56"/>
  <c r="P7" i="61"/>
  <c r="P132" i="61"/>
  <c r="P207" i="61"/>
  <c r="P231" i="61"/>
  <c r="S28" i="56"/>
  <c r="P21" i="61"/>
  <c r="AF20" i="56"/>
  <c r="AC182" i="61"/>
  <c r="AC230" i="61"/>
  <c r="J19" i="56"/>
  <c r="J31" i="56" s="1"/>
  <c r="AC206" i="61"/>
  <c r="I19" i="56"/>
  <c r="AB20" i="56"/>
  <c r="Y206" i="61"/>
  <c r="Y230" i="61"/>
  <c r="U182" i="61"/>
  <c r="U206" i="61"/>
  <c r="X20" i="56"/>
  <c r="H19" i="56"/>
  <c r="X31" i="56"/>
  <c r="H180" i="61"/>
  <c r="H204" i="61"/>
  <c r="H228" i="61"/>
  <c r="E66" i="61"/>
  <c r="E82" i="61"/>
  <c r="E129" i="61"/>
  <c r="B3" i="68" s="1"/>
  <c r="G26" i="61"/>
  <c r="G84" i="61"/>
  <c r="G41" i="61"/>
  <c r="G121" i="61"/>
  <c r="G43" i="61"/>
  <c r="W57" i="57"/>
  <c r="AE53" i="57"/>
  <c r="AE57" i="57" s="1"/>
  <c r="X45" i="57"/>
  <c r="H41" i="57"/>
  <c r="X40" i="57"/>
  <c r="H90" i="61"/>
  <c r="H88" i="61"/>
  <c r="H81" i="61"/>
  <c r="Z71" i="61"/>
  <c r="Z155" i="61"/>
  <c r="AC13" i="58"/>
  <c r="Z58" i="61" s="1"/>
  <c r="F5" i="62"/>
  <c r="I124" i="61"/>
  <c r="I154" i="61"/>
  <c r="I169" i="61"/>
  <c r="I57" i="61"/>
  <c r="B5" i="62"/>
  <c r="E57" i="61"/>
  <c r="E72" i="61"/>
  <c r="D9" i="58"/>
  <c r="D11" i="58" s="1"/>
  <c r="D12" i="58"/>
  <c r="D15" i="58" s="1"/>
  <c r="F169" i="61"/>
  <c r="E154" i="61"/>
  <c r="B3" i="62"/>
  <c r="E83" i="61"/>
  <c r="E130" i="61"/>
  <c r="E27" i="61"/>
  <c r="E151" i="61"/>
  <c r="AC25" i="61"/>
  <c r="AC123" i="61"/>
  <c r="AC65" i="61"/>
  <c r="AC73" i="61"/>
  <c r="AC153" i="61"/>
  <c r="AC56" i="61"/>
  <c r="Y25" i="61"/>
  <c r="Y123" i="61"/>
  <c r="Y168" i="61"/>
  <c r="Y56" i="61"/>
  <c r="Z168" i="61"/>
  <c r="Y73" i="61"/>
  <c r="U56" i="61"/>
  <c r="U65" i="61"/>
  <c r="U73" i="61"/>
  <c r="U153" i="61"/>
  <c r="U168" i="61"/>
  <c r="X11" i="58"/>
  <c r="V168" i="61"/>
  <c r="Q25" i="61"/>
  <c r="Q123" i="61"/>
  <c r="Q56" i="61"/>
  <c r="Q153" i="61"/>
  <c r="Q65" i="61"/>
  <c r="Q73" i="61"/>
  <c r="R168" i="61"/>
  <c r="K6" i="58"/>
  <c r="H25" i="61"/>
  <c r="E5" i="65" s="1"/>
  <c r="H123" i="61"/>
  <c r="H56" i="61"/>
  <c r="E2" i="66" s="1"/>
  <c r="H168" i="61"/>
  <c r="H65" i="61"/>
  <c r="H73" i="61"/>
  <c r="G8" i="58"/>
  <c r="I168" i="61"/>
  <c r="K137" i="61"/>
  <c r="K139" i="61"/>
  <c r="U230" i="61"/>
  <c r="T212" i="61"/>
  <c r="S189" i="61"/>
  <c r="V185" i="61"/>
  <c r="H125" i="61"/>
  <c r="E124" i="61"/>
  <c r="Z90" i="61"/>
  <c r="Z88" i="61"/>
  <c r="Z80" i="61"/>
  <c r="AG40" i="55"/>
  <c r="AG37" i="55"/>
  <c r="AB50" i="61"/>
  <c r="AE37" i="55"/>
  <c r="X50" i="61"/>
  <c r="AA37" i="55"/>
  <c r="V37" i="55"/>
  <c r="S50" i="61"/>
  <c r="T52" i="61"/>
  <c r="W28" i="55"/>
  <c r="X10" i="55"/>
  <c r="I11" i="55"/>
  <c r="F52" i="61"/>
  <c r="E11" i="55"/>
  <c r="E28" i="55"/>
  <c r="AD68" i="56"/>
  <c r="R188" i="61"/>
  <c r="R9" i="61"/>
  <c r="R212" i="61"/>
  <c r="U68" i="56"/>
  <c r="R7" i="61" s="1"/>
  <c r="R236" i="61"/>
  <c r="R11" i="61"/>
  <c r="N9" i="61"/>
  <c r="N39" i="61"/>
  <c r="N188" i="61"/>
  <c r="N212" i="61"/>
  <c r="Q68" i="56"/>
  <c r="N11" i="61"/>
  <c r="N236" i="61"/>
  <c r="T186" i="61"/>
  <c r="T210" i="61"/>
  <c r="T234" i="61"/>
  <c r="W68" i="56"/>
  <c r="T7" i="61" s="1"/>
  <c r="F186" i="61"/>
  <c r="E68" i="56"/>
  <c r="Q32" i="61"/>
  <c r="Q34" i="61"/>
  <c r="Q94" i="61"/>
  <c r="Q128" i="61"/>
  <c r="E34" i="61"/>
  <c r="E32" i="61"/>
  <c r="B4" i="63" s="1"/>
  <c r="E94" i="61"/>
  <c r="AD220" i="61"/>
  <c r="AF64" i="56"/>
  <c r="AC244" i="61"/>
  <c r="J62" i="56"/>
  <c r="Y196" i="61"/>
  <c r="Y220" i="61"/>
  <c r="I62" i="56"/>
  <c r="J194" i="61" s="1"/>
  <c r="Z220" i="61"/>
  <c r="AB64" i="56"/>
  <c r="H62" i="56"/>
  <c r="U220" i="61"/>
  <c r="V220" i="61"/>
  <c r="AA13" i="61"/>
  <c r="AA243" i="61"/>
  <c r="AD61" i="56"/>
  <c r="W13" i="61"/>
  <c r="W243" i="61"/>
  <c r="W131" i="61"/>
  <c r="W79" i="61" s="1"/>
  <c r="W195" i="61"/>
  <c r="W62" i="61"/>
  <c r="Z61" i="56"/>
  <c r="W219" i="61"/>
  <c r="S13" i="61"/>
  <c r="S195" i="61"/>
  <c r="S243" i="61"/>
  <c r="S219" i="61"/>
  <c r="G4" i="67"/>
  <c r="J243" i="61"/>
  <c r="J131" i="61"/>
  <c r="J79" i="61" s="1"/>
  <c r="G4" i="69" s="1"/>
  <c r="J242" i="61"/>
  <c r="AC193" i="61"/>
  <c r="AC241" i="61"/>
  <c r="AC217" i="61"/>
  <c r="AD217" i="61"/>
  <c r="Y241" i="61"/>
  <c r="Y193" i="61"/>
  <c r="Y217" i="61"/>
  <c r="I56" i="56"/>
  <c r="U241" i="61"/>
  <c r="H56" i="56"/>
  <c r="V217" i="61"/>
  <c r="F193" i="61"/>
  <c r="F217" i="61"/>
  <c r="F241" i="61"/>
  <c r="AC192" i="61"/>
  <c r="J55" i="56"/>
  <c r="AC216" i="61"/>
  <c r="AF61" i="56"/>
  <c r="AC240" i="61"/>
  <c r="Y192" i="61"/>
  <c r="Y216" i="61"/>
  <c r="I55" i="56"/>
  <c r="U240" i="61"/>
  <c r="H55" i="56"/>
  <c r="X61" i="56"/>
  <c r="AC213" i="61"/>
  <c r="U213" i="61"/>
  <c r="F189" i="61"/>
  <c r="F237" i="61"/>
  <c r="G213" i="61"/>
  <c r="V51" i="56"/>
  <c r="AA187" i="61"/>
  <c r="AA211" i="61"/>
  <c r="AA235" i="61"/>
  <c r="W187" i="61"/>
  <c r="W211" i="61"/>
  <c r="Z41" i="56"/>
  <c r="W235" i="61"/>
  <c r="S187" i="61"/>
  <c r="S211" i="61"/>
  <c r="T211" i="61"/>
  <c r="V41" i="56"/>
  <c r="AA41" i="56"/>
  <c r="AC185" i="61"/>
  <c r="AC209" i="61"/>
  <c r="AC233" i="61"/>
  <c r="AF41" i="56"/>
  <c r="J34" i="56"/>
  <c r="Y185" i="61"/>
  <c r="Y209" i="61"/>
  <c r="I34" i="56"/>
  <c r="Y233" i="61"/>
  <c r="AB41" i="56"/>
  <c r="U185" i="61"/>
  <c r="U209" i="61"/>
  <c r="H34" i="56"/>
  <c r="K34" i="56"/>
  <c r="AA20" i="61"/>
  <c r="AB75" i="61"/>
  <c r="AD31" i="56"/>
  <c r="AA140" i="61"/>
  <c r="AA178" i="61"/>
  <c r="AA232" i="61"/>
  <c r="AA184" i="61"/>
  <c r="AA49" i="61"/>
  <c r="AA61" i="61"/>
  <c r="AD64" i="56"/>
  <c r="W20" i="61"/>
  <c r="W140" i="61"/>
  <c r="W184" i="61"/>
  <c r="Z31" i="56"/>
  <c r="X117" i="61"/>
  <c r="X74" i="61"/>
  <c r="W208" i="61"/>
  <c r="W180" i="61"/>
  <c r="W182" i="61"/>
  <c r="X208" i="61"/>
  <c r="W232" i="61"/>
  <c r="X75" i="61"/>
  <c r="W175" i="61"/>
  <c r="V31" i="56"/>
  <c r="S20" i="61"/>
  <c r="T74" i="61"/>
  <c r="T75" i="61"/>
  <c r="S184" i="61"/>
  <c r="V64" i="56"/>
  <c r="S61" i="61"/>
  <c r="S208" i="61"/>
  <c r="T117" i="61"/>
  <c r="S180" i="61"/>
  <c r="S182" i="61"/>
  <c r="T208" i="61"/>
  <c r="S232" i="61"/>
  <c r="T65" i="61"/>
  <c r="I184" i="61"/>
  <c r="I208" i="61"/>
  <c r="I50" i="61"/>
  <c r="I140" i="61"/>
  <c r="B2" i="67"/>
  <c r="E184" i="61"/>
  <c r="F75" i="61"/>
  <c r="E132" i="61"/>
  <c r="E208" i="61"/>
  <c r="D64" i="56"/>
  <c r="E13" i="61"/>
  <c r="E20" i="61"/>
  <c r="B4" i="65" s="1"/>
  <c r="E140" i="61"/>
  <c r="E232" i="61"/>
  <c r="D31" i="56"/>
  <c r="E52" i="61"/>
  <c r="F65" i="61"/>
  <c r="E175" i="61"/>
  <c r="F61" i="61"/>
  <c r="C4" i="66" s="1"/>
  <c r="E183" i="61"/>
  <c r="E231" i="61"/>
  <c r="T183" i="61"/>
  <c r="AF25" i="56"/>
  <c r="AC21" i="61" s="1"/>
  <c r="J23" i="56"/>
  <c r="I23" i="56"/>
  <c r="AB25" i="56"/>
  <c r="G20" i="56"/>
  <c r="H206" i="61"/>
  <c r="H230" i="61"/>
  <c r="AA205" i="61"/>
  <c r="AA229" i="61"/>
  <c r="AB205" i="61"/>
  <c r="AD20" i="56"/>
  <c r="AA181" i="61"/>
  <c r="W205" i="61"/>
  <c r="W229" i="61"/>
  <c r="W181" i="61"/>
  <c r="S205" i="61"/>
  <c r="S229" i="61"/>
  <c r="T205" i="61"/>
  <c r="V20" i="56"/>
  <c r="E181" i="61"/>
  <c r="E229" i="61"/>
  <c r="AA48" i="61"/>
  <c r="AA33" i="61"/>
  <c r="AA179" i="61"/>
  <c r="AD12" i="56"/>
  <c r="AA31" i="61"/>
  <c r="AA36" i="61"/>
  <c r="AA203" i="61"/>
  <c r="AA67" i="61"/>
  <c r="W36" i="61"/>
  <c r="W48" i="61"/>
  <c r="W31" i="61"/>
  <c r="W179" i="61"/>
  <c r="Z12" i="56"/>
  <c r="W67" i="61"/>
  <c r="W33" i="61"/>
  <c r="W227" i="61"/>
  <c r="S31" i="61"/>
  <c r="S48" i="61"/>
  <c r="S33" i="61"/>
  <c r="S179" i="61"/>
  <c r="V12" i="56"/>
  <c r="S36" i="61"/>
  <c r="S227" i="61"/>
  <c r="S203" i="61"/>
  <c r="I31" i="61"/>
  <c r="F3" i="63" s="1"/>
  <c r="I179" i="61"/>
  <c r="I227" i="61"/>
  <c r="I36" i="61"/>
  <c r="E31" i="61"/>
  <c r="B3" i="63" s="1"/>
  <c r="E33" i="61"/>
  <c r="B2" i="63" s="1"/>
  <c r="E36" i="61"/>
  <c r="E203" i="61"/>
  <c r="E48" i="61"/>
  <c r="E179" i="61"/>
  <c r="D12" i="56"/>
  <c r="I226" i="61"/>
  <c r="E202" i="61"/>
  <c r="E226" i="61"/>
  <c r="F202" i="61"/>
  <c r="AF65" i="56"/>
  <c r="AF12" i="56"/>
  <c r="I6" i="56"/>
  <c r="AB65" i="56"/>
  <c r="H6" i="56"/>
  <c r="X12" i="56"/>
  <c r="F65" i="56"/>
  <c r="G175" i="61"/>
  <c r="F12" i="56"/>
  <c r="G199" i="61"/>
  <c r="G223" i="61"/>
  <c r="X129" i="61"/>
  <c r="X66" i="61"/>
  <c r="S129" i="61"/>
  <c r="S66" i="61"/>
  <c r="O129" i="61"/>
  <c r="O66" i="61"/>
  <c r="R82" i="61"/>
  <c r="I82" i="61"/>
  <c r="I129" i="61"/>
  <c r="F3" i="68" s="1"/>
  <c r="X59" i="57"/>
  <c r="V82" i="61" s="1"/>
  <c r="I66" i="61"/>
  <c r="Q41" i="61"/>
  <c r="Q121" i="61"/>
  <c r="Q43" i="61"/>
  <c r="Q26" i="61"/>
  <c r="E43" i="61"/>
  <c r="AF53" i="57"/>
  <c r="AF57" i="57" s="1"/>
  <c r="AC57" i="57"/>
  <c r="V52" i="57"/>
  <c r="AC52" i="57"/>
  <c r="AD51" i="57"/>
  <c r="E52" i="57"/>
  <c r="AF50" i="57"/>
  <c r="K50" i="57" s="1"/>
  <c r="X49" i="57"/>
  <c r="AB48" i="57"/>
  <c r="AD43" i="57"/>
  <c r="AD32" i="57"/>
  <c r="Z35" i="61"/>
  <c r="Z44" i="61"/>
  <c r="Z120" i="61"/>
  <c r="AD26" i="57"/>
  <c r="Z39" i="61"/>
  <c r="J42" i="61"/>
  <c r="J44" i="61"/>
  <c r="J81" i="61"/>
  <c r="I58" i="57"/>
  <c r="J39" i="61"/>
  <c r="J120" i="61"/>
  <c r="J35" i="61"/>
  <c r="F40" i="61"/>
  <c r="F42" i="61"/>
  <c r="E58" i="57"/>
  <c r="F35" i="61"/>
  <c r="F44" i="61"/>
  <c r="E27" i="57"/>
  <c r="F39" i="61"/>
  <c r="G25" i="57"/>
  <c r="J25" i="57"/>
  <c r="J27" i="57"/>
  <c r="F25" i="57"/>
  <c r="F27" i="57"/>
  <c r="K152" i="61"/>
  <c r="K167" i="61"/>
  <c r="AD90" i="61"/>
  <c r="AD80" i="61"/>
  <c r="AD125" i="61"/>
  <c r="O80" i="61"/>
  <c r="O88" i="61"/>
  <c r="O131" i="61"/>
  <c r="O79" i="61" s="1"/>
  <c r="O120" i="61"/>
  <c r="O84" i="61"/>
  <c r="O123" i="61"/>
  <c r="O81" i="61"/>
  <c r="O90" i="61"/>
  <c r="O132" i="61"/>
  <c r="AC62" i="61"/>
  <c r="AC156" i="61"/>
  <c r="AC61" i="61"/>
  <c r="AC67" i="61"/>
  <c r="AC171" i="61"/>
  <c r="AC59" i="61"/>
  <c r="AC125" i="61"/>
  <c r="AC138" i="61"/>
  <c r="Y62" i="61"/>
  <c r="Y61" i="61"/>
  <c r="Y67" i="61"/>
  <c r="Y156" i="61"/>
  <c r="Y138" i="61"/>
  <c r="Y59" i="61"/>
  <c r="Y125" i="61"/>
  <c r="Y171" i="61"/>
  <c r="U62" i="61"/>
  <c r="U59" i="61"/>
  <c r="U156" i="61"/>
  <c r="U67" i="61"/>
  <c r="U138" i="61"/>
  <c r="U171" i="61"/>
  <c r="U61" i="61"/>
  <c r="Q62" i="61"/>
  <c r="Q156" i="61"/>
  <c r="Q125" i="61"/>
  <c r="Q61" i="61"/>
  <c r="Q67" i="61"/>
  <c r="K14" i="58"/>
  <c r="E6" i="62"/>
  <c r="H62" i="61"/>
  <c r="H61" i="61"/>
  <c r="E4" i="66" s="1"/>
  <c r="H67" i="61"/>
  <c r="H156" i="61"/>
  <c r="H138" i="61"/>
  <c r="H59" i="61"/>
  <c r="E3" i="66" s="1"/>
  <c r="H12" i="58"/>
  <c r="AD72" i="61"/>
  <c r="AD57" i="61"/>
  <c r="AD124" i="61"/>
  <c r="AD154" i="61"/>
  <c r="AD169" i="61"/>
  <c r="AG9" i="58"/>
  <c r="AG11" i="58" s="1"/>
  <c r="AG12" i="58"/>
  <c r="AG15" i="58" s="1"/>
  <c r="Z72" i="61"/>
  <c r="Z124" i="61"/>
  <c r="AC15" i="58"/>
  <c r="Z57" i="61"/>
  <c r="Z169" i="61"/>
  <c r="AC9" i="58"/>
  <c r="AC11" i="58" s="1"/>
  <c r="V169" i="61"/>
  <c r="V57" i="61"/>
  <c r="V154" i="61"/>
  <c r="W169" i="61"/>
  <c r="V72" i="61"/>
  <c r="V124" i="61"/>
  <c r="R57" i="61"/>
  <c r="R72" i="61"/>
  <c r="R154" i="61"/>
  <c r="U9" i="58"/>
  <c r="U11" i="58" s="1"/>
  <c r="U12" i="58"/>
  <c r="U15" i="58" s="1"/>
  <c r="R124" i="61"/>
  <c r="R169" i="61"/>
  <c r="N72" i="61"/>
  <c r="N57" i="61"/>
  <c r="O169" i="61"/>
  <c r="Q9" i="58"/>
  <c r="Q11" i="58" s="1"/>
  <c r="Q12" i="58"/>
  <c r="Q15" i="58" s="1"/>
  <c r="M9" i="58"/>
  <c r="M11" i="58" s="1"/>
  <c r="AD11" i="58"/>
  <c r="T137" i="61"/>
  <c r="U137" i="61"/>
  <c r="U244" i="61"/>
  <c r="I235" i="61"/>
  <c r="F234" i="61"/>
  <c r="F231" i="61"/>
  <c r="E227" i="61"/>
  <c r="L217" i="61"/>
  <c r="V216" i="61"/>
  <c r="O212" i="61"/>
  <c r="AA208" i="61"/>
  <c r="AD185" i="61"/>
  <c r="AA182" i="61"/>
  <c r="E178" i="61"/>
  <c r="H171" i="61"/>
  <c r="N169" i="61"/>
  <c r="Q168" i="61"/>
  <c r="W132" i="61"/>
  <c r="S131" i="61"/>
  <c r="S79" i="61" s="1"/>
  <c r="Z123" i="61"/>
  <c r="F2" i="67"/>
  <c r="T81" i="61"/>
  <c r="T88" i="61"/>
  <c r="T90" i="61"/>
  <c r="T122" i="61"/>
  <c r="T80" i="61"/>
  <c r="J88" i="61"/>
  <c r="J90" i="61"/>
  <c r="J124" i="61"/>
  <c r="E18" i="58"/>
  <c r="E59" i="57"/>
  <c r="K43" i="55"/>
  <c r="L127" i="61" s="1"/>
  <c r="AA127" i="61"/>
  <c r="AF34" i="55"/>
  <c r="K33" i="55"/>
  <c r="X31" i="55"/>
  <c r="K31" i="55"/>
  <c r="AD37" i="55"/>
  <c r="K27" i="55"/>
  <c r="AA50" i="61"/>
  <c r="W50" i="61"/>
  <c r="Z37" i="55"/>
  <c r="X24" i="55"/>
  <c r="X22" i="55"/>
  <c r="X16" i="55"/>
  <c r="H26" i="55"/>
  <c r="D26" i="55"/>
  <c r="AB52" i="61"/>
  <c r="AE11" i="55"/>
  <c r="AE28" i="55"/>
  <c r="AA11" i="55"/>
  <c r="AA28" i="55"/>
  <c r="X52" i="61"/>
  <c r="S52" i="61"/>
  <c r="V11" i="61"/>
  <c r="V9" i="61"/>
  <c r="V188" i="61"/>
  <c r="V212" i="61"/>
  <c r="Y68" i="56"/>
  <c r="I9" i="61"/>
  <c r="I212" i="61"/>
  <c r="H68" i="56"/>
  <c r="I28" i="61" s="1"/>
  <c r="E9" i="61"/>
  <c r="E188" i="61"/>
  <c r="E212" i="61"/>
  <c r="D68" i="56"/>
  <c r="E40" i="61" s="1"/>
  <c r="F212" i="61"/>
  <c r="E11" i="61"/>
  <c r="E236" i="61"/>
  <c r="Y186" i="61"/>
  <c r="Y210" i="61"/>
  <c r="Y234" i="61"/>
  <c r="AB68" i="56"/>
  <c r="V34" i="61"/>
  <c r="V94" i="61"/>
  <c r="V32" i="61"/>
  <c r="V128" i="61"/>
  <c r="V61" i="56"/>
  <c r="X193" i="61"/>
  <c r="X217" i="61"/>
  <c r="X241" i="61"/>
  <c r="J56" i="56"/>
  <c r="H192" i="61"/>
  <c r="H216" i="61"/>
  <c r="G61" i="56"/>
  <c r="J11" i="61"/>
  <c r="J212" i="61"/>
  <c r="H185" i="61"/>
  <c r="H209" i="61"/>
  <c r="H233" i="61"/>
  <c r="G41" i="56"/>
  <c r="W186" i="61"/>
  <c r="W210" i="61"/>
  <c r="S186" i="61"/>
  <c r="S210" i="61"/>
  <c r="S234" i="61"/>
  <c r="I234" i="61"/>
  <c r="I210" i="61"/>
  <c r="X25" i="56"/>
  <c r="AA25" i="56"/>
  <c r="H7" i="61"/>
  <c r="AF31" i="56"/>
  <c r="J21" i="56"/>
  <c r="Z20" i="56"/>
  <c r="H178" i="61"/>
  <c r="G12" i="56"/>
  <c r="H202" i="61"/>
  <c r="H226" i="61"/>
  <c r="J6" i="56"/>
  <c r="AC58" i="57"/>
  <c r="P26" i="61"/>
  <c r="P41" i="61"/>
  <c r="P121" i="61"/>
  <c r="P43" i="61"/>
  <c r="K41" i="61"/>
  <c r="I52" i="57"/>
  <c r="W52" i="57"/>
  <c r="Z50" i="57"/>
  <c r="AA50" i="57" s="1"/>
  <c r="AE48" i="57"/>
  <c r="AF48" i="57" s="1"/>
  <c r="V41" i="57"/>
  <c r="Z32" i="57"/>
  <c r="G41" i="57"/>
  <c r="X29" i="57"/>
  <c r="H58" i="57"/>
  <c r="F2" i="70"/>
  <c r="G27" i="57"/>
  <c r="S39" i="61"/>
  <c r="S42" i="61"/>
  <c r="S35" i="61"/>
  <c r="S44" i="61"/>
  <c r="S120" i="61"/>
  <c r="W26" i="57"/>
  <c r="V54" i="57"/>
  <c r="V58" i="57"/>
  <c r="C25" i="57"/>
  <c r="I25" i="57"/>
  <c r="E25" i="57"/>
  <c r="J152" i="61"/>
  <c r="J167" i="61"/>
  <c r="F152" i="61"/>
  <c r="E8" i="58"/>
  <c r="AC88" i="61"/>
  <c r="AC80" i="61"/>
  <c r="AC90" i="61"/>
  <c r="AC122" i="61"/>
  <c r="S80" i="61"/>
  <c r="S88" i="61"/>
  <c r="S81" i="61"/>
  <c r="S90" i="61"/>
  <c r="AA17" i="58"/>
  <c r="AA78" i="61"/>
  <c r="W78" i="61"/>
  <c r="W17" i="58"/>
  <c r="S78" i="61"/>
  <c r="S17" i="58"/>
  <c r="J78" i="61"/>
  <c r="I17" i="58"/>
  <c r="J17" i="58"/>
  <c r="K85" i="61" s="1"/>
  <c r="R15" i="58"/>
  <c r="AB67" i="61"/>
  <c r="AB59" i="61"/>
  <c r="AB125" i="61"/>
  <c r="AB62" i="61"/>
  <c r="AB63" i="61" s="1"/>
  <c r="AB61" i="61"/>
  <c r="AB138" i="61"/>
  <c r="AE12" i="58"/>
  <c r="AB171" i="61"/>
  <c r="AB156" i="61"/>
  <c r="X67" i="61"/>
  <c r="X171" i="61"/>
  <c r="X61" i="61"/>
  <c r="X59" i="61"/>
  <c r="X156" i="61"/>
  <c r="AA12" i="58"/>
  <c r="X62" i="61"/>
  <c r="X138" i="61"/>
  <c r="T67" i="61"/>
  <c r="T61" i="61"/>
  <c r="T59" i="61"/>
  <c r="T138" i="61"/>
  <c r="T62" i="61"/>
  <c r="T125" i="61"/>
  <c r="T171" i="61"/>
  <c r="P67" i="61"/>
  <c r="P59" i="61"/>
  <c r="P62" i="61"/>
  <c r="P63" i="61" s="1"/>
  <c r="P61" i="61"/>
  <c r="P156" i="61"/>
  <c r="P138" i="61"/>
  <c r="P125" i="61"/>
  <c r="P171" i="61"/>
  <c r="S12" i="58"/>
  <c r="O13" i="58"/>
  <c r="O15" i="58"/>
  <c r="H6" i="62"/>
  <c r="K125" i="61"/>
  <c r="K171" i="61"/>
  <c r="J12" i="58"/>
  <c r="K156" i="61"/>
  <c r="K59" i="61"/>
  <c r="H3" i="66" s="1"/>
  <c r="D6" i="62"/>
  <c r="G67" i="61"/>
  <c r="G61" i="61"/>
  <c r="D4" i="66" s="1"/>
  <c r="G171" i="61"/>
  <c r="G59" i="61"/>
  <c r="D3" i="66" s="1"/>
  <c r="G156" i="61"/>
  <c r="G62" i="61"/>
  <c r="G125" i="61"/>
  <c r="G138" i="61"/>
  <c r="Y12" i="58"/>
  <c r="Y15" i="58" s="1"/>
  <c r="F12" i="58"/>
  <c r="T9" i="58"/>
  <c r="T11" i="58" s="1"/>
  <c r="H9" i="58"/>
  <c r="H11" i="58" s="1"/>
  <c r="I8" i="58"/>
  <c r="J80" i="61"/>
  <c r="G2" i="69" s="1"/>
  <c r="J116" i="61"/>
  <c r="G3" i="64" s="1"/>
  <c r="J139" i="61"/>
  <c r="G2" i="62"/>
  <c r="J57" i="61"/>
  <c r="K159" i="61"/>
  <c r="I7" i="58"/>
  <c r="J73" i="61"/>
  <c r="J122" i="61"/>
  <c r="J144" i="61"/>
  <c r="J155" i="61"/>
  <c r="C2" i="62"/>
  <c r="F74" i="61"/>
  <c r="F115" i="61"/>
  <c r="F117" i="61"/>
  <c r="C4" i="64" s="1"/>
  <c r="F110" i="61"/>
  <c r="F111" i="61" s="1"/>
  <c r="C2" i="64" s="1"/>
  <c r="F116" i="61"/>
  <c r="C3" i="64" s="1"/>
  <c r="F226" i="61"/>
  <c r="F153" i="61"/>
  <c r="F159" i="61"/>
  <c r="F232" i="61"/>
  <c r="E7" i="58"/>
  <c r="F56" i="61"/>
  <c r="C2" i="66" s="1"/>
  <c r="H240" i="61"/>
  <c r="S235" i="61"/>
  <c r="AA227" i="61"/>
  <c r="Z217" i="61"/>
  <c r="G217" i="61"/>
  <c r="U216" i="61"/>
  <c r="L212" i="61"/>
  <c r="AB211" i="61"/>
  <c r="Z209" i="61"/>
  <c r="F208" i="61"/>
  <c r="X205" i="61"/>
  <c r="H199" i="61"/>
  <c r="AA195" i="61"/>
  <c r="U193" i="61"/>
  <c r="P183" i="61"/>
  <c r="Y182" i="61"/>
  <c r="W178" i="61"/>
  <c r="Q171" i="61"/>
  <c r="AC168" i="61"/>
  <c r="Y153" i="61"/>
  <c r="H153" i="61"/>
  <c r="F144" i="61"/>
  <c r="T139" i="61"/>
  <c r="Q138" i="61"/>
  <c r="L137" i="61"/>
  <c r="X137" i="61"/>
  <c r="X139" i="61"/>
  <c r="X140" i="61"/>
  <c r="R132" i="61"/>
  <c r="X125" i="61"/>
  <c r="S124" i="61"/>
  <c r="I117" i="61"/>
  <c r="F4" i="64" s="1"/>
  <c r="I72" i="61"/>
  <c r="AD66" i="61"/>
  <c r="Q59" i="61"/>
  <c r="K39" i="55"/>
  <c r="X36" i="55"/>
  <c r="H40" i="55"/>
  <c r="I28" i="55"/>
  <c r="K50" i="61"/>
  <c r="J37" i="55"/>
  <c r="G50" i="61"/>
  <c r="F37" i="55"/>
  <c r="AF28" i="55"/>
  <c r="AF26" i="55"/>
  <c r="X25" i="55"/>
  <c r="K25" i="55"/>
  <c r="G26" i="55"/>
  <c r="G28" i="55"/>
  <c r="C26" i="55"/>
  <c r="K24" i="55"/>
  <c r="K16" i="55"/>
  <c r="AD26" i="55"/>
  <c r="U26" i="55"/>
  <c r="AA52" i="61"/>
  <c r="K10" i="55"/>
  <c r="AD11" i="55"/>
  <c r="AD28" i="55"/>
  <c r="W52" i="61"/>
  <c r="Z11" i="55"/>
  <c r="Z28" i="55"/>
  <c r="AF11" i="55"/>
  <c r="K7" i="55"/>
  <c r="E2" i="72"/>
  <c r="G11" i="55"/>
  <c r="Q8" i="61"/>
  <c r="Q10" i="61"/>
  <c r="Q40" i="61"/>
  <c r="Q93" i="61"/>
  <c r="Q28" i="61"/>
  <c r="Q22" i="61"/>
  <c r="Q133" i="61"/>
  <c r="T69" i="56"/>
  <c r="H8" i="61"/>
  <c r="E2" i="65" s="1"/>
  <c r="H10" i="61"/>
  <c r="E3" i="65" s="1"/>
  <c r="H93" i="61"/>
  <c r="H95" i="61" s="1"/>
  <c r="H133" i="61"/>
  <c r="G69" i="56"/>
  <c r="H12" i="61"/>
  <c r="H22" i="61"/>
  <c r="Z9" i="61"/>
  <c r="Z188" i="61"/>
  <c r="Z212" i="61"/>
  <c r="AC68" i="56"/>
  <c r="Z11" i="61"/>
  <c r="H9" i="61"/>
  <c r="H11" i="61"/>
  <c r="H236" i="61"/>
  <c r="C68" i="56"/>
  <c r="C69" i="56" s="1"/>
  <c r="C70" i="56" s="1"/>
  <c r="P186" i="61"/>
  <c r="P210" i="61"/>
  <c r="P234" i="61"/>
  <c r="AA34" i="61"/>
  <c r="AA32" i="61"/>
  <c r="AA94" i="61"/>
  <c r="X65" i="56"/>
  <c r="E63" i="56"/>
  <c r="G196" i="61"/>
  <c r="G220" i="61"/>
  <c r="G189" i="61"/>
  <c r="G244" i="61"/>
  <c r="G188" i="61"/>
  <c r="G194" i="61"/>
  <c r="G195" i="61"/>
  <c r="Y189" i="61"/>
  <c r="Y213" i="61"/>
  <c r="Y237" i="61"/>
  <c r="AB63" i="56"/>
  <c r="Q189" i="61"/>
  <c r="Q213" i="61"/>
  <c r="D51" i="56"/>
  <c r="D52" i="56"/>
  <c r="J51" i="56"/>
  <c r="H44" i="56"/>
  <c r="H51" i="56" s="1"/>
  <c r="X51" i="56"/>
  <c r="G51" i="56"/>
  <c r="C50" i="56"/>
  <c r="Q29" i="56"/>
  <c r="Q31" i="56"/>
  <c r="F31" i="56"/>
  <c r="F29" i="56"/>
  <c r="Q7" i="61"/>
  <c r="Q21" i="61"/>
  <c r="Q132" i="61"/>
  <c r="Q207" i="61"/>
  <c r="Q183" i="61"/>
  <c r="Q231" i="61"/>
  <c r="T28" i="56"/>
  <c r="P29" i="56"/>
  <c r="P31" i="56"/>
  <c r="G207" i="61"/>
  <c r="I21" i="56"/>
  <c r="AB31" i="56"/>
  <c r="AD21" i="61"/>
  <c r="AD206" i="61"/>
  <c r="AD230" i="61"/>
  <c r="L21" i="61"/>
  <c r="L182" i="61"/>
  <c r="AD182" i="61"/>
  <c r="AG20" i="56"/>
  <c r="Z206" i="61"/>
  <c r="Z182" i="61"/>
  <c r="Z230" i="61"/>
  <c r="AC20" i="56"/>
  <c r="Z67" i="61"/>
  <c r="V206" i="61"/>
  <c r="V230" i="61"/>
  <c r="V21" i="61"/>
  <c r="V182" i="61"/>
  <c r="Y20" i="56"/>
  <c r="R206" i="61"/>
  <c r="R230" i="61"/>
  <c r="S206" i="61"/>
  <c r="R67" i="61"/>
  <c r="K228" i="61"/>
  <c r="K180" i="61"/>
  <c r="E180" i="61"/>
  <c r="F204" i="61"/>
  <c r="D20" i="56"/>
  <c r="E228" i="61"/>
  <c r="S178" i="61"/>
  <c r="AD57" i="57"/>
  <c r="J57" i="57"/>
  <c r="I54" i="57"/>
  <c r="AG57" i="57"/>
  <c r="AF44" i="57"/>
  <c r="K44" i="57" s="1"/>
  <c r="K39" i="57"/>
  <c r="AD34" i="57"/>
  <c r="X34" i="57"/>
  <c r="AB31" i="57"/>
  <c r="W39" i="61"/>
  <c r="I88" i="61"/>
  <c r="I90" i="61"/>
  <c r="I125" i="61"/>
  <c r="I80" i="61"/>
  <c r="F2" i="69" s="1"/>
  <c r="I123" i="61"/>
  <c r="AD78" i="61"/>
  <c r="AD85" i="61" s="1"/>
  <c r="K16" i="58"/>
  <c r="K17" i="58" s="1"/>
  <c r="AD17" i="58"/>
  <c r="Z17" i="58"/>
  <c r="Z78" i="61"/>
  <c r="Z85" i="61" s="1"/>
  <c r="V78" i="61"/>
  <c r="V85" i="61" s="1"/>
  <c r="V17" i="58"/>
  <c r="N78" i="61"/>
  <c r="N85" i="61" s="1"/>
  <c r="I78" i="61"/>
  <c r="H17" i="58"/>
  <c r="N15" i="58"/>
  <c r="AA155" i="61"/>
  <c r="AD13" i="58"/>
  <c r="AA58" i="61" s="1"/>
  <c r="W12" i="58"/>
  <c r="M12" i="58"/>
  <c r="M13" i="58" s="1"/>
  <c r="Y9" i="58"/>
  <c r="Y11" i="58" s="1"/>
  <c r="G9" i="58"/>
  <c r="G11" i="58" s="1"/>
  <c r="AA74" i="61"/>
  <c r="AA115" i="61"/>
  <c r="AA110" i="61"/>
  <c r="AA111" i="61" s="1"/>
  <c r="AA116" i="61"/>
  <c r="AA139" i="61"/>
  <c r="AA159" i="61"/>
  <c r="K4" i="58"/>
  <c r="L236" i="61" s="1"/>
  <c r="AB159" i="61"/>
  <c r="AA228" i="61"/>
  <c r="AA144" i="61"/>
  <c r="AA73" i="61"/>
  <c r="AA226" i="61"/>
  <c r="AA230" i="61"/>
  <c r="W74" i="61"/>
  <c r="W115" i="61"/>
  <c r="W117" i="61"/>
  <c r="W122" i="61"/>
  <c r="W110" i="61"/>
  <c r="W111" i="61" s="1"/>
  <c r="W116" i="61"/>
  <c r="W144" i="61"/>
  <c r="W156" i="61"/>
  <c r="W226" i="61"/>
  <c r="Z7" i="58"/>
  <c r="W240" i="61"/>
  <c r="W139" i="61"/>
  <c r="W155" i="61"/>
  <c r="S74" i="61"/>
  <c r="S115" i="61"/>
  <c r="S144" i="61"/>
  <c r="S159" i="61"/>
  <c r="S117" i="61"/>
  <c r="S110" i="61"/>
  <c r="S111" i="61" s="1"/>
  <c r="T159" i="61"/>
  <c r="S230" i="61"/>
  <c r="S116" i="61"/>
  <c r="S122" i="61"/>
  <c r="S139" i="61"/>
  <c r="S226" i="61"/>
  <c r="S244" i="61"/>
  <c r="V7" i="58"/>
  <c r="S57" i="61"/>
  <c r="O42" i="61"/>
  <c r="O74" i="61"/>
  <c r="O115" i="61"/>
  <c r="O223" i="61"/>
  <c r="O229" i="61"/>
  <c r="O233" i="61"/>
  <c r="O243" i="61"/>
  <c r="O57" i="61"/>
  <c r="O116" i="61"/>
  <c r="O156" i="61"/>
  <c r="O228" i="61"/>
  <c r="O231" i="61"/>
  <c r="O117" i="61"/>
  <c r="O159" i="61"/>
  <c r="O227" i="61"/>
  <c r="O230" i="61"/>
  <c r="O242" i="61"/>
  <c r="O110" i="61"/>
  <c r="O111" i="61" s="1"/>
  <c r="O153" i="61"/>
  <c r="P159" i="61"/>
  <c r="O144" i="61"/>
  <c r="O235" i="61"/>
  <c r="O240" i="61"/>
  <c r="O241" i="61"/>
  <c r="R7" i="58"/>
  <c r="R137" i="61"/>
  <c r="R138" i="61"/>
  <c r="AA244" i="61"/>
  <c r="W242" i="61"/>
  <c r="Y240" i="61"/>
  <c r="V236" i="61"/>
  <c r="J236" i="61"/>
  <c r="Z233" i="61"/>
  <c r="W230" i="61"/>
  <c r="W228" i="61"/>
  <c r="J227" i="61"/>
  <c r="O226" i="61"/>
  <c r="AB219" i="61"/>
  <c r="U217" i="61"/>
  <c r="L216" i="61"/>
  <c r="X212" i="61"/>
  <c r="H212" i="61"/>
  <c r="X211" i="61"/>
  <c r="AA210" i="61"/>
  <c r="V209" i="61"/>
  <c r="Z207" i="61"/>
  <c r="L206" i="61"/>
  <c r="AB203" i="61"/>
  <c r="I203" i="61"/>
  <c r="AC196" i="61"/>
  <c r="U196" i="61"/>
  <c r="AB193" i="61"/>
  <c r="T193" i="61"/>
  <c r="U187" i="61"/>
  <c r="AA186" i="61"/>
  <c r="R182" i="61"/>
  <c r="S181" i="61"/>
  <c r="AA180" i="61"/>
  <c r="W159" i="61"/>
  <c r="F156" i="61"/>
  <c r="N154" i="61"/>
  <c r="W153" i="61"/>
  <c r="O139" i="61"/>
  <c r="K138" i="61"/>
  <c r="I137" i="61"/>
  <c r="I138" i="61"/>
  <c r="G132" i="61"/>
  <c r="O128" i="61"/>
  <c r="R125" i="61"/>
  <c r="N124" i="61"/>
  <c r="J123" i="61"/>
  <c r="O122" i="61"/>
  <c r="E117" i="61"/>
  <c r="B4" i="64" s="1"/>
  <c r="H116" i="61"/>
  <c r="E3" i="64" s="1"/>
  <c r="AD88" i="61"/>
  <c r="AA82" i="61"/>
  <c r="Y80" i="61"/>
  <c r="Y65" i="61"/>
  <c r="O63" i="61"/>
  <c r="Z42" i="61"/>
  <c r="R21" i="61"/>
  <c r="P51" i="61"/>
  <c r="P47" i="61" s="1"/>
  <c r="P96" i="61"/>
  <c r="H3" i="69"/>
  <c r="AB80" i="61"/>
  <c r="AB88" i="61"/>
  <c r="X88" i="61"/>
  <c r="X90" i="61"/>
  <c r="X80" i="61"/>
  <c r="X122" i="61"/>
  <c r="X46" i="55"/>
  <c r="X18" i="58" s="1"/>
  <c r="E90" i="61"/>
  <c r="E123" i="61"/>
  <c r="V66" i="61"/>
  <c r="V127" i="61"/>
  <c r="G127" i="61"/>
  <c r="D2" i="68" s="1"/>
  <c r="G66" i="61"/>
  <c r="K36" i="55"/>
  <c r="Y34" i="55"/>
  <c r="Y37" i="55"/>
  <c r="AD25" i="61"/>
  <c r="E28" i="61"/>
  <c r="J34" i="55"/>
  <c r="X27" i="55"/>
  <c r="I37" i="55"/>
  <c r="E37" i="55"/>
  <c r="F50" i="61"/>
  <c r="K22" i="55"/>
  <c r="K18" i="55"/>
  <c r="J11" i="55"/>
  <c r="J28" i="55"/>
  <c r="K52" i="61"/>
  <c r="F11" i="55"/>
  <c r="F28" i="55"/>
  <c r="O9" i="61"/>
  <c r="O11" i="61"/>
  <c r="P212" i="61"/>
  <c r="R68" i="56"/>
  <c r="O186" i="61"/>
  <c r="O234" i="61"/>
  <c r="O210" i="61"/>
  <c r="Z32" i="61"/>
  <c r="Z34" i="61"/>
  <c r="Z94" i="61"/>
  <c r="Z128" i="61"/>
  <c r="F34" i="61"/>
  <c r="F94" i="61"/>
  <c r="E220" i="61"/>
  <c r="C64" i="56"/>
  <c r="AE61" i="56"/>
  <c r="AE63" i="56"/>
  <c r="AB243" i="61"/>
  <c r="AB13" i="61"/>
  <c r="X195" i="61"/>
  <c r="AA61" i="56"/>
  <c r="AA63" i="56"/>
  <c r="X13" i="61"/>
  <c r="X219" i="61"/>
  <c r="X131" i="61"/>
  <c r="X79" i="61" s="1"/>
  <c r="T13" i="61"/>
  <c r="T131" i="61"/>
  <c r="T79" i="61" s="1"/>
  <c r="W61" i="56"/>
  <c r="W63" i="56"/>
  <c r="U75" i="61"/>
  <c r="T219" i="61"/>
  <c r="K13" i="61"/>
  <c r="F13" i="61"/>
  <c r="F243" i="61"/>
  <c r="F62" i="61"/>
  <c r="C4" i="67"/>
  <c r="E61" i="56"/>
  <c r="F195" i="61"/>
  <c r="AC194" i="61"/>
  <c r="J59" i="56"/>
  <c r="AC49" i="61"/>
  <c r="AC218" i="61"/>
  <c r="Y49" i="61"/>
  <c r="Y242" i="61"/>
  <c r="Y194" i="61"/>
  <c r="Y218" i="61"/>
  <c r="U242" i="61"/>
  <c r="H59" i="56"/>
  <c r="F49" i="61"/>
  <c r="F194" i="61"/>
  <c r="AD240" i="61"/>
  <c r="AD192" i="61"/>
  <c r="L192" i="61"/>
  <c r="AD216" i="61"/>
  <c r="V240" i="61"/>
  <c r="V192" i="61"/>
  <c r="Y61" i="56"/>
  <c r="R192" i="61"/>
  <c r="R240" i="61"/>
  <c r="R216" i="61"/>
  <c r="S216" i="61"/>
  <c r="U61" i="56"/>
  <c r="F240" i="61"/>
  <c r="F51" i="56"/>
  <c r="J187" i="61"/>
  <c r="J235" i="61"/>
  <c r="F187" i="61"/>
  <c r="F211" i="61"/>
  <c r="F235" i="61"/>
  <c r="AC186" i="61"/>
  <c r="G185" i="61"/>
  <c r="G209" i="61"/>
  <c r="G233" i="61"/>
  <c r="K33" i="56"/>
  <c r="K66" i="56" s="1"/>
  <c r="K68" i="56" s="1"/>
  <c r="AG66" i="56"/>
  <c r="Z234" i="61"/>
  <c r="Z210" i="61"/>
  <c r="V234" i="61"/>
  <c r="V186" i="61"/>
  <c r="L140" i="61"/>
  <c r="AD184" i="61"/>
  <c r="L20" i="61"/>
  <c r="L184" i="61"/>
  <c r="AD208" i="61"/>
  <c r="K30" i="56"/>
  <c r="K64" i="56" s="1"/>
  <c r="AG64" i="56"/>
  <c r="AD20" i="61"/>
  <c r="L208" i="61"/>
  <c r="AD140" i="61"/>
  <c r="AG31" i="56"/>
  <c r="Z7" i="61"/>
  <c r="Z184" i="61"/>
  <c r="Z20" i="61"/>
  <c r="Z208" i="61"/>
  <c r="AC64" i="56"/>
  <c r="Z50" i="61"/>
  <c r="AA75" i="61"/>
  <c r="Z13" i="61"/>
  <c r="Z132" i="61"/>
  <c r="W75" i="61"/>
  <c r="V184" i="61"/>
  <c r="V132" i="61"/>
  <c r="V208" i="61"/>
  <c r="Y64" i="56"/>
  <c r="V52" i="61"/>
  <c r="V50" i="61"/>
  <c r="V232" i="61"/>
  <c r="V140" i="61"/>
  <c r="R20" i="61"/>
  <c r="R75" i="61"/>
  <c r="R184" i="61"/>
  <c r="S75" i="61"/>
  <c r="R140" i="61"/>
  <c r="R208" i="61"/>
  <c r="U64" i="56"/>
  <c r="R52" i="61"/>
  <c r="U31" i="56"/>
  <c r="S65" i="61"/>
  <c r="R232" i="61"/>
  <c r="K28" i="56"/>
  <c r="AG29" i="56"/>
  <c r="U29" i="56"/>
  <c r="D29" i="56"/>
  <c r="V183" i="61"/>
  <c r="V231" i="61"/>
  <c r="L207" i="61"/>
  <c r="L231" i="61"/>
  <c r="L183" i="61"/>
  <c r="R207" i="61"/>
  <c r="R183" i="61"/>
  <c r="G182" i="61"/>
  <c r="G206" i="61"/>
  <c r="G230" i="61"/>
  <c r="G116" i="61"/>
  <c r="D3" i="64" s="1"/>
  <c r="G21" i="61"/>
  <c r="L181" i="61"/>
  <c r="K18" i="56"/>
  <c r="AD181" i="61"/>
  <c r="L229" i="61"/>
  <c r="Z181" i="61"/>
  <c r="Z205" i="61"/>
  <c r="V181" i="61"/>
  <c r="V229" i="61"/>
  <c r="R205" i="61"/>
  <c r="R229" i="61"/>
  <c r="AD180" i="61"/>
  <c r="K17" i="56"/>
  <c r="K20" i="56" s="1"/>
  <c r="Z180" i="61"/>
  <c r="Z204" i="61"/>
  <c r="Z228" i="61"/>
  <c r="AA204" i="61"/>
  <c r="V180" i="61"/>
  <c r="V228" i="61"/>
  <c r="R180" i="61"/>
  <c r="R204" i="61"/>
  <c r="S204" i="61"/>
  <c r="AB33" i="61"/>
  <c r="AB36" i="61"/>
  <c r="AB48" i="61"/>
  <c r="AB179" i="61"/>
  <c r="AE12" i="56"/>
  <c r="AB31" i="61"/>
  <c r="X33" i="61"/>
  <c r="X31" i="61"/>
  <c r="X36" i="61"/>
  <c r="X48" i="61"/>
  <c r="X203" i="61"/>
  <c r="X227" i="61"/>
  <c r="AA12" i="56"/>
  <c r="T33" i="61"/>
  <c r="T179" i="61"/>
  <c r="T203" i="61"/>
  <c r="T227" i="61"/>
  <c r="W31" i="56"/>
  <c r="J33" i="61"/>
  <c r="G2" i="63" s="1"/>
  <c r="J31" i="61"/>
  <c r="G3" i="63" s="1"/>
  <c r="J36" i="61"/>
  <c r="J203" i="61"/>
  <c r="F48" i="61"/>
  <c r="F179" i="61"/>
  <c r="E12" i="56"/>
  <c r="F203" i="61"/>
  <c r="G203" i="61"/>
  <c r="F31" i="61"/>
  <c r="C3" i="63" s="1"/>
  <c r="F36" i="61"/>
  <c r="AD202" i="61"/>
  <c r="AD178" i="61"/>
  <c r="AD226" i="61"/>
  <c r="L202" i="61"/>
  <c r="K8" i="56"/>
  <c r="Z202" i="61"/>
  <c r="Z226" i="61"/>
  <c r="AA202" i="61"/>
  <c r="V202" i="61"/>
  <c r="V226" i="61"/>
  <c r="V178" i="61"/>
  <c r="R202" i="61"/>
  <c r="R226" i="61"/>
  <c r="S202" i="61"/>
  <c r="L175" i="61"/>
  <c r="AD175" i="61"/>
  <c r="AD199" i="61"/>
  <c r="K5" i="56"/>
  <c r="K65" i="56" s="1"/>
  <c r="L199" i="61"/>
  <c r="AG65" i="56"/>
  <c r="Z223" i="61"/>
  <c r="Z199" i="61"/>
  <c r="V175" i="61"/>
  <c r="V223" i="61"/>
  <c r="U65" i="56"/>
  <c r="R199" i="61"/>
  <c r="U12" i="56"/>
  <c r="T66" i="61"/>
  <c r="T129" i="61"/>
  <c r="P129" i="61"/>
  <c r="P66" i="61"/>
  <c r="S82" i="61"/>
  <c r="O82" i="61"/>
  <c r="J129" i="61"/>
  <c r="G3" i="68" s="1"/>
  <c r="J66" i="61"/>
  <c r="J82" i="61"/>
  <c r="V41" i="61"/>
  <c r="Z53" i="57"/>
  <c r="G57" i="57"/>
  <c r="G54" i="57"/>
  <c r="C57" i="57"/>
  <c r="AA45" i="57"/>
  <c r="Z52" i="57"/>
  <c r="I41" i="57"/>
  <c r="E41" i="57"/>
  <c r="J41" i="57"/>
  <c r="AE31" i="57"/>
  <c r="AF31" i="57" s="1"/>
  <c r="K31" i="57" s="1"/>
  <c r="W31" i="57"/>
  <c r="W41" i="57" s="1"/>
  <c r="AD35" i="61"/>
  <c r="AD39" i="61"/>
  <c r="AD42" i="61"/>
  <c r="AD120" i="61"/>
  <c r="AG54" i="57"/>
  <c r="AD44" i="61"/>
  <c r="AG58" i="57"/>
  <c r="Y88" i="61"/>
  <c r="Y90" i="61"/>
  <c r="Y122" i="61"/>
  <c r="N81" i="61"/>
  <c r="N84" i="61"/>
  <c r="N131" i="61"/>
  <c r="N79" i="61" s="1"/>
  <c r="N80" i="61"/>
  <c r="N120" i="61"/>
  <c r="N90" i="61"/>
  <c r="N88" i="61"/>
  <c r="N125" i="61"/>
  <c r="N132" i="61"/>
  <c r="K5" i="58"/>
  <c r="R76" i="59"/>
  <c r="N76" i="59"/>
  <c r="R48" i="59"/>
  <c r="N48" i="59"/>
  <c r="W137" i="61"/>
  <c r="S137" i="61"/>
  <c r="H244" i="61"/>
  <c r="X243" i="61"/>
  <c r="AC234" i="61"/>
  <c r="AD229" i="61"/>
  <c r="R228" i="61"/>
  <c r="G219" i="61"/>
  <c r="G218" i="61"/>
  <c r="Z216" i="61"/>
  <c r="V205" i="61"/>
  <c r="U194" i="61"/>
  <c r="Z192" i="61"/>
  <c r="Z186" i="61"/>
  <c r="R179" i="61"/>
  <c r="L178" i="61"/>
  <c r="Z140" i="61"/>
  <c r="AD132" i="61"/>
  <c r="AC75" i="61"/>
  <c r="Z52" i="61"/>
  <c r="O39" i="61"/>
  <c r="V25" i="61"/>
  <c r="L179" i="61"/>
  <c r="Z178" i="61"/>
  <c r="R175" i="61"/>
  <c r="AD137" i="61"/>
  <c r="O137" i="61"/>
  <c r="Q140" i="61"/>
  <c r="Q137" i="61"/>
  <c r="AB90" i="61"/>
  <c r="E88" i="61"/>
  <c r="V20" i="61"/>
  <c r="E50" i="61"/>
  <c r="U9" i="61"/>
  <c r="U11" i="61"/>
  <c r="U188" i="61"/>
  <c r="X186" i="61"/>
  <c r="X210" i="61"/>
  <c r="H186" i="61"/>
  <c r="O34" i="61"/>
  <c r="O32" i="61"/>
  <c r="X196" i="61"/>
  <c r="X220" i="61"/>
  <c r="W49" i="61"/>
  <c r="S194" i="61"/>
  <c r="S49" i="61"/>
  <c r="E49" i="61"/>
  <c r="E194" i="61"/>
  <c r="E218" i="61"/>
  <c r="W193" i="61"/>
  <c r="W217" i="61"/>
  <c r="AC51" i="56"/>
  <c r="Y51" i="56"/>
  <c r="AC41" i="56"/>
  <c r="U41" i="56"/>
  <c r="AB185" i="61"/>
  <c r="H2" i="67"/>
  <c r="K140" i="61"/>
  <c r="K232" i="61"/>
  <c r="X182" i="61"/>
  <c r="Z31" i="61"/>
  <c r="Z33" i="61"/>
  <c r="Z36" i="61"/>
  <c r="Z203" i="61"/>
  <c r="R31" i="61"/>
  <c r="R36" i="61"/>
  <c r="R33" i="61"/>
  <c r="R48" i="61"/>
  <c r="T199" i="61"/>
  <c r="W65" i="56"/>
  <c r="W66" i="61"/>
  <c r="Z82" i="61"/>
  <c r="W129" i="61"/>
  <c r="Q82" i="61"/>
  <c r="N66" i="61"/>
  <c r="P82" i="61"/>
  <c r="U52" i="57"/>
  <c r="D52" i="57"/>
  <c r="AF49" i="57"/>
  <c r="K49" i="57" s="1"/>
  <c r="K45" i="57"/>
  <c r="H2" i="70"/>
  <c r="AF29" i="57"/>
  <c r="K29" i="57" s="1"/>
  <c r="I81" i="61"/>
  <c r="I39" i="61"/>
  <c r="H27" i="57"/>
  <c r="H54" i="57"/>
  <c r="I42" i="61"/>
  <c r="I44" i="61"/>
  <c r="I120" i="61"/>
  <c r="Q90" i="61"/>
  <c r="Q80" i="61"/>
  <c r="Q81" i="61"/>
  <c r="Q84" i="61"/>
  <c r="Q88" i="61"/>
  <c r="Y78" i="61"/>
  <c r="Y85" i="61" s="1"/>
  <c r="Q78" i="61"/>
  <c r="Q85" i="61" s="1"/>
  <c r="P78" i="61"/>
  <c r="Y57" i="61"/>
  <c r="Y72" i="61"/>
  <c r="AB12" i="58"/>
  <c r="P12" i="58"/>
  <c r="E5" i="62"/>
  <c r="H57" i="61"/>
  <c r="H72" i="61"/>
  <c r="G12" i="58"/>
  <c r="AB9" i="58"/>
  <c r="AB11" i="58" s="1"/>
  <c r="F3" i="62"/>
  <c r="X73" i="61"/>
  <c r="X25" i="61"/>
  <c r="X153" i="61"/>
  <c r="X168" i="61"/>
  <c r="X56" i="61"/>
  <c r="X123" i="61"/>
  <c r="X65" i="61"/>
  <c r="P73" i="61"/>
  <c r="P25" i="61"/>
  <c r="P56" i="61"/>
  <c r="P65" i="61"/>
  <c r="P153" i="61"/>
  <c r="P168" i="61"/>
  <c r="K25" i="61"/>
  <c r="H5" i="65" s="1"/>
  <c r="K73" i="61"/>
  <c r="K153" i="61"/>
  <c r="K168" i="61"/>
  <c r="J8" i="58"/>
  <c r="K56" i="61"/>
  <c r="H2" i="66" s="1"/>
  <c r="N116" i="61"/>
  <c r="N122" i="61"/>
  <c r="N139" i="61"/>
  <c r="N115" i="61"/>
  <c r="N144" i="61"/>
  <c r="N159" i="61"/>
  <c r="N226" i="61"/>
  <c r="N230" i="61"/>
  <c r="N240" i="61"/>
  <c r="N244" i="61"/>
  <c r="N117" i="61"/>
  <c r="K44" i="61"/>
  <c r="Y9" i="61"/>
  <c r="Y11" i="61"/>
  <c r="Q9" i="61"/>
  <c r="Q11" i="61"/>
  <c r="S34" i="61"/>
  <c r="S32" i="61"/>
  <c r="S128" i="61"/>
  <c r="AB196" i="61"/>
  <c r="AB220" i="61"/>
  <c r="T196" i="61"/>
  <c r="T220" i="61"/>
  <c r="E4" i="67"/>
  <c r="H195" i="61"/>
  <c r="H131" i="61"/>
  <c r="H79" i="61" s="1"/>
  <c r="E4" i="69" s="1"/>
  <c r="H219" i="61"/>
  <c r="AA193" i="61"/>
  <c r="AA217" i="61"/>
  <c r="S193" i="61"/>
  <c r="S217" i="61"/>
  <c r="AG51" i="56"/>
  <c r="U51" i="56"/>
  <c r="K9" i="61"/>
  <c r="K236" i="61"/>
  <c r="AD187" i="61"/>
  <c r="AG41" i="56"/>
  <c r="Y41" i="56"/>
  <c r="F233" i="61"/>
  <c r="D2" i="67"/>
  <c r="G20" i="61"/>
  <c r="D4" i="65" s="1"/>
  <c r="G184" i="61"/>
  <c r="G232" i="61"/>
  <c r="H75" i="61"/>
  <c r="N29" i="56"/>
  <c r="N31" i="56"/>
  <c r="AA183" i="61"/>
  <c r="AB182" i="61"/>
  <c r="AB116" i="61"/>
  <c r="T182" i="61"/>
  <c r="Y180" i="61"/>
  <c r="I17" i="56"/>
  <c r="K204" i="61" s="1"/>
  <c r="G204" i="61"/>
  <c r="G228" i="61"/>
  <c r="AD31" i="61"/>
  <c r="L36" i="61"/>
  <c r="L48" i="61"/>
  <c r="L203" i="61"/>
  <c r="L33" i="61"/>
  <c r="AD48" i="61"/>
  <c r="AD179" i="61"/>
  <c r="K11" i="56"/>
  <c r="L31" i="61"/>
  <c r="V31" i="61"/>
  <c r="V48" i="61"/>
  <c r="Y178" i="61"/>
  <c r="Y202" i="61"/>
  <c r="I8" i="56"/>
  <c r="G178" i="61"/>
  <c r="AE65" i="56"/>
  <c r="X175" i="61"/>
  <c r="AA65" i="56"/>
  <c r="J199" i="61"/>
  <c r="F199" i="61"/>
  <c r="F223" i="61"/>
  <c r="R66" i="61"/>
  <c r="H52" i="57"/>
  <c r="Y41" i="57"/>
  <c r="W35" i="61"/>
  <c r="W42" i="61"/>
  <c r="AA26" i="57"/>
  <c r="Z58" i="57"/>
  <c r="R35" i="61"/>
  <c r="R42" i="61"/>
  <c r="R39" i="61"/>
  <c r="E35" i="61"/>
  <c r="E81" i="61"/>
  <c r="E39" i="61"/>
  <c r="E44" i="61"/>
  <c r="D27" i="57"/>
  <c r="D54" i="57"/>
  <c r="V80" i="61"/>
  <c r="V90" i="61"/>
  <c r="AC78" i="61"/>
  <c r="AC85" i="61" s="1"/>
  <c r="U78" i="61"/>
  <c r="U85" i="61" s="1"/>
  <c r="AC57" i="61"/>
  <c r="AC72" i="61"/>
  <c r="AC154" i="61"/>
  <c r="AF12" i="58"/>
  <c r="U57" i="61"/>
  <c r="U72" i="61"/>
  <c r="X12" i="58"/>
  <c r="Q57" i="61"/>
  <c r="Q72" i="61"/>
  <c r="Q169" i="61"/>
  <c r="T12" i="58"/>
  <c r="K10" i="58"/>
  <c r="AB25" i="61"/>
  <c r="AB73" i="61"/>
  <c r="AB153" i="61"/>
  <c r="AB168" i="61"/>
  <c r="T73" i="61"/>
  <c r="T153" i="61"/>
  <c r="T168" i="61"/>
  <c r="T25" i="61"/>
  <c r="G73" i="61"/>
  <c r="G153" i="61"/>
  <c r="G168" i="61"/>
  <c r="G25" i="61"/>
  <c r="D5" i="65" s="1"/>
  <c r="G65" i="61"/>
  <c r="G123" i="61"/>
  <c r="F8" i="58"/>
  <c r="AD116" i="61"/>
  <c r="AD122" i="61"/>
  <c r="AD139" i="61"/>
  <c r="AD115" i="61"/>
  <c r="AD144" i="61"/>
  <c r="AD159" i="61"/>
  <c r="AD73" i="61"/>
  <c r="AD117" i="61"/>
  <c r="Z116" i="61"/>
  <c r="Z122" i="61"/>
  <c r="Z139" i="61"/>
  <c r="Z74" i="61"/>
  <c r="Z115" i="61"/>
  <c r="V74" i="61"/>
  <c r="V116" i="61"/>
  <c r="V122" i="61"/>
  <c r="V139" i="61"/>
  <c r="V110" i="61"/>
  <c r="V111" i="61" s="1"/>
  <c r="R116" i="61"/>
  <c r="R122" i="61"/>
  <c r="R139" i="61"/>
  <c r="R74" i="61"/>
  <c r="R117" i="61"/>
  <c r="R110" i="61"/>
  <c r="R111" i="61" s="1"/>
  <c r="F2" i="62"/>
  <c r="I116" i="61"/>
  <c r="F3" i="64" s="1"/>
  <c r="I122" i="61"/>
  <c r="I139" i="61"/>
  <c r="I74" i="61"/>
  <c r="I115" i="61"/>
  <c r="B2" i="62"/>
  <c r="E74" i="61"/>
  <c r="E80" i="61"/>
  <c r="B2" i="69" s="1"/>
  <c r="E116" i="61"/>
  <c r="B3" i="64" s="1"/>
  <c r="E122" i="61"/>
  <c r="E139" i="61"/>
  <c r="E110" i="61"/>
  <c r="E111" i="61" s="1"/>
  <c r="B2" i="64" s="1"/>
  <c r="X244" i="61"/>
  <c r="V243" i="61"/>
  <c r="E243" i="61"/>
  <c r="Z242" i="61"/>
  <c r="AD241" i="61"/>
  <c r="S241" i="61"/>
  <c r="N241" i="61"/>
  <c r="Y236" i="61"/>
  <c r="R235" i="61"/>
  <c r="T233" i="61"/>
  <c r="N233" i="61"/>
  <c r="T230" i="61"/>
  <c r="G229" i="61"/>
  <c r="Z227" i="61"/>
  <c r="AC226" i="61"/>
  <c r="G226" i="61"/>
  <c r="AB223" i="61"/>
  <c r="E223" i="61"/>
  <c r="T218" i="61"/>
  <c r="Q212" i="61"/>
  <c r="K212" i="61"/>
  <c r="Z211" i="61"/>
  <c r="X209" i="61"/>
  <c r="H208" i="61"/>
  <c r="AB206" i="61"/>
  <c r="T206" i="61"/>
  <c r="H205" i="61"/>
  <c r="G202" i="61"/>
  <c r="F196" i="61"/>
  <c r="X189" i="61"/>
  <c r="AB188" i="61"/>
  <c r="T188" i="61"/>
  <c r="F188" i="61"/>
  <c r="X187" i="61"/>
  <c r="L187" i="61"/>
  <c r="K181" i="61"/>
  <c r="AC180" i="61"/>
  <c r="V179" i="61"/>
  <c r="K179" i="61"/>
  <c r="AC178" i="61"/>
  <c r="AB175" i="61"/>
  <c r="Y169" i="61"/>
  <c r="V159" i="61"/>
  <c r="R156" i="61"/>
  <c r="I156" i="61"/>
  <c r="Y154" i="61"/>
  <c r="Q154" i="61"/>
  <c r="N153" i="61"/>
  <c r="E152" i="61"/>
  <c r="Z144" i="61"/>
  <c r="R144" i="61"/>
  <c r="G140" i="61"/>
  <c r="AB137" i="61"/>
  <c r="Q131" i="61"/>
  <c r="Q79" i="61" s="1"/>
  <c r="N129" i="61"/>
  <c r="Y124" i="61"/>
  <c r="AB123" i="61"/>
  <c r="V123" i="61"/>
  <c r="V120" i="61"/>
  <c r="Z117" i="61"/>
  <c r="AC116" i="61"/>
  <c r="V115" i="61"/>
  <c r="O94" i="61"/>
  <c r="N74" i="61"/>
  <c r="S71" i="61"/>
  <c r="AB56" i="61"/>
  <c r="Z48" i="61"/>
  <c r="H48" i="61"/>
  <c r="K90" i="61"/>
  <c r="K81" i="61"/>
  <c r="K88" i="61"/>
  <c r="X43" i="55"/>
  <c r="U127" i="61" s="1"/>
  <c r="X38" i="55"/>
  <c r="AF68" i="56"/>
  <c r="AA68" i="56"/>
  <c r="X28" i="61" s="1"/>
  <c r="F11" i="61"/>
  <c r="F9" i="61"/>
  <c r="AB186" i="61"/>
  <c r="AB210" i="61"/>
  <c r="F66" i="56"/>
  <c r="H210" i="61" s="1"/>
  <c r="W34" i="61"/>
  <c r="W94" i="61"/>
  <c r="N128" i="61"/>
  <c r="H32" i="61"/>
  <c r="E4" i="63" s="1"/>
  <c r="H34" i="61"/>
  <c r="H128" i="61"/>
  <c r="AA64" i="56"/>
  <c r="E244" i="61"/>
  <c r="AC13" i="61"/>
  <c r="AC195" i="61"/>
  <c r="AC219" i="61"/>
  <c r="Y13" i="61"/>
  <c r="Y195" i="61"/>
  <c r="Y131" i="61"/>
  <c r="Y79" i="61" s="1"/>
  <c r="Y219" i="61"/>
  <c r="U13" i="61"/>
  <c r="U195" i="61"/>
  <c r="U219" i="61"/>
  <c r="H60" i="56"/>
  <c r="I11" i="61" s="1"/>
  <c r="D4" i="67"/>
  <c r="G13" i="61"/>
  <c r="F61" i="56"/>
  <c r="F63" i="56"/>
  <c r="AD49" i="61"/>
  <c r="L49" i="61"/>
  <c r="AD194" i="61"/>
  <c r="AD218" i="61"/>
  <c r="Z49" i="61"/>
  <c r="Z194" i="61"/>
  <c r="Z218" i="61"/>
  <c r="V49" i="61"/>
  <c r="V194" i="61"/>
  <c r="V218" i="61"/>
  <c r="R49" i="61"/>
  <c r="R194" i="61"/>
  <c r="R218" i="61"/>
  <c r="H194" i="61"/>
  <c r="H193" i="61"/>
  <c r="H241" i="61"/>
  <c r="W192" i="61"/>
  <c r="E240" i="61"/>
  <c r="AG52" i="56"/>
  <c r="AC52" i="56"/>
  <c r="Y52" i="56"/>
  <c r="W213" i="61" s="1"/>
  <c r="U52" i="56"/>
  <c r="Q52" i="56"/>
  <c r="M52" i="56"/>
  <c r="M63" i="56" s="1"/>
  <c r="AB51" i="56"/>
  <c r="K50" i="56"/>
  <c r="AE41" i="56"/>
  <c r="AC235" i="61"/>
  <c r="J40" i="56"/>
  <c r="K33" i="61" s="1"/>
  <c r="H2" i="63" s="1"/>
  <c r="AC33" i="61"/>
  <c r="Y187" i="61"/>
  <c r="Y235" i="61"/>
  <c r="Y48" i="61"/>
  <c r="K40" i="56"/>
  <c r="AA233" i="61"/>
  <c r="W185" i="61"/>
  <c r="S233" i="61"/>
  <c r="AA31" i="56"/>
  <c r="AB20" i="61"/>
  <c r="AB140" i="61"/>
  <c r="AB184" i="61"/>
  <c r="AB232" i="61"/>
  <c r="X20" i="61"/>
  <c r="Y75" i="61"/>
  <c r="X232" i="61"/>
  <c r="T20" i="61"/>
  <c r="T232" i="61"/>
  <c r="C2" i="67"/>
  <c r="F7" i="61"/>
  <c r="G75" i="61"/>
  <c r="F140" i="61"/>
  <c r="E31" i="56"/>
  <c r="G117" i="61"/>
  <c r="D4" i="64" s="1"/>
  <c r="R29" i="56"/>
  <c r="R31" i="56"/>
  <c r="N7" i="61"/>
  <c r="N21" i="61"/>
  <c r="W20" i="56"/>
  <c r="E206" i="61"/>
  <c r="E182" i="61"/>
  <c r="E230" i="61"/>
  <c r="T181" i="61"/>
  <c r="J205" i="61"/>
  <c r="J229" i="61"/>
  <c r="F205" i="61"/>
  <c r="F229" i="61"/>
  <c r="AB204" i="61"/>
  <c r="AB228" i="61"/>
  <c r="X204" i="61"/>
  <c r="X228" i="61"/>
  <c r="T204" i="61"/>
  <c r="T180" i="61"/>
  <c r="T228" i="61"/>
  <c r="Y12" i="56"/>
  <c r="K36" i="61"/>
  <c r="G33" i="61"/>
  <c r="D2" i="63" s="1"/>
  <c r="G36" i="61"/>
  <c r="G48" i="61"/>
  <c r="AB178" i="61"/>
  <c r="AB110" i="61"/>
  <c r="AB111" i="61" s="1"/>
  <c r="X178" i="61"/>
  <c r="T178" i="61"/>
  <c r="T202" i="61"/>
  <c r="AA199" i="61"/>
  <c r="AA223" i="61"/>
  <c r="W199" i="61"/>
  <c r="W223" i="61"/>
  <c r="S199" i="61"/>
  <c r="S175" i="61"/>
  <c r="S223" i="61"/>
  <c r="I175" i="61"/>
  <c r="I199" i="61"/>
  <c r="AA129" i="61"/>
  <c r="K59" i="57"/>
  <c r="AA66" i="61"/>
  <c r="AD82" i="61"/>
  <c r="Y82" i="61"/>
  <c r="K66" i="61"/>
  <c r="U58" i="57"/>
  <c r="R84" i="61" s="1"/>
  <c r="N41" i="61"/>
  <c r="N26" i="61"/>
  <c r="N43" i="61"/>
  <c r="H41" i="61"/>
  <c r="V57" i="57"/>
  <c r="U54" i="57"/>
  <c r="Y52" i="57"/>
  <c r="AB49" i="57"/>
  <c r="AC41" i="57"/>
  <c r="G2" i="70"/>
  <c r="AB29" i="57"/>
  <c r="V35" i="61"/>
  <c r="V42" i="61"/>
  <c r="V39" i="61"/>
  <c r="V44" i="61"/>
  <c r="H39" i="61"/>
  <c r="H44" i="61"/>
  <c r="H40" i="61"/>
  <c r="H42" i="61"/>
  <c r="H120" i="61"/>
  <c r="H167" i="61"/>
  <c r="AB78" i="61"/>
  <c r="AB85" i="61" s="1"/>
  <c r="G78" i="61"/>
  <c r="G17" i="58"/>
  <c r="H85" i="61" s="1"/>
  <c r="AD61" i="61"/>
  <c r="AD67" i="61"/>
  <c r="AD171" i="61"/>
  <c r="AD138" i="61"/>
  <c r="Z61" i="61"/>
  <c r="Z59" i="61"/>
  <c r="Z171" i="61"/>
  <c r="Z62" i="61"/>
  <c r="V61" i="61"/>
  <c r="V62" i="61"/>
  <c r="V171" i="61"/>
  <c r="V67" i="61"/>
  <c r="V125" i="61"/>
  <c r="V156" i="61"/>
  <c r="V59" i="61"/>
  <c r="R61" i="61"/>
  <c r="R171" i="61"/>
  <c r="N61" i="61"/>
  <c r="N67" i="61"/>
  <c r="N171" i="61"/>
  <c r="N138" i="61"/>
  <c r="N59" i="61"/>
  <c r="N62" i="61"/>
  <c r="F6" i="62"/>
  <c r="I61" i="61"/>
  <c r="F4" i="66" s="1"/>
  <c r="I59" i="61"/>
  <c r="F3" i="66" s="1"/>
  <c r="I171" i="61"/>
  <c r="I67" i="61"/>
  <c r="B6" i="62"/>
  <c r="E61" i="61"/>
  <c r="B4" i="66" s="1"/>
  <c r="E62" i="61"/>
  <c r="E59" i="61"/>
  <c r="B3" i="66" s="1"/>
  <c r="E125" i="61"/>
  <c r="E156" i="61"/>
  <c r="AB57" i="61"/>
  <c r="AB124" i="61"/>
  <c r="AB169" i="61"/>
  <c r="AE9" i="58"/>
  <c r="AE11" i="58" s="1"/>
  <c r="X72" i="61"/>
  <c r="X124" i="61"/>
  <c r="X169" i="61"/>
  <c r="X154" i="61"/>
  <c r="AA9" i="58"/>
  <c r="AA11" i="58" s="1"/>
  <c r="T124" i="61"/>
  <c r="T169" i="61"/>
  <c r="T57" i="61"/>
  <c r="W9" i="58"/>
  <c r="W11" i="58" s="1"/>
  <c r="T72" i="61"/>
  <c r="P124" i="61"/>
  <c r="P169" i="61"/>
  <c r="S9" i="58"/>
  <c r="S11" i="58" s="1"/>
  <c r="O9" i="58"/>
  <c r="O11" i="58" s="1"/>
  <c r="H5" i="62"/>
  <c r="K57" i="61"/>
  <c r="K124" i="61"/>
  <c r="K169" i="61"/>
  <c r="J9" i="58"/>
  <c r="J11" i="58" s="1"/>
  <c r="K72" i="61"/>
  <c r="D5" i="62"/>
  <c r="G72" i="61"/>
  <c r="G124" i="61"/>
  <c r="G169" i="61"/>
  <c r="G154" i="61"/>
  <c r="F9" i="58"/>
  <c r="F11" i="58" s="1"/>
  <c r="G57" i="61"/>
  <c r="AF9" i="58"/>
  <c r="AF11" i="58" s="1"/>
  <c r="P9" i="58"/>
  <c r="P11" i="58" s="1"/>
  <c r="AE7" i="58"/>
  <c r="U7" i="58"/>
  <c r="D7" i="58"/>
  <c r="AA56" i="61"/>
  <c r="AA65" i="61"/>
  <c r="AA25" i="61"/>
  <c r="AA153" i="61"/>
  <c r="AA72" i="61"/>
  <c r="W25" i="61"/>
  <c r="W65" i="61"/>
  <c r="W73" i="61"/>
  <c r="S25" i="61"/>
  <c r="S123" i="61"/>
  <c r="S168" i="61"/>
  <c r="S56" i="61"/>
  <c r="O73" i="61"/>
  <c r="O65" i="61"/>
  <c r="J56" i="61"/>
  <c r="G2" i="66" s="1"/>
  <c r="J153" i="61"/>
  <c r="J25" i="61"/>
  <c r="G5" i="65" s="1"/>
  <c r="F25" i="61"/>
  <c r="C5" i="65" s="1"/>
  <c r="F73" i="61"/>
  <c r="AC110" i="61"/>
  <c r="AC111" i="61" s="1"/>
  <c r="AC117" i="61"/>
  <c r="AC159" i="61"/>
  <c r="AF7" i="58"/>
  <c r="Y110" i="61"/>
  <c r="Y111" i="61" s="1"/>
  <c r="Y117" i="61"/>
  <c r="Y159" i="61"/>
  <c r="Y74" i="61"/>
  <c r="Y115" i="61"/>
  <c r="Y144" i="61"/>
  <c r="AB7" i="58"/>
  <c r="U110" i="61"/>
  <c r="U111" i="61" s="1"/>
  <c r="U117" i="61"/>
  <c r="U159" i="61"/>
  <c r="U116" i="61"/>
  <c r="U139" i="61"/>
  <c r="X7" i="58"/>
  <c r="U115" i="61"/>
  <c r="Q74" i="61"/>
  <c r="Q110" i="61"/>
  <c r="Q111" i="61" s="1"/>
  <c r="Q117" i="61"/>
  <c r="Q159" i="61"/>
  <c r="Q122" i="61"/>
  <c r="Q227" i="61"/>
  <c r="Q235" i="61"/>
  <c r="Q241" i="61"/>
  <c r="T7" i="58"/>
  <c r="Q42" i="61"/>
  <c r="Q116" i="61"/>
  <c r="P7" i="58"/>
  <c r="P80" i="61"/>
  <c r="E2" i="62"/>
  <c r="H110" i="61"/>
  <c r="H111" i="61" s="1"/>
  <c r="E2" i="64" s="1"/>
  <c r="H117" i="61"/>
  <c r="E4" i="64" s="1"/>
  <c r="H159" i="61"/>
  <c r="H115" i="61"/>
  <c r="H144" i="61"/>
  <c r="G7" i="58"/>
  <c r="H80" i="61"/>
  <c r="E2" i="69" s="1"/>
  <c r="AB244" i="61"/>
  <c r="W244" i="61"/>
  <c r="Q244" i="61"/>
  <c r="F244" i="61"/>
  <c r="Z243" i="61"/>
  <c r="U243" i="61"/>
  <c r="AD242" i="61"/>
  <c r="S242" i="61"/>
  <c r="N242" i="61"/>
  <c r="H242" i="61"/>
  <c r="W241" i="61"/>
  <c r="R241" i="61"/>
  <c r="AC236" i="61"/>
  <c r="F236" i="61"/>
  <c r="V235" i="61"/>
  <c r="H234" i="61"/>
  <c r="Q232" i="61"/>
  <c r="X230" i="61"/>
  <c r="AB229" i="61"/>
  <c r="Q229" i="61"/>
  <c r="K229" i="61"/>
  <c r="U228" i="61"/>
  <c r="AD227" i="61"/>
  <c r="N227" i="61"/>
  <c r="G227" i="61"/>
  <c r="AB226" i="61"/>
  <c r="Q226" i="61"/>
  <c r="U223" i="61"/>
  <c r="I223" i="61"/>
  <c r="S220" i="61"/>
  <c r="AD219" i="61"/>
  <c r="X218" i="61"/>
  <c r="S218" i="61"/>
  <c r="H218" i="61"/>
  <c r="H217" i="61"/>
  <c r="W216" i="61"/>
  <c r="U212" i="61"/>
  <c r="AD211" i="61"/>
  <c r="Y211" i="61"/>
  <c r="AB209" i="61"/>
  <c r="AB208" i="61"/>
  <c r="G208" i="61"/>
  <c r="O207" i="61"/>
  <c r="Y204" i="61"/>
  <c r="R203" i="61"/>
  <c r="X202" i="61"/>
  <c r="X199" i="61"/>
  <c r="W194" i="61"/>
  <c r="Y188" i="61"/>
  <c r="K188" i="61"/>
  <c r="AC187" i="61"/>
  <c r="V187" i="61"/>
  <c r="S185" i="61"/>
  <c r="F184" i="61"/>
  <c r="AB180" i="61"/>
  <c r="U180" i="61"/>
  <c r="AA175" i="61"/>
  <c r="T175" i="61"/>
  <c r="AA171" i="61"/>
  <c r="H169" i="61"/>
  <c r="J168" i="61"/>
  <c r="AD156" i="61"/>
  <c r="P154" i="61"/>
  <c r="H154" i="61"/>
  <c r="Z153" i="61"/>
  <c r="S153" i="61"/>
  <c r="Q144" i="61"/>
  <c r="I144" i="61"/>
  <c r="T140" i="61"/>
  <c r="Q139" i="61"/>
  <c r="H139" i="61"/>
  <c r="E138" i="61"/>
  <c r="AC131" i="61"/>
  <c r="AC79" i="61" s="1"/>
  <c r="G131" i="61"/>
  <c r="G79" i="61" s="1"/>
  <c r="D4" i="69" s="1"/>
  <c r="AB129" i="61"/>
  <c r="W128" i="61"/>
  <c r="I127" i="61"/>
  <c r="F2" i="68" s="1"/>
  <c r="Z125" i="61"/>
  <c r="Q124" i="61"/>
  <c r="H124" i="61"/>
  <c r="T123" i="61"/>
  <c r="K123" i="61"/>
  <c r="H122" i="61"/>
  <c r="N121" i="61"/>
  <c r="R120" i="61"/>
  <c r="V117" i="61"/>
  <c r="Y116" i="61"/>
  <c r="AC115" i="61"/>
  <c r="R115" i="61"/>
  <c r="AD110" i="61"/>
  <c r="AD111" i="61" s="1"/>
  <c r="G110" i="61"/>
  <c r="G111" i="61" s="1"/>
  <c r="D2" i="64" s="1"/>
  <c r="N94" i="61"/>
  <c r="G90" i="61"/>
  <c r="V88" i="61"/>
  <c r="T78" i="61"/>
  <c r="H74" i="61"/>
  <c r="S73" i="61"/>
  <c r="E73" i="61"/>
  <c r="P72" i="61"/>
  <c r="E67" i="61"/>
  <c r="AB65" i="61"/>
  <c r="R62" i="61"/>
  <c r="R59" i="61"/>
  <c r="W56" i="61"/>
  <c r="G56" i="61"/>
  <c r="D2" i="66" s="1"/>
  <c r="U48" i="61"/>
  <c r="N42" i="61"/>
  <c r="Q39" i="61"/>
  <c r="V36" i="61"/>
  <c r="U31" i="61"/>
  <c r="E21" i="61"/>
  <c r="F20" i="61"/>
  <c r="C4" i="65" s="1"/>
  <c r="AC11" i="61"/>
  <c r="AC66" i="61"/>
  <c r="AC127" i="61"/>
  <c r="Y66" i="61"/>
  <c r="Y127" i="61"/>
  <c r="R50" i="61"/>
  <c r="AD52" i="61"/>
  <c r="I52" i="61"/>
  <c r="AB9" i="61"/>
  <c r="AB11" i="61"/>
  <c r="X9" i="61"/>
  <c r="X11" i="61"/>
  <c r="T9" i="61"/>
  <c r="T11" i="61"/>
  <c r="P9" i="61"/>
  <c r="P11" i="61"/>
  <c r="P39" i="61"/>
  <c r="G9" i="61"/>
  <c r="G11" i="61"/>
  <c r="P34" i="61"/>
  <c r="P94" i="61"/>
  <c r="P95" i="61" s="1"/>
  <c r="P128" i="61"/>
  <c r="AD13" i="61"/>
  <c r="AD131" i="61"/>
  <c r="AD79" i="61" s="1"/>
  <c r="AD63" i="61" s="1"/>
  <c r="L195" i="61"/>
  <c r="Z131" i="61"/>
  <c r="Z79" i="61" s="1"/>
  <c r="V13" i="61"/>
  <c r="V131" i="61"/>
  <c r="V79" i="61" s="1"/>
  <c r="R131" i="61"/>
  <c r="R79" i="61" s="1"/>
  <c r="B4" i="67"/>
  <c r="E131" i="61"/>
  <c r="E79" i="61" s="1"/>
  <c r="B4" i="69" s="1"/>
  <c r="AB49" i="61"/>
  <c r="G49" i="61"/>
  <c r="AB192" i="61"/>
  <c r="X192" i="61"/>
  <c r="T192" i="61"/>
  <c r="G192" i="61"/>
  <c r="AC20" i="61"/>
  <c r="AD75" i="61"/>
  <c r="L75" i="61"/>
  <c r="AC132" i="61"/>
  <c r="AC140" i="61"/>
  <c r="Z75" i="61"/>
  <c r="Y132" i="61"/>
  <c r="Y140" i="61"/>
  <c r="V75" i="61"/>
  <c r="U20" i="61"/>
  <c r="U140" i="61"/>
  <c r="H20" i="61"/>
  <c r="E4" i="65" s="1"/>
  <c r="H140" i="61"/>
  <c r="E75" i="61"/>
  <c r="O21" i="61"/>
  <c r="O183" i="61"/>
  <c r="AC181" i="61"/>
  <c r="Y181" i="61"/>
  <c r="U181" i="61"/>
  <c r="H181" i="61"/>
  <c r="AC36" i="61"/>
  <c r="AC31" i="61"/>
  <c r="AC203" i="61"/>
  <c r="Y36" i="61"/>
  <c r="Y203" i="61"/>
  <c r="U36" i="61"/>
  <c r="U33" i="61"/>
  <c r="U203" i="61"/>
  <c r="H36" i="61"/>
  <c r="H31" i="61"/>
  <c r="E3" i="63" s="1"/>
  <c r="H33" i="61"/>
  <c r="E2" i="63" s="1"/>
  <c r="H203" i="61"/>
  <c r="AC175" i="61"/>
  <c r="Y175" i="61"/>
  <c r="U175" i="61"/>
  <c r="H175" i="61"/>
  <c r="AC82" i="61"/>
  <c r="Q66" i="61"/>
  <c r="T82" i="61"/>
  <c r="H66" i="61"/>
  <c r="H82" i="61"/>
  <c r="O43" i="61"/>
  <c r="O121" i="61"/>
  <c r="K39" i="61"/>
  <c r="K120" i="61"/>
  <c r="G39" i="61"/>
  <c r="G35" i="61"/>
  <c r="G42" i="61"/>
  <c r="G81" i="61"/>
  <c r="G120" i="61"/>
  <c r="I167" i="61"/>
  <c r="E167" i="61"/>
  <c r="P84" i="61"/>
  <c r="P120" i="61"/>
  <c r="X78" i="61"/>
  <c r="AA59" i="61"/>
  <c r="AA62" i="61"/>
  <c r="AA138" i="61"/>
  <c r="W59" i="61"/>
  <c r="W125" i="61"/>
  <c r="W138" i="61"/>
  <c r="S59" i="61"/>
  <c r="S67" i="61"/>
  <c r="S125" i="61"/>
  <c r="S138" i="61"/>
  <c r="O59" i="61"/>
  <c r="O61" i="61"/>
  <c r="O125" i="61"/>
  <c r="O138" i="61"/>
  <c r="J59" i="61"/>
  <c r="G3" i="66" s="1"/>
  <c r="J125" i="61"/>
  <c r="J138" i="61"/>
  <c r="C6" i="62"/>
  <c r="F59" i="61"/>
  <c r="C3" i="66" s="1"/>
  <c r="F138" i="61"/>
  <c r="AA154" i="61"/>
  <c r="W57" i="61"/>
  <c r="W154" i="61"/>
  <c r="S72" i="61"/>
  <c r="S154" i="61"/>
  <c r="O154" i="61"/>
  <c r="J154" i="61"/>
  <c r="F57" i="61"/>
  <c r="F154" i="61"/>
  <c r="AD56" i="61"/>
  <c r="AD65" i="61"/>
  <c r="Z56" i="61"/>
  <c r="Z65" i="61"/>
  <c r="Z73" i="61"/>
  <c r="V56" i="61"/>
  <c r="V65" i="61"/>
  <c r="R25" i="61"/>
  <c r="R56" i="61"/>
  <c r="R65" i="61"/>
  <c r="N56" i="61"/>
  <c r="N65" i="61"/>
  <c r="I56" i="61"/>
  <c r="F2" i="66" s="1"/>
  <c r="I65" i="61"/>
  <c r="I25" i="61"/>
  <c r="F5" i="65" s="1"/>
  <c r="I73" i="61"/>
  <c r="C4" i="62"/>
  <c r="G4" i="62"/>
  <c r="F4" i="62"/>
  <c r="B4" i="62"/>
  <c r="H4" i="62"/>
  <c r="D4" i="62"/>
  <c r="E56" i="61"/>
  <c r="B2" i="66" s="1"/>
  <c r="E65" i="61"/>
  <c r="E4" i="62"/>
  <c r="AB74" i="61"/>
  <c r="AB144" i="61"/>
  <c r="K80" i="61"/>
  <c r="H2" i="69" s="1"/>
  <c r="K144" i="61"/>
  <c r="D2" i="62"/>
  <c r="G144" i="61"/>
  <c r="J137" i="61"/>
  <c r="F137" i="61"/>
  <c r="AD244" i="61"/>
  <c r="AB242" i="61"/>
  <c r="X242" i="61"/>
  <c r="P242" i="61"/>
  <c r="G242" i="61"/>
  <c r="AB236" i="61"/>
  <c r="X236" i="61"/>
  <c r="T236" i="61"/>
  <c r="P236" i="61"/>
  <c r="G236" i="61"/>
  <c r="N234" i="61"/>
  <c r="W233" i="61"/>
  <c r="P232" i="61"/>
  <c r="P228" i="61"/>
  <c r="AC227" i="61"/>
  <c r="Y227" i="61"/>
  <c r="U227" i="61"/>
  <c r="H227" i="61"/>
  <c r="L219" i="61"/>
  <c r="AB216" i="61"/>
  <c r="X216" i="61"/>
  <c r="T216" i="61"/>
  <c r="G216" i="61"/>
  <c r="AA206" i="61"/>
  <c r="F206" i="61"/>
  <c r="U205" i="61"/>
  <c r="Y199" i="61"/>
  <c r="AD195" i="61"/>
  <c r="X194" i="61"/>
  <c r="P188" i="61"/>
  <c r="Y179" i="61"/>
  <c r="S171" i="61"/>
  <c r="AA169" i="61"/>
  <c r="J169" i="61"/>
  <c r="AD168" i="61"/>
  <c r="N168" i="61"/>
  <c r="X159" i="61"/>
  <c r="G159" i="61"/>
  <c r="AA156" i="61"/>
  <c r="J156" i="61"/>
  <c r="V153" i="61"/>
  <c r="E153" i="61"/>
  <c r="P139" i="61"/>
  <c r="Z129" i="61"/>
  <c r="O124" i="61"/>
  <c r="AD123" i="61"/>
  <c r="N123" i="61"/>
  <c r="AB122" i="61"/>
  <c r="K122" i="61"/>
  <c r="AB117" i="61"/>
  <c r="P116" i="61"/>
  <c r="T115" i="61"/>
  <c r="P110" i="61"/>
  <c r="P111" i="61" s="1"/>
  <c r="AB82" i="61"/>
  <c r="G80" i="61"/>
  <c r="D2" i="69" s="1"/>
  <c r="V73" i="61"/>
  <c r="N73" i="61"/>
  <c r="J72" i="61"/>
  <c r="O67" i="61"/>
  <c r="F67" i="61"/>
  <c r="Z66" i="61"/>
  <c r="S62" i="61"/>
  <c r="W61" i="61"/>
  <c r="AA57" i="61"/>
  <c r="G44" i="61"/>
  <c r="P42" i="61"/>
  <c r="Y33" i="61"/>
  <c r="Y31" i="61"/>
  <c r="R13" i="61"/>
  <c r="C5" i="62"/>
  <c r="T85" i="61" l="1"/>
  <c r="AB7" i="61"/>
  <c r="F155" i="61"/>
  <c r="L227" i="61"/>
  <c r="X31" i="57"/>
  <c r="V121" i="61"/>
  <c r="W82" i="61"/>
  <c r="Z21" i="61"/>
  <c r="I229" i="61"/>
  <c r="I181" i="61"/>
  <c r="AB21" i="61"/>
  <c r="U189" i="61"/>
  <c r="S7" i="61"/>
  <c r="X213" i="61"/>
  <c r="AB183" i="61"/>
  <c r="K210" i="61"/>
  <c r="I48" i="61"/>
  <c r="D16" i="58"/>
  <c r="E78" i="61" s="1"/>
  <c r="B3" i="69" s="1"/>
  <c r="Z54" i="57"/>
  <c r="U82" i="61"/>
  <c r="K131" i="61"/>
  <c r="K79" i="61" s="1"/>
  <c r="H4" i="69" s="1"/>
  <c r="S207" i="61"/>
  <c r="V26" i="61"/>
  <c r="Z63" i="56"/>
  <c r="X63" i="61"/>
  <c r="T207" i="61"/>
  <c r="K226" i="61"/>
  <c r="S132" i="61"/>
  <c r="Z183" i="61"/>
  <c r="W237" i="61"/>
  <c r="AE29" i="56"/>
  <c r="I68" i="56"/>
  <c r="J22" i="61" s="1"/>
  <c r="L241" i="61"/>
  <c r="S183" i="61"/>
  <c r="AA28" i="61"/>
  <c r="Z231" i="61"/>
  <c r="K31" i="61"/>
  <c r="H3" i="63" s="1"/>
  <c r="AA231" i="61"/>
  <c r="I40" i="61"/>
  <c r="L7" i="61"/>
  <c r="S40" i="61"/>
  <c r="K121" i="61"/>
  <c r="K26" i="61"/>
  <c r="Y28" i="61"/>
  <c r="C18" i="56"/>
  <c r="H21" i="61"/>
  <c r="J49" i="61"/>
  <c r="AA7" i="61"/>
  <c r="AG68" i="56"/>
  <c r="AB207" i="61"/>
  <c r="K74" i="61"/>
  <c r="AA21" i="61"/>
  <c r="J232" i="61"/>
  <c r="J181" i="61"/>
  <c r="I151" i="61"/>
  <c r="I35" i="61"/>
  <c r="U234" i="61"/>
  <c r="Z28" i="61"/>
  <c r="K40" i="55"/>
  <c r="K175" i="61"/>
  <c r="E204" i="61"/>
  <c r="K43" i="61"/>
  <c r="J9" i="61"/>
  <c r="I33" i="61"/>
  <c r="F2" i="63" s="1"/>
  <c r="X57" i="57"/>
  <c r="K117" i="61"/>
  <c r="H4" i="64" s="1"/>
  <c r="H132" i="61"/>
  <c r="K75" i="61"/>
  <c r="G2" i="67"/>
  <c r="J223" i="61"/>
  <c r="K12" i="56"/>
  <c r="AA207" i="61"/>
  <c r="I83" i="61"/>
  <c r="J211" i="61"/>
  <c r="H52" i="56"/>
  <c r="H63" i="56" s="1"/>
  <c r="J12" i="56"/>
  <c r="H183" i="61"/>
  <c r="K199" i="61"/>
  <c r="R13" i="58"/>
  <c r="O58" i="61" s="1"/>
  <c r="W29" i="56"/>
  <c r="AA132" i="61"/>
  <c r="W28" i="61"/>
  <c r="S213" i="61"/>
  <c r="K219" i="61"/>
  <c r="AA85" i="61"/>
  <c r="AF40" i="57"/>
  <c r="W170" i="61"/>
  <c r="W207" i="61"/>
  <c r="X7" i="55"/>
  <c r="S85" i="61"/>
  <c r="E41" i="61"/>
  <c r="I20" i="61"/>
  <c r="F4" i="65" s="1"/>
  <c r="AC189" i="61"/>
  <c r="J186" i="61"/>
  <c r="J20" i="61"/>
  <c r="G4" i="65" s="1"/>
  <c r="J184" i="61"/>
  <c r="J140" i="61"/>
  <c r="U186" i="61"/>
  <c r="X68" i="56"/>
  <c r="X85" i="61"/>
  <c r="S21" i="61"/>
  <c r="I75" i="61"/>
  <c r="Z70" i="61"/>
  <c r="I166" i="61"/>
  <c r="J65" i="61"/>
  <c r="V63" i="61"/>
  <c r="H43" i="61"/>
  <c r="J61" i="61"/>
  <c r="G4" i="66" s="1"/>
  <c r="I110" i="61"/>
  <c r="I111" i="61" s="1"/>
  <c r="F2" i="64" s="1"/>
  <c r="T21" i="61"/>
  <c r="W183" i="61"/>
  <c r="K11" i="61"/>
  <c r="I130" i="61"/>
  <c r="K40" i="57"/>
  <c r="J50" i="61"/>
  <c r="J179" i="61"/>
  <c r="K69" i="56"/>
  <c r="K70" i="56" s="1"/>
  <c r="K195" i="61"/>
  <c r="J75" i="61"/>
  <c r="J195" i="61"/>
  <c r="AA71" i="61"/>
  <c r="I228" i="61"/>
  <c r="G29" i="56"/>
  <c r="J213" i="61"/>
  <c r="T63" i="61"/>
  <c r="AB50" i="57"/>
  <c r="H231" i="61"/>
  <c r="I63" i="56"/>
  <c r="J208" i="61"/>
  <c r="O155" i="61"/>
  <c r="E121" i="61"/>
  <c r="I178" i="61"/>
  <c r="F207" i="61"/>
  <c r="T132" i="61"/>
  <c r="X63" i="56"/>
  <c r="AF63" i="56"/>
  <c r="J219" i="61"/>
  <c r="J13" i="61"/>
  <c r="AA131" i="61"/>
  <c r="AA79" i="61" s="1"/>
  <c r="AA63" i="61" s="1"/>
  <c r="J52" i="61"/>
  <c r="X52" i="57"/>
  <c r="L233" i="61"/>
  <c r="S237" i="61"/>
  <c r="F71" i="61"/>
  <c r="E13" i="58"/>
  <c r="F58" i="61" s="1"/>
  <c r="E15" i="58"/>
  <c r="E29" i="56"/>
  <c r="V210" i="61"/>
  <c r="AB40" i="57"/>
  <c r="V29" i="56"/>
  <c r="K208" i="61"/>
  <c r="O70" i="61"/>
  <c r="F21" i="61"/>
  <c r="H84" i="61"/>
  <c r="W231" i="61"/>
  <c r="I204" i="61"/>
  <c r="L230" i="61"/>
  <c r="J115" i="61"/>
  <c r="J189" i="61"/>
  <c r="E84" i="61"/>
  <c r="W21" i="61"/>
  <c r="H26" i="61"/>
  <c r="I31" i="56"/>
  <c r="L235" i="61"/>
  <c r="K20" i="61"/>
  <c r="H4" i="65" s="1"/>
  <c r="L226" i="61"/>
  <c r="J48" i="61"/>
  <c r="S70" i="61"/>
  <c r="L232" i="61"/>
  <c r="H4" i="67"/>
  <c r="J74" i="61"/>
  <c r="K62" i="61"/>
  <c r="K63" i="61" s="1"/>
  <c r="J188" i="61"/>
  <c r="K9" i="58"/>
  <c r="I65" i="56"/>
  <c r="J94" i="61" s="1"/>
  <c r="W7" i="61"/>
  <c r="K227" i="61"/>
  <c r="K203" i="61"/>
  <c r="J71" i="61"/>
  <c r="I13" i="58"/>
  <c r="J58" i="61" s="1"/>
  <c r="I15" i="58"/>
  <c r="AD183" i="61"/>
  <c r="AD231" i="61"/>
  <c r="K25" i="56"/>
  <c r="K29" i="56" s="1"/>
  <c r="S155" i="61"/>
  <c r="V13" i="58"/>
  <c r="S58" i="61" s="1"/>
  <c r="W71" i="61"/>
  <c r="Z13" i="58"/>
  <c r="W58" i="61" s="1"/>
  <c r="H97" i="61"/>
  <c r="E2" i="71" s="1"/>
  <c r="H102" i="61"/>
  <c r="H98" i="61"/>
  <c r="E3" i="71" s="1"/>
  <c r="H101" i="61"/>
  <c r="E5" i="71" s="1"/>
  <c r="H104" i="61"/>
  <c r="H100" i="61"/>
  <c r="H103" i="61"/>
  <c r="H99" i="61"/>
  <c r="E4" i="71" s="1"/>
  <c r="H105" i="61"/>
  <c r="P99" i="61"/>
  <c r="P103" i="61"/>
  <c r="P97" i="61"/>
  <c r="P102" i="61"/>
  <c r="P101" i="61"/>
  <c r="P104" i="61"/>
  <c r="P100" i="61"/>
  <c r="D3" i="69"/>
  <c r="L66" i="61"/>
  <c r="L82" i="61"/>
  <c r="L129" i="61"/>
  <c r="Z237" i="61"/>
  <c r="AC63" i="56"/>
  <c r="Z213" i="61"/>
  <c r="Z189" i="61"/>
  <c r="G186" i="61"/>
  <c r="G210" i="61"/>
  <c r="F68" i="56"/>
  <c r="G234" i="61"/>
  <c r="AC8" i="61"/>
  <c r="AC10" i="61"/>
  <c r="AC93" i="61"/>
  <c r="AC133" i="61"/>
  <c r="AC22" i="61"/>
  <c r="AF69" i="56"/>
  <c r="Q71" i="61"/>
  <c r="Q70" i="61" s="1"/>
  <c r="T13" i="58"/>
  <c r="Q155" i="61"/>
  <c r="U71" i="61"/>
  <c r="U170" i="61"/>
  <c r="X13" i="58"/>
  <c r="U155" i="61"/>
  <c r="X15" i="58"/>
  <c r="AC71" i="61"/>
  <c r="AC170" i="61"/>
  <c r="AF15" i="58"/>
  <c r="AF13" i="58"/>
  <c r="AC155" i="61"/>
  <c r="AB34" i="61"/>
  <c r="AB94" i="61"/>
  <c r="AB95" i="61" s="1"/>
  <c r="AB128" i="61"/>
  <c r="AB32" i="61"/>
  <c r="Q96" i="61"/>
  <c r="Q51" i="61"/>
  <c r="Q47" i="61" s="1"/>
  <c r="T32" i="61"/>
  <c r="T94" i="61"/>
  <c r="T128" i="61"/>
  <c r="T34" i="61"/>
  <c r="AB51" i="61"/>
  <c r="AB47" i="61" s="1"/>
  <c r="AB96" i="61"/>
  <c r="AC70" i="61"/>
  <c r="AA53" i="57"/>
  <c r="AA57" i="57" s="1"/>
  <c r="Z57" i="57"/>
  <c r="I49" i="61"/>
  <c r="I194" i="61"/>
  <c r="I218" i="61"/>
  <c r="I242" i="61"/>
  <c r="K49" i="61"/>
  <c r="K242" i="61"/>
  <c r="K194" i="61"/>
  <c r="K218" i="61"/>
  <c r="U70" i="61"/>
  <c r="O10" i="61"/>
  <c r="O28" i="61"/>
  <c r="O40" i="61"/>
  <c r="O8" i="61"/>
  <c r="O22" i="61"/>
  <c r="O93" i="61"/>
  <c r="O95" i="61" s="1"/>
  <c r="O133" i="61"/>
  <c r="R69" i="56"/>
  <c r="U80" i="61"/>
  <c r="U90" i="61"/>
  <c r="U131" i="61"/>
  <c r="U79" i="61" s="1"/>
  <c r="U63" i="61" s="1"/>
  <c r="U88" i="61"/>
  <c r="U122" i="61"/>
  <c r="AE34" i="57"/>
  <c r="C52" i="56"/>
  <c r="C63" i="56" s="1"/>
  <c r="C51" i="56"/>
  <c r="Q19" i="61"/>
  <c r="Q18" i="61"/>
  <c r="T70" i="56"/>
  <c r="Q17" i="61"/>
  <c r="K26" i="55"/>
  <c r="S26" i="61"/>
  <c r="S121" i="61"/>
  <c r="S43" i="61"/>
  <c r="S41" i="61"/>
  <c r="I41" i="61"/>
  <c r="I43" i="61"/>
  <c r="I84" i="61"/>
  <c r="I121" i="61"/>
  <c r="I26" i="61"/>
  <c r="AA32" i="57"/>
  <c r="AA41" i="57" s="1"/>
  <c r="Z41" i="57"/>
  <c r="AA29" i="56"/>
  <c r="X207" i="61"/>
  <c r="X132" i="61"/>
  <c r="X183" i="61"/>
  <c r="X231" i="61"/>
  <c r="L50" i="61"/>
  <c r="K37" i="55"/>
  <c r="F88" i="61"/>
  <c r="F90" i="61"/>
  <c r="F123" i="61"/>
  <c r="F124" i="61"/>
  <c r="F131" i="61"/>
  <c r="F79" i="61" s="1"/>
  <c r="C4" i="69" s="1"/>
  <c r="E16" i="58"/>
  <c r="E5" i="66"/>
  <c r="H63" i="61"/>
  <c r="F120" i="61"/>
  <c r="AA40" i="61"/>
  <c r="AA42" i="61"/>
  <c r="AA39" i="61"/>
  <c r="AA35" i="61"/>
  <c r="AA44" i="61"/>
  <c r="AE26" i="57"/>
  <c r="AD54" i="57"/>
  <c r="AD58" i="57"/>
  <c r="AA120" i="61"/>
  <c r="AE51" i="57"/>
  <c r="AD52" i="57"/>
  <c r="J65" i="56"/>
  <c r="J34" i="61"/>
  <c r="J128" i="61"/>
  <c r="F70" i="61"/>
  <c r="J192" i="61"/>
  <c r="J240" i="61"/>
  <c r="J216" i="61"/>
  <c r="I217" i="61"/>
  <c r="I193" i="61"/>
  <c r="I241" i="61"/>
  <c r="I196" i="61"/>
  <c r="I244" i="61"/>
  <c r="H64" i="56"/>
  <c r="I220" i="61"/>
  <c r="U52" i="61"/>
  <c r="X28" i="55"/>
  <c r="X11" i="55"/>
  <c r="AA237" i="61"/>
  <c r="AB213" i="61"/>
  <c r="AA213" i="61"/>
  <c r="AD63" i="56"/>
  <c r="AA189" i="61"/>
  <c r="P18" i="61"/>
  <c r="P17" i="61"/>
  <c r="P19" i="61"/>
  <c r="S70" i="56"/>
  <c r="J12" i="61"/>
  <c r="J133" i="61"/>
  <c r="L78" i="61"/>
  <c r="L85" i="61" s="1"/>
  <c r="O7" i="61"/>
  <c r="U132" i="61"/>
  <c r="K41" i="56"/>
  <c r="K51" i="56"/>
  <c r="K52" i="56"/>
  <c r="K63" i="56" s="1"/>
  <c r="N237" i="61"/>
  <c r="N213" i="61"/>
  <c r="Q63" i="56"/>
  <c r="N189" i="61"/>
  <c r="L189" i="61"/>
  <c r="L213" i="61"/>
  <c r="AD189" i="61"/>
  <c r="AD237" i="61"/>
  <c r="AG63" i="56"/>
  <c r="AD213" i="61"/>
  <c r="L237" i="61"/>
  <c r="K96" i="61"/>
  <c r="U124" i="61"/>
  <c r="X39" i="61"/>
  <c r="X35" i="61"/>
  <c r="X40" i="61"/>
  <c r="X42" i="61"/>
  <c r="X120" i="61"/>
  <c r="X44" i="61"/>
  <c r="AA58" i="57"/>
  <c r="H155" i="61"/>
  <c r="H170" i="61"/>
  <c r="H71" i="61"/>
  <c r="H70" i="61" s="1"/>
  <c r="G13" i="58"/>
  <c r="G15" i="58"/>
  <c r="P15" i="58"/>
  <c r="P13" i="58"/>
  <c r="P85" i="61"/>
  <c r="F128" i="61"/>
  <c r="Y51" i="61"/>
  <c r="Y96" i="61"/>
  <c r="AD26" i="61"/>
  <c r="AD43" i="61"/>
  <c r="AD41" i="61"/>
  <c r="AD121" i="61"/>
  <c r="R32" i="61"/>
  <c r="R94" i="61"/>
  <c r="R128" i="61"/>
  <c r="R34" i="61"/>
  <c r="W70" i="61"/>
  <c r="AA70" i="61"/>
  <c r="C5" i="66"/>
  <c r="T155" i="61"/>
  <c r="W13" i="58"/>
  <c r="T71" i="61"/>
  <c r="T70" i="61" s="1"/>
  <c r="W15" i="58"/>
  <c r="T170" i="61"/>
  <c r="K12" i="58"/>
  <c r="K15" i="58" s="1"/>
  <c r="F3" i="69"/>
  <c r="I85" i="61"/>
  <c r="I96" i="61"/>
  <c r="I51" i="61"/>
  <c r="D3" i="67"/>
  <c r="H3" i="67"/>
  <c r="F3" i="67"/>
  <c r="B3" i="67"/>
  <c r="G3" i="67"/>
  <c r="C3" i="67"/>
  <c r="E3" i="67"/>
  <c r="D63" i="56"/>
  <c r="E189" i="61"/>
  <c r="E237" i="61"/>
  <c r="E213" i="61"/>
  <c r="U32" i="61"/>
  <c r="U34" i="61"/>
  <c r="U94" i="61"/>
  <c r="U128" i="61"/>
  <c r="H19" i="61"/>
  <c r="H17" i="61"/>
  <c r="H18" i="61"/>
  <c r="G70" i="56"/>
  <c r="X26" i="55"/>
  <c r="F80" i="61"/>
  <c r="C2" i="69" s="1"/>
  <c r="AA13" i="58"/>
  <c r="X71" i="61"/>
  <c r="X70" i="61" s="1"/>
  <c r="X170" i="61"/>
  <c r="AA15" i="58"/>
  <c r="X155" i="61"/>
  <c r="AB71" i="61"/>
  <c r="AB70" i="61" s="1"/>
  <c r="AE13" i="58"/>
  <c r="AE15" i="58"/>
  <c r="AB155" i="61"/>
  <c r="AB170" i="61"/>
  <c r="AC51" i="61"/>
  <c r="AC47" i="61" s="1"/>
  <c r="AC96" i="61"/>
  <c r="C3" i="62"/>
  <c r="F27" i="61"/>
  <c r="F151" i="61"/>
  <c r="F130" i="61"/>
  <c r="F83" i="61"/>
  <c r="F166" i="61"/>
  <c r="AB26" i="57"/>
  <c r="AA81" i="61" s="1"/>
  <c r="U207" i="61"/>
  <c r="U231" i="61"/>
  <c r="H25" i="56"/>
  <c r="X29" i="56"/>
  <c r="U183" i="61"/>
  <c r="K193" i="61"/>
  <c r="K241" i="61"/>
  <c r="K217" i="61"/>
  <c r="I188" i="61"/>
  <c r="V10" i="61"/>
  <c r="V22" i="61"/>
  <c r="V8" i="61"/>
  <c r="V93" i="61"/>
  <c r="V95" i="61" s="1"/>
  <c r="V133" i="61"/>
  <c r="Y69" i="56"/>
  <c r="U22" i="61"/>
  <c r="O96" i="61"/>
  <c r="O51" i="61"/>
  <c r="O47" i="61" s="1"/>
  <c r="J121" i="61"/>
  <c r="J26" i="61"/>
  <c r="J84" i="61"/>
  <c r="J41" i="61"/>
  <c r="J43" i="61"/>
  <c r="J40" i="61"/>
  <c r="AE32" i="57"/>
  <c r="AE43" i="57"/>
  <c r="AF43" i="57" s="1"/>
  <c r="K43" i="57"/>
  <c r="F213" i="61"/>
  <c r="F10" i="61"/>
  <c r="C3" i="65" s="1"/>
  <c r="F8" i="61"/>
  <c r="C2" i="65" s="1"/>
  <c r="F12" i="61"/>
  <c r="F22" i="61"/>
  <c r="F133" i="61"/>
  <c r="F93" i="61"/>
  <c r="E69" i="56"/>
  <c r="R8" i="61"/>
  <c r="R22" i="61"/>
  <c r="R10" i="61"/>
  <c r="R133" i="61"/>
  <c r="R93" i="61"/>
  <c r="U69" i="56"/>
  <c r="U123" i="61"/>
  <c r="U25" i="61"/>
  <c r="H51" i="61"/>
  <c r="H47" i="61" s="1"/>
  <c r="H96" i="61"/>
  <c r="K182" i="61"/>
  <c r="K206" i="61"/>
  <c r="J20" i="56"/>
  <c r="K230" i="61"/>
  <c r="F28" i="61"/>
  <c r="AA80" i="61"/>
  <c r="AA88" i="61"/>
  <c r="AA124" i="61"/>
  <c r="AA90" i="61"/>
  <c r="AA122" i="61"/>
  <c r="W96" i="61"/>
  <c r="W51" i="61"/>
  <c r="W47" i="61" s="1"/>
  <c r="S63" i="61"/>
  <c r="F125" i="61"/>
  <c r="AC7" i="61"/>
  <c r="G51" i="61"/>
  <c r="G47" i="61" s="1"/>
  <c r="G96" i="61"/>
  <c r="Z63" i="61"/>
  <c r="T15" i="58"/>
  <c r="X7" i="61"/>
  <c r="Y47" i="61"/>
  <c r="K187" i="61"/>
  <c r="K211" i="61"/>
  <c r="K235" i="61"/>
  <c r="J41" i="56"/>
  <c r="J52" i="56"/>
  <c r="R189" i="61"/>
  <c r="R213" i="61"/>
  <c r="U63" i="56"/>
  <c r="R237" i="61"/>
  <c r="F4" i="67"/>
  <c r="I13" i="61"/>
  <c r="I131" i="61"/>
  <c r="I79" i="61" s="1"/>
  <c r="F4" i="69" s="1"/>
  <c r="I195" i="61"/>
  <c r="I219" i="61"/>
  <c r="I243" i="61"/>
  <c r="I62" i="61"/>
  <c r="H61" i="56"/>
  <c r="K8" i="61"/>
  <c r="H2" i="65" s="1"/>
  <c r="K10" i="61"/>
  <c r="H3" i="65" s="1"/>
  <c r="K12" i="61"/>
  <c r="K133" i="61"/>
  <c r="K40" i="61"/>
  <c r="K22" i="61"/>
  <c r="K93" i="61"/>
  <c r="D3" i="62"/>
  <c r="G83" i="61"/>
  <c r="G27" i="61"/>
  <c r="G151" i="61"/>
  <c r="G130" i="61"/>
  <c r="G166" i="61"/>
  <c r="V96" i="61"/>
  <c r="V51" i="61"/>
  <c r="V47" i="61" s="1"/>
  <c r="X34" i="61"/>
  <c r="X94" i="61"/>
  <c r="X128" i="61"/>
  <c r="X32" i="61"/>
  <c r="J202" i="61"/>
  <c r="K110" i="61"/>
  <c r="K111" i="61" s="1"/>
  <c r="H2" i="64" s="1"/>
  <c r="J178" i="61"/>
  <c r="K202" i="61"/>
  <c r="J226" i="61"/>
  <c r="Y155" i="61"/>
  <c r="Y71" i="61"/>
  <c r="Y70" i="61" s="1"/>
  <c r="AB13" i="58"/>
  <c r="AB15" i="58"/>
  <c r="Y170" i="61"/>
  <c r="N51" i="61"/>
  <c r="N47" i="61" s="1"/>
  <c r="N96" i="61"/>
  <c r="L32" i="61"/>
  <c r="AD34" i="61"/>
  <c r="AD128" i="61"/>
  <c r="AD32" i="61"/>
  <c r="L34" i="61"/>
  <c r="L94" i="61"/>
  <c r="AD94" i="61"/>
  <c r="L128" i="61"/>
  <c r="I12" i="56"/>
  <c r="V7" i="61"/>
  <c r="K31" i="56"/>
  <c r="U50" i="61"/>
  <c r="X37" i="55"/>
  <c r="R28" i="61"/>
  <c r="AD28" i="61"/>
  <c r="T31" i="56"/>
  <c r="T29" i="56"/>
  <c r="AA128" i="61"/>
  <c r="X40" i="55"/>
  <c r="F122" i="61"/>
  <c r="G170" i="61"/>
  <c r="G71" i="61"/>
  <c r="G70" i="61" s="1"/>
  <c r="F13" i="58"/>
  <c r="G155" i="61"/>
  <c r="F15" i="58"/>
  <c r="D5" i="66"/>
  <c r="G63" i="61"/>
  <c r="S51" i="61"/>
  <c r="S47" i="61" s="1"/>
  <c r="S96" i="61"/>
  <c r="T39" i="61"/>
  <c r="T44" i="61"/>
  <c r="T120" i="61"/>
  <c r="T35" i="61"/>
  <c r="W54" i="57"/>
  <c r="W58" i="57"/>
  <c r="T42" i="61"/>
  <c r="T40" i="61"/>
  <c r="X26" i="57"/>
  <c r="Y8" i="61"/>
  <c r="Y10" i="61"/>
  <c r="Y93" i="61"/>
  <c r="Y22" i="61"/>
  <c r="Y133" i="61"/>
  <c r="AB69" i="56"/>
  <c r="E10" i="61"/>
  <c r="B3" i="65" s="1"/>
  <c r="E22" i="61"/>
  <c r="E12" i="61"/>
  <c r="E93" i="61"/>
  <c r="E95" i="61" s="1"/>
  <c r="E105" i="61" s="1"/>
  <c r="E8" i="61"/>
  <c r="B2" i="65" s="1"/>
  <c r="D69" i="56"/>
  <c r="E133" i="61"/>
  <c r="I10" i="61"/>
  <c r="F3" i="65" s="1"/>
  <c r="I8" i="61"/>
  <c r="F2" i="65" s="1"/>
  <c r="I22" i="61"/>
  <c r="I12" i="61"/>
  <c r="I93" i="61"/>
  <c r="I133" i="61"/>
  <c r="AC28" i="61"/>
  <c r="J96" i="61"/>
  <c r="J51" i="61"/>
  <c r="T51" i="61"/>
  <c r="T47" i="61" s="1"/>
  <c r="T96" i="61"/>
  <c r="M15" i="58"/>
  <c r="AD71" i="61"/>
  <c r="AD70" i="61" s="1"/>
  <c r="AD155" i="61"/>
  <c r="AD170" i="61"/>
  <c r="AG13" i="58"/>
  <c r="I71" i="61"/>
  <c r="I155" i="61"/>
  <c r="H13" i="58"/>
  <c r="J170" i="61"/>
  <c r="I170" i="61"/>
  <c r="L62" i="61"/>
  <c r="L156" i="61"/>
  <c r="L59" i="61"/>
  <c r="L171" i="61"/>
  <c r="L61" i="61"/>
  <c r="L125" i="61"/>
  <c r="L138" i="61"/>
  <c r="L67" i="61"/>
  <c r="U125" i="61"/>
  <c r="F81" i="61"/>
  <c r="AF32" i="57"/>
  <c r="G94" i="61"/>
  <c r="G128" i="61"/>
  <c r="G32" i="61"/>
  <c r="D4" i="63" s="1"/>
  <c r="G34" i="61"/>
  <c r="H65" i="56"/>
  <c r="H69" i="56" s="1"/>
  <c r="H12" i="56"/>
  <c r="AC32" i="61"/>
  <c r="AC34" i="61"/>
  <c r="AC94" i="61"/>
  <c r="AC128" i="61"/>
  <c r="AC231" i="61"/>
  <c r="AF29" i="56"/>
  <c r="AC207" i="61"/>
  <c r="AC183" i="61"/>
  <c r="J25" i="56"/>
  <c r="I185" i="61"/>
  <c r="I209" i="61"/>
  <c r="I233" i="61"/>
  <c r="K209" i="61"/>
  <c r="K233" i="61"/>
  <c r="K185" i="61"/>
  <c r="I240" i="61"/>
  <c r="I216" i="61"/>
  <c r="I192" i="61"/>
  <c r="K192" i="61"/>
  <c r="K216" i="61"/>
  <c r="K240" i="61"/>
  <c r="J193" i="61"/>
  <c r="J217" i="61"/>
  <c r="J241" i="61"/>
  <c r="W63" i="61"/>
  <c r="K196" i="61"/>
  <c r="K220" i="61"/>
  <c r="K244" i="61"/>
  <c r="J64" i="56"/>
  <c r="Q95" i="61"/>
  <c r="N8" i="61"/>
  <c r="N22" i="61"/>
  <c r="N40" i="61"/>
  <c r="N133" i="61"/>
  <c r="Q69" i="56"/>
  <c r="N93" i="61"/>
  <c r="N10" i="61"/>
  <c r="N28" i="61"/>
  <c r="AA22" i="61"/>
  <c r="AA93" i="61"/>
  <c r="AA8" i="61"/>
  <c r="AA10" i="61"/>
  <c r="AD69" i="56"/>
  <c r="AA133" i="61"/>
  <c r="E71" i="61"/>
  <c r="E155" i="61"/>
  <c r="D13" i="58"/>
  <c r="X41" i="57"/>
  <c r="K53" i="57"/>
  <c r="I206" i="61"/>
  <c r="I230" i="61"/>
  <c r="I182" i="61"/>
  <c r="H20" i="56"/>
  <c r="U21" i="61"/>
  <c r="J182" i="61"/>
  <c r="K116" i="61"/>
  <c r="H3" i="64" s="1"/>
  <c r="I20" i="56"/>
  <c r="J67" i="61"/>
  <c r="J206" i="61"/>
  <c r="J230" i="61"/>
  <c r="H41" i="56"/>
  <c r="L8" i="61"/>
  <c r="AD8" i="61"/>
  <c r="L10" i="61"/>
  <c r="AD10" i="61"/>
  <c r="AD22" i="61"/>
  <c r="L22" i="61"/>
  <c r="L93" i="61"/>
  <c r="L133" i="61"/>
  <c r="AD133" i="61"/>
  <c r="AD93" i="61"/>
  <c r="AG69" i="56"/>
  <c r="P105" i="61"/>
  <c r="P28" i="61"/>
  <c r="AB28" i="61"/>
  <c r="R96" i="61"/>
  <c r="R51" i="61"/>
  <c r="R47" i="61" s="1"/>
  <c r="L90" i="61"/>
  <c r="L88" i="61"/>
  <c r="L131" i="61"/>
  <c r="L79" i="61" s="1"/>
  <c r="K186" i="61"/>
  <c r="J62" i="61"/>
  <c r="K35" i="61"/>
  <c r="E70" i="61"/>
  <c r="Y7" i="61"/>
  <c r="R63" i="61"/>
  <c r="N95" i="61"/>
  <c r="AA123" i="61"/>
  <c r="B5" i="66"/>
  <c r="E63" i="61"/>
  <c r="N63" i="61"/>
  <c r="V40" i="61"/>
  <c r="R41" i="61"/>
  <c r="R43" i="61"/>
  <c r="R26" i="61"/>
  <c r="R121" i="61"/>
  <c r="K48" i="61"/>
  <c r="V189" i="61"/>
  <c r="V213" i="61"/>
  <c r="V237" i="61"/>
  <c r="Y63" i="56"/>
  <c r="X10" i="61"/>
  <c r="X8" i="61"/>
  <c r="X133" i="61"/>
  <c r="X22" i="61"/>
  <c r="AA69" i="56"/>
  <c r="X93" i="61"/>
  <c r="L57" i="61"/>
  <c r="L72" i="61"/>
  <c r="L154" i="61"/>
  <c r="L124" i="61"/>
  <c r="L169" i="61"/>
  <c r="W41" i="61"/>
  <c r="W121" i="61"/>
  <c r="W26" i="61"/>
  <c r="W43" i="61"/>
  <c r="J180" i="61"/>
  <c r="J204" i="61"/>
  <c r="K115" i="61"/>
  <c r="J228" i="61"/>
  <c r="H3" i="62"/>
  <c r="K83" i="61"/>
  <c r="K130" i="61"/>
  <c r="K166" i="61"/>
  <c r="K27" i="61"/>
  <c r="K151" i="61"/>
  <c r="X21" i="61"/>
  <c r="K65" i="61"/>
  <c r="AD207" i="61"/>
  <c r="AD41" i="57"/>
  <c r="AB45" i="57"/>
  <c r="AA52" i="57"/>
  <c r="AB53" i="57"/>
  <c r="AB57" i="57" s="1"/>
  <c r="V207" i="61"/>
  <c r="AD186" i="61"/>
  <c r="AD234" i="61"/>
  <c r="AD210" i="61"/>
  <c r="L186" i="61"/>
  <c r="L210" i="61"/>
  <c r="L234" i="61"/>
  <c r="J61" i="56"/>
  <c r="E96" i="61"/>
  <c r="E51" i="61"/>
  <c r="E47" i="61" s="1"/>
  <c r="X51" i="61"/>
  <c r="X47" i="61" s="1"/>
  <c r="X96" i="61"/>
  <c r="L110" i="61"/>
  <c r="L111" i="61" s="1"/>
  <c r="L117" i="61"/>
  <c r="L159" i="61"/>
  <c r="K7" i="58"/>
  <c r="L74" i="61"/>
  <c r="L80" i="61"/>
  <c r="L115" i="61"/>
  <c r="L244" i="61"/>
  <c r="L144" i="61"/>
  <c r="L139" i="61"/>
  <c r="L228" i="61"/>
  <c r="L242" i="61"/>
  <c r="L116" i="61"/>
  <c r="L223" i="61"/>
  <c r="L243" i="61"/>
  <c r="L240" i="61"/>
  <c r="L122" i="61"/>
  <c r="R40" i="61"/>
  <c r="H31" i="56"/>
  <c r="I237" i="61"/>
  <c r="I213" i="61"/>
  <c r="I61" i="56"/>
  <c r="Z22" i="61"/>
  <c r="Z10" i="61"/>
  <c r="Z93" i="61"/>
  <c r="Z95" i="61" s="1"/>
  <c r="Z105" i="61" s="1"/>
  <c r="Z8" i="61"/>
  <c r="AC69" i="56"/>
  <c r="Z133" i="61"/>
  <c r="K11" i="55"/>
  <c r="K28" i="55"/>
  <c r="L52" i="61"/>
  <c r="J110" i="61"/>
  <c r="J111" i="61" s="1"/>
  <c r="G2" i="64" s="1"/>
  <c r="J27" i="61"/>
  <c r="J83" i="61"/>
  <c r="J151" i="61"/>
  <c r="J166" i="61"/>
  <c r="J130" i="61"/>
  <c r="G3" i="62"/>
  <c r="V71" i="61"/>
  <c r="V70" i="61" s="1"/>
  <c r="V155" i="61"/>
  <c r="V170" i="61"/>
  <c r="Y13" i="58"/>
  <c r="K71" i="61"/>
  <c r="K170" i="61"/>
  <c r="J13" i="58"/>
  <c r="K155" i="61"/>
  <c r="J15" i="58"/>
  <c r="K67" i="61"/>
  <c r="P170" i="61"/>
  <c r="S13" i="58"/>
  <c r="P71" i="61"/>
  <c r="P70" i="61" s="1"/>
  <c r="P155" i="61"/>
  <c r="S15" i="58"/>
  <c r="G3" i="69"/>
  <c r="J85" i="61"/>
  <c r="W85" i="61"/>
  <c r="S84" i="61"/>
  <c r="K48" i="57"/>
  <c r="Z41" i="61"/>
  <c r="Z43" i="61"/>
  <c r="Z121" i="61"/>
  <c r="Z26" i="61"/>
  <c r="I186" i="61"/>
  <c r="L28" i="61"/>
  <c r="K34" i="55"/>
  <c r="F66" i="61"/>
  <c r="F129" i="61"/>
  <c r="C3" i="68" s="1"/>
  <c r="F82" i="61"/>
  <c r="N71" i="61"/>
  <c r="N70" i="61" s="1"/>
  <c r="N155" i="61"/>
  <c r="N170" i="61"/>
  <c r="Q13" i="58"/>
  <c r="R71" i="61"/>
  <c r="R70" i="61" s="1"/>
  <c r="R155" i="61"/>
  <c r="S170" i="61"/>
  <c r="U13" i="58"/>
  <c r="O170" i="61"/>
  <c r="Q63" i="61"/>
  <c r="Y63" i="61"/>
  <c r="AC63" i="61"/>
  <c r="AD51" i="61"/>
  <c r="AD47" i="61" s="1"/>
  <c r="AD96" i="61"/>
  <c r="F41" i="61"/>
  <c r="F121" i="61"/>
  <c r="F43" i="61"/>
  <c r="F26" i="61"/>
  <c r="F84" i="61"/>
  <c r="Z40" i="61"/>
  <c r="U66" i="61"/>
  <c r="U129" i="61"/>
  <c r="X82" i="61"/>
  <c r="Y32" i="61"/>
  <c r="Y128" i="61"/>
  <c r="Y94" i="61"/>
  <c r="Y34" i="61"/>
  <c r="Y231" i="61"/>
  <c r="I25" i="56"/>
  <c r="J21" i="61" s="1"/>
  <c r="Y183" i="61"/>
  <c r="AB29" i="56"/>
  <c r="Y207" i="61"/>
  <c r="F132" i="61"/>
  <c r="E7" i="61"/>
  <c r="J233" i="61"/>
  <c r="J185" i="61"/>
  <c r="I41" i="56"/>
  <c r="J209" i="61"/>
  <c r="J218" i="61"/>
  <c r="J220" i="61"/>
  <c r="I64" i="56"/>
  <c r="J196" i="61"/>
  <c r="J244" i="61"/>
  <c r="T10" i="61"/>
  <c r="T8" i="61"/>
  <c r="T22" i="61"/>
  <c r="T133" i="61"/>
  <c r="T93" i="61"/>
  <c r="W69" i="56"/>
  <c r="T28" i="61"/>
  <c r="Z96" i="61"/>
  <c r="Z51" i="61"/>
  <c r="Z47" i="61" s="1"/>
  <c r="E3" i="62"/>
  <c r="H27" i="61"/>
  <c r="H166" i="61"/>
  <c r="H60" i="61"/>
  <c r="H83" i="61"/>
  <c r="H130" i="61"/>
  <c r="H151" i="61"/>
  <c r="L25" i="61"/>
  <c r="L123" i="61"/>
  <c r="L65" i="61"/>
  <c r="L153" i="61"/>
  <c r="K11" i="58"/>
  <c r="L56" i="61"/>
  <c r="L168" i="61"/>
  <c r="L73" i="61"/>
  <c r="K8" i="58"/>
  <c r="H15" i="58"/>
  <c r="Z170" i="61"/>
  <c r="Y21" i="61"/>
  <c r="S29" i="56"/>
  <c r="S31" i="56"/>
  <c r="I187" i="61"/>
  <c r="S8" i="61"/>
  <c r="S10" i="61"/>
  <c r="S22" i="61"/>
  <c r="S93" i="61"/>
  <c r="S95" i="61" s="1"/>
  <c r="S133" i="61"/>
  <c r="V69" i="56"/>
  <c r="W8" i="61"/>
  <c r="W10" i="61"/>
  <c r="W133" i="61"/>
  <c r="W22" i="61"/>
  <c r="W93" i="61"/>
  <c r="W95" i="61" s="1"/>
  <c r="Z69" i="56"/>
  <c r="O237" i="61"/>
  <c r="O189" i="61"/>
  <c r="R63" i="56"/>
  <c r="O213" i="61"/>
  <c r="P213" i="61"/>
  <c r="AE69" i="56"/>
  <c r="S28" i="61"/>
  <c r="X34" i="55"/>
  <c r="J8" i="61" l="1"/>
  <c r="G2" i="65" s="1"/>
  <c r="J10" i="61"/>
  <c r="G3" i="65" s="1"/>
  <c r="K70" i="61"/>
  <c r="I189" i="61"/>
  <c r="J28" i="61"/>
  <c r="J93" i="61"/>
  <c r="J32" i="61"/>
  <c r="G4" i="63" s="1"/>
  <c r="H5" i="66"/>
  <c r="Y81" i="61"/>
  <c r="K28" i="61"/>
  <c r="I69" i="56"/>
  <c r="J70" i="61"/>
  <c r="J47" i="61"/>
  <c r="X95" i="61"/>
  <c r="X105" i="61" s="1"/>
  <c r="I70" i="61"/>
  <c r="AD40" i="61"/>
  <c r="AD7" i="61"/>
  <c r="C20" i="56"/>
  <c r="E205" i="61"/>
  <c r="U10" i="61"/>
  <c r="U8" i="61"/>
  <c r="U93" i="61"/>
  <c r="U95" i="61" s="1"/>
  <c r="I47" i="61"/>
  <c r="U133" i="61"/>
  <c r="AB52" i="57"/>
  <c r="X69" i="56"/>
  <c r="U17" i="61" s="1"/>
  <c r="F63" i="61"/>
  <c r="AE52" i="57"/>
  <c r="T95" i="61"/>
  <c r="T102" i="61" s="1"/>
  <c r="V28" i="61"/>
  <c r="AA54" i="57"/>
  <c r="U28" i="61"/>
  <c r="U7" i="61"/>
  <c r="O100" i="61"/>
  <c r="O104" i="61"/>
  <c r="O99" i="61"/>
  <c r="O102" i="61"/>
  <c r="O101" i="61"/>
  <c r="O97" i="61"/>
  <c r="O103" i="61"/>
  <c r="O105" i="61"/>
  <c r="S100" i="61"/>
  <c r="S104" i="61"/>
  <c r="S101" i="61"/>
  <c r="S103" i="61"/>
  <c r="S99" i="61"/>
  <c r="S97" i="61"/>
  <c r="S102" i="61"/>
  <c r="S105" i="61"/>
  <c r="V101" i="61"/>
  <c r="V97" i="61"/>
  <c r="V100" i="61"/>
  <c r="V103" i="61"/>
  <c r="V99" i="61"/>
  <c r="V102" i="61"/>
  <c r="V104" i="61"/>
  <c r="V105" i="61"/>
  <c r="W100" i="61"/>
  <c r="W104" i="61"/>
  <c r="W97" i="61"/>
  <c r="W103" i="61"/>
  <c r="W99" i="61"/>
  <c r="W102" i="61"/>
  <c r="W101" i="61"/>
  <c r="W105" i="61"/>
  <c r="AB19" i="61"/>
  <c r="AB17" i="61"/>
  <c r="AB18" i="61"/>
  <c r="AE70" i="56"/>
  <c r="AB64" i="61" s="1"/>
  <c r="L83" i="61"/>
  <c r="L27" i="61"/>
  <c r="L151" i="61"/>
  <c r="L130" i="61"/>
  <c r="R58" i="61"/>
  <c r="N58" i="61"/>
  <c r="K58" i="61"/>
  <c r="Z18" i="61"/>
  <c r="AC70" i="56"/>
  <c r="Z17" i="61"/>
  <c r="Z19" i="61"/>
  <c r="L12" i="61"/>
  <c r="AD58" i="61"/>
  <c r="I18" i="61"/>
  <c r="I19" i="61"/>
  <c r="H70" i="56"/>
  <c r="I17" i="61"/>
  <c r="T26" i="61"/>
  <c r="T41" i="61"/>
  <c r="T43" i="61"/>
  <c r="T121" i="61"/>
  <c r="L95" i="61"/>
  <c r="Y58" i="61"/>
  <c r="X99" i="61"/>
  <c r="X103" i="61"/>
  <c r="X101" i="61"/>
  <c r="X104" i="61"/>
  <c r="X100" i="61"/>
  <c r="X97" i="61"/>
  <c r="X102" i="61"/>
  <c r="Y39" i="61"/>
  <c r="Y44" i="61"/>
  <c r="Y120" i="61"/>
  <c r="Y40" i="61"/>
  <c r="Y42" i="61"/>
  <c r="Y35" i="61"/>
  <c r="AB54" i="57"/>
  <c r="AB58" i="57"/>
  <c r="AB81" i="61"/>
  <c r="Z81" i="61"/>
  <c r="J17" i="61"/>
  <c r="J18" i="61"/>
  <c r="J19" i="61"/>
  <c r="I70" i="56"/>
  <c r="U58" i="61"/>
  <c r="Q58" i="61"/>
  <c r="Q64" i="61"/>
  <c r="AC19" i="61"/>
  <c r="AC17" i="61"/>
  <c r="AF70" i="56"/>
  <c r="AC18" i="61"/>
  <c r="T17" i="61"/>
  <c r="T19" i="61"/>
  <c r="T18" i="61"/>
  <c r="W70" i="56"/>
  <c r="AF51" i="57"/>
  <c r="AF52" i="57" s="1"/>
  <c r="X18" i="61"/>
  <c r="X17" i="61"/>
  <c r="AA70" i="56"/>
  <c r="X19" i="61"/>
  <c r="N101" i="61"/>
  <c r="N104" i="61"/>
  <c r="N97" i="61"/>
  <c r="N99" i="61"/>
  <c r="N102" i="61"/>
  <c r="N103" i="61"/>
  <c r="N100" i="61"/>
  <c r="AD18" i="61"/>
  <c r="L19" i="61"/>
  <c r="AD17" i="61"/>
  <c r="L17" i="61"/>
  <c r="AD19" i="61"/>
  <c r="AG70" i="56"/>
  <c r="L18" i="61"/>
  <c r="E58" i="61"/>
  <c r="AA17" i="61"/>
  <c r="AA18" i="61"/>
  <c r="AA19" i="61"/>
  <c r="AD70" i="56"/>
  <c r="I58" i="61"/>
  <c r="E18" i="61"/>
  <c r="E17" i="61"/>
  <c r="E19" i="61"/>
  <c r="D70" i="56"/>
  <c r="E64" i="61" s="1"/>
  <c r="B6" i="66" s="1"/>
  <c r="Y19" i="61"/>
  <c r="Y17" i="61"/>
  <c r="Y18" i="61"/>
  <c r="AB70" i="56"/>
  <c r="U40" i="61"/>
  <c r="U44" i="61"/>
  <c r="U39" i="61"/>
  <c r="U120" i="61"/>
  <c r="U35" i="61"/>
  <c r="U42" i="61"/>
  <c r="X54" i="57"/>
  <c r="X58" i="57"/>
  <c r="W84" i="61" s="1"/>
  <c r="X81" i="61"/>
  <c r="V81" i="61"/>
  <c r="F5" i="66"/>
  <c r="I63" i="61"/>
  <c r="K189" i="61"/>
  <c r="J63" i="56"/>
  <c r="K213" i="61"/>
  <c r="K237" i="61"/>
  <c r="AA51" i="61"/>
  <c r="AA47" i="61" s="1"/>
  <c r="AA96" i="61"/>
  <c r="R18" i="61"/>
  <c r="R19" i="61"/>
  <c r="U70" i="56"/>
  <c r="R17" i="61"/>
  <c r="F17" i="61"/>
  <c r="F19" i="61"/>
  <c r="F18" i="61"/>
  <c r="E70" i="56"/>
  <c r="T84" i="61"/>
  <c r="I183" i="61"/>
  <c r="I231" i="61"/>
  <c r="I207" i="61"/>
  <c r="H29" i="56"/>
  <c r="I7" i="61"/>
  <c r="I132" i="61"/>
  <c r="AB58" i="61"/>
  <c r="L71" i="61"/>
  <c r="L70" i="61" s="1"/>
  <c r="L170" i="61"/>
  <c r="L155" i="61"/>
  <c r="K13" i="58"/>
  <c r="T58" i="61"/>
  <c r="T64" i="61"/>
  <c r="H58" i="61"/>
  <c r="H64" i="61"/>
  <c r="E6" i="66" s="1"/>
  <c r="K51" i="61"/>
  <c r="P14" i="61"/>
  <c r="P16" i="61"/>
  <c r="P15" i="61"/>
  <c r="K34" i="61"/>
  <c r="K32" i="61"/>
  <c r="H4" i="63" s="1"/>
  <c r="K94" i="61"/>
  <c r="K95" i="61" s="1"/>
  <c r="K128" i="61"/>
  <c r="AB39" i="61"/>
  <c r="AB35" i="61"/>
  <c r="AB120" i="61"/>
  <c r="AB44" i="61"/>
  <c r="AB42" i="61"/>
  <c r="AB40" i="61"/>
  <c r="AE54" i="57"/>
  <c r="AE58" i="57"/>
  <c r="AB102" i="61" s="1"/>
  <c r="O17" i="61"/>
  <c r="O18" i="61"/>
  <c r="O19" i="61"/>
  <c r="R70" i="56"/>
  <c r="T99" i="61"/>
  <c r="T103" i="61"/>
  <c r="T104" i="61"/>
  <c r="T100" i="61"/>
  <c r="G8" i="61"/>
  <c r="D2" i="65" s="1"/>
  <c r="G12" i="61"/>
  <c r="G10" i="61"/>
  <c r="D3" i="65" s="1"/>
  <c r="G133" i="61"/>
  <c r="F69" i="56"/>
  <c r="G22" i="61"/>
  <c r="G93" i="61"/>
  <c r="G95" i="61" s="1"/>
  <c r="G40" i="61"/>
  <c r="H28" i="61"/>
  <c r="G28" i="61"/>
  <c r="W81" i="61"/>
  <c r="W17" i="61"/>
  <c r="W19" i="61"/>
  <c r="Z70" i="56"/>
  <c r="W18" i="61"/>
  <c r="S17" i="61"/>
  <c r="S19" i="61"/>
  <c r="S18" i="61"/>
  <c r="V70" i="56"/>
  <c r="AF34" i="57"/>
  <c r="K34" i="57" s="1"/>
  <c r="Z101" i="61"/>
  <c r="Z99" i="61"/>
  <c r="Z102" i="61"/>
  <c r="Z104" i="61"/>
  <c r="Z97" i="61"/>
  <c r="Z103" i="61"/>
  <c r="Z100" i="61"/>
  <c r="G5" i="66"/>
  <c r="J63" i="61"/>
  <c r="L51" i="61"/>
  <c r="L47" i="61" s="1"/>
  <c r="L96" i="61"/>
  <c r="I21" i="61"/>
  <c r="N105" i="61"/>
  <c r="Q97" i="61"/>
  <c r="Q102" i="61"/>
  <c r="Q100" i="61"/>
  <c r="Q103" i="61"/>
  <c r="Q99" i="61"/>
  <c r="Q101" i="61"/>
  <c r="Q104" i="61"/>
  <c r="Q105" i="61"/>
  <c r="K183" i="61"/>
  <c r="K207" i="61"/>
  <c r="K231" i="61"/>
  <c r="J29" i="56"/>
  <c r="K7" i="61"/>
  <c r="K132" i="61"/>
  <c r="L63" i="61"/>
  <c r="U19" i="61"/>
  <c r="U18" i="61"/>
  <c r="G58" i="61"/>
  <c r="AE41" i="57"/>
  <c r="J69" i="56"/>
  <c r="K32" i="57"/>
  <c r="H16" i="61"/>
  <c r="H15" i="61"/>
  <c r="H14" i="61"/>
  <c r="X26" i="61"/>
  <c r="X41" i="61"/>
  <c r="X43" i="61"/>
  <c r="X121" i="61"/>
  <c r="F78" i="61"/>
  <c r="E17" i="58"/>
  <c r="F17" i="58"/>
  <c r="G85" i="61" s="1"/>
  <c r="F51" i="61"/>
  <c r="F47" i="61" s="1"/>
  <c r="F96" i="61"/>
  <c r="Q14" i="61"/>
  <c r="Q15" i="61"/>
  <c r="Q16" i="61"/>
  <c r="U81" i="61"/>
  <c r="AC58" i="61"/>
  <c r="AC64" i="61"/>
  <c r="J183" i="61"/>
  <c r="J231" i="61"/>
  <c r="J207" i="61"/>
  <c r="I29" i="56"/>
  <c r="J7" i="61"/>
  <c r="J132" i="61"/>
  <c r="Y95" i="61"/>
  <c r="AF26" i="57"/>
  <c r="K26" i="57" s="1"/>
  <c r="AB32" i="57"/>
  <c r="AB41" i="57" s="1"/>
  <c r="P58" i="61"/>
  <c r="P64" i="61"/>
  <c r="V58" i="61"/>
  <c r="AA95" i="61"/>
  <c r="K47" i="61"/>
  <c r="K55" i="57"/>
  <c r="K57" i="57" s="1"/>
  <c r="N18" i="61"/>
  <c r="N17" i="61"/>
  <c r="N19" i="61"/>
  <c r="Q70" i="56"/>
  <c r="E101" i="61"/>
  <c r="B5" i="71" s="1"/>
  <c r="E97" i="61"/>
  <c r="B2" i="71" s="1"/>
  <c r="E100" i="61"/>
  <c r="E103" i="61"/>
  <c r="E99" i="61"/>
  <c r="B4" i="71" s="1"/>
  <c r="E102" i="61"/>
  <c r="E104" i="61"/>
  <c r="E98" i="61"/>
  <c r="B3" i="71" s="1"/>
  <c r="AC95" i="61"/>
  <c r="I32" i="61"/>
  <c r="F4" i="63" s="1"/>
  <c r="I34" i="61"/>
  <c r="I128" i="61"/>
  <c r="I94" i="61"/>
  <c r="I95" i="61" s="1"/>
  <c r="AD95" i="61"/>
  <c r="G7" i="61"/>
  <c r="K21" i="61"/>
  <c r="V18" i="61"/>
  <c r="V17" i="61"/>
  <c r="Y70" i="56"/>
  <c r="V64" i="61" s="1"/>
  <c r="V19" i="61"/>
  <c r="X58" i="61"/>
  <c r="X64" i="61"/>
  <c r="R95" i="61"/>
  <c r="J95" i="61"/>
  <c r="K51" i="57"/>
  <c r="K52" i="57" s="1"/>
  <c r="AA26" i="61"/>
  <c r="AA41" i="61"/>
  <c r="AA121" i="61"/>
  <c r="AA43" i="61"/>
  <c r="V84" i="61"/>
  <c r="U51" i="61"/>
  <c r="U47" i="61" s="1"/>
  <c r="U96" i="61"/>
  <c r="F95" i="61"/>
  <c r="AB99" i="61"/>
  <c r="AB103" i="61"/>
  <c r="AB100" i="61"/>
  <c r="AB97" i="61"/>
  <c r="AB101" i="61"/>
  <c r="AB104" i="61"/>
  <c r="AB105" i="61"/>
  <c r="U97" i="61" l="1"/>
  <c r="U100" i="61"/>
  <c r="U105" i="61"/>
  <c r="U104" i="61"/>
  <c r="U101" i="61"/>
  <c r="U102" i="61"/>
  <c r="X70" i="56"/>
  <c r="U14" i="61" s="1"/>
  <c r="T101" i="61"/>
  <c r="U99" i="61"/>
  <c r="U103" i="61"/>
  <c r="T105" i="61"/>
  <c r="T97" i="61"/>
  <c r="L35" i="61"/>
  <c r="L44" i="61"/>
  <c r="L39" i="61"/>
  <c r="L42" i="61"/>
  <c r="L81" i="61"/>
  <c r="L40" i="61"/>
  <c r="L120" i="61"/>
  <c r="K54" i="57"/>
  <c r="K58" i="57"/>
  <c r="AB26" i="61"/>
  <c r="AB41" i="61"/>
  <c r="AB43" i="61"/>
  <c r="AB121" i="61"/>
  <c r="L58" i="61"/>
  <c r="L64" i="61"/>
  <c r="L14" i="61"/>
  <c r="L16" i="61"/>
  <c r="AD16" i="61"/>
  <c r="AD14" i="61"/>
  <c r="L15" i="61"/>
  <c r="AD15" i="61"/>
  <c r="Y26" i="61"/>
  <c r="Y43" i="61"/>
  <c r="Y41" i="61"/>
  <c r="Y121" i="61"/>
  <c r="AB84" i="61"/>
  <c r="I16" i="61"/>
  <c r="I60" i="61"/>
  <c r="I14" i="61"/>
  <c r="I15" i="61"/>
  <c r="Z16" i="61"/>
  <c r="Z14" i="61"/>
  <c r="Z64" i="61"/>
  <c r="Z15" i="61"/>
  <c r="AD101" i="61"/>
  <c r="AD104" i="61"/>
  <c r="AD100" i="61"/>
  <c r="AD103" i="61"/>
  <c r="AD102" i="61"/>
  <c r="AD99" i="61"/>
  <c r="AD97" i="61"/>
  <c r="AD105" i="61"/>
  <c r="AC44" i="61"/>
  <c r="AC42" i="61"/>
  <c r="AC39" i="61"/>
  <c r="AC35" i="61"/>
  <c r="AC40" i="61"/>
  <c r="AC120" i="61"/>
  <c r="AF54" i="57"/>
  <c r="AF58" i="57"/>
  <c r="Y84" i="61"/>
  <c r="K98" i="61"/>
  <c r="H3" i="71" s="1"/>
  <c r="K99" i="61"/>
  <c r="H4" i="71" s="1"/>
  <c r="K103" i="61"/>
  <c r="K100" i="61"/>
  <c r="K97" i="61"/>
  <c r="H2" i="71" s="1"/>
  <c r="K102" i="61"/>
  <c r="K101" i="61"/>
  <c r="H5" i="71" s="1"/>
  <c r="K104" i="61"/>
  <c r="K105" i="61"/>
  <c r="L97" i="61"/>
  <c r="L102" i="61"/>
  <c r="L98" i="61"/>
  <c r="L101" i="61"/>
  <c r="L104" i="61"/>
  <c r="L100" i="61"/>
  <c r="L103" i="61"/>
  <c r="L99" i="61"/>
  <c r="L105" i="61"/>
  <c r="AF41" i="57"/>
  <c r="J100" i="61"/>
  <c r="J104" i="61"/>
  <c r="J97" i="61"/>
  <c r="G2" i="71" s="1"/>
  <c r="J103" i="61"/>
  <c r="J99" i="61"/>
  <c r="G4" i="71" s="1"/>
  <c r="J102" i="61"/>
  <c r="J98" i="61"/>
  <c r="G3" i="71" s="1"/>
  <c r="J101" i="61"/>
  <c r="G5" i="71" s="1"/>
  <c r="J105" i="61"/>
  <c r="G98" i="61"/>
  <c r="D3" i="71" s="1"/>
  <c r="G99" i="61"/>
  <c r="D4" i="71" s="1"/>
  <c r="G103" i="61"/>
  <c r="G101" i="61"/>
  <c r="D5" i="71" s="1"/>
  <c r="G104" i="61"/>
  <c r="G100" i="61"/>
  <c r="G102" i="61"/>
  <c r="G97" i="61"/>
  <c r="D2" i="71" s="1"/>
  <c r="Y97" i="61"/>
  <c r="Y102" i="61"/>
  <c r="Y101" i="61"/>
  <c r="Y104" i="61"/>
  <c r="Y99" i="61"/>
  <c r="Y100" i="61"/>
  <c r="Y103" i="61"/>
  <c r="Y105" i="61"/>
  <c r="Z84" i="61"/>
  <c r="AD81" i="61"/>
  <c r="S64" i="61"/>
  <c r="S14" i="61"/>
  <c r="S16" i="61"/>
  <c r="S15" i="61"/>
  <c r="G105" i="61"/>
  <c r="G18" i="61"/>
  <c r="G17" i="61"/>
  <c r="G19" i="61"/>
  <c r="F70" i="56"/>
  <c r="O14" i="61"/>
  <c r="O16" i="61"/>
  <c r="O15" i="61"/>
  <c r="O64" i="61"/>
  <c r="U84" i="61"/>
  <c r="R16" i="61"/>
  <c r="R14" i="61"/>
  <c r="R15" i="61"/>
  <c r="X14" i="61"/>
  <c r="X16" i="61"/>
  <c r="X15" i="61"/>
  <c r="T16" i="61"/>
  <c r="T14" i="61"/>
  <c r="T15" i="61"/>
  <c r="J64" i="61"/>
  <c r="G6" i="66" s="1"/>
  <c r="J14" i="61"/>
  <c r="J16" i="61"/>
  <c r="J15" i="61"/>
  <c r="J60" i="61"/>
  <c r="R64" i="61"/>
  <c r="N14" i="61"/>
  <c r="N16" i="61"/>
  <c r="N15" i="61"/>
  <c r="K19" i="61"/>
  <c r="K17" i="61"/>
  <c r="J70" i="56"/>
  <c r="K18" i="61"/>
  <c r="N64" i="61"/>
  <c r="F14" i="61"/>
  <c r="F16" i="61"/>
  <c r="F64" i="61"/>
  <c r="C6" i="66" s="1"/>
  <c r="F15" i="61"/>
  <c r="F60" i="61"/>
  <c r="AA16" i="61"/>
  <c r="AA14" i="61"/>
  <c r="AA64" i="61"/>
  <c r="AA15" i="61"/>
  <c r="L60" i="61"/>
  <c r="AB16" i="61"/>
  <c r="AB15" i="61"/>
  <c r="AB14" i="61"/>
  <c r="F100" i="61"/>
  <c r="F104" i="61"/>
  <c r="F98" i="61"/>
  <c r="C3" i="71" s="1"/>
  <c r="F97" i="61"/>
  <c r="C2" i="71" s="1"/>
  <c r="F103" i="61"/>
  <c r="F101" i="61"/>
  <c r="C5" i="71" s="1"/>
  <c r="F99" i="61"/>
  <c r="C4" i="71" s="1"/>
  <c r="F102" i="61"/>
  <c r="F105" i="61"/>
  <c r="R101" i="61"/>
  <c r="R104" i="61"/>
  <c r="R97" i="61"/>
  <c r="R100" i="61"/>
  <c r="R103" i="61"/>
  <c r="R102" i="61"/>
  <c r="R99" i="61"/>
  <c r="R105" i="61"/>
  <c r="V16" i="61"/>
  <c r="V14" i="61"/>
  <c r="V15" i="61"/>
  <c r="AA84" i="61"/>
  <c r="I101" i="61"/>
  <c r="F5" i="71" s="1"/>
  <c r="I99" i="61"/>
  <c r="F4" i="71" s="1"/>
  <c r="I102" i="61"/>
  <c r="I98" i="61"/>
  <c r="F3" i="71" s="1"/>
  <c r="I100" i="61"/>
  <c r="I103" i="61"/>
  <c r="I97" i="61"/>
  <c r="F2" i="71" s="1"/>
  <c r="I104" i="61"/>
  <c r="I105" i="61"/>
  <c r="AC97" i="61"/>
  <c r="AC102" i="61"/>
  <c r="AC101" i="61"/>
  <c r="AC104" i="61"/>
  <c r="AC100" i="61"/>
  <c r="AC103" i="61"/>
  <c r="AC99" i="61"/>
  <c r="AC105" i="61"/>
  <c r="AA100" i="61"/>
  <c r="AA104" i="61"/>
  <c r="AA97" i="61"/>
  <c r="AA103" i="61"/>
  <c r="AA99" i="61"/>
  <c r="AA102" i="61"/>
  <c r="AA101" i="61"/>
  <c r="AA105" i="61"/>
  <c r="C3" i="69"/>
  <c r="F85" i="61"/>
  <c r="K41" i="57"/>
  <c r="W64" i="61"/>
  <c r="W14" i="61"/>
  <c r="W16" i="61"/>
  <c r="W15" i="61"/>
  <c r="AC81" i="61"/>
  <c r="U26" i="61"/>
  <c r="U121" i="61"/>
  <c r="U43" i="61"/>
  <c r="U41" i="61"/>
  <c r="X84" i="61"/>
  <c r="Y14" i="61"/>
  <c r="Y16" i="61"/>
  <c r="Y15" i="61"/>
  <c r="E16" i="61"/>
  <c r="E14" i="61"/>
  <c r="E60" i="61"/>
  <c r="E15" i="61"/>
  <c r="I64" i="61"/>
  <c r="F6" i="66" s="1"/>
  <c r="AC16" i="61"/>
  <c r="AC14" i="61"/>
  <c r="AC15" i="61"/>
  <c r="Y64" i="61"/>
  <c r="AD64" i="61"/>
  <c r="U16" i="61" l="1"/>
  <c r="U15" i="61"/>
  <c r="U64" i="61"/>
  <c r="K16" i="61"/>
  <c r="K14" i="61"/>
  <c r="K15" i="61"/>
  <c r="K60" i="61"/>
  <c r="K64" i="61"/>
  <c r="H6" i="66" s="1"/>
  <c r="G14" i="61"/>
  <c r="G16" i="61"/>
  <c r="G60" i="61"/>
  <c r="G64" i="61"/>
  <c r="D6" i="66" s="1"/>
  <c r="G15" i="61"/>
  <c r="AC41" i="61"/>
  <c r="AC121" i="61"/>
  <c r="AC26" i="61"/>
  <c r="AC43" i="61"/>
  <c r="AD84" i="61"/>
  <c r="AC84" i="61"/>
  <c r="L26" i="61"/>
  <c r="L41" i="61"/>
  <c r="L43" i="61"/>
  <c r="L121" i="61"/>
  <c r="L84" i="61"/>
</calcChain>
</file>

<file path=xl/sharedStrings.xml><?xml version="1.0" encoding="utf-8"?>
<sst xmlns="http://schemas.openxmlformats.org/spreadsheetml/2006/main" count="1058" uniqueCount="510">
  <si>
    <t>Diluted</t>
  </si>
  <si>
    <t>Basic</t>
  </si>
  <si>
    <t>Weighted Average Shares:</t>
  </si>
  <si>
    <t>diluted_eps</t>
  </si>
  <si>
    <t>basic_eps</t>
  </si>
  <si>
    <t>Net Income (Loss) per Share:</t>
  </si>
  <si>
    <t>Check</t>
  </si>
  <si>
    <t>Net Income (Loss)</t>
  </si>
  <si>
    <t>Income (Loss) before Income Taxes</t>
  </si>
  <si>
    <t>Reorganization Items, net</t>
  </si>
  <si>
    <t>Total Non-Operating Income (Expense)</t>
  </si>
  <si>
    <t>Other Income, net</t>
  </si>
  <si>
    <t>interest_expense</t>
  </si>
  <si>
    <t>Interest Expense, net</t>
  </si>
  <si>
    <t>interest_income</t>
  </si>
  <si>
    <t>Interest Income</t>
  </si>
  <si>
    <t>Non-Operating Income (Expense):</t>
  </si>
  <si>
    <t>gaap_operating_profit</t>
  </si>
  <si>
    <t>Operating Income (Loss)</t>
  </si>
  <si>
    <t>Total Operating Expenses</t>
  </si>
  <si>
    <t>Other</t>
  </si>
  <si>
    <t>Special Items, net</t>
  </si>
  <si>
    <t>Depreciation and Amortization</t>
  </si>
  <si>
    <t>Selling Expenses</t>
  </si>
  <si>
    <t>Aircraft Rent</t>
  </si>
  <si>
    <t>Other Rent and Landing Fees</t>
  </si>
  <si>
    <t>Maintenance, Materials and Repairs</t>
  </si>
  <si>
    <t>Salaries, Wages and Benefits</t>
  </si>
  <si>
    <t>Aircraft Fuel and Related Taxes</t>
  </si>
  <si>
    <t>Regional Expenses</t>
  </si>
  <si>
    <t>Fuel</t>
  </si>
  <si>
    <t>Operating Expenses:</t>
  </si>
  <si>
    <t>gaap_sales</t>
  </si>
  <si>
    <t>Total Operating Revenues</t>
  </si>
  <si>
    <t>Cargo</t>
  </si>
  <si>
    <t>Total Passenger</t>
  </si>
  <si>
    <t>Regional Passenger</t>
  </si>
  <si>
    <t>Mainline Passenger</t>
  </si>
  <si>
    <t>Operating Revenues:</t>
  </si>
  <si>
    <t>Config Row</t>
  </si>
  <si>
    <t>1Q19A</t>
  </si>
  <si>
    <t>4Q18A</t>
  </si>
  <si>
    <t>3Q18A</t>
  </si>
  <si>
    <t>2Q18A</t>
  </si>
  <si>
    <t>1Q18A</t>
  </si>
  <si>
    <t>4Q17A</t>
  </si>
  <si>
    <t>3Q17A</t>
  </si>
  <si>
    <t>2Q17A</t>
  </si>
  <si>
    <t>1Q17A</t>
  </si>
  <si>
    <t>4Q16A</t>
  </si>
  <si>
    <t>3Q16A</t>
  </si>
  <si>
    <t>2Q16A</t>
  </si>
  <si>
    <t>1Q16A</t>
  </si>
  <si>
    <t>4Q15A</t>
  </si>
  <si>
    <t>3Q15A</t>
  </si>
  <si>
    <t>2Q15A</t>
  </si>
  <si>
    <t>1Q15A</t>
  </si>
  <si>
    <t>4Q14A</t>
  </si>
  <si>
    <t>3Q14A</t>
  </si>
  <si>
    <t>2Q14A</t>
  </si>
  <si>
    <t>1Q14A</t>
  </si>
  <si>
    <t>TTM</t>
  </si>
  <si>
    <t>2018A</t>
  </si>
  <si>
    <t>2017A</t>
  </si>
  <si>
    <t>2016A</t>
  </si>
  <si>
    <t>2015A</t>
  </si>
  <si>
    <t>2014A</t>
  </si>
  <si>
    <t>2013A</t>
  </si>
  <si>
    <t>2012A</t>
  </si>
  <si>
    <t>2011A</t>
  </si>
  <si>
    <t>invested_capital</t>
  </si>
  <si>
    <t>Invested Capital</t>
  </si>
  <si>
    <t>net_debt</t>
  </si>
  <si>
    <t>Net Debt</t>
  </si>
  <si>
    <t>total_debt</t>
  </si>
  <si>
    <t>Total Debt</t>
  </si>
  <si>
    <t>long_term_debt</t>
  </si>
  <si>
    <t>Long-Term Debt</t>
  </si>
  <si>
    <t>short_term_debt</t>
  </si>
  <si>
    <t>Short-Term Debt</t>
  </si>
  <si>
    <t>cash_and_cash_equivalents</t>
  </si>
  <si>
    <t>Cash and Cash Equivalents (including Investments)</t>
  </si>
  <si>
    <t>liabilities_and_stockholders_equity</t>
  </si>
  <si>
    <t>Total Liabilities and Stockholders Equity</t>
  </si>
  <si>
    <t>stockholders_equity</t>
  </si>
  <si>
    <t>Total Stockholders Equity (Deficit)</t>
  </si>
  <si>
    <t>retained_earnings</t>
  </si>
  <si>
    <t>Retained Earnings (deficit)</t>
  </si>
  <si>
    <t>Accumulated Other Comprehensive Loss</t>
  </si>
  <si>
    <t>Treasury Shares at Cost</t>
  </si>
  <si>
    <t>additional_paid_in_capital</t>
  </si>
  <si>
    <t>Additional Paid-in Capital</t>
  </si>
  <si>
    <t>common_equity</t>
  </si>
  <si>
    <t>Common Stock</t>
  </si>
  <si>
    <t>Stockholders Equity (Deficit):</t>
  </si>
  <si>
    <t>Liabilities Subject to Compromise</t>
  </si>
  <si>
    <t>total_liabilities</t>
  </si>
  <si>
    <t>Total Liabilities</t>
  </si>
  <si>
    <t>Total Noncurrent Liabilities</t>
  </si>
  <si>
    <t>Other Liabilities</t>
  </si>
  <si>
    <t>Bankruptcy Settlement Obligations</t>
  </si>
  <si>
    <t>Operating Lease Liabilities</t>
  </si>
  <si>
    <t>Loyalty Program Liability</t>
  </si>
  <si>
    <t>Deferred Gains and Credits, net</t>
  </si>
  <si>
    <t>Pension and Postretirement Benefits</t>
  </si>
  <si>
    <t>Long-term Debt and Capital Leases, net of Current Maturities</t>
  </si>
  <si>
    <t>Noncurrent Liabilities:</t>
  </si>
  <si>
    <t>current_liabilities</t>
  </si>
  <si>
    <t>Total Current Liabilities</t>
  </si>
  <si>
    <t>Other Accrued Liabilities</t>
  </si>
  <si>
    <t>Air Traffic Liability</t>
  </si>
  <si>
    <t>Accrued Salaries and Wages</t>
  </si>
  <si>
    <t>accounts_payable</t>
  </si>
  <si>
    <t>Accounts Payable</t>
  </si>
  <si>
    <t>Current Maturities of Long-term Debt and Capital Leases</t>
  </si>
  <si>
    <t>Liabilities:</t>
  </si>
  <si>
    <t>total_assets</t>
  </si>
  <si>
    <t>Total Assets</t>
  </si>
  <si>
    <t>Total Other Assets</t>
  </si>
  <si>
    <t>Other Assets</t>
  </si>
  <si>
    <t>Deferred Tax Asset</t>
  </si>
  <si>
    <t>intangible_assets</t>
  </si>
  <si>
    <t>Goodwill and Intangible Assets, net</t>
  </si>
  <si>
    <t>Intangibles, net of Accumulated Amortization</t>
  </si>
  <si>
    <t>Goodwill</t>
  </si>
  <si>
    <t>Other Assets:</t>
  </si>
  <si>
    <t>Operating Lease Right-of-use Assets</t>
  </si>
  <si>
    <t>net_ppe</t>
  </si>
  <si>
    <t>Total Property and Equipment, net</t>
  </si>
  <si>
    <t>accumulated_depreciation</t>
  </si>
  <si>
    <t>Less Accumulated Depreciation and Amortization</t>
  </si>
  <si>
    <t>gross_ppe</t>
  </si>
  <si>
    <t>Total Property and Equipment, at Cost</t>
  </si>
  <si>
    <t>Equipment Purchase Deposits</t>
  </si>
  <si>
    <t>Ground Property and Equipment</t>
  </si>
  <si>
    <t>Flight Equipment</t>
  </si>
  <si>
    <t>Operating Property and Equipment:</t>
  </si>
  <si>
    <t>current_assets</t>
  </si>
  <si>
    <t>Total Current Assets</t>
  </si>
  <si>
    <t>Prepaid Expenses and Other</t>
  </si>
  <si>
    <t>Aircraft Fuel, Spare Parts and Supplies, net</t>
  </si>
  <si>
    <t>account_receivables</t>
  </si>
  <si>
    <t>Accounts Receivable, net</t>
  </si>
  <si>
    <t>Restricted Cash and Short-term Investments</t>
  </si>
  <si>
    <t>marketable_securities</t>
  </si>
  <si>
    <t>Short-term Investments</t>
  </si>
  <si>
    <t>cce</t>
  </si>
  <si>
    <t>Cash</t>
  </si>
  <si>
    <t>Assets:</t>
  </si>
  <si>
    <t>dps</t>
  </si>
  <si>
    <t>Dividends per Share</t>
  </si>
  <si>
    <t>fcf</t>
  </si>
  <si>
    <t>FCF</t>
  </si>
  <si>
    <t>Cash and Cash Equivalents at End of Period</t>
  </si>
  <si>
    <t>Cash and Cash Equivalents at Beginning of Period</t>
  </si>
  <si>
    <t>change_in_cash</t>
  </si>
  <si>
    <t>Net Increase (Decrease) in Cash and Cash Equivalents</t>
  </si>
  <si>
    <t>financing_cash_flow</t>
  </si>
  <si>
    <t>Net Cash Provided by (Used in) Financing Activities</t>
  </si>
  <si>
    <t>Other Financing Activities</t>
  </si>
  <si>
    <t>Dividend Payments</t>
  </si>
  <si>
    <t>repurchase_of_stock</t>
  </si>
  <si>
    <t>Treasury Stock Repurchases</t>
  </si>
  <si>
    <t>issuance_of_stock</t>
  </si>
  <si>
    <t>Exercise of Stock Options</t>
  </si>
  <si>
    <t>Sale-leaseback Transactions</t>
  </si>
  <si>
    <t>Deferred Financing Costs</t>
  </si>
  <si>
    <t>Payments on Long-term Debt and Capital Leases</t>
  </si>
  <si>
    <t>Proceeds from Issuance of Long-term Debt</t>
  </si>
  <si>
    <t>Cash Flows from Financing Activities:</t>
  </si>
  <si>
    <t>investing_cash_flow</t>
  </si>
  <si>
    <t>Net Cash Provided by (Used in) Investing Activities</t>
  </si>
  <si>
    <t>Other Investing Activities</t>
  </si>
  <si>
    <t>Proceeds from Sale of Property and Equipment</t>
  </si>
  <si>
    <t>Proceeds from Sale of an Investment</t>
  </si>
  <si>
    <t>Purchase of Equity Investment</t>
  </si>
  <si>
    <t>Net Proceeds from Slot Transaction</t>
  </si>
  <si>
    <t>Decrease in Restricted Short-term Investments</t>
  </si>
  <si>
    <t>Sales of Short-term Investments</t>
  </si>
  <si>
    <t>Purchases of Short-term Investments</t>
  </si>
  <si>
    <t>Proceeds from Sale of Property and Equipment and Sale-leaseback Transactions</t>
  </si>
  <si>
    <t>Acquisition of US Airways</t>
  </si>
  <si>
    <t>capex</t>
  </si>
  <si>
    <t>Capital Expenditures and Aircraft Purchase Deposits</t>
  </si>
  <si>
    <t>Cash Flows from Investing Activities:</t>
  </si>
  <si>
    <t>operating_cash_flow</t>
  </si>
  <si>
    <t>Net Cash Provided by (Used in) Operating Activities</t>
  </si>
  <si>
    <t>cwc</t>
  </si>
  <si>
    <t>Net Changes in Operating Assets and Liabilities</t>
  </si>
  <si>
    <t>Increase (Decrease) in Other Liabilities</t>
  </si>
  <si>
    <t>Contributions to Pension Plans</t>
  </si>
  <si>
    <t>Increase (Decrease) in Loyalty Program Liability</t>
  </si>
  <si>
    <t>Increase (Decrease) in Air Traffic Liability</t>
  </si>
  <si>
    <t>Increase in Accounts Payable and Accrued Liabilities</t>
  </si>
  <si>
    <t>Decrease in Derivative Collateral</t>
  </si>
  <si>
    <t>Increase in Other Assets</t>
  </si>
  <si>
    <t>Decrease (Increase) in Accounts Receivable</t>
  </si>
  <si>
    <t>Changes in Operating Assets and Liabilities:</t>
  </si>
  <si>
    <t>Other, net</t>
  </si>
  <si>
    <t>Interest Expense, Non-cash</t>
  </si>
  <si>
    <t>Reorganization Items, Non-cash</t>
  </si>
  <si>
    <t>sbc</t>
  </si>
  <si>
    <t>Share-based Compensation</t>
  </si>
  <si>
    <t>Pension and Postretirement</t>
  </si>
  <si>
    <t>Special Items, Non-cash</t>
  </si>
  <si>
    <t>Debt Discount and Lease Amortization</t>
  </si>
  <si>
    <t>Deferred Income Tax Provision (Benefit)</t>
  </si>
  <si>
    <t>depreciation_and_amortization</t>
  </si>
  <si>
    <t>Adjustments to Reconcile Net Income to Net Cash Provided by (Used in) Operating Activities:</t>
  </si>
  <si>
    <t>Net Income</t>
  </si>
  <si>
    <t>Cash Flows from Operating Activities:</t>
  </si>
  <si>
    <t>diluted_shares</t>
  </si>
  <si>
    <t>Diluted Weighted Average Shares</t>
  </si>
  <si>
    <t>y/y_non_gaap_diluted_eps</t>
  </si>
  <si>
    <t>Y/Y</t>
  </si>
  <si>
    <t>non_gaap_diluted_eps</t>
  </si>
  <si>
    <t>Net Income (Loss) per Share</t>
  </si>
  <si>
    <t>non_gaap_net_income</t>
  </si>
  <si>
    <t>non_gaap_tax_rate</t>
  </si>
  <si>
    <t>Tax Rate</t>
  </si>
  <si>
    <t>income_tax</t>
  </si>
  <si>
    <t>non_gaap_pretax_profit</t>
  </si>
  <si>
    <t>non_gaap_ebitda</t>
  </si>
  <si>
    <t>EBITDA</t>
  </si>
  <si>
    <t>non_gaap_operating_profit</t>
  </si>
  <si>
    <t>non_gaap_sales</t>
  </si>
  <si>
    <t>Passenger Revenue per ASM (Cents)</t>
  </si>
  <si>
    <t>Yield (Cents)</t>
  </si>
  <si>
    <t>Passenger Revenue ($ in Millions)</t>
  </si>
  <si>
    <t>Passenger Load Factor (Percent)</t>
  </si>
  <si>
    <t>Available Seat Miles (ASM) (Millions)</t>
  </si>
  <si>
    <t>Revenue Passenger Miles (Millions)</t>
  </si>
  <si>
    <t>Total International:</t>
  </si>
  <si>
    <t>Pacific:</t>
  </si>
  <si>
    <t>Atlantic:</t>
  </si>
  <si>
    <t>Latin America:</t>
  </si>
  <si>
    <t>Domestic:</t>
  </si>
  <si>
    <t>Consolidated Revenue Statistics by Region:</t>
  </si>
  <si>
    <t>Operating Cost per ASM excl. Special Items and Fuel (Cents)</t>
  </si>
  <si>
    <t>Operating Cost per ASM excl. Special Items (Cents)</t>
  </si>
  <si>
    <t>Operating Cost per ASM (Cents)</t>
  </si>
  <si>
    <t>Full-time Equivalent Employees at End of Period</t>
  </si>
  <si>
    <t>Average Aircraft Fuel Price incl. related Taxes ($ per Gallon)</t>
  </si>
  <si>
    <t>Fuel Consumption (Gallons in Millions)</t>
  </si>
  <si>
    <t>Aircraft at End of Period</t>
  </si>
  <si>
    <t>Passenger Enplanements (Thousands)</t>
  </si>
  <si>
    <t>Cargo Yield per Ton Mile (Cents)</t>
  </si>
  <si>
    <t>Cargo Ton Miles (Millions)</t>
  </si>
  <si>
    <t>Total Revenue per ASM (Cents)</t>
  </si>
  <si>
    <t>Total Mainline &amp; Regional:</t>
  </si>
  <si>
    <t>Regional:</t>
  </si>
  <si>
    <t>Average Stage Length (Miles)</t>
  </si>
  <si>
    <t>Block Hours (Thousands)</t>
  </si>
  <si>
    <t>Departures (Thousands)</t>
  </si>
  <si>
    <t>Mainline:</t>
  </si>
  <si>
    <t>Consolidated Operating Statistics:</t>
  </si>
  <si>
    <t>Variance</t>
  </si>
  <si>
    <t>Reported #</t>
  </si>
  <si>
    <t>Consolidated ASMs</t>
  </si>
  <si>
    <t>Consolidated CASM excl. Fuel and Special Items (Non-GAAP) Y/Y Growth</t>
  </si>
  <si>
    <t>Consolidated CASM excl. Fuel and Special Items (Non-GAAP) (cts)</t>
  </si>
  <si>
    <t>Consolidated CASM (cts)</t>
  </si>
  <si>
    <t>Capacity Y/Y Growth</t>
  </si>
  <si>
    <t>Fuel Gallons Consumed</t>
  </si>
  <si>
    <t>Average Fuel Price (incl. Taxes) ($/gal)</t>
  </si>
  <si>
    <t>Total Revenue per Available Seat Mile (TRASM) Y/Y Growth</t>
  </si>
  <si>
    <t>Earnings Shares Outstanding - Diluted</t>
  </si>
  <si>
    <t>Net Loss Shares Outstanding - Diluted</t>
  </si>
  <si>
    <t>Net Loss Shares Outstanding - Basic</t>
  </si>
  <si>
    <t>Earnings Shares Outstanding - Basic</t>
  </si>
  <si>
    <t>Capital Expenditure</t>
  </si>
  <si>
    <t>Net Aircraft CAPEX &amp; PDPs</t>
  </si>
  <si>
    <t>Assumed Aircraft Financing</t>
  </si>
  <si>
    <t>Gross Aircraft CAPEX &amp; net PDPs</t>
  </si>
  <si>
    <t>Non-Aircraft CAPEX</t>
  </si>
  <si>
    <t>Consolidated Operating Expense excl. Fuel and Special Items</t>
  </si>
  <si>
    <t>Less Special Items</t>
  </si>
  <si>
    <t>Less Fuel Expense</t>
  </si>
  <si>
    <t>Consolidated Operating Expenses</t>
  </si>
  <si>
    <t>Other Non-Operating Income/(Expense)</t>
  </si>
  <si>
    <t>Interest Expense</t>
  </si>
  <si>
    <t>Other Revenues</t>
  </si>
  <si>
    <t>Cargo Revenues</t>
  </si>
  <si>
    <t>Diluted EPS excl. Net Special Items</t>
  </si>
  <si>
    <t>Pre-tax Margin excl. Net Special Items</t>
  </si>
  <si>
    <t>High</t>
  </si>
  <si>
    <t>Low</t>
  </si>
  <si>
    <t>Mid</t>
  </si>
  <si>
    <t>Guide for FY2020</t>
  </si>
  <si>
    <t>Guide for FY2019</t>
  </si>
  <si>
    <t>Guide for FY2018</t>
  </si>
  <si>
    <t>Guide for 4Q18</t>
  </si>
  <si>
    <t>Source: 3Q18 Earnings Investor Update Published on 25th Oct, 2018</t>
  </si>
  <si>
    <t>Guide for FY2021</t>
  </si>
  <si>
    <t>Guide for 4Q19</t>
  </si>
  <si>
    <t>Guide for 3Q19</t>
  </si>
  <si>
    <t>Guide for 2Q19</t>
  </si>
  <si>
    <t>Guide for 1Q19</t>
  </si>
  <si>
    <t>Source: 4Q18 Earnings Investor Update Published on 24th Jan, 2019</t>
  </si>
  <si>
    <t>Other Non-Operating Income/(Expense) Excluding
Special Items</t>
  </si>
  <si>
    <t>Source: 1Q19 Earnings Investor Update Published on 26th Apr, 2019</t>
  </si>
  <si>
    <t>Total Stockholders Equity</t>
  </si>
  <si>
    <t>Retained Earnings</t>
  </si>
  <si>
    <t>Additional Paid-in-Capital</t>
  </si>
  <si>
    <t>Common Equity</t>
  </si>
  <si>
    <t>Non-Controlling Interest</t>
  </si>
  <si>
    <t>Preferred Equity</t>
  </si>
  <si>
    <t>Long-term Borrowings</t>
  </si>
  <si>
    <t>Current Liabilities</t>
  </si>
  <si>
    <t>Short-Term Borrowings</t>
  </si>
  <si>
    <t>Property and Equipment, net</t>
  </si>
  <si>
    <t>Accumulated Depreciation</t>
  </si>
  <si>
    <t>Property and Equipment, Gross</t>
  </si>
  <si>
    <t>Current Assets</t>
  </si>
  <si>
    <t>Accounts Receivable</t>
  </si>
  <si>
    <t>Inventory</t>
  </si>
  <si>
    <t>Marketable Securities</t>
  </si>
  <si>
    <t>Cash and Cash Equivalents</t>
  </si>
  <si>
    <t>c) Assets Utilization (% of Sales):</t>
  </si>
  <si>
    <t>b) Trend Analysis:</t>
  </si>
  <si>
    <t>Total Intangible Assets, net</t>
  </si>
  <si>
    <t>a) Common Size Analysis:</t>
  </si>
  <si>
    <t>14) Balance Sheet Analysis:</t>
  </si>
  <si>
    <t>Income Taxes</t>
  </si>
  <si>
    <t>Pre-tax Income</t>
  </si>
  <si>
    <t>EBIT</t>
  </si>
  <si>
    <t>Total SG&amp;A</t>
  </si>
  <si>
    <t>General and Administrative</t>
  </si>
  <si>
    <t>Research and Development</t>
  </si>
  <si>
    <t>Sales and Marketing</t>
  </si>
  <si>
    <t>Gross Profit</t>
  </si>
  <si>
    <t>Cost of Goods Sold</t>
  </si>
  <si>
    <t>Revenues</t>
  </si>
  <si>
    <t>13) Income Statement Analysis:</t>
  </si>
  <si>
    <t>Assets to Employees</t>
  </si>
  <si>
    <t>sales_to_employees</t>
  </si>
  <si>
    <t>Sales to Employees</t>
  </si>
  <si>
    <t>Net Income to Employees</t>
  </si>
  <si>
    <t># of Employees - Sequential Change</t>
  </si>
  <si>
    <t># of Employees</t>
  </si>
  <si>
    <t>12) Employee Data</t>
  </si>
  <si>
    <t>Tangible Book Value</t>
  </si>
  <si>
    <t>shareholders_equity_per_share</t>
  </si>
  <si>
    <t>Shareholders Equity</t>
  </si>
  <si>
    <t>dividend_per_share</t>
  </si>
  <si>
    <t>Dividend</t>
  </si>
  <si>
    <t>diluted_eps_gaap</t>
  </si>
  <si>
    <t>Diluted EPS (GAAP)</t>
  </si>
  <si>
    <t>Basic EPS (GAAP)</t>
  </si>
  <si>
    <t>net_income_per_share</t>
  </si>
  <si>
    <t>Pretax Income</t>
  </si>
  <si>
    <t>Operating Income</t>
  </si>
  <si>
    <t>Sales</t>
  </si>
  <si>
    <t>Free Cash Flow</t>
  </si>
  <si>
    <t>Operating Cash Flow</t>
  </si>
  <si>
    <t>11) Per Share Data</t>
  </si>
  <si>
    <t>total_asset_turnover</t>
  </si>
  <si>
    <t>Total Asset Turnover</t>
  </si>
  <si>
    <t>Net Fixed Assets Turnover</t>
  </si>
  <si>
    <t>Gross Fixed Assets Turnover</t>
  </si>
  <si>
    <t>Cash Conversion Cycle</t>
  </si>
  <si>
    <t>Days Payable Outstanding</t>
  </si>
  <si>
    <t>accounts_payable_turnover</t>
  </si>
  <si>
    <t>Accounts Payable Turnover</t>
  </si>
  <si>
    <t>Days Sales Outstanding</t>
  </si>
  <si>
    <t>accounts_receivable_turnover</t>
  </si>
  <si>
    <t>Accounts Receivable Turnover</t>
  </si>
  <si>
    <t>Days Inventory Outstanding</t>
  </si>
  <si>
    <t>inventory_turnover</t>
  </si>
  <si>
    <t>Inventory Turnover</t>
  </si>
  <si>
    <t>10) Asset Management Ratios</t>
  </si>
  <si>
    <t>Total Debt/EV</t>
  </si>
  <si>
    <t>EV/Market Cap</t>
  </si>
  <si>
    <t>EV/Book Value</t>
  </si>
  <si>
    <t>EV/ FCF</t>
  </si>
  <si>
    <t>EV/ Operating Cash Flow</t>
  </si>
  <si>
    <t>EV/ Net Income</t>
  </si>
  <si>
    <t>ev_ebit</t>
  </si>
  <si>
    <t>EV/ EBIT</t>
  </si>
  <si>
    <t>ev_ebitda</t>
  </si>
  <si>
    <t>EV/ EBITDA</t>
  </si>
  <si>
    <t>ev_sales</t>
  </si>
  <si>
    <t>EV/ Sales</t>
  </si>
  <si>
    <t>tobin_q_ratio</t>
  </si>
  <si>
    <t>Tobin Q Ratio</t>
  </si>
  <si>
    <t>enterprise_value</t>
  </si>
  <si>
    <t>Enterprise Value</t>
  </si>
  <si>
    <t>Cash &amp; Equivalents</t>
  </si>
  <si>
    <t>Market Cap</t>
  </si>
  <si>
    <t>Stock Price</t>
  </si>
  <si>
    <t>Outstanding Shares</t>
  </si>
  <si>
    <t>9) Enterprise Value</t>
  </si>
  <si>
    <t>peg_ratio</t>
  </si>
  <si>
    <t>PEG Ratio</t>
  </si>
  <si>
    <t>price_to_fcf</t>
  </si>
  <si>
    <t>Price to FCF</t>
  </si>
  <si>
    <t>price_to_ebitda</t>
  </si>
  <si>
    <t>Price to EBITDA</t>
  </si>
  <si>
    <t>dividend_yield</t>
  </si>
  <si>
    <t>Dividend Yield</t>
  </si>
  <si>
    <t>price_to_cf</t>
  </si>
  <si>
    <t>Price to CF</t>
  </si>
  <si>
    <t>price_to_sales</t>
  </si>
  <si>
    <t>Price to Sales</t>
  </si>
  <si>
    <t>price_to_book_value</t>
  </si>
  <si>
    <t>Price to Book Value</t>
  </si>
  <si>
    <t>price_to_adj_earnings</t>
  </si>
  <si>
    <t>Price to Adj. Earnings</t>
  </si>
  <si>
    <t>8) Price Ratio Analysis</t>
  </si>
  <si>
    <t>financial_leverage</t>
  </si>
  <si>
    <t>Financial Leverage</t>
  </si>
  <si>
    <t>Assets Turnover</t>
  </si>
  <si>
    <t>EBIT Margin</t>
  </si>
  <si>
    <t>Interest Burden</t>
  </si>
  <si>
    <t>Tax Burden</t>
  </si>
  <si>
    <t>Return on Common Equity</t>
  </si>
  <si>
    <t>7) ROE Decomposition</t>
  </si>
  <si>
    <t>return_on_net_assets</t>
  </si>
  <si>
    <t>Return on Net Assets</t>
  </si>
  <si>
    <t>earnings_retention_ratio</t>
  </si>
  <si>
    <t>Earnings Retention Ratio</t>
  </si>
  <si>
    <t>return_on_capital_employed</t>
  </si>
  <si>
    <t>Return on Capital Employed</t>
  </si>
  <si>
    <t>return_on_invested_capital</t>
  </si>
  <si>
    <t>Return on Invested Capital</t>
  </si>
  <si>
    <t>roe_to_book_value</t>
  </si>
  <si>
    <t>ROE % to Book Value</t>
  </si>
  <si>
    <t>return_on_equity</t>
  </si>
  <si>
    <t>Return on Equity</t>
  </si>
  <si>
    <t>return_on_assets</t>
  </si>
  <si>
    <t>Return on Assets</t>
  </si>
  <si>
    <t>Cash Return on Capital Invested</t>
  </si>
  <si>
    <t>Profit Margin</t>
  </si>
  <si>
    <t>Effective Tax Rate</t>
  </si>
  <si>
    <t>Pretax Margin</t>
  </si>
  <si>
    <t>operating_margin</t>
  </si>
  <si>
    <t>Operating Margin</t>
  </si>
  <si>
    <t>gross_margin</t>
  </si>
  <si>
    <t>Gross Margin</t>
  </si>
  <si>
    <t>6) Profitability Ratios</t>
  </si>
  <si>
    <t>Sales/ Total Assets</t>
  </si>
  <si>
    <t>Market Value of Equity / Book Value of Total Liabilities</t>
  </si>
  <si>
    <t>EBIT/ Total Assets</t>
  </si>
  <si>
    <t>Retained Earnings / Total Assets</t>
  </si>
  <si>
    <t>Working Capital / Total Assets</t>
  </si>
  <si>
    <t>Z-Score</t>
  </si>
  <si>
    <t>5) Z-Score Analysis</t>
  </si>
  <si>
    <t>Operating Cash Flow to Capex</t>
  </si>
  <si>
    <t>free_cash_flow_to_sales</t>
  </si>
  <si>
    <t>Free Cash Flow to Sales</t>
  </si>
  <si>
    <t>operating_cash_flow_to_sales</t>
  </si>
  <si>
    <t>Operating Cash Flow to Sales</t>
  </si>
  <si>
    <t>Free Cash Flow to Operating Cash Flow</t>
  </si>
  <si>
    <t>Cash Flow Coverage Ratio</t>
  </si>
  <si>
    <t>Operating Cash Flow to Long-Term Debt</t>
  </si>
  <si>
    <t xml:space="preserve">4) Cash Flow Indicators </t>
  </si>
  <si>
    <t>Working Capital</t>
  </si>
  <si>
    <t>Operating Cash Flow to Current Liabilities</t>
  </si>
  <si>
    <t>Cash &amp; Cash Equivalent to Current Assets</t>
  </si>
  <si>
    <t>current_ratio</t>
  </si>
  <si>
    <t>Current Ratio</t>
  </si>
  <si>
    <t>Cash Ratio</t>
  </si>
  <si>
    <t>quick_ratio</t>
  </si>
  <si>
    <t>Quick Ratio</t>
  </si>
  <si>
    <t>3) Liquidity Analysis</t>
  </si>
  <si>
    <t>Effective Interest Rate on Debt</t>
  </si>
  <si>
    <t>EBITDA to Interest Expense</t>
  </si>
  <si>
    <t>FCF to Interest Expense</t>
  </si>
  <si>
    <t>interest_coverage_ratio</t>
  </si>
  <si>
    <t>Interest Coverage Ratio</t>
  </si>
  <si>
    <t>2) Fixed Charges</t>
  </si>
  <si>
    <t>total_debt_to_equity_market_value</t>
  </si>
  <si>
    <t>Total Debt to Equity Market Value</t>
  </si>
  <si>
    <t>Fixed Assets to Net Worth</t>
  </si>
  <si>
    <t>Equity Multiplier</t>
  </si>
  <si>
    <t>Net Gearing (Excluding Intangibles)</t>
  </si>
  <si>
    <t>Net Gearing</t>
  </si>
  <si>
    <t>Net Debt to Shareholders Equity</t>
  </si>
  <si>
    <t>LT Debt to Total Capital</t>
  </si>
  <si>
    <t>capitalization_ratio</t>
  </si>
  <si>
    <t>Capitalization Ratio</t>
  </si>
  <si>
    <t>shareholders_equity_to_total_capital</t>
  </si>
  <si>
    <t>Shareholders Equity to Total Capital</t>
  </si>
  <si>
    <t>equity_ratio</t>
  </si>
  <si>
    <t>Equity Ratio</t>
  </si>
  <si>
    <t>Total Debt to EBITDA</t>
  </si>
  <si>
    <t>LT Debt to Shareholders Equity</t>
  </si>
  <si>
    <t>total_debt_to_shareholders_equity</t>
  </si>
  <si>
    <t>Total Debt to Shareholders Equity</t>
  </si>
  <si>
    <t>Long Term Debt to Total Assets</t>
  </si>
  <si>
    <t>debt_ratio</t>
  </si>
  <si>
    <t>Debt Ratio</t>
  </si>
  <si>
    <t>Asset Coverage Ratio</t>
  </si>
  <si>
    <t>1) Leverage Analysis</t>
  </si>
  <si>
    <t>Pre-Tax Income</t>
  </si>
  <si>
    <t>Revenue</t>
  </si>
  <si>
    <t>Financial Particular</t>
  </si>
  <si>
    <t>Fixed Assets Turnover</t>
  </si>
  <si>
    <t>Account Receivable Turnover</t>
  </si>
  <si>
    <t>Debt to Equity</t>
  </si>
  <si>
    <t>Net Income  Margin</t>
  </si>
  <si>
    <t>EBIT  Margin</t>
  </si>
  <si>
    <t>Equity</t>
  </si>
  <si>
    <t>Liabilities</t>
  </si>
  <si>
    <t>Assets</t>
  </si>
  <si>
    <t>DPS</t>
  </si>
  <si>
    <t>EPS</t>
  </si>
  <si>
    <t>Price to Earnings</t>
  </si>
  <si>
    <t>Capex</t>
  </si>
  <si>
    <t>Income Tax Expense (Benefit)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</si>
</sst>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_);\(#,##0.0\)"/>
    <numFmt numFmtId="165" formatCode="[$-409]d\-mmm;@"/>
    <numFmt numFmtId="166" formatCode="#,##0.0000_);\(#,##0.0000\)"/>
    <numFmt numFmtId="167" formatCode="0.0%;\(0.0%\)"/>
    <numFmt numFmtId="168" formatCode="0.0%"/>
    <numFmt numFmtId="169" formatCode="0.00%;\(0.00%\)"/>
    <numFmt numFmtId="170" formatCode="&quot;$&quot;#,##0.0_);\(&quot;$&quot;#,##0.0\)"/>
    <numFmt numFmtId="171" formatCode="#,##0.00%_);\(#,##0.00%\)"/>
    <numFmt numFmtId="172" formatCode="#,##0.0%_);\(#,##0.0%\)"/>
    <numFmt numFmtId="173" formatCode="#,##0.00\x_);\(#,##0.00\x\)"/>
    <numFmt numFmtId="174" formatCode="_ * #,##0.00_ ;_ * \-#,##0.00_ ;_ * &quot;-&quot;??_ ;_ @_ "/>
  </numFmts>
  <fonts count="4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33CC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u/>
      <sz val="10"/>
      <color theme="1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0033CC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u/>
      <sz val="10"/>
      <color rgb="FF0033CC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u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u/>
      <sz val="10"/>
      <color rgb="FFFF0000"/>
      <name val="Calibri"/>
      <family val="2"/>
      <scheme val="minor"/>
    </font>
    <font>
      <b/>
      <sz val="10"/>
      <color theme="0"/>
      <name val="Arial"/>
      <family val="2"/>
    </font>
    <font>
      <sz val="11"/>
      <color rgb="FF0033CC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sz val="8"/>
      <color rgb="FF993300"/>
      <name val="Arial"/>
      <family val="2"/>
    </font>
    <font>
      <b/>
      <sz val="8"/>
      <color rgb="FF993300"/>
      <name val="Arial"/>
      <family val="2"/>
    </font>
    <font>
      <sz val="8"/>
      <color rgb="FF0033CC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i/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0"/>
      <color indexed="8"/>
      <name val="Calibri"/>
      <family val="2"/>
      <scheme val="minor"/>
    </font>
    <font>
      <sz val="10"/>
      <color rgb="FF003399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0"/>
      <color rgb="FF003399"/>
      <name val="Calibri"/>
      <family val="2"/>
      <scheme val="minor"/>
    </font>
    <font>
      <sz val="10"/>
      <color indexed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4" fontId="1" fillId="0" borderId="0" applyFont="0" applyFill="0" applyBorder="0" applyAlignment="0" applyProtection="0"/>
  </cellStyleXfs>
  <cellXfs count="331">
    <xf numFmtId="0" fontId="0" fillId="0" borderId="0" xfId="0"/>
    <xf numFmtId="0" fontId="5" fillId="0" borderId="0" xfId="0" applyFont="1"/>
    <xf numFmtId="0" fontId="6" fillId="2" borderId="0" xfId="0" applyFont="1" applyFill="1"/>
    <xf numFmtId="0" fontId="5" fillId="0" borderId="0" xfId="0" applyFont="1" applyAlignment="1">
      <alignment wrapText="1"/>
    </xf>
    <xf numFmtId="37" fontId="5" fillId="0" borderId="0" xfId="0" applyNumberFormat="1" applyFont="1"/>
    <xf numFmtId="164" fontId="7" fillId="0" borderId="0" xfId="0" applyNumberFormat="1" applyFont="1" applyFill="1" applyBorder="1"/>
    <xf numFmtId="164" fontId="6" fillId="0" borderId="0" xfId="0" applyNumberFormat="1" applyFont="1" applyFill="1" applyBorder="1"/>
    <xf numFmtId="0" fontId="6" fillId="2" borderId="0" xfId="0" applyNumberFormat="1" applyFont="1" applyFill="1"/>
    <xf numFmtId="0" fontId="6" fillId="0" borderId="0" xfId="0" applyNumberFormat="1" applyFont="1" applyAlignment="1">
      <alignment vertical="top"/>
    </xf>
    <xf numFmtId="43" fontId="8" fillId="0" borderId="0" xfId="0" applyNumberFormat="1" applyFont="1"/>
    <xf numFmtId="7" fontId="5" fillId="2" borderId="0" xfId="0" applyNumberFormat="1" applyFont="1" applyFill="1"/>
    <xf numFmtId="0" fontId="9" fillId="0" borderId="0" xfId="0" applyFont="1"/>
    <xf numFmtId="0" fontId="10" fillId="0" borderId="0" xfId="0" applyNumberFormat="1" applyFont="1" applyAlignment="1">
      <alignment vertical="top"/>
    </xf>
    <xf numFmtId="7" fontId="11" fillId="0" borderId="0" xfId="0" applyNumberFormat="1" applyFont="1"/>
    <xf numFmtId="7" fontId="7" fillId="0" borderId="0" xfId="0" applyNumberFormat="1" applyFont="1" applyFill="1" applyBorder="1"/>
    <xf numFmtId="7" fontId="6" fillId="0" borderId="0" xfId="0" applyNumberFormat="1" applyFont="1" applyFill="1" applyBorder="1"/>
    <xf numFmtId="7" fontId="12" fillId="2" borderId="0" xfId="0" applyNumberFormat="1" applyFont="1" applyFill="1"/>
    <xf numFmtId="7" fontId="6" fillId="0" borderId="0" xfId="0" applyNumberFormat="1" applyFont="1" applyAlignment="1">
      <alignment vertical="top"/>
    </xf>
    <xf numFmtId="7" fontId="5" fillId="0" borderId="0" xfId="0" applyNumberFormat="1" applyFont="1"/>
    <xf numFmtId="7" fontId="6" fillId="2" borderId="0" xfId="0" applyNumberFormat="1" applyFont="1" applyFill="1"/>
    <xf numFmtId="43" fontId="8" fillId="0" borderId="0" xfId="0" applyNumberFormat="1" applyFont="1" applyFill="1" applyBorder="1"/>
    <xf numFmtId="43" fontId="6" fillId="2" borderId="0" xfId="0" applyNumberFormat="1" applyFont="1" applyFill="1"/>
    <xf numFmtId="43" fontId="8" fillId="0" borderId="0" xfId="0" applyNumberFormat="1" applyFont="1" applyAlignment="1">
      <alignment vertical="top"/>
    </xf>
    <xf numFmtId="164" fontId="13" fillId="0" borderId="0" xfId="0" applyNumberFormat="1" applyFont="1" applyFill="1" applyBorder="1"/>
    <xf numFmtId="164" fontId="10" fillId="0" borderId="0" xfId="0" applyNumberFormat="1" applyFont="1" applyFill="1" applyBorder="1"/>
    <xf numFmtId="43" fontId="14" fillId="0" borderId="0" xfId="0" applyNumberFormat="1" applyFont="1"/>
    <xf numFmtId="0" fontId="15" fillId="0" borderId="0" xfId="0" applyFont="1"/>
    <xf numFmtId="164" fontId="16" fillId="0" borderId="0" xfId="0" applyNumberFormat="1" applyFont="1" applyFill="1" applyBorder="1"/>
    <xf numFmtId="164" fontId="12" fillId="0" borderId="0" xfId="0" applyNumberFormat="1" applyFont="1" applyFill="1" applyBorder="1"/>
    <xf numFmtId="0" fontId="12" fillId="2" borderId="0" xfId="0" applyFont="1" applyFill="1"/>
    <xf numFmtId="0" fontId="12" fillId="0" borderId="0" xfId="0" applyNumberFormat="1" applyFont="1" applyAlignment="1">
      <alignment vertical="top"/>
    </xf>
    <xf numFmtId="164" fontId="9" fillId="0" borderId="0" xfId="0" applyNumberFormat="1" applyFont="1"/>
    <xf numFmtId="0" fontId="11" fillId="0" borderId="0" xfId="0" applyFont="1"/>
    <xf numFmtId="0" fontId="12" fillId="0" borderId="0" xfId="0" applyFont="1" applyAlignment="1">
      <alignment vertical="top"/>
    </xf>
    <xf numFmtId="0" fontId="10" fillId="2" borderId="0" xfId="0" applyNumberFormat="1" applyFont="1" applyFill="1"/>
    <xf numFmtId="0" fontId="6" fillId="0" borderId="0" xfId="0" applyFont="1" applyAlignment="1">
      <alignment vertical="top"/>
    </xf>
    <xf numFmtId="164" fontId="7" fillId="0" borderId="0" xfId="0" applyNumberFormat="1" applyFont="1" applyFill="1" applyBorder="1" applyAlignment="1">
      <alignment horizontal="right"/>
    </xf>
    <xf numFmtId="164" fontId="17" fillId="0" borderId="0" xfId="0" applyNumberFormat="1" applyFont="1" applyFill="1" applyBorder="1"/>
    <xf numFmtId="0" fontId="18" fillId="2" borderId="0" xfId="0" applyNumberFormat="1" applyFont="1" applyFill="1" applyAlignment="1">
      <alignment horizontal="center"/>
    </xf>
    <xf numFmtId="165" fontId="18" fillId="2" borderId="0" xfId="0" applyNumberFormat="1" applyFont="1" applyFill="1" applyAlignment="1">
      <alignment horizontal="center"/>
    </xf>
    <xf numFmtId="0" fontId="10" fillId="2" borderId="0" xfId="0" applyFont="1" applyFill="1" applyAlignment="1">
      <alignment wrapText="1"/>
    </xf>
    <xf numFmtId="165" fontId="18" fillId="3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0" fontId="18" fillId="3" borderId="0" xfId="0" applyFont="1" applyFill="1" applyAlignment="1">
      <alignment horizontal="center"/>
    </xf>
    <xf numFmtId="0" fontId="18" fillId="0" borderId="0" xfId="0" applyFont="1" applyFill="1" applyAlignment="1">
      <alignment horizontal="center"/>
    </xf>
    <xf numFmtId="0" fontId="6" fillId="2" borderId="0" xfId="0" applyFont="1" applyFill="1" applyAlignment="1">
      <alignment horizontal="left"/>
    </xf>
    <xf numFmtId="164" fontId="5" fillId="0" borderId="0" xfId="0" applyNumberFormat="1" applyFont="1"/>
    <xf numFmtId="0" fontId="6" fillId="2" borderId="0" xfId="0" applyNumberFormat="1" applyFont="1" applyFill="1" applyAlignment="1">
      <alignment horizontal="left"/>
    </xf>
    <xf numFmtId="0" fontId="6" fillId="0" borderId="0" xfId="0" applyFont="1" applyAlignment="1">
      <alignment vertical="top" wrapText="1"/>
    </xf>
    <xf numFmtId="43" fontId="6" fillId="2" borderId="0" xfId="0" applyNumberFormat="1" applyFont="1" applyFill="1" applyAlignment="1">
      <alignment horizontal="left" vertical="top"/>
    </xf>
    <xf numFmtId="0" fontId="15" fillId="0" borderId="0" xfId="0" applyFont="1" applyFill="1" applyBorder="1"/>
    <xf numFmtId="0" fontId="12" fillId="2" borderId="0" xfId="0" applyNumberFormat="1" applyFont="1" applyFill="1" applyAlignment="1">
      <alignment horizontal="left" vertical="top"/>
    </xf>
    <xf numFmtId="0" fontId="6" fillId="2" borderId="0" xfId="0" applyNumberFormat="1" applyFont="1" applyFill="1" applyAlignment="1">
      <alignment horizontal="left" vertical="top"/>
    </xf>
    <xf numFmtId="164" fontId="19" fillId="0" borderId="0" xfId="0" applyNumberFormat="1" applyFont="1" applyFill="1" applyBorder="1"/>
    <xf numFmtId="164" fontId="20" fillId="0" borderId="0" xfId="0" applyNumberFormat="1" applyFont="1" applyFill="1" applyBorder="1"/>
    <xf numFmtId="0" fontId="6" fillId="2" borderId="0" xfId="0" applyFont="1" applyFill="1" applyAlignment="1">
      <alignment horizontal="left" vertical="top"/>
    </xf>
    <xf numFmtId="0" fontId="6" fillId="0" borderId="0" xfId="0" applyFont="1"/>
    <xf numFmtId="0" fontId="10" fillId="0" borderId="0" xfId="0" applyFont="1" applyAlignment="1">
      <alignment vertical="top"/>
    </xf>
    <xf numFmtId="0" fontId="12" fillId="2" borderId="0" xfId="0" applyFont="1" applyFill="1" applyAlignment="1">
      <alignment horizontal="left" vertical="top"/>
    </xf>
    <xf numFmtId="43" fontId="8" fillId="0" borderId="0" xfId="0" applyNumberFormat="1" applyFont="1" applyFill="1" applyBorder="1" applyAlignment="1">
      <alignment horizontal="right"/>
    </xf>
    <xf numFmtId="0" fontId="9" fillId="0" borderId="0" xfId="0" applyFont="1" applyFill="1" applyBorder="1"/>
    <xf numFmtId="43" fontId="21" fillId="0" borderId="0" xfId="0" applyNumberFormat="1" applyFont="1"/>
    <xf numFmtId="43" fontId="21" fillId="0" borderId="0" xfId="0" applyNumberFormat="1" applyFont="1" applyFill="1" applyBorder="1" applyAlignment="1">
      <alignment horizontal="right"/>
    </xf>
    <xf numFmtId="43" fontId="12" fillId="2" borderId="0" xfId="0" applyNumberFormat="1" applyFont="1" applyFill="1" applyAlignment="1">
      <alignment horizontal="left" vertical="top"/>
    </xf>
    <xf numFmtId="0" fontId="11" fillId="0" borderId="0" xfId="0" applyFont="1" applyFill="1" applyBorder="1"/>
    <xf numFmtId="164" fontId="20" fillId="0" borderId="0" xfId="0" applyNumberFormat="1" applyFont="1" applyFill="1" applyBorder="1" applyAlignment="1">
      <alignment horizontal="right"/>
    </xf>
    <xf numFmtId="164" fontId="6" fillId="0" borderId="0" xfId="0" applyNumberFormat="1" applyFont="1" applyFill="1" applyBorder="1" applyAlignment="1">
      <alignment horizontal="right"/>
    </xf>
    <xf numFmtId="164" fontId="12" fillId="0" borderId="0" xfId="0" applyNumberFormat="1" applyFont="1" applyFill="1" applyBorder="1" applyAlignment="1">
      <alignment horizontal="right"/>
    </xf>
    <xf numFmtId="0" fontId="10" fillId="2" borderId="0" xfId="0" applyFont="1" applyFill="1"/>
    <xf numFmtId="164" fontId="7" fillId="0" borderId="0" xfId="0" applyNumberFormat="1" applyFont="1"/>
    <xf numFmtId="164" fontId="7" fillId="0" borderId="0" xfId="0" applyNumberFormat="1" applyFont="1" applyFill="1"/>
    <xf numFmtId="7" fontId="8" fillId="0" borderId="0" xfId="0" applyNumberFormat="1" applyFont="1"/>
    <xf numFmtId="7" fontId="5" fillId="0" borderId="0" xfId="0" applyNumberFormat="1" applyFont="1" applyFill="1"/>
    <xf numFmtId="164" fontId="6" fillId="0" borderId="0" xfId="0" applyNumberFormat="1" applyFont="1" applyFill="1"/>
    <xf numFmtId="0" fontId="6" fillId="2" borderId="0" xfId="0" applyNumberFormat="1" applyFont="1" applyFill="1" applyAlignment="1">
      <alignment vertical="top"/>
    </xf>
    <xf numFmtId="164" fontId="6" fillId="0" borderId="0" xfId="0" applyNumberFormat="1" applyFont="1" applyAlignment="1">
      <alignment vertical="top" wrapText="1"/>
    </xf>
    <xf numFmtId="43" fontId="8" fillId="0" borderId="0" xfId="0" applyNumberFormat="1" applyFont="1" applyFill="1"/>
    <xf numFmtId="43" fontId="6" fillId="2" borderId="0" xfId="0" applyNumberFormat="1" applyFont="1" applyFill="1" applyAlignment="1">
      <alignment vertical="top"/>
    </xf>
    <xf numFmtId="164" fontId="6" fillId="0" borderId="0" xfId="0" applyNumberFormat="1" applyFont="1"/>
    <xf numFmtId="0" fontId="6" fillId="2" borderId="0" xfId="0" applyFont="1" applyFill="1" applyAlignment="1">
      <alignment vertical="top"/>
    </xf>
    <xf numFmtId="164" fontId="13" fillId="0" borderId="0" xfId="0" applyNumberFormat="1" applyFont="1"/>
    <xf numFmtId="164" fontId="10" fillId="0" borderId="0" xfId="0" applyNumberFormat="1" applyFont="1"/>
    <xf numFmtId="164" fontId="13" fillId="0" borderId="0" xfId="0" applyNumberFormat="1" applyFont="1" applyFill="1"/>
    <xf numFmtId="164" fontId="10" fillId="0" borderId="0" xfId="0" applyNumberFormat="1" applyFont="1" applyFill="1"/>
    <xf numFmtId="164" fontId="16" fillId="0" borderId="0" xfId="0" applyNumberFormat="1" applyFont="1"/>
    <xf numFmtId="164" fontId="12" fillId="0" borderId="0" xfId="0" applyNumberFormat="1" applyFont="1"/>
    <xf numFmtId="164" fontId="16" fillId="0" borderId="0" xfId="0" applyNumberFormat="1" applyFont="1" applyFill="1"/>
    <xf numFmtId="164" fontId="12" fillId="0" borderId="0" xfId="0" applyNumberFormat="1" applyFont="1" applyFill="1"/>
    <xf numFmtId="166" fontId="12" fillId="0" borderId="0" xfId="0" applyNumberFormat="1" applyFont="1"/>
    <xf numFmtId="166" fontId="6" fillId="0" borderId="0" xfId="0" applyNumberFormat="1" applyFont="1"/>
    <xf numFmtId="164" fontId="7" fillId="0" borderId="0" xfId="0" applyNumberFormat="1" applyFont="1" applyAlignment="1">
      <alignment horizontal="right"/>
    </xf>
    <xf numFmtId="164" fontId="6" fillId="0" borderId="0" xfId="0" applyNumberFormat="1" applyFont="1" applyFill="1" applyAlignment="1">
      <alignment horizontal="right"/>
    </xf>
    <xf numFmtId="0" fontId="5" fillId="0" borderId="0" xfId="0" applyFont="1" applyAlignment="1"/>
    <xf numFmtId="0" fontId="6" fillId="2" borderId="0" xfId="0" applyFont="1" applyFill="1" applyAlignment="1"/>
    <xf numFmtId="37" fontId="5" fillId="0" borderId="0" xfId="0" applyNumberFormat="1" applyFont="1" applyAlignment="1"/>
    <xf numFmtId="164" fontId="5" fillId="0" borderId="0" xfId="0" applyNumberFormat="1" applyFont="1" applyAlignment="1"/>
    <xf numFmtId="164" fontId="6" fillId="2" borderId="0" xfId="0" applyNumberFormat="1" applyFont="1" applyFill="1" applyAlignment="1"/>
    <xf numFmtId="167" fontId="5" fillId="0" borderId="0" xfId="0" applyNumberFormat="1" applyFont="1" applyAlignment="1"/>
    <xf numFmtId="167" fontId="6" fillId="0" borderId="0" xfId="0" applyNumberFormat="1" applyFont="1" applyFill="1" applyBorder="1" applyAlignment="1"/>
    <xf numFmtId="167" fontId="7" fillId="0" borderId="0" xfId="0" applyNumberFormat="1" applyFont="1" applyFill="1" applyBorder="1" applyAlignment="1"/>
    <xf numFmtId="167" fontId="6" fillId="2" borderId="0" xfId="0" applyNumberFormat="1" applyFont="1" applyFill="1" applyAlignment="1"/>
    <xf numFmtId="167" fontId="6" fillId="0" borderId="0" xfId="0" applyNumberFormat="1" applyFont="1" applyAlignment="1">
      <alignment vertical="top"/>
    </xf>
    <xf numFmtId="7" fontId="11" fillId="0" borderId="0" xfId="0" applyNumberFormat="1" applyFont="1" applyAlignment="1"/>
    <xf numFmtId="7" fontId="7" fillId="0" borderId="0" xfId="0" applyNumberFormat="1" applyFont="1" applyFill="1" applyBorder="1" applyAlignment="1"/>
    <xf numFmtId="7" fontId="6" fillId="0" borderId="0" xfId="0" applyNumberFormat="1" applyFont="1" applyFill="1" applyBorder="1" applyAlignment="1"/>
    <xf numFmtId="7" fontId="6" fillId="2" borderId="0" xfId="0" applyNumberFormat="1" applyFont="1" applyFill="1" applyAlignment="1"/>
    <xf numFmtId="43" fontId="8" fillId="0" borderId="0" xfId="0" applyNumberFormat="1" applyFont="1" applyAlignment="1"/>
    <xf numFmtId="43" fontId="8" fillId="0" borderId="0" xfId="0" applyNumberFormat="1" applyFont="1" applyFill="1" applyBorder="1" applyAlignment="1"/>
    <xf numFmtId="43" fontId="6" fillId="2" borderId="0" xfId="0" applyNumberFormat="1" applyFont="1" applyFill="1" applyAlignment="1"/>
    <xf numFmtId="0" fontId="9" fillId="0" borderId="0" xfId="0" applyFont="1" applyAlignment="1"/>
    <xf numFmtId="164" fontId="13" fillId="0" borderId="0" xfId="0" applyNumberFormat="1" applyFont="1" applyFill="1" applyBorder="1" applyAlignment="1"/>
    <xf numFmtId="164" fontId="10" fillId="0" borderId="0" xfId="0" applyNumberFormat="1" applyFont="1" applyFill="1" applyBorder="1" applyAlignment="1"/>
    <xf numFmtId="0" fontId="6" fillId="2" borderId="0" xfId="0" applyNumberFormat="1" applyFont="1" applyFill="1" applyAlignment="1"/>
    <xf numFmtId="164" fontId="6" fillId="0" borderId="0" xfId="0" applyNumberFormat="1" applyFont="1" applyFill="1" applyBorder="1" applyAlignment="1"/>
    <xf numFmtId="164" fontId="7" fillId="0" borderId="0" xfId="0" applyNumberFormat="1" applyFont="1" applyFill="1" applyBorder="1" applyAlignment="1"/>
    <xf numFmtId="43" fontId="14" fillId="0" borderId="0" xfId="0" applyNumberFormat="1" applyFont="1" applyAlignment="1"/>
    <xf numFmtId="0" fontId="10" fillId="2" borderId="0" xfId="0" applyFont="1" applyFill="1" applyAlignment="1"/>
    <xf numFmtId="165" fontId="22" fillId="3" borderId="0" xfId="0" applyNumberFormat="1" applyFont="1" applyFill="1" applyAlignment="1">
      <alignment horizontal="center"/>
    </xf>
    <xf numFmtId="0" fontId="22" fillId="3" borderId="0" xfId="0" applyFont="1" applyFill="1" applyAlignment="1">
      <alignment horizontal="center"/>
    </xf>
    <xf numFmtId="0" fontId="0" fillId="0" borderId="0" xfId="0" applyFont="1" applyAlignment="1"/>
    <xf numFmtId="0" fontId="0" fillId="2" borderId="0" xfId="0" applyFont="1" applyFill="1" applyAlignment="1"/>
    <xf numFmtId="39" fontId="23" fillId="0" borderId="0" xfId="0" applyNumberFormat="1" applyFont="1" applyFill="1" applyBorder="1" applyAlignment="1"/>
    <xf numFmtId="164" fontId="23" fillId="0" borderId="0" xfId="0" applyNumberFormat="1" applyFont="1" applyFill="1" applyBorder="1" applyAlignment="1"/>
    <xf numFmtId="0" fontId="24" fillId="0" borderId="0" xfId="0" applyFont="1" applyAlignment="1">
      <alignment vertical="top"/>
    </xf>
    <xf numFmtId="164" fontId="24" fillId="0" borderId="0" xfId="0" applyNumberFormat="1" applyFont="1" applyFill="1" applyBorder="1" applyAlignment="1"/>
    <xf numFmtId="168" fontId="23" fillId="0" borderId="0" xfId="0" applyNumberFormat="1" applyFont="1" applyFill="1" applyBorder="1" applyAlignment="1"/>
    <xf numFmtId="0" fontId="25" fillId="0" borderId="0" xfId="0" applyFont="1" applyAlignment="1">
      <alignment vertical="top"/>
    </xf>
    <xf numFmtId="7" fontId="0" fillId="0" borderId="0" xfId="0" applyNumberFormat="1" applyFont="1" applyAlignment="1"/>
    <xf numFmtId="7" fontId="23" fillId="0" borderId="0" xfId="0" applyNumberFormat="1" applyFont="1" applyFill="1" applyBorder="1" applyAlignment="1"/>
    <xf numFmtId="7" fontId="0" fillId="2" borderId="0" xfId="0" applyNumberFormat="1" applyFont="1" applyFill="1" applyAlignment="1"/>
    <xf numFmtId="7" fontId="24" fillId="0" borderId="0" xfId="0" applyNumberFormat="1" applyFont="1" applyAlignment="1">
      <alignment vertical="top"/>
    </xf>
    <xf numFmtId="10" fontId="0" fillId="0" borderId="0" xfId="5" applyNumberFormat="1" applyFont="1" applyAlignment="1"/>
    <xf numFmtId="164" fontId="23" fillId="0" borderId="0" xfId="0" applyNumberFormat="1" applyFont="1" applyFill="1" applyBorder="1" applyAlignment="1">
      <alignment horizontal="right"/>
    </xf>
    <xf numFmtId="0" fontId="4" fillId="0" borderId="0" xfId="0" applyFont="1" applyAlignment="1"/>
    <xf numFmtId="0" fontId="24" fillId="0" borderId="0" xfId="0" applyFont="1" applyFill="1" applyAlignment="1"/>
    <xf numFmtId="165" fontId="3" fillId="0" borderId="0" xfId="0" applyNumberFormat="1" applyFont="1" applyFill="1" applyAlignment="1">
      <alignment horizontal="center"/>
    </xf>
    <xf numFmtId="0" fontId="24" fillId="2" borderId="0" xfId="0" applyFont="1" applyFill="1" applyAlignment="1"/>
    <xf numFmtId="165" fontId="3" fillId="2" borderId="0" xfId="0" applyNumberFormat="1" applyFont="1" applyFill="1" applyAlignment="1">
      <alignment horizontal="center"/>
    </xf>
    <xf numFmtId="0" fontId="25" fillId="2" borderId="0" xfId="0" applyFont="1" applyFill="1" applyAlignment="1"/>
    <xf numFmtId="165" fontId="3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6" fillId="0" borderId="0" xfId="0" applyFont="1"/>
    <xf numFmtId="0" fontId="26" fillId="0" borderId="0" xfId="0" applyFont="1" applyAlignment="1">
      <alignment horizontal="right"/>
    </xf>
    <xf numFmtId="0" fontId="26" fillId="4" borderId="1" xfId="0" applyFont="1" applyFill="1" applyBorder="1"/>
    <xf numFmtId="0" fontId="26" fillId="0" borderId="1" xfId="0" applyFont="1" applyBorder="1"/>
    <xf numFmtId="0" fontId="26" fillId="0" borderId="1" xfId="0" applyFont="1" applyBorder="1" applyAlignment="1">
      <alignment horizontal="right"/>
    </xf>
    <xf numFmtId="0" fontId="26" fillId="4" borderId="0" xfId="0" applyFont="1" applyFill="1"/>
    <xf numFmtId="164" fontId="27" fillId="0" borderId="2" xfId="0" applyNumberFormat="1" applyFont="1" applyFill="1" applyBorder="1"/>
    <xf numFmtId="164" fontId="26" fillId="0" borderId="0" xfId="0" applyNumberFormat="1" applyFont="1"/>
    <xf numFmtId="0" fontId="28" fillId="0" borderId="0" xfId="0" applyFont="1" applyFill="1"/>
    <xf numFmtId="164" fontId="27" fillId="0" borderId="0" xfId="0" applyNumberFormat="1" applyFont="1" applyFill="1"/>
    <xf numFmtId="0" fontId="29" fillId="0" borderId="0" xfId="0" applyFont="1"/>
    <xf numFmtId="164" fontId="29" fillId="0" borderId="0" xfId="0" applyNumberFormat="1" applyFont="1" applyFill="1"/>
    <xf numFmtId="7" fontId="30" fillId="0" borderId="0" xfId="0" applyNumberFormat="1" applyFont="1"/>
    <xf numFmtId="169" fontId="27" fillId="0" borderId="2" xfId="5" applyNumberFormat="1" applyFont="1" applyFill="1" applyBorder="1" applyAlignment="1">
      <alignment horizontal="right"/>
    </xf>
    <xf numFmtId="169" fontId="27" fillId="0" borderId="0" xfId="5" applyNumberFormat="1" applyFont="1" applyFill="1" applyAlignment="1">
      <alignment horizontal="right"/>
    </xf>
    <xf numFmtId="10" fontId="27" fillId="0" borderId="0" xfId="5" applyNumberFormat="1" applyFont="1" applyFill="1" applyAlignment="1">
      <alignment horizontal="right"/>
    </xf>
    <xf numFmtId="169" fontId="26" fillId="0" borderId="0" xfId="0" applyNumberFormat="1" applyFont="1"/>
    <xf numFmtId="169" fontId="26" fillId="0" borderId="0" xfId="5" applyNumberFormat="1" applyFont="1"/>
    <xf numFmtId="169" fontId="26" fillId="4" borderId="0" xfId="0" applyNumberFormat="1" applyFont="1" applyFill="1"/>
    <xf numFmtId="10" fontId="29" fillId="0" borderId="0" xfId="5" applyNumberFormat="1" applyFont="1" applyAlignment="1">
      <alignment horizontal="right"/>
    </xf>
    <xf numFmtId="169" fontId="29" fillId="4" borderId="0" xfId="0" applyNumberFormat="1" applyFont="1" applyFill="1"/>
    <xf numFmtId="0" fontId="29" fillId="4" borderId="0" xfId="0" applyFont="1" applyFill="1"/>
    <xf numFmtId="169" fontId="29" fillId="0" borderId="0" xfId="5" applyNumberFormat="1" applyFont="1" applyFill="1" applyAlignment="1">
      <alignment horizontal="right"/>
    </xf>
    <xf numFmtId="10" fontId="26" fillId="0" borderId="0" xfId="5" applyNumberFormat="1" applyFont="1" applyAlignment="1">
      <alignment horizontal="right"/>
    </xf>
    <xf numFmtId="169" fontId="26" fillId="0" borderId="0" xfId="5" applyNumberFormat="1" applyFont="1" applyAlignment="1">
      <alignment horizontal="right"/>
    </xf>
    <xf numFmtId="169" fontId="29" fillId="0" borderId="0" xfId="5" applyNumberFormat="1" applyFont="1" applyAlignment="1">
      <alignment horizontal="right"/>
    </xf>
    <xf numFmtId="169" fontId="30" fillId="0" borderId="0" xfId="0" applyNumberFormat="1" applyFont="1"/>
    <xf numFmtId="39" fontId="26" fillId="0" borderId="0" xfId="0" applyNumberFormat="1" applyFont="1"/>
    <xf numFmtId="39" fontId="26" fillId="4" borderId="0" xfId="0" applyNumberFormat="1" applyFont="1" applyFill="1"/>
    <xf numFmtId="39" fontId="27" fillId="0" borderId="2" xfId="0" applyNumberFormat="1" applyFont="1" applyFill="1" applyBorder="1"/>
    <xf numFmtId="39" fontId="29" fillId="0" borderId="0" xfId="0" applyNumberFormat="1" applyFont="1"/>
    <xf numFmtId="39" fontId="28" fillId="0" borderId="0" xfId="0" applyNumberFormat="1" applyFont="1" applyFill="1"/>
    <xf numFmtId="39" fontId="27" fillId="0" borderId="0" xfId="0" applyNumberFormat="1" applyFont="1" applyFill="1"/>
    <xf numFmtId="164" fontId="26" fillId="0" borderId="0" xfId="5" applyNumberFormat="1" applyFont="1"/>
    <xf numFmtId="164" fontId="26" fillId="4" borderId="0" xfId="0" applyNumberFormat="1" applyFont="1" applyFill="1"/>
    <xf numFmtId="164" fontId="26" fillId="0" borderId="0" xfId="5" applyNumberFormat="1" applyFont="1" applyAlignment="1">
      <alignment horizontal="right"/>
    </xf>
    <xf numFmtId="39" fontId="29" fillId="0" borderId="0" xfId="0" applyNumberFormat="1" applyFont="1" applyFill="1"/>
    <xf numFmtId="164" fontId="30" fillId="0" borderId="0" xfId="0" applyNumberFormat="1" applyFont="1"/>
    <xf numFmtId="39" fontId="26" fillId="0" borderId="0" xfId="5" applyNumberFormat="1" applyFont="1"/>
    <xf numFmtId="39" fontId="26" fillId="0" borderId="0" xfId="5" applyNumberFormat="1" applyFont="1" applyAlignment="1">
      <alignment horizontal="right"/>
    </xf>
    <xf numFmtId="39" fontId="30" fillId="0" borderId="0" xfId="0" applyNumberFormat="1" applyFont="1"/>
    <xf numFmtId="168" fontId="26" fillId="0" borderId="0" xfId="5" applyNumberFormat="1" applyFont="1"/>
    <xf numFmtId="10" fontId="26" fillId="0" borderId="0" xfId="5" applyNumberFormat="1" applyFont="1" applyFill="1" applyAlignment="1">
      <alignment horizontal="right"/>
    </xf>
    <xf numFmtId="10" fontId="29" fillId="0" borderId="0" xfId="5" applyNumberFormat="1" applyFont="1" applyFill="1" applyAlignment="1">
      <alignment horizontal="right"/>
    </xf>
    <xf numFmtId="0" fontId="30" fillId="0" borderId="0" xfId="0" applyFont="1"/>
    <xf numFmtId="7" fontId="26" fillId="0" borderId="0" xfId="0" applyNumberFormat="1" applyFont="1"/>
    <xf numFmtId="7" fontId="26" fillId="4" borderId="0" xfId="0" applyNumberFormat="1" applyFont="1" applyFill="1"/>
    <xf numFmtId="7" fontId="27" fillId="0" borderId="2" xfId="5" applyNumberFormat="1" applyFont="1" applyFill="1" applyBorder="1" applyAlignment="1">
      <alignment horizontal="right"/>
    </xf>
    <xf numFmtId="7" fontId="29" fillId="0" borderId="0" xfId="0" applyNumberFormat="1" applyFont="1"/>
    <xf numFmtId="7" fontId="28" fillId="0" borderId="0" xfId="0" applyNumberFormat="1" applyFont="1" applyFill="1"/>
    <xf numFmtId="7" fontId="27" fillId="0" borderId="0" xfId="5" applyNumberFormat="1" applyFont="1" applyFill="1" applyAlignment="1">
      <alignment horizontal="right"/>
    </xf>
    <xf numFmtId="7" fontId="29" fillId="0" borderId="0" xfId="5" applyNumberFormat="1" applyFont="1" applyAlignment="1">
      <alignment horizontal="right"/>
    </xf>
    <xf numFmtId="7" fontId="29" fillId="0" borderId="0" xfId="5" applyNumberFormat="1" applyFont="1" applyFill="1" applyAlignment="1">
      <alignment horizontal="right"/>
    </xf>
    <xf numFmtId="7" fontId="26" fillId="0" borderId="0" xfId="5" applyNumberFormat="1" applyFont="1" applyAlignment="1">
      <alignment horizontal="right"/>
    </xf>
    <xf numFmtId="0" fontId="26" fillId="0" borderId="0" xfId="0" applyFont="1" applyFill="1"/>
    <xf numFmtId="10" fontId="27" fillId="0" borderId="2" xfId="5" applyNumberFormat="1" applyFont="1" applyFill="1" applyBorder="1" applyAlignment="1">
      <alignment horizontal="right"/>
    </xf>
    <xf numFmtId="170" fontId="26" fillId="0" borderId="0" xfId="0" applyNumberFormat="1" applyFont="1"/>
    <xf numFmtId="170" fontId="26" fillId="0" borderId="0" xfId="0" applyNumberFormat="1" applyFont="1" applyFill="1"/>
    <xf numFmtId="10" fontId="29" fillId="0" borderId="0" xfId="5" applyNumberFormat="1" applyFont="1"/>
    <xf numFmtId="7" fontId="26" fillId="0" borderId="0" xfId="5" applyNumberFormat="1" applyFont="1"/>
    <xf numFmtId="170" fontId="26" fillId="0" borderId="0" xfId="5" applyNumberFormat="1" applyFont="1" applyAlignment="1">
      <alignment horizontal="right"/>
    </xf>
    <xf numFmtId="164" fontId="26" fillId="0" borderId="0" xfId="0" applyNumberFormat="1" applyFont="1" applyFill="1"/>
    <xf numFmtId="164" fontId="29" fillId="0" borderId="0" xfId="0" applyNumberFormat="1" applyFont="1"/>
    <xf numFmtId="164" fontId="30" fillId="0" borderId="0" xfId="0" applyNumberFormat="1" applyFont="1" applyAlignment="1">
      <alignment wrapText="1"/>
    </xf>
    <xf numFmtId="0" fontId="30" fillId="0" borderId="0" xfId="0" applyFont="1" applyBorder="1" applyAlignment="1">
      <alignment horizontal="center"/>
    </xf>
    <xf numFmtId="0" fontId="26" fillId="4" borderId="0" xfId="0" applyFont="1" applyFill="1" applyBorder="1"/>
    <xf numFmtId="165" fontId="31" fillId="3" borderId="0" xfId="0" applyNumberFormat="1" applyFont="1" applyFill="1" applyAlignment="1">
      <alignment horizontal="center" vertical="center"/>
    </xf>
    <xf numFmtId="0" fontId="30" fillId="0" borderId="0" xfId="0" applyFont="1" applyAlignment="1">
      <alignment horizontal="center"/>
    </xf>
    <xf numFmtId="0" fontId="31" fillId="3" borderId="0" xfId="0" applyFont="1" applyFill="1" applyAlignment="1">
      <alignment horizontal="center"/>
    </xf>
    <xf numFmtId="0" fontId="30" fillId="5" borderId="0" xfId="0" applyFont="1" applyFill="1" applyAlignment="1">
      <alignment vertical="center"/>
    </xf>
    <xf numFmtId="164" fontId="29" fillId="0" borderId="0" xfId="5" applyNumberFormat="1" applyFont="1" applyAlignment="1">
      <alignment horizontal="right"/>
    </xf>
    <xf numFmtId="164" fontId="29" fillId="4" borderId="0" xfId="0" applyNumberFormat="1" applyFont="1" applyFill="1"/>
    <xf numFmtId="39" fontId="29" fillId="4" borderId="0" xfId="0" applyNumberFormat="1" applyFont="1" applyFill="1"/>
    <xf numFmtId="39" fontId="29" fillId="0" borderId="0" xfId="5" applyNumberFormat="1" applyFont="1" applyAlignment="1">
      <alignment horizontal="right"/>
    </xf>
    <xf numFmtId="170" fontId="29" fillId="0" borderId="0" xfId="0" applyNumberFormat="1" applyFont="1"/>
    <xf numFmtId="168" fontId="29" fillId="0" borderId="0" xfId="5" applyNumberFormat="1" applyFont="1"/>
    <xf numFmtId="170" fontId="29" fillId="0" borderId="0" xfId="5" applyNumberFormat="1" applyFont="1" applyAlignment="1">
      <alignment horizontal="right"/>
    </xf>
    <xf numFmtId="7" fontId="29" fillId="4" borderId="0" xfId="0" applyNumberFormat="1" applyFont="1" applyFill="1"/>
    <xf numFmtId="0" fontId="30" fillId="5" borderId="0" xfId="0" applyFont="1" applyFill="1" applyAlignment="1">
      <alignment horizontal="left" vertical="center"/>
    </xf>
    <xf numFmtId="0" fontId="30" fillId="0" borderId="0" xfId="0" applyFont="1" applyAlignment="1"/>
    <xf numFmtId="0" fontId="5" fillId="0" borderId="0" xfId="1" applyFont="1" applyFill="1"/>
    <xf numFmtId="0" fontId="5" fillId="0" borderId="0" xfId="1" applyFont="1"/>
    <xf numFmtId="0" fontId="6" fillId="0" borderId="0" xfId="1" applyFont="1" applyFill="1"/>
    <xf numFmtId="0" fontId="5" fillId="0" borderId="0" xfId="0" applyFont="1" applyFill="1"/>
    <xf numFmtId="171" fontId="32" fillId="0" borderId="0" xfId="1" applyNumberFormat="1" applyFont="1" applyFill="1"/>
    <xf numFmtId="171" fontId="6" fillId="0" borderId="0" xfId="1" applyNumberFormat="1" applyFont="1" applyFill="1" applyAlignment="1">
      <alignment horizontal="right" vertical="center"/>
    </xf>
    <xf numFmtId="167" fontId="32" fillId="0" borderId="0" xfId="1" applyNumberFormat="1" applyFont="1" applyFill="1"/>
    <xf numFmtId="171" fontId="6" fillId="0" borderId="0" xfId="1" applyNumberFormat="1" applyFont="1" applyFill="1"/>
    <xf numFmtId="171" fontId="5" fillId="6" borderId="0" xfId="0" applyNumberFormat="1" applyFont="1" applyFill="1"/>
    <xf numFmtId="171" fontId="32" fillId="0" borderId="0" xfId="0" applyNumberFormat="1" applyFont="1" applyFill="1"/>
    <xf numFmtId="171" fontId="6" fillId="0" borderId="0" xfId="0" applyNumberFormat="1" applyFont="1" applyFill="1"/>
    <xf numFmtId="171" fontId="6" fillId="7" borderId="0" xfId="0" applyNumberFormat="1" applyFont="1" applyFill="1"/>
    <xf numFmtId="171" fontId="5" fillId="0" borderId="0" xfId="1" applyNumberFormat="1" applyFont="1" applyFill="1"/>
    <xf numFmtId="171" fontId="5" fillId="0" borderId="0" xfId="0" applyNumberFormat="1" applyFont="1" applyFill="1"/>
    <xf numFmtId="171" fontId="10" fillId="0" borderId="0" xfId="0" applyNumberFormat="1" applyFont="1" applyFill="1" applyAlignment="1">
      <alignment horizontal="left" vertical="center"/>
    </xf>
    <xf numFmtId="171" fontId="33" fillId="0" borderId="0" xfId="1" applyNumberFormat="1" applyFont="1" applyFill="1" applyAlignment="1">
      <alignment horizontal="right" vertical="center"/>
    </xf>
    <xf numFmtId="171" fontId="34" fillId="0" borderId="0" xfId="0" applyNumberFormat="1" applyFont="1" applyFill="1" applyAlignment="1">
      <alignment horizontal="left"/>
    </xf>
    <xf numFmtId="171" fontId="6" fillId="0" borderId="0" xfId="0" applyNumberFormat="1" applyFont="1" applyFill="1" applyAlignment="1">
      <alignment horizontal="left" vertical="center" indent="2"/>
    </xf>
    <xf numFmtId="171" fontId="5" fillId="0" borderId="0" xfId="1" applyNumberFormat="1" applyFont="1" applyFill="1" applyAlignment="1">
      <alignment horizontal="right"/>
    </xf>
    <xf numFmtId="167" fontId="6" fillId="0" borderId="0" xfId="1" applyNumberFormat="1" applyFont="1" applyFill="1"/>
    <xf numFmtId="167" fontId="32" fillId="0" borderId="0" xfId="0" applyNumberFormat="1" applyFont="1" applyFill="1"/>
    <xf numFmtId="164" fontId="10" fillId="0" borderId="0" xfId="0" applyNumberFormat="1" applyFont="1" applyFill="1" applyAlignment="1">
      <alignment horizontal="left" vertical="center"/>
    </xf>
    <xf numFmtId="172" fontId="35" fillId="0" borderId="0" xfId="0" applyNumberFormat="1" applyFont="1" applyFill="1" applyAlignment="1">
      <alignment horizontal="left" vertical="center" indent="1"/>
    </xf>
    <xf numFmtId="164" fontId="33" fillId="0" borderId="0" xfId="1" applyNumberFormat="1" applyFont="1" applyFill="1" applyAlignment="1">
      <alignment horizontal="right" vertical="center"/>
    </xf>
    <xf numFmtId="0" fontId="34" fillId="0" borderId="0" xfId="0" applyFont="1" applyFill="1" applyAlignment="1">
      <alignment horizontal="left"/>
    </xf>
    <xf numFmtId="164" fontId="6" fillId="0" borderId="0" xfId="0" applyNumberFormat="1" applyFont="1" applyFill="1" applyAlignment="1">
      <alignment horizontal="left" vertical="center" indent="2"/>
    </xf>
    <xf numFmtId="164" fontId="10" fillId="0" borderId="0" xfId="1" applyNumberFormat="1" applyFont="1" applyFill="1"/>
    <xf numFmtId="173" fontId="6" fillId="0" borderId="0" xfId="1" applyNumberFormat="1" applyFont="1" applyFill="1" applyAlignment="1">
      <alignment horizontal="right" vertical="center"/>
    </xf>
    <xf numFmtId="173" fontId="6" fillId="0" borderId="0" xfId="1" applyNumberFormat="1" applyFont="1" applyFill="1"/>
    <xf numFmtId="173" fontId="10" fillId="0" borderId="0" xfId="0" applyNumberFormat="1" applyFont="1" applyFill="1"/>
    <xf numFmtId="173" fontId="6" fillId="0" borderId="0" xfId="0" applyNumberFormat="1" applyFont="1" applyFill="1" applyAlignment="1">
      <alignment horizontal="left" vertical="center"/>
    </xf>
    <xf numFmtId="171" fontId="6" fillId="0" borderId="0" xfId="1" applyNumberFormat="1" applyFont="1" applyFill="1" applyAlignment="1">
      <alignment horizontal="right"/>
    </xf>
    <xf numFmtId="171" fontId="10" fillId="0" borderId="0" xfId="0" applyNumberFormat="1" applyFont="1" applyFill="1"/>
    <xf numFmtId="171" fontId="6" fillId="0" borderId="0" xfId="0" applyNumberFormat="1" applyFont="1" applyFill="1" applyAlignment="1">
      <alignment horizontal="left" vertical="center"/>
    </xf>
    <xf numFmtId="164" fontId="36" fillId="0" borderId="0" xfId="1" applyNumberFormat="1" applyFont="1" applyFill="1"/>
    <xf numFmtId="164" fontId="6" fillId="0" borderId="0" xfId="1" applyNumberFormat="1" applyFont="1" applyFill="1"/>
    <xf numFmtId="164" fontId="6" fillId="0" borderId="0" xfId="0" applyNumberFormat="1" applyFont="1" applyFill="1" applyAlignment="1">
      <alignment horizontal="left" vertical="center"/>
    </xf>
    <xf numFmtId="164" fontId="37" fillId="0" borderId="0" xfId="0" applyNumberFormat="1" applyFont="1" applyFill="1" applyAlignment="1">
      <alignment horizontal="left" vertical="center"/>
    </xf>
    <xf numFmtId="7" fontId="10" fillId="0" borderId="0" xfId="1" applyNumberFormat="1" applyFont="1" applyFill="1"/>
    <xf numFmtId="7" fontId="6" fillId="0" borderId="0" xfId="1" applyNumberFormat="1" applyFont="1" applyFill="1" applyAlignment="1">
      <alignment horizontal="right"/>
    </xf>
    <xf numFmtId="7" fontId="6" fillId="0" borderId="0" xfId="1" applyNumberFormat="1" applyFont="1" applyFill="1"/>
    <xf numFmtId="7" fontId="10" fillId="0" borderId="0" xfId="0" applyNumberFormat="1" applyFont="1" applyFill="1"/>
    <xf numFmtId="7" fontId="6" fillId="0" borderId="0" xfId="0" applyNumberFormat="1" applyFont="1" applyFill="1" applyAlignment="1">
      <alignment horizontal="left" vertical="center"/>
    </xf>
    <xf numFmtId="39" fontId="6" fillId="0" borderId="0" xfId="1" applyNumberFormat="1" applyFont="1" applyFill="1" applyAlignment="1">
      <alignment horizontal="right" vertical="center"/>
    </xf>
    <xf numFmtId="39" fontId="6" fillId="0" borderId="0" xfId="1" applyNumberFormat="1" applyFont="1" applyFill="1"/>
    <xf numFmtId="39" fontId="10" fillId="6" borderId="0" xfId="0" applyNumberFormat="1" applyFont="1" applyFill="1"/>
    <xf numFmtId="39" fontId="6" fillId="6" borderId="0" xfId="0" applyNumberFormat="1" applyFont="1" applyFill="1" applyAlignment="1">
      <alignment horizontal="left" vertical="center"/>
    </xf>
    <xf numFmtId="39" fontId="10" fillId="0" borderId="0" xfId="0" applyNumberFormat="1" applyFont="1" applyFill="1"/>
    <xf numFmtId="37" fontId="6" fillId="0" borderId="0" xfId="1" applyNumberFormat="1" applyFont="1" applyFill="1" applyAlignment="1">
      <alignment horizontal="right" vertical="center"/>
    </xf>
    <xf numFmtId="37" fontId="6" fillId="0" borderId="0" xfId="1" applyNumberFormat="1" applyFont="1" applyFill="1"/>
    <xf numFmtId="37" fontId="10" fillId="0" borderId="0" xfId="0" applyNumberFormat="1" applyFont="1" applyFill="1"/>
    <xf numFmtId="37" fontId="6" fillId="0" borderId="0" xfId="0" applyNumberFormat="1" applyFont="1" applyFill="1" applyAlignment="1">
      <alignment horizontal="left" vertical="center"/>
    </xf>
    <xf numFmtId="39" fontId="10" fillId="7" borderId="0" xfId="0" applyNumberFormat="1" applyFont="1" applyFill="1"/>
    <xf numFmtId="173" fontId="10" fillId="6" borderId="0" xfId="0" applyNumberFormat="1" applyFont="1" applyFill="1"/>
    <xf numFmtId="173" fontId="6" fillId="6" borderId="0" xfId="0" applyNumberFormat="1" applyFont="1" applyFill="1" applyAlignment="1">
      <alignment horizontal="left" vertical="center"/>
    </xf>
    <xf numFmtId="164" fontId="10" fillId="0" borderId="0" xfId="1" applyNumberFormat="1" applyFont="1" applyFill="1" applyAlignment="1">
      <alignment horizontal="right" vertical="center"/>
    </xf>
    <xf numFmtId="164" fontId="6" fillId="0" borderId="0" xfId="1" applyNumberFormat="1" applyFont="1" applyFill="1" applyAlignment="1">
      <alignment horizontal="right" vertical="center"/>
    </xf>
    <xf numFmtId="164" fontId="10" fillId="7" borderId="0" xfId="0" applyNumberFormat="1" applyFont="1" applyFill="1"/>
    <xf numFmtId="7" fontId="38" fillId="0" borderId="0" xfId="1" applyNumberFormat="1" applyFont="1" applyFill="1" applyAlignment="1">
      <alignment horizontal="right" vertical="center"/>
    </xf>
    <xf numFmtId="173" fontId="6" fillId="0" borderId="0" xfId="1" applyNumberFormat="1" applyFont="1" applyFill="1" applyAlignment="1">
      <alignment horizontal="right"/>
    </xf>
    <xf numFmtId="173" fontId="10" fillId="7" borderId="0" xfId="0" applyNumberFormat="1" applyFont="1" applyFill="1"/>
    <xf numFmtId="164" fontId="10" fillId="6" borderId="0" xfId="0" applyNumberFormat="1" applyFont="1" applyFill="1"/>
    <xf numFmtId="164" fontId="6" fillId="6" borderId="0" xfId="0" applyNumberFormat="1" applyFont="1" applyFill="1" applyAlignment="1">
      <alignment horizontal="left" vertical="center"/>
    </xf>
    <xf numFmtId="167" fontId="32" fillId="6" borderId="0" xfId="0" applyNumberFormat="1" applyFont="1" applyFill="1"/>
    <xf numFmtId="167" fontId="32" fillId="7" borderId="0" xfId="0" applyNumberFormat="1" applyFont="1" applyFill="1"/>
    <xf numFmtId="164" fontId="39" fillId="0" borderId="0" xfId="6" applyNumberFormat="1" applyFont="1" applyFill="1" applyAlignment="1">
      <alignment horizontal="right" vertical="center"/>
    </xf>
    <xf numFmtId="0" fontId="34" fillId="0" borderId="0" xfId="0" applyFont="1" applyFill="1" applyAlignment="1">
      <alignment horizontal="left" indent="1"/>
    </xf>
    <xf numFmtId="39" fontId="10" fillId="0" borderId="0" xfId="1" applyNumberFormat="1" applyFont="1" applyFill="1"/>
    <xf numFmtId="39" fontId="6" fillId="0" borderId="0" xfId="2" applyNumberFormat="1" applyFont="1" applyFill="1" applyAlignment="1">
      <alignment horizontal="right" vertical="center"/>
    </xf>
    <xf numFmtId="39" fontId="32" fillId="0" borderId="0" xfId="1" applyNumberFormat="1" applyFont="1" applyFill="1"/>
    <xf numFmtId="39" fontId="6" fillId="0" borderId="0" xfId="0" applyNumberFormat="1" applyFont="1" applyFill="1" applyAlignment="1">
      <alignment horizontal="left" vertical="center"/>
    </xf>
    <xf numFmtId="169" fontId="6" fillId="0" borderId="0" xfId="2" applyNumberFormat="1" applyFont="1" applyFill="1" applyAlignment="1">
      <alignment horizontal="right" vertical="center"/>
    </xf>
    <xf numFmtId="0" fontId="5" fillId="6" borderId="0" xfId="0" applyFont="1" applyFill="1"/>
    <xf numFmtId="164" fontId="40" fillId="0" borderId="0" xfId="2" applyNumberFormat="1" applyFont="1" applyFill="1" applyAlignment="1">
      <alignment horizontal="right" vertical="center"/>
    </xf>
    <xf numFmtId="164" fontId="5" fillId="0" borderId="0" xfId="1" applyNumberFormat="1" applyFont="1" applyFill="1"/>
    <xf numFmtId="164" fontId="6" fillId="0" borderId="0" xfId="0" applyNumberFormat="1" applyFont="1" applyFill="1" applyAlignment="1">
      <alignment horizontal="left" vertical="center" indent="1"/>
    </xf>
    <xf numFmtId="164" fontId="6" fillId="0" borderId="0" xfId="0" applyNumberFormat="1" applyFont="1" applyFill="1" applyAlignment="1">
      <alignment vertical="center"/>
    </xf>
    <xf numFmtId="164" fontId="5" fillId="0" borderId="0" xfId="0" applyNumberFormat="1" applyFont="1" applyFill="1"/>
    <xf numFmtId="39" fontId="6" fillId="6" borderId="0" xfId="0" applyNumberFormat="1" applyFont="1" applyFill="1" applyAlignment="1">
      <alignment horizontal="left" vertical="center" indent="1"/>
    </xf>
    <xf numFmtId="39" fontId="6" fillId="6" borderId="0" xfId="0" applyNumberFormat="1" applyFont="1" applyFill="1" applyAlignment="1">
      <alignment vertical="center"/>
    </xf>
    <xf numFmtId="39" fontId="5" fillId="0" borderId="0" xfId="0" applyNumberFormat="1" applyFont="1" applyFill="1"/>
    <xf numFmtId="39" fontId="6" fillId="0" borderId="0" xfId="0" applyNumberFormat="1" applyFont="1" applyFill="1" applyAlignment="1">
      <alignment vertical="center"/>
    </xf>
    <xf numFmtId="39" fontId="32" fillId="0" borderId="0" xfId="0" applyNumberFormat="1" applyFont="1" applyFill="1"/>
    <xf numFmtId="164" fontId="9" fillId="0" borderId="0" xfId="1" applyNumberFormat="1" applyFont="1" applyFill="1"/>
    <xf numFmtId="164" fontId="41" fillId="0" borderId="0" xfId="1" applyNumberFormat="1" applyFont="1" applyFill="1" applyAlignment="1">
      <alignment horizontal="right" vertical="center"/>
    </xf>
    <xf numFmtId="164" fontId="9" fillId="0" borderId="0" xfId="0" applyNumberFormat="1" applyFont="1" applyFill="1"/>
    <xf numFmtId="164" fontId="11" fillId="0" borderId="0" xfId="1" applyNumberFormat="1" applyFont="1" applyFill="1"/>
    <xf numFmtId="164" fontId="11" fillId="0" borderId="0" xfId="0" applyNumberFormat="1" applyFont="1" applyFill="1"/>
    <xf numFmtId="0" fontId="5" fillId="7" borderId="0" xfId="0" applyFont="1" applyFill="1"/>
    <xf numFmtId="39" fontId="9" fillId="0" borderId="0" xfId="0" applyNumberFormat="1" applyFont="1" applyFill="1"/>
    <xf numFmtId="0" fontId="9" fillId="0" borderId="0" xfId="0" applyFont="1" applyFill="1"/>
    <xf numFmtId="39" fontId="32" fillId="6" borderId="0" xfId="0" applyNumberFormat="1" applyFont="1" applyFill="1"/>
    <xf numFmtId="39" fontId="32" fillId="7" borderId="0" xfId="0" applyNumberFormat="1" applyFont="1" applyFill="1"/>
    <xf numFmtId="172" fontId="42" fillId="0" borderId="0" xfId="2" applyNumberFormat="1" applyFont="1" applyFill="1" applyAlignment="1">
      <alignment horizontal="right" vertical="center"/>
    </xf>
    <xf numFmtId="165" fontId="18" fillId="0" borderId="0" xfId="1" applyNumberFormat="1" applyFont="1" applyFill="1" applyAlignment="1">
      <alignment horizontal="center"/>
    </xf>
    <xf numFmtId="0" fontId="9" fillId="0" borderId="0" xfId="1" applyFont="1" applyFill="1" applyAlignment="1">
      <alignment horizontal="center"/>
    </xf>
    <xf numFmtId="165" fontId="10" fillId="0" borderId="0" xfId="1" applyNumberFormat="1" applyFont="1" applyFill="1" applyAlignment="1">
      <alignment horizontal="center"/>
    </xf>
    <xf numFmtId="165" fontId="18" fillId="8" borderId="0" xfId="1" applyNumberFormat="1" applyFont="1" applyFill="1" applyAlignment="1">
      <alignment horizontal="center"/>
    </xf>
    <xf numFmtId="0" fontId="10" fillId="0" borderId="0" xfId="1" applyFont="1" applyFill="1" applyAlignment="1">
      <alignment horizontal="center"/>
    </xf>
    <xf numFmtId="0" fontId="18" fillId="8" borderId="0" xfId="1" applyFont="1" applyFill="1" applyAlignment="1">
      <alignment horizontal="center"/>
    </xf>
    <xf numFmtId="1" fontId="42" fillId="0" borderId="0" xfId="0" applyNumberFormat="1" applyFont="1" applyFill="1" applyAlignment="1">
      <alignment horizontal="left" vertical="center"/>
    </xf>
    <xf numFmtId="1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0" xfId="5" applyNumberFormat="1" applyFont="1"/>
    <xf numFmtId="1" fontId="0" fillId="0" borderId="0" xfId="5" applyNumberFormat="1" applyFont="1"/>
    <xf numFmtId="2" fontId="0" fillId="0" borderId="0" xfId="4" applyNumberFormat="1" applyFont="1"/>
    <xf numFmtId="2" fontId="24" fillId="0" borderId="0" xfId="1" applyNumberFormat="1" applyFont="1" applyFill="1" applyAlignment="1">
      <alignment horizontal="right"/>
    </xf>
    <xf numFmtId="0" fontId="31" fillId="3" borderId="0" xfId="0" applyFont="1" applyFill="1" applyAlignment="1">
      <alignment horizontal="center" vertical="center"/>
    </xf>
  </cellXfs>
  <cellStyles count="7">
    <cellStyle name="Comma 2" xfId="3"/>
    <cellStyle name="Comma 2 2" xfId="6"/>
    <cellStyle name="Currency" xfId="4" builtinId="4"/>
    <cellStyle name="Normal" xfId="0" builtinId="0"/>
    <cellStyle name="Normal 2" xfId="1"/>
    <cellStyle name="Percent" xfId="5" builtinId="5"/>
    <cellStyle name="Percent 2" xfId="2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33CC"/>
      <color rgb="FF993300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8.xml"/><Relationship Id="rId39" Type="http://schemas.openxmlformats.org/officeDocument/2006/relationships/externalLink" Target="externalLinks/externalLink21.xml"/><Relationship Id="rId21" Type="http://schemas.openxmlformats.org/officeDocument/2006/relationships/externalLink" Target="externalLinks/externalLink3.xml"/><Relationship Id="rId34" Type="http://schemas.openxmlformats.org/officeDocument/2006/relationships/externalLink" Target="externalLinks/externalLink16.xml"/><Relationship Id="rId42" Type="http://schemas.openxmlformats.org/officeDocument/2006/relationships/externalLink" Target="externalLinks/externalLink24.xml"/><Relationship Id="rId47" Type="http://schemas.openxmlformats.org/officeDocument/2006/relationships/externalLink" Target="externalLinks/externalLink29.xml"/><Relationship Id="rId50" Type="http://schemas.openxmlformats.org/officeDocument/2006/relationships/externalLink" Target="externalLinks/externalLink32.xml"/><Relationship Id="rId55" Type="http://schemas.openxmlformats.org/officeDocument/2006/relationships/externalLink" Target="externalLinks/externalLink3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externalLink" Target="externalLinks/externalLink11.xml"/><Relationship Id="rId41" Type="http://schemas.openxmlformats.org/officeDocument/2006/relationships/externalLink" Target="externalLinks/externalLink23.xml"/><Relationship Id="rId54" Type="http://schemas.openxmlformats.org/officeDocument/2006/relationships/externalLink" Target="externalLinks/externalLink36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externalLink" Target="externalLinks/externalLink14.xml"/><Relationship Id="rId37" Type="http://schemas.openxmlformats.org/officeDocument/2006/relationships/externalLink" Target="externalLinks/externalLink19.xml"/><Relationship Id="rId40" Type="http://schemas.openxmlformats.org/officeDocument/2006/relationships/externalLink" Target="externalLinks/externalLink22.xml"/><Relationship Id="rId45" Type="http://schemas.openxmlformats.org/officeDocument/2006/relationships/externalLink" Target="externalLinks/externalLink27.xml"/><Relationship Id="rId53" Type="http://schemas.openxmlformats.org/officeDocument/2006/relationships/externalLink" Target="externalLinks/externalLink35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externalLink" Target="externalLinks/externalLink10.xml"/><Relationship Id="rId36" Type="http://schemas.openxmlformats.org/officeDocument/2006/relationships/externalLink" Target="externalLinks/externalLink18.xml"/><Relationship Id="rId49" Type="http://schemas.openxmlformats.org/officeDocument/2006/relationships/externalLink" Target="externalLinks/externalLink31.xml"/><Relationship Id="rId57" Type="http://schemas.openxmlformats.org/officeDocument/2006/relationships/externalLink" Target="externalLinks/externalLink39.xml"/><Relationship Id="rId61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externalLink" Target="externalLinks/externalLink13.xml"/><Relationship Id="rId44" Type="http://schemas.openxmlformats.org/officeDocument/2006/relationships/externalLink" Target="externalLinks/externalLink26.xml"/><Relationship Id="rId52" Type="http://schemas.openxmlformats.org/officeDocument/2006/relationships/externalLink" Target="externalLinks/externalLink34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externalLink" Target="externalLinks/externalLink9.xml"/><Relationship Id="rId30" Type="http://schemas.openxmlformats.org/officeDocument/2006/relationships/externalLink" Target="externalLinks/externalLink12.xml"/><Relationship Id="rId35" Type="http://schemas.openxmlformats.org/officeDocument/2006/relationships/externalLink" Target="externalLinks/externalLink17.xml"/><Relationship Id="rId43" Type="http://schemas.openxmlformats.org/officeDocument/2006/relationships/externalLink" Target="externalLinks/externalLink25.xml"/><Relationship Id="rId48" Type="http://schemas.openxmlformats.org/officeDocument/2006/relationships/externalLink" Target="externalLinks/externalLink30.xml"/><Relationship Id="rId56" Type="http://schemas.openxmlformats.org/officeDocument/2006/relationships/externalLink" Target="externalLinks/externalLink38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3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externalLink" Target="externalLinks/externalLink15.xml"/><Relationship Id="rId38" Type="http://schemas.openxmlformats.org/officeDocument/2006/relationships/externalLink" Target="externalLinks/externalLink20.xml"/><Relationship Id="rId46" Type="http://schemas.openxmlformats.org/officeDocument/2006/relationships/externalLink" Target="externalLinks/externalLink28.xml"/><Relationship Id="rId5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3/4Q13/AAL%204Q13%20SEC%20XBR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014/4Q14/AAL%204Q14%20SEC%20XBR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2015/4Q15/AAL%204Q15%20SEC%20XBRL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2016/4Q16/AAL%204Q16%20SEC%20XBRL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2017/4Q17/AAL%204Q17%20SEC%20XBRL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017/1Q17/AAL%201Q17%20SEC%20XBRL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2017/2Q17/AAL%202Q17%20SEC%20XBRL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2017/3Q17/AAL%203Q17%20SEC%20XBRL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2018/4Q18/AAL%204Q18%20SEC%20XBRL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2018/1Q18/AAL%201Q18%20SEC%20XBRL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2018/2Q18/AAL%202Q18%20SEC%20XBRL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2018/3Q18/AAL%203Q18%20SEC%20XBRL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2018/4Q18/AAL%204Q18%20PR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2019/1Q19/AAL%201Q19%20SEC%20XBRL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2013/4Q13/AAL%202013%2010-K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2014/4Q14/AAL%204Q14%20PR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ACTUAL/AAL/2018/4Q18/PR/AAL%204Q18%20PR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2019/1Q19/AAL%201Q19%20PR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2012/4Q12/AAL%204Q12%20SEC%20XBRL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2016/1Q16/AAL%201Q16%20SEC%20XBRL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2016/2Q16/AAL%202Q16%20SEC%20XBRL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2016/3Q16/AAL%203Q16%20SEC%20XBRL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shim%20Mandal\Desktop\AAL%204Q18%20SE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2013/4Q13/AAL%204Q13%20PR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2015/4Q15/AAL%204Q15%20PR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2016/4Q16/4Q16%20AAL%20PR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2017/4Q17/AAL%204Q17%20PR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2015/1Q15/AAL%201Q15%20PR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2015/2Q15/AAL%202Q15%20PR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2015/3Q15/AAL%203Q15%20PR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2016/1Q16/AAL%201Q16%20PR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2016/2Q16/AAL%202Q16%20PR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2016/3Q16/3Q16%20AAL%20PR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2017/1Q17/AAL%201Q17%20PR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2017/2Q17/AAL%202Q17%20PR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2017/3Q17/AAL%203Q17%20PR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2018/1Q18/AAL%201Q18%20PR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2018/2Q18/AAL%202Q18%20PR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2018/3Q18/AAL%203Q18%20P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_And_Entity_Informatio"/>
      <sheetName val="IS"/>
      <sheetName val="Consolidated_Statements_Of_Ope1"/>
      <sheetName val="Consolidated_Statements_Of_Com"/>
      <sheetName val="BS"/>
      <sheetName val="Consolidated_Balance_Sheets_Pa"/>
      <sheetName val="CF"/>
      <sheetName val="Consolidated_Statements_Of_Sto"/>
      <sheetName val="Consolidated_Statements_Of_Sto1"/>
      <sheetName val="Nature_of_Operations_and_Opera"/>
      <sheetName val="Emergence_From_Chapter_11"/>
      <sheetName val="Mandatorily_Convertible_Prefer"/>
      <sheetName val="Merger_and_Related_Matters"/>
      <sheetName val="Basis_of_Presentation_and_Summ"/>
      <sheetName val="Special_Items_Net"/>
      <sheetName val="Investments_and_Fair_Value_Mea"/>
      <sheetName val="Commitments_Contingencies_and_"/>
      <sheetName val="Indebtedness_and_Leases"/>
      <sheetName val="Financial_Instruments_And_Risk"/>
      <sheetName val="Income_Taxes"/>
      <sheetName val="Share_Based_Compensation"/>
      <sheetName val="Retirement_Benefits"/>
      <sheetName val="Accumulated_Other_Comprehensiv"/>
      <sheetName val="Segment_Reporting"/>
      <sheetName val="Quarterly_Financial_Data_Unaud"/>
      <sheetName val="Regional_Expenses_Notes"/>
      <sheetName val="Earnings_Loss_Per_Share"/>
      <sheetName val="Stockholders_Equity_Notes"/>
      <sheetName val="Subsequent_Events"/>
      <sheetName val="Schedule_II_Valuation_And_Qual"/>
      <sheetName val="Basis_of_Presentation_and_Summ1"/>
      <sheetName val="Emergence_From_Chapter_11_Tabl"/>
      <sheetName val="Mandatorily_Convertible_Prefer1"/>
      <sheetName val="Merger_and_Related_Matters_Tab"/>
      <sheetName val="Basis_of_Presentation_and_Summ2"/>
      <sheetName val="Special_Items_Net_Tables"/>
      <sheetName val="Investments_and_Fair_Value_Mea1"/>
      <sheetName val="Commitments_Contingencies_and_1"/>
      <sheetName val="Indebtedness_and_Leases_Tables"/>
      <sheetName val="Financial_Instruments_And_Risk1"/>
      <sheetName val="Income_Taxes_Tables"/>
      <sheetName val="Share_Based_Compensation_Table"/>
      <sheetName val="Retirement_Benefits_Tables"/>
      <sheetName val="Accumulated_Other_Comprehensiv1"/>
      <sheetName val="Segment_Reporting_Tables"/>
      <sheetName val="Quarterly_Financial_Data_Unaud1"/>
      <sheetName val="Regional_Expenses_Tables"/>
      <sheetName val="Earnings_Loss_Per_Share_Tables"/>
      <sheetName val="Stockholders_Equity_Tables"/>
      <sheetName val="Subsequent_Events_Tables"/>
      <sheetName val="Nature_of_Operations_and_Opera1"/>
      <sheetName val="Emergence_From_Chapter_11_Narr"/>
      <sheetName val="Emergence_From_Chapter_11_Sche"/>
      <sheetName val="Emergence_From_Chapter_11_Comp"/>
      <sheetName val="Emergence_From_Chapter_11_Sche1"/>
      <sheetName val="Mandatorily_Convertible_Prefer2"/>
      <sheetName val="Merger_and_Related_Matters_Nar"/>
      <sheetName val="Merger_and_Related_Matters_Fai"/>
      <sheetName val="Merger_and_Related_Matters_All"/>
      <sheetName val="Merger_and_Related_Matters_Pro"/>
      <sheetName val="Merger_and_Related_Matters_Rec"/>
      <sheetName val="Basis_of_Presentation_and_Summ3"/>
      <sheetName val="Basis_of_Presentation_and_Summ4"/>
      <sheetName val="Basis_of_Presentation_and_Summ5"/>
      <sheetName val="Basis_of_Presentation_and_Summ6"/>
      <sheetName val="Basis_of_Presentation_and_Summ7"/>
      <sheetName val="Basis_of_Presentation_and_Summ8"/>
      <sheetName val="Special_Items_Net_Details"/>
      <sheetName val="Investments_and_Fair_Value_Mea2"/>
      <sheetName val="Investments_and_Fair_Value_Mea3"/>
      <sheetName val="Investments_and_Fair_Value_Mea4"/>
      <sheetName val="Commitments_Contingencies_and_2"/>
      <sheetName val="Commitments_Contingencies_and_3"/>
      <sheetName val="Commitments_Contingencies_and_4"/>
      <sheetName val="Commitments_Contingencies_and_5"/>
      <sheetName val="Commitments_Contingencies_and_6"/>
      <sheetName val="Commitments_Contingencies_and_7"/>
      <sheetName val="Indebtedness_and_Leases_Compon"/>
      <sheetName val="Maturities_of_Long_Term_Debt_D"/>
      <sheetName val="Indebtedness_and_Leases_Americ"/>
      <sheetName val="Indebtedness_and_Leases_US_Air"/>
      <sheetName val="Indebtedness_and_Leases_Schedu"/>
      <sheetName val="Financial_Instruments_And_Risk2"/>
      <sheetName val="Financial_Instruments_And_Risk3"/>
      <sheetName val="Financial_Instruments_And_Risk4"/>
      <sheetName val="Financial_Instruments_And_Risk5"/>
      <sheetName val="Income_Taxes_Narrative_Details"/>
      <sheetName val="Income_Taxes_Components_Of_Inc"/>
      <sheetName val="Income_Taxes_Computation_Of_In"/>
      <sheetName val="Income_Taxes_Deferred_Tax_Asse"/>
      <sheetName val="Income_Taxes_Reconciliation_Of"/>
      <sheetName val="Share_Based_Compensation_Narra"/>
      <sheetName val="Share_Based_Compensation_Sched"/>
      <sheetName val="Share_Based_Compensation_Sched1"/>
      <sheetName val="Share_Based_Compensation_Sched2"/>
      <sheetName val="Share_Based_Compensation_Share"/>
      <sheetName val="Retirement_Benefits_Narrative_"/>
      <sheetName val="Retirement_Benefits_Schedule_O"/>
      <sheetName val="Retirement_Benefits_Schedule_O1"/>
      <sheetName val="Retirement_Benefits_Schedule_O2"/>
      <sheetName val="Retirement_Benefits_Schedule_O3"/>
      <sheetName val="Retirement_Benefits_Components"/>
      <sheetName val="Retirement_Benefits_Schedule_O4"/>
      <sheetName val="Retirement_Benefits_Summary_Of"/>
      <sheetName val="Retirement_Benefits_Schedule_O5"/>
      <sheetName val="Retirement_Benefits_Changes_In"/>
      <sheetName val="Retirement_Benefits_Fair_Value"/>
      <sheetName val="Recovered_Sheet1"/>
      <sheetName val="Retirement_Benefits_Schedule_O6"/>
      <sheetName val="Retirement_Benefits_Benefit_Pa"/>
      <sheetName val="Accumulated_Other_Comprehensiv2"/>
      <sheetName val="Accumulated_Other_Comprehensiv3"/>
      <sheetName val="Segment_Reporting_Operating_Re"/>
      <sheetName val="Quarterly_Financial_Data_Unaud2"/>
      <sheetName val="Quarterly_Financial_Data_Unaud3"/>
      <sheetName val="Regional_Expenses_Details"/>
      <sheetName val="Regional_Expenses_Transactions"/>
      <sheetName val="Earnings_Loss_Per_Share_Narrat"/>
      <sheetName val="Earnings_Loss_Per_Share_Earnin"/>
      <sheetName val="Stockholders_Equity_Details"/>
      <sheetName val="Subsequent_Events_Conversions_"/>
      <sheetName val="Schedule_II_Valuation_And_Qual1"/>
    </sheetNames>
    <sheetDataSet>
      <sheetData sheetId="0"/>
      <sheetData sheetId="1">
        <row r="4">
          <cell r="D4">
            <v>17947</v>
          </cell>
        </row>
        <row r="5">
          <cell r="D5">
            <v>2724</v>
          </cell>
        </row>
        <row r="6">
          <cell r="D6">
            <v>709</v>
          </cell>
        </row>
        <row r="7">
          <cell r="D7">
            <v>2599</v>
          </cell>
        </row>
        <row r="8">
          <cell r="D8">
            <v>23979</v>
          </cell>
        </row>
        <row r="10">
          <cell r="D10">
            <v>7358</v>
          </cell>
        </row>
        <row r="11">
          <cell r="D11">
            <v>6361</v>
          </cell>
        </row>
        <row r="12">
          <cell r="D12">
            <v>3009</v>
          </cell>
        </row>
        <row r="13">
          <cell r="D13">
            <v>1039</v>
          </cell>
        </row>
        <row r="14">
          <cell r="D14">
            <v>1194</v>
          </cell>
        </row>
        <row r="15">
          <cell r="D15">
            <v>645</v>
          </cell>
        </row>
        <row r="16">
          <cell r="D16">
            <v>1102</v>
          </cell>
        </row>
        <row r="17">
          <cell r="D17">
            <v>915</v>
          </cell>
        </row>
        <row r="18">
          <cell r="D18">
            <v>756</v>
          </cell>
        </row>
        <row r="19">
          <cell r="D19">
            <v>2637</v>
          </cell>
        </row>
        <row r="20">
          <cell r="D20">
            <v>25016</v>
          </cell>
        </row>
        <row r="21">
          <cell r="D21">
            <v>-1037</v>
          </cell>
        </row>
        <row r="23">
          <cell r="D23">
            <v>26</v>
          </cell>
        </row>
        <row r="24">
          <cell r="D24">
            <v>-811</v>
          </cell>
        </row>
        <row r="25">
          <cell r="D25">
            <v>-39</v>
          </cell>
        </row>
        <row r="26">
          <cell r="D26">
            <v>-824</v>
          </cell>
        </row>
        <row r="28">
          <cell r="D28">
            <v>-118</v>
          </cell>
        </row>
        <row r="29">
          <cell r="D29">
            <v>-1979</v>
          </cell>
        </row>
        <row r="30">
          <cell r="D30">
            <v>0</v>
          </cell>
        </row>
        <row r="31">
          <cell r="D31">
            <v>-1979</v>
          </cell>
        </row>
        <row r="33">
          <cell r="D33">
            <v>-15.83</v>
          </cell>
        </row>
        <row r="34">
          <cell r="D34">
            <v>-15.83</v>
          </cell>
        </row>
        <row r="36">
          <cell r="D36">
            <v>124985</v>
          </cell>
        </row>
        <row r="37">
          <cell r="D37">
            <v>124985</v>
          </cell>
        </row>
      </sheetData>
      <sheetData sheetId="2"/>
      <sheetData sheetId="3"/>
      <sheetData sheetId="4">
        <row r="4">
          <cell r="C4">
            <v>480</v>
          </cell>
        </row>
        <row r="5">
          <cell r="C5">
            <v>3412</v>
          </cell>
        </row>
        <row r="6">
          <cell r="C6">
            <v>850</v>
          </cell>
        </row>
        <row r="7">
          <cell r="C7">
            <v>1124</v>
          </cell>
        </row>
        <row r="8">
          <cell r="C8">
            <v>580</v>
          </cell>
        </row>
        <row r="9">
          <cell r="C9">
            <v>626</v>
          </cell>
        </row>
        <row r="10">
          <cell r="C10">
            <v>7072</v>
          </cell>
        </row>
        <row r="12">
          <cell r="C12">
            <v>18221</v>
          </cell>
        </row>
        <row r="13">
          <cell r="C13">
            <v>5302</v>
          </cell>
        </row>
        <row r="14">
          <cell r="C14">
            <v>710</v>
          </cell>
        </row>
        <row r="15">
          <cell r="C15">
            <v>24233</v>
          </cell>
        </row>
        <row r="16">
          <cell r="C16">
            <v>10831</v>
          </cell>
        </row>
        <row r="17">
          <cell r="C17">
            <v>13402</v>
          </cell>
        </row>
        <row r="20">
          <cell r="C20">
            <v>869</v>
          </cell>
        </row>
        <row r="21">
          <cell r="C21">
            <v>2167</v>
          </cell>
        </row>
        <row r="22">
          <cell r="C22">
            <v>3036</v>
          </cell>
        </row>
        <row r="23">
          <cell r="C23">
            <v>23510</v>
          </cell>
        </row>
        <row r="25">
          <cell r="C25">
            <v>1419</v>
          </cell>
        </row>
        <row r="26">
          <cell r="C26">
            <v>975</v>
          </cell>
        </row>
        <row r="27">
          <cell r="C27">
            <v>666</v>
          </cell>
        </row>
        <row r="28">
          <cell r="C28">
            <v>2813</v>
          </cell>
        </row>
        <row r="29">
          <cell r="C29">
            <v>1711</v>
          </cell>
        </row>
        <row r="30">
          <cell r="C30">
            <v>1427</v>
          </cell>
        </row>
        <row r="31">
          <cell r="C31">
            <v>9011</v>
          </cell>
        </row>
        <row r="33">
          <cell r="C33">
            <v>7116</v>
          </cell>
        </row>
        <row r="34">
          <cell r="C34">
            <v>6780</v>
          </cell>
        </row>
        <row r="35">
          <cell r="C35">
            <v>223</v>
          </cell>
        </row>
        <row r="37">
          <cell r="C37">
            <v>1761</v>
          </cell>
        </row>
        <row r="38">
          <cell r="C38">
            <v>15880</v>
          </cell>
        </row>
        <row r="40">
          <cell r="C40">
            <v>6606</v>
          </cell>
        </row>
        <row r="42">
          <cell r="C42">
            <v>127</v>
          </cell>
        </row>
        <row r="43">
          <cell r="C43">
            <v>4695</v>
          </cell>
        </row>
        <row r="44">
          <cell r="C44">
            <v>-367</v>
          </cell>
        </row>
        <row r="45">
          <cell r="C45">
            <v>-2980</v>
          </cell>
        </row>
        <row r="46">
          <cell r="C46">
            <v>-9462</v>
          </cell>
        </row>
        <row r="47">
          <cell r="C47">
            <v>-7987</v>
          </cell>
        </row>
        <row r="48">
          <cell r="C48">
            <v>23510</v>
          </cell>
        </row>
      </sheetData>
      <sheetData sheetId="5"/>
      <sheetData sheetId="6">
        <row r="4">
          <cell r="D4">
            <v>-1979</v>
          </cell>
        </row>
        <row r="6">
          <cell r="D6">
            <v>1086</v>
          </cell>
        </row>
        <row r="7">
          <cell r="D7">
            <v>-11</v>
          </cell>
        </row>
        <row r="8">
          <cell r="D8">
            <v>725</v>
          </cell>
        </row>
        <row r="9">
          <cell r="D9">
            <v>180</v>
          </cell>
        </row>
        <row r="10">
          <cell r="D10">
            <v>-1</v>
          </cell>
        </row>
        <row r="11">
          <cell r="D11">
            <v>40</v>
          </cell>
        </row>
        <row r="12">
          <cell r="D12">
            <v>118</v>
          </cell>
        </row>
        <row r="13">
          <cell r="D13">
            <v>0</v>
          </cell>
        </row>
        <row r="14">
          <cell r="D14">
            <v>87</v>
          </cell>
        </row>
        <row r="16">
          <cell r="D16">
            <v>-164</v>
          </cell>
        </row>
        <row r="17">
          <cell r="D17">
            <v>-146</v>
          </cell>
        </row>
        <row r="18">
          <cell r="D18">
            <v>-73</v>
          </cell>
        </row>
        <row r="19">
          <cell r="D19">
            <v>189</v>
          </cell>
        </row>
        <row r="20">
          <cell r="D20">
            <v>374</v>
          </cell>
        </row>
        <row r="21">
          <cell r="D21">
            <v>193</v>
          </cell>
        </row>
        <row r="22">
          <cell r="D22">
            <v>125</v>
          </cell>
        </row>
        <row r="23">
          <cell r="D23">
            <v>743</v>
          </cell>
        </row>
        <row r="24">
          <cell r="D24" t="str">
            <v>'</v>
          </cell>
        </row>
        <row r="25">
          <cell r="D25">
            <v>-1610</v>
          </cell>
        </row>
        <row r="27">
          <cell r="D27">
            <v>-2918</v>
          </cell>
        </row>
        <row r="28">
          <cell r="D28">
            <v>3528</v>
          </cell>
        </row>
        <row r="29">
          <cell r="D29">
            <v>-288</v>
          </cell>
        </row>
        <row r="30">
          <cell r="D30">
            <v>-4</v>
          </cell>
        </row>
        <row r="31">
          <cell r="D31">
            <v>-1292</v>
          </cell>
        </row>
        <row r="33">
          <cell r="D33">
            <v>-2545</v>
          </cell>
        </row>
        <row r="34">
          <cell r="D34">
            <v>2569</v>
          </cell>
        </row>
        <row r="35">
          <cell r="D35">
            <v>-63</v>
          </cell>
        </row>
        <row r="36">
          <cell r="D36">
            <v>703</v>
          </cell>
        </row>
        <row r="37">
          <cell r="D37">
            <v>0</v>
          </cell>
        </row>
        <row r="38">
          <cell r="D38">
            <v>664</v>
          </cell>
        </row>
        <row r="39">
          <cell r="D39">
            <v>115</v>
          </cell>
        </row>
        <row r="40">
          <cell r="D40">
            <v>168</v>
          </cell>
        </row>
        <row r="41">
          <cell r="D41">
            <v>283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_and_Entity_Informatio"/>
      <sheetName val="IS"/>
      <sheetName val="Consolidated_Statements_of_Com"/>
      <sheetName val="BS"/>
      <sheetName val="Consolidated_Balance_Sheets_Pa"/>
      <sheetName val="CF"/>
      <sheetName val="Consolidated_Statements_of_Sto"/>
      <sheetName val="Consolidated_Statements_of_Sto1"/>
      <sheetName val="Nature_of_Operations_and_Opera"/>
      <sheetName val="Emergence_from_Chapter_11"/>
      <sheetName val="Mandatorily_Convertible_Prefer"/>
      <sheetName val="Merger_and_Related_Matters"/>
      <sheetName val="Basis_of_Presentation_and_Summ"/>
      <sheetName val="Special_Items_Net"/>
      <sheetName val="Earnings_Loss_Per_Share"/>
      <sheetName val="Share_Repurchase_Program_and_D"/>
      <sheetName val="Debt"/>
      <sheetName val="Income_Taxes"/>
      <sheetName val="Risk_Management_and_Financial_"/>
      <sheetName val="Investments_and_Fair_Value_Mea"/>
      <sheetName val="Retirement_Benefits"/>
      <sheetName val="Accumulated_Other_Comprehensiv"/>
      <sheetName val="Commitments_Contingencies_and_"/>
      <sheetName val="Supplemental_Cash_Flow_Informa"/>
      <sheetName val="Operating_Segments_and_Related"/>
      <sheetName val="Sharebased_Compensation"/>
      <sheetName val="Valuation_and_Qualifying_Accou"/>
      <sheetName val="Quarterly_Financial_Data"/>
      <sheetName val="Financial_Information_for_Subs"/>
      <sheetName val="Subsequent_Events"/>
      <sheetName val="Bankruptcy_Settlement_Obligati"/>
      <sheetName val="Transactions_with_Related_Part"/>
      <sheetName val="Basis_of_Presentation_and_Summ1"/>
      <sheetName val="Emergence_from_Chapter_11_Tabl"/>
      <sheetName val="Mandatorily_Convertible_Prefer1"/>
      <sheetName val="Merger_and_Related_Matters_Tab"/>
      <sheetName val="Basis_of_Presentation_and_Summ2"/>
      <sheetName val="Special_Items_Net_Tables"/>
      <sheetName val="Earnings_Loss_Per_Share_Tables"/>
      <sheetName val="Debt_Tables"/>
      <sheetName val="Income_Taxes_Tables"/>
      <sheetName val="Risk_Management_and_Financial_1"/>
      <sheetName val="Investments_and_Fair_Value_Mea1"/>
      <sheetName val="Retirement_Benefits_Tables"/>
      <sheetName val="Accumulated_Other_Comprehensiv1"/>
      <sheetName val="Commitments_Contingencies_and_1"/>
      <sheetName val="Supplemental_Cash_Flow_Informa1"/>
      <sheetName val="Operating_Segments_and_Related1"/>
      <sheetName val="Sharebased_Compensation_Tables"/>
      <sheetName val="Valuation_and_Qualifying_Accou1"/>
      <sheetName val="Quarterly_Financial_Data_Table"/>
      <sheetName val="Financial_Information_for_Subs1"/>
      <sheetName val="Bankruptcy_Settlement_Obligati1"/>
      <sheetName val="Transactions_with_Related_Part1"/>
      <sheetName val="Nature_of_Operations_and_Opera1"/>
      <sheetName val="Emergence_from_Chapter_11_Addi"/>
      <sheetName val="Emergence_from_Chapter_11_Sche"/>
      <sheetName val="Emergence_from_Chapter_11_Sche1"/>
      <sheetName val="Mandatorily_Convertible_Prefer2"/>
      <sheetName val="Mandatorily_Convertible_Prefer3"/>
      <sheetName val="Merger_and_Related_Matters_Add"/>
      <sheetName val="Merger_and_Related_Matters_Sch"/>
      <sheetName val="Merger_and_Related_Matters_Sch1"/>
      <sheetName val="Merger_and_Related_Matters_Sch2"/>
      <sheetName val="Basis_of_Presentation_and_Summ3"/>
      <sheetName val="Basis_of_Presentation_and_Summ4"/>
      <sheetName val="Basis_of_Presentation_and_Summ5"/>
      <sheetName val="Basis_of_Presentation_and_Summ6"/>
      <sheetName val="Basis_of_Presentation_and_Summ7"/>
      <sheetName val="Basis_of_Presentation_and_Summ8"/>
      <sheetName val="Special_Items_Net_Components_o"/>
      <sheetName val="Special_Items_Net_Components_o1"/>
      <sheetName val="Special_Items_Net_Additional_I"/>
      <sheetName val="Earnings_Loss_per_Share_Additi"/>
      <sheetName val="Earnings_Loss_per_Share_Comput"/>
      <sheetName val="Earnings_Loss_per_Share_Comput1"/>
      <sheetName val="Share_Repurchase_Program_and_D1"/>
      <sheetName val="Debt_Components_of_LongTerm_De"/>
      <sheetName val="Debt_Components_of_LongTerm_De1"/>
      <sheetName val="Debt_Additional_Information_De"/>
      <sheetName val="Debt_Schedule_of_Maturities_of"/>
      <sheetName val="Debt_Schedule_of_Collateral_Co"/>
      <sheetName val="Debt_Schedule_of_Collateral_Co1"/>
      <sheetName val="Income_Taxes_Components_of_Inc"/>
      <sheetName val="Income_Taxes_Computation_of_In"/>
      <sheetName val="Income_Taxes_Additional_Inform"/>
      <sheetName val="Income_Taxes_Deferred_Tax_Asse"/>
      <sheetName val="Income_Taxes_Reconciliation_of"/>
      <sheetName val="Risk_Management_and_Financial_2"/>
      <sheetName val="Risk_Management_and_Financial_3"/>
      <sheetName val="Risk_Management_and_Financial_4"/>
      <sheetName val="Investments_and_Fair_Value_Mea2"/>
      <sheetName val="Investments_and_Fair_Value_Mea3"/>
      <sheetName val="Investments_and_Fair_Value_Mea4"/>
      <sheetName val="Investments_and_Fair_Value_Mea5"/>
      <sheetName val="Investments_and_Fair_Value_Mea6"/>
      <sheetName val="Investments_and_Fair_Value_Mea7"/>
      <sheetName val="Retirement_Benefits_Schedule_o"/>
      <sheetName val="Retirement_Benefits_Schedule_o1"/>
      <sheetName val="Retirement_Benefits_Schedule_o2"/>
      <sheetName val="Retirement_Benefits_Schedule_o3"/>
      <sheetName val="Retirement_Benefits_Schedule_o4"/>
      <sheetName val="Retirement_Benefits_Schedule_o5"/>
      <sheetName val="Retirement_Benefits_Schedule_o6"/>
      <sheetName val="Retirement_Benefits_Components"/>
      <sheetName val="Retirement_Benefits_Components1"/>
      <sheetName val="Retirement_Benefits_Additional"/>
      <sheetName val="Retirement_Benefits_Schedule_o7"/>
      <sheetName val="Retirement_Benefits_Schedule_o8"/>
      <sheetName val="Retirement_Benefits_Schedule_o9"/>
      <sheetName val="Recovered_Sheet1"/>
      <sheetName val="Retirement_Benefits_Changes_in"/>
      <sheetName val="Retirement_Benefits_Fair_Value"/>
      <sheetName val="Recovered_Sheet2"/>
      <sheetName val="Recovered_Sheet3"/>
      <sheetName val="Recovered_Sheet4"/>
      <sheetName val="Accumulated_Other_Comprehensiv2"/>
      <sheetName val="Accumulated_Other_Comprehensiv3"/>
      <sheetName val="Accumulated_Other_Comprehensiv4"/>
      <sheetName val="Commitments_Contingencies_and_2"/>
      <sheetName val="Commitments_Contingencies_and_3"/>
      <sheetName val="Commitments_Contingencies_and_4"/>
      <sheetName val="Commitments_Contingencies_and_5"/>
      <sheetName val="Commitments_Contingencies_and_6"/>
      <sheetName val="Commitments_Contingencies_and_7"/>
      <sheetName val="Commitments_Contingencies_and_8"/>
      <sheetName val="Commitments_Contingencies_and_9"/>
      <sheetName val="Supplemental_Cash_Flow_Informa2"/>
      <sheetName val="Operating_Segments_and_Related2"/>
      <sheetName val="Operating_Segments_and_Related3"/>
      <sheetName val="Share_Based_Compensation_Addit"/>
      <sheetName val="Share_Based_Compensation_Sched"/>
      <sheetName val="Share_Based_Compensation_CashS"/>
      <sheetName val="Share_Based_Compensation_Stock"/>
      <sheetName val="Share_Based_Compensation_CashS1"/>
      <sheetName val="Valuation_and_Qualifying_Accou2"/>
      <sheetName val="Quarterly_Financial_Data_Summa"/>
      <sheetName val="Quarterly_Financial_Data_Summa1"/>
      <sheetName val="Quarterly_Financial_Data_Addit"/>
      <sheetName val="Financial_Information_for_Subs2"/>
      <sheetName val="Financial_Information_for_Subs3"/>
      <sheetName val="Financial_Information_for_Subs4"/>
      <sheetName val="Financial_Information_for_Subs5"/>
      <sheetName val="Financial_Information_for_Subs6"/>
      <sheetName val="Subsequent_Events_Additional_I"/>
      <sheetName val="Transactions_with_Related_Part2"/>
      <sheetName val="Transactions_with_Related_Part3"/>
    </sheetNames>
    <sheetDataSet>
      <sheetData sheetId="0"/>
      <sheetData sheetId="1">
        <row r="4">
          <cell r="D4">
            <v>18743</v>
          </cell>
        </row>
        <row r="5">
          <cell r="D5">
            <v>2914</v>
          </cell>
        </row>
        <row r="6">
          <cell r="D6">
            <v>675</v>
          </cell>
        </row>
        <row r="7">
          <cell r="D7">
            <v>2523</v>
          </cell>
        </row>
        <row r="8">
          <cell r="D8">
            <v>24855</v>
          </cell>
        </row>
        <row r="10">
          <cell r="D10">
            <v>7705</v>
          </cell>
        </row>
        <row r="11">
          <cell r="D11">
            <v>6217</v>
          </cell>
        </row>
        <row r="12">
          <cell r="D12">
            <v>3028</v>
          </cell>
        </row>
        <row r="13">
          <cell r="D13">
            <v>1158</v>
          </cell>
        </row>
        <row r="14">
          <cell r="D14">
            <v>1083</v>
          </cell>
        </row>
        <row r="15">
          <cell r="D15">
            <v>553</v>
          </cell>
        </row>
        <row r="16">
          <cell r="D16">
            <v>1058</v>
          </cell>
        </row>
        <row r="17">
          <cell r="D17">
            <v>845</v>
          </cell>
        </row>
        <row r="18">
          <cell r="D18">
            <v>386</v>
          </cell>
        </row>
        <row r="19">
          <cell r="D19">
            <v>2674</v>
          </cell>
        </row>
        <row r="20">
          <cell r="D20">
            <v>24707</v>
          </cell>
        </row>
        <row r="21">
          <cell r="D21">
            <v>148</v>
          </cell>
        </row>
        <row r="23">
          <cell r="D23">
            <v>26</v>
          </cell>
        </row>
        <row r="24">
          <cell r="D24">
            <v>-632</v>
          </cell>
        </row>
        <row r="25">
          <cell r="D25">
            <v>221</v>
          </cell>
        </row>
        <row r="26">
          <cell r="D26">
            <v>-385</v>
          </cell>
        </row>
        <row r="28">
          <cell r="D28">
            <v>-2208</v>
          </cell>
        </row>
        <row r="29">
          <cell r="D29">
            <v>-2445</v>
          </cell>
        </row>
        <row r="30">
          <cell r="D30">
            <v>-569</v>
          </cell>
        </row>
        <row r="31">
          <cell r="D31">
            <v>-1876</v>
          </cell>
        </row>
        <row r="33">
          <cell r="D33">
            <v>-7.52</v>
          </cell>
        </row>
        <row r="34">
          <cell r="D34">
            <v>-7.52</v>
          </cell>
        </row>
        <row r="36">
          <cell r="D36">
            <v>249490</v>
          </cell>
        </row>
        <row r="37">
          <cell r="D37">
            <v>249490</v>
          </cell>
        </row>
      </sheetData>
      <sheetData sheetId="2"/>
      <sheetData sheetId="3">
        <row r="4">
          <cell r="C4">
            <v>1140</v>
          </cell>
        </row>
        <row r="5">
          <cell r="C5">
            <v>8111</v>
          </cell>
        </row>
        <row r="6">
          <cell r="C6">
            <v>1035</v>
          </cell>
        </row>
        <row r="7">
          <cell r="C7">
            <v>1560</v>
          </cell>
        </row>
        <row r="8">
          <cell r="C8">
            <v>1012</v>
          </cell>
        </row>
        <row r="9">
          <cell r="C9">
            <v>1465</v>
          </cell>
        </row>
        <row r="10">
          <cell r="C10">
            <v>14323</v>
          </cell>
        </row>
        <row r="12">
          <cell r="C12">
            <v>23730</v>
          </cell>
        </row>
        <row r="13">
          <cell r="C13">
            <v>5585</v>
          </cell>
        </row>
        <row r="14">
          <cell r="C14">
            <v>1077</v>
          </cell>
        </row>
        <row r="15">
          <cell r="C15">
            <v>30392</v>
          </cell>
        </row>
        <row r="16">
          <cell r="C16">
            <v>-11133</v>
          </cell>
        </row>
        <row r="17">
          <cell r="C17">
            <v>19259</v>
          </cell>
        </row>
        <row r="19">
          <cell r="C19">
            <v>4086</v>
          </cell>
        </row>
        <row r="20">
          <cell r="C20">
            <v>2311</v>
          </cell>
        </row>
        <row r="21">
          <cell r="C21">
            <v>2299</v>
          </cell>
        </row>
        <row r="22">
          <cell r="C22">
            <v>8696</v>
          </cell>
        </row>
        <row r="23">
          <cell r="C23">
            <v>42278</v>
          </cell>
        </row>
        <row r="25">
          <cell r="C25">
            <v>1446</v>
          </cell>
        </row>
        <row r="26">
          <cell r="C26">
            <v>1368</v>
          </cell>
        </row>
        <row r="27">
          <cell r="C27">
            <v>1143</v>
          </cell>
        </row>
        <row r="28">
          <cell r="C28">
            <v>4380</v>
          </cell>
        </row>
        <row r="29">
          <cell r="C29">
            <v>3005</v>
          </cell>
        </row>
        <row r="30">
          <cell r="C30">
            <v>2464</v>
          </cell>
        </row>
        <row r="31">
          <cell r="C31">
            <v>13806</v>
          </cell>
        </row>
        <row r="33">
          <cell r="C33">
            <v>15353</v>
          </cell>
        </row>
        <row r="34">
          <cell r="C34">
            <v>5828</v>
          </cell>
        </row>
        <row r="35">
          <cell r="C35">
            <v>935</v>
          </cell>
        </row>
        <row r="36">
          <cell r="C36">
            <v>5928</v>
          </cell>
        </row>
        <row r="37">
          <cell r="C37">
            <v>3159</v>
          </cell>
        </row>
        <row r="38">
          <cell r="C38">
            <v>31203</v>
          </cell>
        </row>
        <row r="41">
          <cell r="C41">
            <v>5</v>
          </cell>
        </row>
        <row r="42">
          <cell r="C42">
            <v>10592</v>
          </cell>
        </row>
        <row r="43">
          <cell r="C43">
            <v>-2032</v>
          </cell>
        </row>
        <row r="44">
          <cell r="C44">
            <v>-11296</v>
          </cell>
        </row>
        <row r="45">
          <cell r="C45">
            <v>-2731</v>
          </cell>
        </row>
        <row r="46">
          <cell r="C46">
            <v>42278</v>
          </cell>
        </row>
      </sheetData>
      <sheetData sheetId="4"/>
      <sheetData sheetId="5">
        <row r="4">
          <cell r="D4">
            <v>-1876</v>
          </cell>
        </row>
        <row r="6">
          <cell r="D6">
            <v>1015</v>
          </cell>
        </row>
        <row r="7">
          <cell r="D7">
            <v>-14</v>
          </cell>
        </row>
        <row r="8">
          <cell r="D8">
            <v>215</v>
          </cell>
        </row>
        <row r="9">
          <cell r="D9">
            <v>287</v>
          </cell>
        </row>
        <row r="10">
          <cell r="D10">
            <v>-569</v>
          </cell>
        </row>
        <row r="11">
          <cell r="D11">
            <v>29</v>
          </cell>
        </row>
        <row r="12">
          <cell r="D12">
            <v>2066</v>
          </cell>
        </row>
        <row r="14">
          <cell r="D14">
            <v>22</v>
          </cell>
        </row>
        <row r="16">
          <cell r="D16">
            <v>-222</v>
          </cell>
        </row>
        <row r="17">
          <cell r="D17">
            <v>-133</v>
          </cell>
        </row>
        <row r="18">
          <cell r="D18">
            <v>-1</v>
          </cell>
        </row>
        <row r="19">
          <cell r="D19">
            <v>449</v>
          </cell>
        </row>
        <row r="20">
          <cell r="D20">
            <v>161</v>
          </cell>
        </row>
        <row r="21">
          <cell r="D21">
            <v>140</v>
          </cell>
        </row>
        <row r="22">
          <cell r="D22">
            <v>-277</v>
          </cell>
        </row>
        <row r="23">
          <cell r="D23">
            <v>-7</v>
          </cell>
        </row>
        <row r="24">
          <cell r="D24">
            <v>1285</v>
          </cell>
        </row>
        <row r="26">
          <cell r="D26">
            <v>-1888</v>
          </cell>
        </row>
        <row r="28">
          <cell r="D28">
            <v>-1078</v>
          </cell>
        </row>
        <row r="29">
          <cell r="D29">
            <v>1384</v>
          </cell>
        </row>
        <row r="30">
          <cell r="D30">
            <v>-112</v>
          </cell>
        </row>
        <row r="32">
          <cell r="D32">
            <v>123</v>
          </cell>
        </row>
        <row r="33">
          <cell r="D33">
            <v>-1571</v>
          </cell>
        </row>
        <row r="35">
          <cell r="D35">
            <v>-1288</v>
          </cell>
        </row>
        <row r="36">
          <cell r="D36">
            <v>268</v>
          </cell>
        </row>
        <row r="37">
          <cell r="D37">
            <v>-6</v>
          </cell>
        </row>
        <row r="38">
          <cell r="D38">
            <v>1509</v>
          </cell>
        </row>
        <row r="43">
          <cell r="D43">
            <v>483</v>
          </cell>
        </row>
        <row r="44">
          <cell r="D44">
            <v>197</v>
          </cell>
        </row>
        <row r="46">
          <cell r="D46">
            <v>480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solidated Statements of Comp"/>
      <sheetName val="BS"/>
      <sheetName val="Consolidated Balance Sheets (Pa"/>
      <sheetName val="CF"/>
      <sheetName val="Consolidated Statements of Stoc"/>
      <sheetName val="Consolidated Statements of Sto8"/>
      <sheetName val="Nature of Operations and Operat"/>
      <sheetName val="Emergence from Chapter 11"/>
      <sheetName val="Bankruptcy Settlement Obligatio"/>
      <sheetName val="Merger and Related Matters"/>
      <sheetName val="Basis of Presentation and Summa"/>
      <sheetName val="Special Items, Net"/>
      <sheetName val="Earnings (Loss) Per Share"/>
      <sheetName val="Share Repurchase Programs and D"/>
      <sheetName val="Debt"/>
      <sheetName val="Income Taxes"/>
      <sheetName val="Risk Management"/>
      <sheetName val="Investments and Fair Value Meas"/>
      <sheetName val="Retirement Benefits"/>
      <sheetName val="Accumulated Other Comprehensive"/>
      <sheetName val="Commitments, Contingencies and "/>
      <sheetName val="Supplemental Cash Flow Informat"/>
      <sheetName val="Operating Segments and Related "/>
      <sheetName val="Share-based Compensation"/>
      <sheetName val="Valuation and Qualifying Accoun"/>
      <sheetName val="Quarterly Financial Data"/>
      <sheetName val="Financial Information for Subsi"/>
      <sheetName val="Subsequent Events"/>
      <sheetName val="Transactions with Related Parti"/>
      <sheetName val="Basis of Presentation and Sum32"/>
      <sheetName val="Emergence from Chapter 11 (Tabl"/>
      <sheetName val="Bankruptcy Settlement Obligat34"/>
      <sheetName val="Merger and Related Matters (Tab"/>
      <sheetName val="Basis of Presentation and Sum36"/>
      <sheetName val="Special Items, Net (Tables)"/>
      <sheetName val="Earnings (Loss) Per Share (Tabl"/>
      <sheetName val="Share Repurchase Programs and39"/>
      <sheetName val="Debt (Tables)"/>
      <sheetName val="Income Taxes (Tables)"/>
      <sheetName val="Investments and Fair Value Me42"/>
      <sheetName val="Retirement Benefits (Tables)"/>
      <sheetName val="Accumulated Other Comprehensi44"/>
      <sheetName val="Commitments, Contingencies an45"/>
      <sheetName val="Supplemental Cash Flow Inform46"/>
      <sheetName val="Operating Segments and Relate47"/>
      <sheetName val="Share-based Compensation (Table"/>
      <sheetName val="Valuation and Qualifying Acco49"/>
      <sheetName val="Quarterly Financial Data (Table"/>
      <sheetName val="Financial Information for Sub51"/>
      <sheetName val="Transactions with Related Par52"/>
      <sheetName val="Nature of Operations and Oper53"/>
      <sheetName val="Emergence from Chapter 11 - Add"/>
      <sheetName val="Emergence from Chapter 11 - Sch"/>
      <sheetName val="Emergence from Chapter 11 - S56"/>
      <sheetName val="Bankruptcy Settlement Obligat57"/>
      <sheetName val="Bankruptcy Settlement Obligat58"/>
      <sheetName val="Merger and Related Matters - Ad"/>
      <sheetName val="Merger and Related Matters - Sc"/>
      <sheetName val="Merger and Related Matters - 61"/>
      <sheetName val="Merger and Related Matters - 62"/>
      <sheetName val="Basis of Presentation and Sum63"/>
      <sheetName val="Basis of Presentation and Sum64"/>
      <sheetName val="Basis of Presentation and Sum65"/>
      <sheetName val="Basis of Presentation and Sum66"/>
      <sheetName val="Basis of Presentation and Sum67"/>
      <sheetName val="Basis of Presentation and Sum68"/>
      <sheetName val="Special Items, Net - Components"/>
      <sheetName val="Special Items, Net - Componen70"/>
      <sheetName val="Earnings (Loss) per Share - Add"/>
      <sheetName val="Earnings (Loss) per Share - Com"/>
      <sheetName val="Earnings (Loss) per Share - C73"/>
      <sheetName val="Share Repurchase Program and Di"/>
      <sheetName val="Share Repurchase Programs and75"/>
      <sheetName val="Debt - Components of Long-Term "/>
      <sheetName val="Debt - Components of Long-Ter77"/>
      <sheetName val="Debt - Summary of Availability "/>
      <sheetName val="Debt - Additional Information ("/>
      <sheetName val="Debt - Schedule of Maturities o"/>
      <sheetName val="Debt - Components of Long-Ter81"/>
      <sheetName val="Debt - Components of Long-Ter82"/>
      <sheetName val="Debt - Components of Long-Ter83"/>
      <sheetName val="Debt - Components of Long-Ter84"/>
      <sheetName val="Debt - Components of Long-Ter85"/>
      <sheetName val="Debt - Components of Long-Ter86"/>
      <sheetName val="Debt - Components of Long-Ter87"/>
      <sheetName val="Debt - Components of Long-Ter88"/>
      <sheetName val="Debt - Components of Long-Ter89"/>
      <sheetName val="Debt - Components of Long-Ter90"/>
      <sheetName val="Debt - Schedule of Collateral C"/>
      <sheetName val="Debt - Schedule of Collateral92"/>
      <sheetName val="Income Taxes - Components of In"/>
      <sheetName val="Income Taxes - Computation of I"/>
      <sheetName val="Income Taxes - Additional Infor"/>
      <sheetName val="Income Taxes - Deferred Tax Ass"/>
      <sheetName val="Risk Management - Additional In"/>
      <sheetName val="Investments and Fair Value Me98"/>
      <sheetName val="Investments and Fair Value Me99"/>
      <sheetName val="Investments and Fair Value M100"/>
      <sheetName val="Investments and Fair Value M101"/>
      <sheetName val="Retirement Benefits - Additiona"/>
      <sheetName val="Retirement Benefits - Schedule "/>
      <sheetName val="Retirement Benefits - Schedu104"/>
      <sheetName val="Retirement Benefits - Schedu105"/>
      <sheetName val="Retirement Benefits - Schedu106"/>
      <sheetName val="Retirement Benefits - Schedu107"/>
      <sheetName val="Retirement Benefits - Schedu108"/>
      <sheetName val="Retirement Benefits - Schedu109"/>
      <sheetName val="Retirement Benefits - Schedu110"/>
      <sheetName val="Retirement Benefits - Component"/>
      <sheetName val="Retirement Benefits - Compon112"/>
      <sheetName val="Retirement Benefits - Schedu113"/>
      <sheetName val="Retirement Benefits - Schedu114"/>
      <sheetName val="Retirement Benefits - Schedu115"/>
      <sheetName val="Retirement Benefits - Schedu116"/>
      <sheetName val="Retirement Benefits - Changes i"/>
      <sheetName val="Retirement Benefits - Fair Valu"/>
      <sheetName val="Retirement Benefits - Schedu119"/>
      <sheetName val="Retirement Benefits - Schedu120"/>
      <sheetName val="Accumulated Other Comprehens121"/>
      <sheetName val="Accumulated Other Comprehens122"/>
      <sheetName val="Accumulated Other Comprehens123"/>
      <sheetName val="Commitments, Contingencies a124"/>
      <sheetName val="Commitments, Contingencies a125"/>
      <sheetName val="Commitments, Contingencies a126"/>
      <sheetName val="Commitments, Contingencies a127"/>
      <sheetName val="Commitments, Contingencies a128"/>
      <sheetName val="Commitments, Contingencies a129"/>
      <sheetName val="Commitments, Contingencies a130"/>
      <sheetName val="Supplemental Cash Flow Infor131"/>
      <sheetName val="Operating Segments and Relat132"/>
      <sheetName val="Operating Segments and Relat133"/>
      <sheetName val="Share Based Compensation - Addi"/>
      <sheetName val="Share Based Compensation - Sche"/>
      <sheetName val="Share Based Compensation - Stoc"/>
      <sheetName val="Share Based Compensation - Cash"/>
      <sheetName val="Valuation and Qualifying Acc138"/>
      <sheetName val="Quarterly Financial Data - Summ"/>
      <sheetName val="Quarterly Financial Data - Addi"/>
      <sheetName val="Financial Information for Su141"/>
      <sheetName val="Financial Information for Su142"/>
      <sheetName val="Financial Information for Su143"/>
      <sheetName val="Financial Information for Su144"/>
      <sheetName val="Subsequent Events - Additional "/>
      <sheetName val="Transactions with Related Pa146"/>
      <sheetName val="Transactions with Related Pa147"/>
    </sheetNames>
    <sheetDataSet>
      <sheetData sheetId="0"/>
      <sheetData sheetId="1">
        <row r="4">
          <cell r="D4">
            <v>20218</v>
          </cell>
        </row>
        <row r="5">
          <cell r="D5">
            <v>3131</v>
          </cell>
        </row>
        <row r="6">
          <cell r="D6">
            <v>685</v>
          </cell>
        </row>
        <row r="7">
          <cell r="D7">
            <v>2709</v>
          </cell>
        </row>
        <row r="8">
          <cell r="D8">
            <v>26743</v>
          </cell>
        </row>
        <row r="10">
          <cell r="D10">
            <v>7839</v>
          </cell>
        </row>
        <row r="11">
          <cell r="D11">
            <v>5460</v>
          </cell>
        </row>
        <row r="12">
          <cell r="D12">
            <v>3326</v>
          </cell>
        </row>
        <row r="13">
          <cell r="D13">
            <v>1260</v>
          </cell>
        </row>
        <row r="14">
          <cell r="D14">
            <v>1152</v>
          </cell>
        </row>
        <row r="15">
          <cell r="D15">
            <v>768</v>
          </cell>
        </row>
        <row r="16">
          <cell r="D16">
            <v>1158</v>
          </cell>
        </row>
        <row r="17">
          <cell r="D17">
            <v>853</v>
          </cell>
        </row>
        <row r="18">
          <cell r="D18">
            <v>559</v>
          </cell>
        </row>
        <row r="19">
          <cell r="D19">
            <v>2969</v>
          </cell>
        </row>
        <row r="20">
          <cell r="D20">
            <v>25344</v>
          </cell>
        </row>
        <row r="21">
          <cell r="D21">
            <v>1399</v>
          </cell>
        </row>
        <row r="23">
          <cell r="D23">
            <v>20</v>
          </cell>
        </row>
        <row r="24">
          <cell r="D24">
            <v>-856</v>
          </cell>
        </row>
        <row r="25">
          <cell r="D25">
            <v>-88</v>
          </cell>
        </row>
        <row r="26">
          <cell r="D26">
            <v>-924</v>
          </cell>
        </row>
        <row r="28">
          <cell r="D28">
            <v>-2655</v>
          </cell>
        </row>
        <row r="29">
          <cell r="D29">
            <v>-2180</v>
          </cell>
        </row>
        <row r="30">
          <cell r="D30">
            <v>-346</v>
          </cell>
        </row>
        <row r="31">
          <cell r="D31">
            <v>-1834</v>
          </cell>
        </row>
        <row r="33">
          <cell r="D33">
            <v>-6.54</v>
          </cell>
        </row>
        <row r="34">
          <cell r="D34">
            <v>-6.54</v>
          </cell>
        </row>
        <row r="36">
          <cell r="D36">
            <v>280213</v>
          </cell>
        </row>
        <row r="37">
          <cell r="D37">
            <v>280213</v>
          </cell>
        </row>
      </sheetData>
      <sheetData sheetId="2"/>
      <sheetData sheetId="3">
        <row r="3">
          <cell r="C3">
            <v>994</v>
          </cell>
        </row>
        <row r="4">
          <cell r="C4">
            <v>6309</v>
          </cell>
        </row>
        <row r="5">
          <cell r="C5">
            <v>774</v>
          </cell>
        </row>
        <row r="6">
          <cell r="C6">
            <v>1771</v>
          </cell>
        </row>
        <row r="7">
          <cell r="C7">
            <v>1004</v>
          </cell>
        </row>
        <row r="8">
          <cell r="C8">
            <v>898</v>
          </cell>
        </row>
        <row r="9">
          <cell r="C9">
            <v>11750</v>
          </cell>
        </row>
        <row r="11">
          <cell r="C11">
            <v>28213</v>
          </cell>
        </row>
        <row r="12">
          <cell r="C12">
            <v>5900</v>
          </cell>
        </row>
        <row r="13">
          <cell r="C13">
            <v>1230</v>
          </cell>
        </row>
        <row r="14">
          <cell r="C14">
            <v>35343</v>
          </cell>
        </row>
        <row r="15">
          <cell r="C15">
            <v>-12259</v>
          </cell>
        </row>
        <row r="16">
          <cell r="C16">
            <v>23084</v>
          </cell>
        </row>
        <row r="18">
          <cell r="C18">
            <v>4091</v>
          </cell>
        </row>
        <row r="19">
          <cell r="C19">
            <v>2240</v>
          </cell>
        </row>
        <row r="21">
          <cell r="C21">
            <v>2060</v>
          </cell>
        </row>
        <row r="22">
          <cell r="C22">
            <v>8391</v>
          </cell>
        </row>
        <row r="23">
          <cell r="C23">
            <v>43225</v>
          </cell>
        </row>
        <row r="25">
          <cell r="C25">
            <v>1677</v>
          </cell>
        </row>
        <row r="26">
          <cell r="C26">
            <v>1377</v>
          </cell>
        </row>
        <row r="27">
          <cell r="C27">
            <v>1194</v>
          </cell>
        </row>
        <row r="28">
          <cell r="C28">
            <v>4252</v>
          </cell>
        </row>
        <row r="29">
          <cell r="C29">
            <v>2807</v>
          </cell>
        </row>
        <row r="30">
          <cell r="C30">
            <v>2097</v>
          </cell>
        </row>
        <row r="31">
          <cell r="C31">
            <v>13404</v>
          </cell>
        </row>
        <row r="33">
          <cell r="C33">
            <v>16043</v>
          </cell>
        </row>
        <row r="34">
          <cell r="C34">
            <v>7562</v>
          </cell>
        </row>
        <row r="35">
          <cell r="C35">
            <v>829</v>
          </cell>
        </row>
        <row r="36">
          <cell r="C36">
            <v>325</v>
          </cell>
        </row>
        <row r="37">
          <cell r="C37">
            <v>3041</v>
          </cell>
        </row>
        <row r="38">
          <cell r="C38">
            <v>27800</v>
          </cell>
        </row>
        <row r="41">
          <cell r="C41">
            <v>7</v>
          </cell>
        </row>
        <row r="42">
          <cell r="C42">
            <v>15135</v>
          </cell>
        </row>
        <row r="43">
          <cell r="C43">
            <v>-4559</v>
          </cell>
        </row>
        <row r="44">
          <cell r="C44">
            <v>-8562</v>
          </cell>
        </row>
        <row r="45">
          <cell r="C45">
            <v>2021</v>
          </cell>
        </row>
        <row r="46">
          <cell r="C46">
            <v>43225</v>
          </cell>
        </row>
      </sheetData>
      <sheetData sheetId="4"/>
      <sheetData sheetId="5">
        <row r="4">
          <cell r="D4">
            <v>-1834</v>
          </cell>
        </row>
        <row r="6">
          <cell r="D6">
            <v>1020</v>
          </cell>
        </row>
        <row r="8">
          <cell r="D8">
            <v>95</v>
          </cell>
        </row>
        <row r="9">
          <cell r="D9">
            <v>-154</v>
          </cell>
        </row>
        <row r="10">
          <cell r="D10">
            <v>-324</v>
          </cell>
        </row>
        <row r="11">
          <cell r="D11">
            <v>39</v>
          </cell>
        </row>
        <row r="12">
          <cell r="D12">
            <v>2112</v>
          </cell>
        </row>
        <row r="13">
          <cell r="D13">
            <v>181</v>
          </cell>
        </row>
        <row r="14">
          <cell r="D14">
            <v>-76</v>
          </cell>
        </row>
        <row r="16">
          <cell r="D16">
            <v>-93</v>
          </cell>
        </row>
        <row r="17">
          <cell r="D17">
            <v>-29</v>
          </cell>
        </row>
        <row r="18">
          <cell r="D18">
            <v>1</v>
          </cell>
        </row>
        <row r="19">
          <cell r="D19">
            <v>71</v>
          </cell>
        </row>
        <row r="20">
          <cell r="D20">
            <v>150</v>
          </cell>
        </row>
        <row r="21">
          <cell r="D21">
            <v>38</v>
          </cell>
        </row>
        <row r="22">
          <cell r="D22">
            <v>-494</v>
          </cell>
        </row>
        <row r="23">
          <cell r="D23">
            <v>-28</v>
          </cell>
        </row>
        <row r="24">
          <cell r="D24">
            <v>675</v>
          </cell>
        </row>
        <row r="26">
          <cell r="D26">
            <v>-3114</v>
          </cell>
        </row>
        <row r="27">
          <cell r="D27">
            <v>206</v>
          </cell>
        </row>
        <row r="28">
          <cell r="D28">
            <v>-3342</v>
          </cell>
        </row>
        <row r="29">
          <cell r="D29">
            <v>2161</v>
          </cell>
        </row>
        <row r="30">
          <cell r="D30">
            <v>147</v>
          </cell>
        </row>
        <row r="33">
          <cell r="D33">
            <v>128</v>
          </cell>
        </row>
        <row r="34">
          <cell r="D34">
            <v>-3814</v>
          </cell>
        </row>
        <row r="36">
          <cell r="D36">
            <v>-2926</v>
          </cell>
        </row>
        <row r="37">
          <cell r="D37">
            <v>5134</v>
          </cell>
        </row>
        <row r="38">
          <cell r="D38">
            <v>-120</v>
          </cell>
        </row>
        <row r="39">
          <cell r="D39">
            <v>1700</v>
          </cell>
        </row>
        <row r="43">
          <cell r="D43">
            <v>11</v>
          </cell>
        </row>
        <row r="44">
          <cell r="D44">
            <v>3799</v>
          </cell>
        </row>
        <row r="45">
          <cell r="D45">
            <v>660</v>
          </cell>
        </row>
        <row r="47">
          <cell r="D47">
            <v>1140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solidated Statements of Comp"/>
      <sheetName val="BS"/>
      <sheetName val="Consolidated Balance Sheets (Pa"/>
      <sheetName val="CF"/>
      <sheetName val="Consolidated Statements of Stoc"/>
      <sheetName val="Consolidated Statements of Sto8"/>
      <sheetName val="Basis of Presentation and Summa"/>
      <sheetName val="Special Items, Net"/>
      <sheetName val="Earnings Per Common Share"/>
      <sheetName val="Share Repurchase Programs and D"/>
      <sheetName val="Debt"/>
      <sheetName val="Income Taxes"/>
      <sheetName val="Risk Management"/>
      <sheetName val="Fair Value Measurements"/>
      <sheetName val="Employee Benefit Plans"/>
      <sheetName val="Accumulated Other Comprehensive"/>
      <sheetName val="Commitments, Contingencies and "/>
      <sheetName val="Supplemental Cash Flow Informat"/>
      <sheetName val="Operating Segments and Related "/>
      <sheetName val="Share-based Compensation"/>
      <sheetName val="Valuation and Qualifying Accoun"/>
      <sheetName val="Quarterly Financial Data (Unaud"/>
      <sheetName val="Subsequent Events"/>
      <sheetName val="Transactions with Related Parti"/>
      <sheetName val="Basis of Presentation and Sum27"/>
      <sheetName val="Basis of Presentation and Sum28"/>
      <sheetName val="Special Items, Net (Tables)"/>
      <sheetName val="Earnings Per Common Share (Tabl"/>
      <sheetName val="Share Repurchase Programs and31"/>
      <sheetName val="Debt (Tables)"/>
      <sheetName val="Income Taxes (Tables)"/>
      <sheetName val="Fair Value Measurements (Tables"/>
      <sheetName val="Employee Benefit Plans (Tables)"/>
      <sheetName val="Accumulated Other Comprehensi36"/>
      <sheetName val="Commitments, Contingencies an37"/>
      <sheetName val="Supplemental Cash Flow Inform38"/>
      <sheetName val="Operating Segments and Relate39"/>
      <sheetName val="Share-based Compensation (Table"/>
      <sheetName val="Valuation and Qualifying Acco41"/>
      <sheetName val="Quarterly Financial Data (Una42"/>
      <sheetName val="Transactions with Related Par43"/>
      <sheetName val="Basis of Presentation and Sum44"/>
      <sheetName val="Basis of Presentation and Sum45"/>
      <sheetName val="Basis of Presentation and Sum46"/>
      <sheetName val="Basis of Presentation and Sum47"/>
      <sheetName val="Basis of Presentation and Sum48"/>
      <sheetName val="Basis of Presentation and Sum49"/>
      <sheetName val="Special Items - Components of C"/>
      <sheetName val="Special Items - Additional Disc"/>
      <sheetName val="Earnings (Loss) per Share - Com"/>
      <sheetName val="Earnings (Loss) per Share - C53"/>
      <sheetName val="Share Repurchase Programs and54"/>
      <sheetName val="Share Repurchase Programs and55"/>
      <sheetName val="Debt - Components of Long-Term "/>
      <sheetName val="Debt - Summary of Availability "/>
      <sheetName val="Debt - Additional Information ("/>
      <sheetName val="Debt - Schedule of Maturities o"/>
      <sheetName val="Debt - Components of Long-Ter60"/>
      <sheetName val="Debt - Components of Long-Ter61"/>
      <sheetName val="Debt - 2013, 2014 and 2016 Cred"/>
      <sheetName val="Debt - Components of Long-Ter63"/>
      <sheetName val="Debt - Details of 2016-1 Enhanc"/>
      <sheetName val="Debt - Components of Long-Ter65"/>
      <sheetName val="Debt - Details of 2016-2 Enhanc"/>
      <sheetName val="Debt - Components of Long-Ter67"/>
      <sheetName val="Debt - Details of 2016-3 Enhanc"/>
      <sheetName val="Debt - Components of Long-Ter69"/>
      <sheetName val="Debt - Components of Long-Ter70"/>
      <sheetName val="Debt - Details of Senior Notes "/>
      <sheetName val="Debt - Components of Long-Ter72"/>
      <sheetName val="Debt - Components of Long-Ter73"/>
      <sheetName val="Debt - Schedule of Collateral C"/>
      <sheetName val="Income Taxes - Components of In"/>
      <sheetName val="Income Taxes - Computation of I"/>
      <sheetName val="Income Taxes (Detail)"/>
      <sheetName val="Income Taxes - Deferred Tax Ass"/>
      <sheetName val="Risk Management - Additional In"/>
      <sheetName val="Fair Value Measurements - Summa"/>
      <sheetName val="Fair Value Measurements - Addit"/>
      <sheetName val="Fair Value Measurements - Sched"/>
      <sheetName val="Employee Benefit Plans - Additi"/>
      <sheetName val="Employee Benefit Plans - Schedu"/>
      <sheetName val="Employee Benefit Plans - Sche85"/>
      <sheetName val="Employee Benefit Plans - Sche86"/>
      <sheetName val="Employee Benefit Plans - Sche87"/>
      <sheetName val="Employee Benefit Plans - Sche88"/>
      <sheetName val="Employee Benefit Plans - Sche89"/>
      <sheetName val="Employee Benefit Plans - Sche90"/>
      <sheetName val="Employee Benefit Plans - Compon"/>
      <sheetName val="Employee Benefit Plans - Comp92"/>
      <sheetName val="Employee Benefit Plans - Sche93"/>
      <sheetName val="Employee Benefit Plans - Sche94"/>
      <sheetName val="Employee Benefit Plans - Sche95"/>
      <sheetName val="Employee Benefit Plans - Sche96"/>
      <sheetName val="Employee Benefit Plans - Sche97"/>
      <sheetName val="Employee Benefit Plans - Sche98"/>
      <sheetName val="Employee Benefit Plans - Sche99"/>
      <sheetName val="Employee Benefit Plans - Change"/>
      <sheetName val="Employee Benefit Plans - Fair V"/>
      <sheetName val="Accumulated Other Comprehens102"/>
      <sheetName val="Accumulated Other Comprehens103"/>
      <sheetName val="Commitments, Contingencies a104"/>
      <sheetName val="Commitments, Contingencies a105"/>
      <sheetName val="Commitments, Contingencies a106"/>
      <sheetName val="Commitments, Contingencies a107"/>
      <sheetName val="Commitments, Contingencies a108"/>
      <sheetName val="Commitments, Contingencies a109"/>
      <sheetName val="Supplemental Cash Flow Infor110"/>
      <sheetName val="Operating Segments and Relat111"/>
      <sheetName val="Operating Segments and Relat112"/>
      <sheetName val="Share Based Compensation - Addi"/>
      <sheetName val="Share Based Compensation - Sche"/>
      <sheetName val="Share Based Compensation - Stoc"/>
      <sheetName val="Share Based Compensation - Cash"/>
      <sheetName val="Valuation and Qualifying Acc117"/>
      <sheetName val="Quarterly Financial Data - Summ"/>
      <sheetName val="Quarterly Financial Data - Addi"/>
      <sheetName val="Subsequent Events - Additional "/>
      <sheetName val="Transactions with Related Pa121"/>
      <sheetName val="Transactions with Related Pa122"/>
    </sheetNames>
    <sheetDataSet>
      <sheetData sheetId="0"/>
      <sheetData sheetId="1">
        <row r="4">
          <cell r="D4">
            <v>30802</v>
          </cell>
        </row>
        <row r="5">
          <cell r="D5">
            <v>6322</v>
          </cell>
        </row>
        <row r="6">
          <cell r="D6">
            <v>875</v>
          </cell>
        </row>
        <row r="7">
          <cell r="D7">
            <v>4651</v>
          </cell>
        </row>
        <row r="8">
          <cell r="D8">
            <v>42650</v>
          </cell>
        </row>
        <row r="10">
          <cell r="D10">
            <v>10592</v>
          </cell>
        </row>
        <row r="11">
          <cell r="D11">
            <v>8508</v>
          </cell>
        </row>
        <row r="12">
          <cell r="D12">
            <v>6516</v>
          </cell>
        </row>
        <row r="13">
          <cell r="D13">
            <v>2051</v>
          </cell>
        </row>
        <row r="14">
          <cell r="D14">
            <v>1727</v>
          </cell>
        </row>
        <row r="15">
          <cell r="D15">
            <v>1250</v>
          </cell>
        </row>
        <row r="16">
          <cell r="D16">
            <v>1544</v>
          </cell>
        </row>
        <row r="17">
          <cell r="D17">
            <v>1295</v>
          </cell>
        </row>
        <row r="18">
          <cell r="D18">
            <v>800</v>
          </cell>
        </row>
        <row r="19">
          <cell r="D19">
            <v>4118</v>
          </cell>
        </row>
        <row r="20">
          <cell r="D20">
            <v>38401</v>
          </cell>
        </row>
        <row r="21">
          <cell r="D21">
            <v>4249</v>
          </cell>
        </row>
        <row r="23">
          <cell r="D23">
            <v>31</v>
          </cell>
        </row>
        <row r="24">
          <cell r="D24">
            <v>-887</v>
          </cell>
        </row>
        <row r="25">
          <cell r="D25">
            <v>-181</v>
          </cell>
        </row>
        <row r="26">
          <cell r="D26">
            <v>-1037</v>
          </cell>
        </row>
        <row r="27">
          <cell r="D27">
            <v>3212</v>
          </cell>
        </row>
        <row r="28">
          <cell r="D28">
            <v>330</v>
          </cell>
        </row>
        <row r="29">
          <cell r="D29">
            <v>2882</v>
          </cell>
        </row>
        <row r="31">
          <cell r="D31">
            <v>4.0199999999999996</v>
          </cell>
        </row>
        <row r="32">
          <cell r="D32">
            <v>3.93</v>
          </cell>
        </row>
        <row r="34">
          <cell r="D34">
            <v>717456</v>
          </cell>
        </row>
        <row r="35">
          <cell r="D35">
            <v>734016</v>
          </cell>
        </row>
        <row r="36">
          <cell r="D36">
            <v>0.2</v>
          </cell>
        </row>
      </sheetData>
      <sheetData sheetId="2"/>
      <sheetData sheetId="3">
        <row r="3">
          <cell r="C3">
            <v>390</v>
          </cell>
        </row>
        <row r="4">
          <cell r="C4">
            <v>5864</v>
          </cell>
        </row>
        <row r="5">
          <cell r="C5">
            <v>695</v>
          </cell>
        </row>
        <row r="6">
          <cell r="C6">
            <v>1425</v>
          </cell>
        </row>
        <row r="7">
          <cell r="C7">
            <v>863</v>
          </cell>
        </row>
        <row r="8">
          <cell r="C8">
            <v>748</v>
          </cell>
        </row>
        <row r="9">
          <cell r="C9">
            <v>9985</v>
          </cell>
        </row>
        <row r="11">
          <cell r="C11">
            <v>33185</v>
          </cell>
        </row>
        <row r="12">
          <cell r="C12">
            <v>6402</v>
          </cell>
        </row>
        <row r="13">
          <cell r="C13">
            <v>1067</v>
          </cell>
        </row>
        <row r="14">
          <cell r="C14">
            <v>40654</v>
          </cell>
        </row>
        <row r="15">
          <cell r="C15">
            <v>-13144</v>
          </cell>
        </row>
        <row r="16">
          <cell r="C16">
            <v>27510</v>
          </cell>
        </row>
        <row r="18">
          <cell r="C18">
            <v>4091</v>
          </cell>
        </row>
        <row r="19">
          <cell r="C19">
            <v>2249</v>
          </cell>
        </row>
        <row r="20">
          <cell r="C20">
            <v>2477</v>
          </cell>
        </row>
        <row r="21">
          <cell r="C21">
            <v>2103</v>
          </cell>
        </row>
        <row r="22">
          <cell r="C22">
            <v>10920</v>
          </cell>
        </row>
        <row r="23">
          <cell r="C23">
            <v>48415</v>
          </cell>
        </row>
        <row r="25">
          <cell r="C25">
            <v>2231</v>
          </cell>
        </row>
        <row r="26">
          <cell r="C26">
            <v>1563</v>
          </cell>
        </row>
        <row r="27">
          <cell r="C27">
            <v>1205</v>
          </cell>
        </row>
        <row r="28">
          <cell r="C28">
            <v>3747</v>
          </cell>
        </row>
        <row r="29">
          <cell r="C29">
            <v>2525</v>
          </cell>
        </row>
        <row r="30">
          <cell r="C30">
            <v>2334</v>
          </cell>
        </row>
        <row r="31">
          <cell r="C31">
            <v>13605</v>
          </cell>
        </row>
        <row r="33">
          <cell r="C33">
            <v>18330</v>
          </cell>
        </row>
        <row r="34">
          <cell r="C34">
            <v>7450</v>
          </cell>
        </row>
        <row r="35">
          <cell r="C35">
            <v>667</v>
          </cell>
        </row>
        <row r="36">
          <cell r="C36">
            <v>2728</v>
          </cell>
        </row>
        <row r="37">
          <cell r="C37">
            <v>29175</v>
          </cell>
        </row>
        <row r="40">
          <cell r="C40">
            <v>6</v>
          </cell>
        </row>
        <row r="41">
          <cell r="C41">
            <v>11591</v>
          </cell>
        </row>
        <row r="42">
          <cell r="C42">
            <v>-4732</v>
          </cell>
        </row>
        <row r="43">
          <cell r="C43">
            <v>-1230</v>
          </cell>
        </row>
        <row r="44">
          <cell r="C44">
            <v>5635</v>
          </cell>
        </row>
        <row r="45">
          <cell r="C45">
            <v>48415</v>
          </cell>
        </row>
      </sheetData>
      <sheetData sheetId="4"/>
      <sheetData sheetId="5">
        <row r="4">
          <cell r="D4">
            <v>2882</v>
          </cell>
        </row>
        <row r="6">
          <cell r="D6">
            <v>1513</v>
          </cell>
        </row>
        <row r="7">
          <cell r="D7">
            <v>-171</v>
          </cell>
        </row>
        <row r="8">
          <cell r="D8">
            <v>52</v>
          </cell>
        </row>
        <row r="9">
          <cell r="D9">
            <v>-163</v>
          </cell>
        </row>
        <row r="10">
          <cell r="D10">
            <v>346</v>
          </cell>
        </row>
        <row r="11">
          <cell r="D11">
            <v>304</v>
          </cell>
        </row>
        <row r="12">
          <cell r="D12">
            <v>3</v>
          </cell>
        </row>
        <row r="14">
          <cell r="D14">
            <v>-160</v>
          </cell>
        </row>
        <row r="15">
          <cell r="D15">
            <v>-168</v>
          </cell>
        </row>
        <row r="16">
          <cell r="D16">
            <v>110</v>
          </cell>
        </row>
        <row r="17">
          <cell r="D17">
            <v>-97</v>
          </cell>
        </row>
        <row r="18">
          <cell r="D18">
            <v>-229</v>
          </cell>
        </row>
        <row r="19">
          <cell r="D19">
            <v>-810</v>
          </cell>
        </row>
        <row r="20">
          <cell r="D20">
            <v>-332</v>
          </cell>
        </row>
        <row r="21">
          <cell r="D21">
            <v>3080</v>
          </cell>
        </row>
        <row r="23">
          <cell r="D23">
            <v>-5311</v>
          </cell>
        </row>
        <row r="24">
          <cell r="D24">
            <v>-5380</v>
          </cell>
        </row>
        <row r="25">
          <cell r="D25">
            <v>7179</v>
          </cell>
        </row>
        <row r="26">
          <cell r="D26">
            <v>261</v>
          </cell>
        </row>
        <row r="27">
          <cell r="D27">
            <v>307</v>
          </cell>
        </row>
        <row r="29">
          <cell r="D29">
            <v>33</v>
          </cell>
        </row>
        <row r="31">
          <cell r="D31">
            <v>-2911</v>
          </cell>
        </row>
        <row r="33">
          <cell r="D33">
            <v>-3132</v>
          </cell>
        </row>
        <row r="34">
          <cell r="D34">
            <v>3302</v>
          </cell>
        </row>
        <row r="35">
          <cell r="D35">
            <v>-106</v>
          </cell>
        </row>
        <row r="36">
          <cell r="D36">
            <v>811</v>
          </cell>
        </row>
        <row r="37">
          <cell r="D37">
            <v>10</v>
          </cell>
        </row>
        <row r="38">
          <cell r="D38">
            <v>-1062</v>
          </cell>
        </row>
        <row r="39">
          <cell r="D39">
            <v>-144</v>
          </cell>
        </row>
        <row r="40">
          <cell r="D40">
            <v>6</v>
          </cell>
        </row>
        <row r="41">
          <cell r="D41">
            <v>-315</v>
          </cell>
        </row>
        <row r="42">
          <cell r="D42">
            <v>-146</v>
          </cell>
        </row>
        <row r="44">
          <cell r="D44">
            <v>994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solidated Statements of Comp"/>
      <sheetName val="BS"/>
      <sheetName val="Consolidated Balance Sheets (Pa"/>
      <sheetName val="CF"/>
      <sheetName val="Consolidated Statements of Stoc"/>
      <sheetName val="Consolidated Statements of Sto8"/>
      <sheetName val="Basis of Presentation and Summa"/>
      <sheetName val="Special Items, Net"/>
      <sheetName val="Earnings Per Common Share"/>
      <sheetName val="Share Repurchase Programs and D"/>
      <sheetName val="Debt"/>
      <sheetName val="Income Taxes"/>
      <sheetName val="Risk Management"/>
      <sheetName val="Fair Value Measurements and Oth"/>
      <sheetName val="Employee Benefit Plans"/>
      <sheetName val="Accumulated Other Comprehensive"/>
      <sheetName val="Commitments, Contingencies and "/>
      <sheetName val="Supplemental Cash Flow Informat"/>
      <sheetName val="Operating Segments and Related "/>
      <sheetName val="Share-based Compensation"/>
      <sheetName val="Valuation and Qualifying Accoun"/>
      <sheetName val="Quarterly Financial Data (Unaud"/>
      <sheetName val="Subsequent Event"/>
      <sheetName val="Transactions with Related Parti"/>
      <sheetName val="Basis of Presentation and Sum27"/>
      <sheetName val="Basis of Presentation and Sum28"/>
      <sheetName val="Special Items, Net (Tables)"/>
      <sheetName val="Earnings Per Common Share (Tabl"/>
      <sheetName val="Debt (Tables)"/>
      <sheetName val="Income Taxes (Tables)"/>
      <sheetName val="Fair Value Measurements and O33"/>
      <sheetName val="Employee Benefit Plans (Tables)"/>
      <sheetName val="Accumulated Other Comprehensi35"/>
      <sheetName val="Commitments, Contingencies an36"/>
      <sheetName val="Supplemental Cash Flow Inform37"/>
      <sheetName val="Operating Segments and Relate38"/>
      <sheetName val="Share-based Compensation (Table"/>
      <sheetName val="Valuation and Qualifying Acco40"/>
      <sheetName val="Quarterly Financial Data (Una41"/>
      <sheetName val="Transactions with Related Par42"/>
      <sheetName val="Basis of Presentation and Sum43"/>
      <sheetName val="Basis of Presentation and Sum44"/>
      <sheetName val="Basis of Presentation and Sum45"/>
      <sheetName val="Basis of Presentation and Sum46"/>
      <sheetName val="Basis of Presentation and Sum47"/>
      <sheetName val="Basis of Presentation and Sum48"/>
      <sheetName val="Special Items - Components of S"/>
      <sheetName val="Special Items - Additional Disc"/>
      <sheetName val="Earnings (Loss) per Share - Com"/>
      <sheetName val="Share Repurchase Programs and52"/>
      <sheetName val="Share Repurchase Programs and53"/>
      <sheetName val="Debt - Components of Long-Term "/>
      <sheetName val="Debt - Summary of Availability "/>
      <sheetName val="Debt - Additional Information ("/>
      <sheetName val="Debt - Schedule of Maturities o"/>
      <sheetName val="Debt - 2013, 2014 and 2016 Cred"/>
      <sheetName val="Debt - Components of Long-Ter59"/>
      <sheetName val="Debt - Details of Enhanced Equi"/>
      <sheetName val="Debt - Components of Long-Ter61"/>
      <sheetName val="Debt - Details of Senior Notes "/>
      <sheetName val="Debt - Components of Long-Ter63"/>
      <sheetName val="Debt - Components of Long-Ter64"/>
      <sheetName val="Debt - Schedule of Collateral C"/>
      <sheetName val="Income Taxes - Components of In"/>
      <sheetName val="Income Taxes - Computation of I"/>
      <sheetName val="Income Taxes - Additional Discl"/>
      <sheetName val="Income Taxes - Deferred Tax Ass"/>
      <sheetName val="Risk Management - Additional In"/>
      <sheetName val="Fair Value Measurements and O71"/>
      <sheetName val="Fair Value Measurements and O72"/>
      <sheetName val="Fair Value Measurements and O73"/>
      <sheetName val="Employee Benefit Plans - Additi"/>
      <sheetName val="Employee Benefit Plans - Schedu"/>
      <sheetName val="Employee Benefit Plans - Sche76"/>
      <sheetName val="Employee Benefit Plans - Sche77"/>
      <sheetName val="Employee Benefit Plans - Sche78"/>
      <sheetName val="Employee Benefit Plans - Sche79"/>
      <sheetName val="Employee Benefit Plans - Compon"/>
      <sheetName val="Employee Benefit Plans - Sche81"/>
      <sheetName val="Employee Benefit Plans - Sche82"/>
      <sheetName val="Employee Benefit Plans - Sche83"/>
      <sheetName val="Employee Benefit Plans - Sche84"/>
      <sheetName val="Employee Benefit Plans - Sche85"/>
      <sheetName val="Employee Benefit Plans - Sche86"/>
      <sheetName val="Employee Benefit Plans - Change"/>
      <sheetName val="Employee Benefit Plans - Fair V"/>
      <sheetName val="Employee Benefit Plans Employee"/>
      <sheetName val="Accumulated Other Comprehensi90"/>
      <sheetName val="Accumulated Other Comprehensi91"/>
      <sheetName val="Commitments, Contingencies an92"/>
      <sheetName val="Commitments, Contingencies an93"/>
      <sheetName val="Commitments, Contingencies an94"/>
      <sheetName val="Commitments, Contingencies an95"/>
      <sheetName val="Commitments, Contingencies an96"/>
      <sheetName val="Supplemental Cash Flow Inform97"/>
      <sheetName val="Operating Segments and Relate98"/>
      <sheetName val="Operating Segments and Relate99"/>
      <sheetName val="Share Based Compensation - Addi"/>
      <sheetName val="Share Based Compensation - Rest"/>
      <sheetName val="Share-based Compensation Share-"/>
      <sheetName val="Share-based Compensation Sha103"/>
      <sheetName val="Valuation and Qualifying Acc104"/>
      <sheetName val="Quarterly Financial Data - Summ"/>
      <sheetName val="Quarterly Financial Data - Addi"/>
      <sheetName val="Subsequent Event - Additional I"/>
      <sheetName val="Transactions with Related Pa108"/>
      <sheetName val="Transactions with Related Pa109"/>
    </sheetNames>
    <sheetDataSet>
      <sheetData sheetId="0"/>
      <sheetData sheetId="1">
        <row r="4">
          <cell r="D4">
            <v>29037</v>
          </cell>
        </row>
        <row r="5">
          <cell r="D5">
            <v>6475</v>
          </cell>
        </row>
        <row r="6">
          <cell r="D6">
            <v>760</v>
          </cell>
        </row>
        <row r="7">
          <cell r="D7">
            <v>4718</v>
          </cell>
        </row>
        <row r="8">
          <cell r="D8">
            <v>40990</v>
          </cell>
        </row>
        <row r="10">
          <cell r="D10">
            <v>6226</v>
          </cell>
        </row>
        <row r="11">
          <cell r="D11">
            <v>9524</v>
          </cell>
        </row>
        <row r="12">
          <cell r="D12">
            <v>5983</v>
          </cell>
        </row>
        <row r="13">
          <cell r="D13">
            <v>1889</v>
          </cell>
        </row>
        <row r="14">
          <cell r="D14">
            <v>1731</v>
          </cell>
        </row>
        <row r="15">
          <cell r="D15">
            <v>1250</v>
          </cell>
        </row>
        <row r="16">
          <cell r="D16">
            <v>1394</v>
          </cell>
        </row>
        <row r="17">
          <cell r="D17">
            <v>1364</v>
          </cell>
        </row>
        <row r="18">
          <cell r="D18">
            <v>1051</v>
          </cell>
        </row>
        <row r="19">
          <cell r="D19">
            <v>4374</v>
          </cell>
        </row>
        <row r="20">
          <cell r="D20">
            <v>34786</v>
          </cell>
        </row>
        <row r="21">
          <cell r="D21">
            <v>6204</v>
          </cell>
        </row>
        <row r="23">
          <cell r="D23">
            <v>39</v>
          </cell>
        </row>
        <row r="24">
          <cell r="D24">
            <v>-880</v>
          </cell>
        </row>
        <row r="25">
          <cell r="D25">
            <v>-747</v>
          </cell>
        </row>
        <row r="26">
          <cell r="D26">
            <v>-1588</v>
          </cell>
        </row>
        <row r="27">
          <cell r="D27">
            <v>4616</v>
          </cell>
        </row>
        <row r="28">
          <cell r="D28">
            <v>-2994</v>
          </cell>
        </row>
        <row r="29">
          <cell r="D29">
            <v>7610</v>
          </cell>
        </row>
        <row r="31">
          <cell r="D31">
            <v>11.39</v>
          </cell>
        </row>
        <row r="32">
          <cell r="D32">
            <v>11.07</v>
          </cell>
        </row>
        <row r="34">
          <cell r="D34">
            <v>668393</v>
          </cell>
        </row>
        <row r="35">
          <cell r="D35">
            <v>687355</v>
          </cell>
        </row>
        <row r="36">
          <cell r="D36">
            <v>0.4</v>
          </cell>
        </row>
      </sheetData>
      <sheetData sheetId="2"/>
      <sheetData sheetId="3">
        <row r="3">
          <cell r="C3">
            <v>322</v>
          </cell>
        </row>
        <row r="4">
          <cell r="C4">
            <v>6037</v>
          </cell>
        </row>
        <row r="5">
          <cell r="C5">
            <v>638</v>
          </cell>
        </row>
        <row r="6">
          <cell r="C6">
            <v>1594</v>
          </cell>
        </row>
        <row r="7">
          <cell r="C7">
            <v>1094</v>
          </cell>
        </row>
        <row r="8">
          <cell r="C8">
            <v>639</v>
          </cell>
        </row>
        <row r="9">
          <cell r="C9">
            <v>10324</v>
          </cell>
        </row>
        <row r="11">
          <cell r="C11">
            <v>37028</v>
          </cell>
        </row>
        <row r="12">
          <cell r="C12">
            <v>7116</v>
          </cell>
        </row>
        <row r="13">
          <cell r="C13">
            <v>1209</v>
          </cell>
        </row>
        <row r="14">
          <cell r="C14">
            <v>45353</v>
          </cell>
        </row>
        <row r="15">
          <cell r="C15">
            <v>-14194</v>
          </cell>
        </row>
        <row r="16">
          <cell r="C16">
            <v>31159</v>
          </cell>
        </row>
        <row r="18">
          <cell r="C18">
            <v>4091</v>
          </cell>
        </row>
        <row r="19">
          <cell r="C19">
            <v>2173</v>
          </cell>
        </row>
        <row r="20">
          <cell r="C20">
            <v>1498</v>
          </cell>
        </row>
        <row r="21">
          <cell r="C21">
            <v>2029</v>
          </cell>
        </row>
        <row r="22">
          <cell r="C22">
            <v>9791</v>
          </cell>
        </row>
        <row r="23">
          <cell r="C23">
            <v>51274</v>
          </cell>
        </row>
        <row r="25">
          <cell r="C25">
            <v>1855</v>
          </cell>
        </row>
        <row r="26">
          <cell r="C26">
            <v>1592</v>
          </cell>
        </row>
        <row r="27">
          <cell r="C27">
            <v>1516</v>
          </cell>
        </row>
        <row r="28">
          <cell r="C28">
            <v>3912</v>
          </cell>
        </row>
        <row r="29">
          <cell r="C29">
            <v>2789</v>
          </cell>
        </row>
        <row r="30">
          <cell r="C30">
            <v>2208</v>
          </cell>
        </row>
        <row r="31">
          <cell r="C31">
            <v>13872</v>
          </cell>
        </row>
        <row r="33">
          <cell r="C33">
            <v>22489</v>
          </cell>
        </row>
        <row r="34">
          <cell r="C34">
            <v>7842</v>
          </cell>
        </row>
        <row r="35">
          <cell r="C35">
            <v>3286</v>
          </cell>
        </row>
        <row r="36">
          <cell r="C36">
            <v>33617</v>
          </cell>
        </row>
        <row r="39">
          <cell r="C39">
            <v>5</v>
          </cell>
        </row>
        <row r="40">
          <cell r="C40">
            <v>7223</v>
          </cell>
        </row>
        <row r="41">
          <cell r="C41">
            <v>-5083</v>
          </cell>
        </row>
        <row r="42">
          <cell r="C42">
            <v>1640</v>
          </cell>
        </row>
        <row r="43">
          <cell r="C43">
            <v>3785</v>
          </cell>
        </row>
        <row r="44">
          <cell r="C44">
            <v>51274</v>
          </cell>
        </row>
      </sheetData>
      <sheetData sheetId="4"/>
      <sheetData sheetId="5">
        <row r="4">
          <cell r="D4">
            <v>7610</v>
          </cell>
        </row>
        <row r="6">
          <cell r="D6">
            <v>1609</v>
          </cell>
        </row>
        <row r="7">
          <cell r="D7">
            <v>-3014</v>
          </cell>
        </row>
        <row r="8">
          <cell r="D8">
            <v>-122</v>
          </cell>
        </row>
        <row r="9">
          <cell r="D9">
            <v>273</v>
          </cell>
        </row>
        <row r="10">
          <cell r="D10">
            <v>-193</v>
          </cell>
        </row>
        <row r="11">
          <cell r="D11">
            <v>284</v>
          </cell>
        </row>
        <row r="12">
          <cell r="D12">
            <v>-12</v>
          </cell>
        </row>
        <row r="14">
          <cell r="D14">
            <v>352</v>
          </cell>
        </row>
        <row r="15">
          <cell r="D15">
            <v>-27</v>
          </cell>
        </row>
        <row r="16">
          <cell r="D16">
            <v>173</v>
          </cell>
        </row>
        <row r="17">
          <cell r="D17">
            <v>-505</v>
          </cell>
        </row>
        <row r="18">
          <cell r="D18">
            <v>-295</v>
          </cell>
        </row>
        <row r="19">
          <cell r="D19">
            <v>-6</v>
          </cell>
        </row>
        <row r="20">
          <cell r="D20">
            <v>122</v>
          </cell>
        </row>
        <row r="21">
          <cell r="D21">
            <v>6249</v>
          </cell>
        </row>
        <row r="23">
          <cell r="D23">
            <v>-6151</v>
          </cell>
        </row>
        <row r="24">
          <cell r="D24">
            <v>35</v>
          </cell>
        </row>
        <row r="25">
          <cell r="D25">
            <v>-8126</v>
          </cell>
        </row>
        <row r="26">
          <cell r="D26">
            <v>8517</v>
          </cell>
        </row>
        <row r="27">
          <cell r="D27">
            <v>79</v>
          </cell>
        </row>
        <row r="28">
          <cell r="D28">
            <v>0</v>
          </cell>
        </row>
        <row r="29">
          <cell r="D29">
            <v>52</v>
          </cell>
        </row>
        <row r="30">
          <cell r="D30">
            <v>-5594</v>
          </cell>
        </row>
        <row r="32">
          <cell r="D32">
            <v>5009</v>
          </cell>
        </row>
        <row r="33">
          <cell r="D33">
            <v>-2153</v>
          </cell>
        </row>
        <row r="34">
          <cell r="D34">
            <v>-87</v>
          </cell>
        </row>
        <row r="35">
          <cell r="D35">
            <v>-3846</v>
          </cell>
        </row>
        <row r="36">
          <cell r="D36">
            <v>-278</v>
          </cell>
        </row>
        <row r="37">
          <cell r="D37">
            <v>96</v>
          </cell>
        </row>
        <row r="38">
          <cell r="D38">
            <v>-1259</v>
          </cell>
        </row>
        <row r="39">
          <cell r="D39">
            <v>-604</v>
          </cell>
        </row>
        <row r="41">
          <cell r="D41">
            <v>390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densed Consolidated Stateme3"/>
      <sheetName val="BS"/>
      <sheetName val="Condensed Consolidated Balance5"/>
      <sheetName val="CF"/>
      <sheetName val="Basis of Presentation"/>
      <sheetName val="Special Items, Net"/>
      <sheetName val="Earnings Per Common Share"/>
      <sheetName val="Share Repurchase Programs and D"/>
      <sheetName val="Debt"/>
      <sheetName val="Income Taxes"/>
      <sheetName val="Fair Value Measurements"/>
      <sheetName val="Employee Benefit Plans"/>
      <sheetName val="Accumulated Other Comprehensive"/>
      <sheetName val="Regional Expenses"/>
      <sheetName val="Legal Proceedings"/>
      <sheetName val="Subsequent Events"/>
      <sheetName val="Transactions with Related Parti"/>
      <sheetName val="Basis of Presentation (Policies"/>
      <sheetName val="Special Items, Net (Tables)"/>
      <sheetName val="Earnings Per Common Share (Tabl"/>
      <sheetName val="Share Repurchase Programs and23"/>
      <sheetName val="Debt (Tables)"/>
      <sheetName val="Fair Value Measurements (Tables"/>
      <sheetName val="Employee Benefit Plans (Tables)"/>
      <sheetName val="Accumulated Other Comprehensi27"/>
      <sheetName val="Regional Expenses (Tables)"/>
      <sheetName val="Transactions with Related Par29"/>
      <sheetName val="Special Items, Net - Components"/>
      <sheetName val="Earnings (Loss) per Share - Com"/>
      <sheetName val="Share Repurchase Programs and32"/>
      <sheetName val="Share Repurchase Programs and33"/>
      <sheetName val="Debt - Components of Long-Term "/>
      <sheetName val="Debt - Summary of Availability "/>
      <sheetName val="Debt - Components of Long-Ter36"/>
      <sheetName val="Debt - Details of 2017-1 Enhanc"/>
      <sheetName val="Debt - Components of Long-Ter38"/>
      <sheetName val="Debt - Details of 2016-3 Enhanc"/>
      <sheetName val="Debt - Components of Long-Ter40"/>
      <sheetName val="Debt - Components of Long-Ter41"/>
      <sheetName val="Income Taxes (Detail)"/>
      <sheetName val="Fair Value Measurements - Summa"/>
      <sheetName val="Fair Value Measurements - Sched"/>
      <sheetName val="Employee Benefit Plans - Compon"/>
      <sheetName val="Accumulated Other Comprehensi46"/>
      <sheetName val="Accumulated Other Comprehensi47"/>
      <sheetName val="Regional Expenses (Detail)"/>
      <sheetName val="Legal Proceedings - Additional "/>
      <sheetName val="Subsequent Events - Additional "/>
      <sheetName val="Transactions with Related Par51"/>
    </sheetNames>
    <sheetDataSet>
      <sheetData sheetId="0"/>
      <sheetData sheetId="1">
        <row r="4">
          <cell r="C4">
            <v>6564</v>
          </cell>
        </row>
        <row r="5">
          <cell r="C5">
            <v>1523</v>
          </cell>
        </row>
        <row r="6">
          <cell r="C6">
            <v>162</v>
          </cell>
        </row>
        <row r="7">
          <cell r="C7">
            <v>1186</v>
          </cell>
        </row>
        <row r="8">
          <cell r="C8">
            <v>9435</v>
          </cell>
        </row>
        <row r="10">
          <cell r="C10">
            <v>1029</v>
          </cell>
        </row>
        <row r="11">
          <cell r="C11">
            <v>2652</v>
          </cell>
        </row>
        <row r="12">
          <cell r="C12">
            <v>1432</v>
          </cell>
        </row>
        <row r="13">
          <cell r="C13">
            <v>419</v>
          </cell>
        </row>
        <row r="14">
          <cell r="C14">
            <v>422</v>
          </cell>
        </row>
        <row r="15">
          <cell r="C15">
            <v>306</v>
          </cell>
        </row>
        <row r="16">
          <cell r="C16">
            <v>308</v>
          </cell>
        </row>
        <row r="17">
          <cell r="C17">
            <v>355</v>
          </cell>
        </row>
        <row r="18">
          <cell r="C18">
            <v>99</v>
          </cell>
        </row>
        <row r="19">
          <cell r="C19">
            <v>1078</v>
          </cell>
        </row>
        <row r="20">
          <cell r="C20">
            <v>8100</v>
          </cell>
        </row>
        <row r="21">
          <cell r="C21">
            <v>1335</v>
          </cell>
        </row>
        <row r="23">
          <cell r="C23">
            <v>13</v>
          </cell>
        </row>
        <row r="24">
          <cell r="C24">
            <v>-239</v>
          </cell>
        </row>
        <row r="25">
          <cell r="C25">
            <v>8</v>
          </cell>
        </row>
        <row r="26">
          <cell r="C26">
            <v>-218</v>
          </cell>
        </row>
        <row r="27">
          <cell r="C27">
            <v>1117</v>
          </cell>
        </row>
        <row r="28">
          <cell r="C28">
            <v>417</v>
          </cell>
        </row>
        <row r="29">
          <cell r="C29">
            <v>700</v>
          </cell>
        </row>
        <row r="31">
          <cell r="C31">
            <v>1.1499999999999999</v>
          </cell>
        </row>
        <row r="32">
          <cell r="C32">
            <v>1.1399999999999999</v>
          </cell>
        </row>
        <row r="34">
          <cell r="C34">
            <v>606245</v>
          </cell>
        </row>
        <row r="35">
          <cell r="C35">
            <v>611488</v>
          </cell>
        </row>
        <row r="36">
          <cell r="C36">
            <v>0.1</v>
          </cell>
        </row>
      </sheetData>
      <sheetData sheetId="2"/>
      <sheetData sheetId="3">
        <row r="3">
          <cell r="B3">
            <v>374</v>
          </cell>
        </row>
        <row r="4">
          <cell r="B4">
            <v>6302</v>
          </cell>
        </row>
        <row r="5">
          <cell r="B5">
            <v>543</v>
          </cell>
        </row>
        <row r="6">
          <cell r="B6">
            <v>1397</v>
          </cell>
        </row>
        <row r="7">
          <cell r="B7">
            <v>1154</v>
          </cell>
        </row>
        <row r="8">
          <cell r="B8">
            <v>856</v>
          </cell>
        </row>
        <row r="9">
          <cell r="B9">
            <v>10626</v>
          </cell>
        </row>
        <row r="11">
          <cell r="B11">
            <v>38352</v>
          </cell>
        </row>
        <row r="12">
          <cell r="B12">
            <v>7332</v>
          </cell>
        </row>
        <row r="13">
          <cell r="B13">
            <v>1247</v>
          </cell>
        </row>
        <row r="14">
          <cell r="B14">
            <v>46931</v>
          </cell>
        </row>
        <row r="15">
          <cell r="B15">
            <v>-14640</v>
          </cell>
        </row>
        <row r="16">
          <cell r="B16">
            <v>32291</v>
          </cell>
        </row>
        <row r="18">
          <cell r="B18">
            <v>4091</v>
          </cell>
        </row>
        <row r="19">
          <cell r="B19">
            <v>2236</v>
          </cell>
        </row>
        <row r="20">
          <cell r="B20">
            <v>1379</v>
          </cell>
        </row>
        <row r="21">
          <cell r="B21">
            <v>2004</v>
          </cell>
        </row>
        <row r="22">
          <cell r="B22">
            <v>9710</v>
          </cell>
        </row>
        <row r="23">
          <cell r="B23">
            <v>52627</v>
          </cell>
        </row>
        <row r="25">
          <cell r="B25">
            <v>1714</v>
          </cell>
        </row>
        <row r="26">
          <cell r="B26">
            <v>1882</v>
          </cell>
        </row>
        <row r="27">
          <cell r="B27">
            <v>1064</v>
          </cell>
        </row>
        <row r="28">
          <cell r="B28">
            <v>5298</v>
          </cell>
        </row>
        <row r="29">
          <cell r="B29">
            <v>3056</v>
          </cell>
        </row>
        <row r="30">
          <cell r="B30">
            <v>2272</v>
          </cell>
        </row>
        <row r="31">
          <cell r="B31">
            <v>15286</v>
          </cell>
        </row>
        <row r="33">
          <cell r="B33">
            <v>22829</v>
          </cell>
        </row>
        <row r="34">
          <cell r="B34">
            <v>7808</v>
          </cell>
        </row>
        <row r="35">
          <cell r="B35">
            <v>494</v>
          </cell>
        </row>
        <row r="36">
          <cell r="B36">
            <v>2753</v>
          </cell>
        </row>
        <row r="37">
          <cell r="B37">
            <v>33884</v>
          </cell>
        </row>
        <row r="40">
          <cell r="B40">
            <v>5</v>
          </cell>
        </row>
        <row r="41">
          <cell r="B41">
            <v>6726</v>
          </cell>
        </row>
        <row r="42">
          <cell r="B42">
            <v>-5097</v>
          </cell>
        </row>
        <row r="43">
          <cell r="B43">
            <v>1823</v>
          </cell>
        </row>
        <row r="44">
          <cell r="B44">
            <v>3457</v>
          </cell>
        </row>
        <row r="45">
          <cell r="B45">
            <v>52627</v>
          </cell>
        </row>
      </sheetData>
      <sheetData sheetId="4"/>
      <sheetData sheetId="5">
        <row r="3">
          <cell r="C3">
            <v>2620</v>
          </cell>
        </row>
        <row r="5">
          <cell r="C5">
            <v>-1557</v>
          </cell>
        </row>
        <row r="6">
          <cell r="C6">
            <v>-1715</v>
          </cell>
        </row>
        <row r="7">
          <cell r="C7">
            <v>1150</v>
          </cell>
        </row>
        <row r="8">
          <cell r="C8">
            <v>4</v>
          </cell>
        </row>
        <row r="9">
          <cell r="C9">
            <v>4</v>
          </cell>
        </row>
        <row r="10">
          <cell r="C10">
            <v>-2114</v>
          </cell>
        </row>
        <row r="12">
          <cell r="C12">
            <v>-310</v>
          </cell>
        </row>
        <row r="13">
          <cell r="C13">
            <v>1500</v>
          </cell>
        </row>
        <row r="14">
          <cell r="C14">
            <v>-20</v>
          </cell>
        </row>
        <row r="15">
          <cell r="C15">
            <v>-1525</v>
          </cell>
        </row>
        <row r="16">
          <cell r="C16">
            <v>-61</v>
          </cell>
        </row>
        <row r="17">
          <cell r="C17">
            <v>15</v>
          </cell>
        </row>
        <row r="18">
          <cell r="C18">
            <v>-401</v>
          </cell>
        </row>
        <row r="19">
          <cell r="C19">
            <v>105</v>
          </cell>
        </row>
        <row r="21">
          <cell r="C21">
            <v>495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densed Consolidated Stateme3"/>
      <sheetName val="BS"/>
      <sheetName val="Condensed Consolidated Balance5"/>
      <sheetName val="CF"/>
      <sheetName val="Basis of Presentation"/>
      <sheetName val="Special Items, Net"/>
      <sheetName val="Earnings Per Common Share"/>
      <sheetName val="Share Repurchase Programs and D"/>
      <sheetName val="Debt"/>
      <sheetName val="Income Taxes"/>
      <sheetName val="Fair Value Measurements"/>
      <sheetName val="Employee Benefit Plans"/>
      <sheetName val="Accumulated Other Comprehensive"/>
      <sheetName val="Regional Expenses"/>
      <sheetName val="Legal Proceedings"/>
      <sheetName val="Subsequent Event"/>
      <sheetName val="Transactions with Related Parti"/>
      <sheetName val="Basis of Presentation (Policies"/>
      <sheetName val="Special Items, Net (Tables)"/>
      <sheetName val="Earnings Per Common Share (Tabl"/>
      <sheetName val="Share Repurchase Programs and23"/>
      <sheetName val="Debt (Tables)"/>
      <sheetName val="Fair Value Measurements (Tables"/>
      <sheetName val="Employee Benefit Plans (Tables)"/>
      <sheetName val="Accumulated Other Comprehensi27"/>
      <sheetName val="Regional Expenses (Tables)"/>
      <sheetName val="Transactions with Related Par29"/>
      <sheetName val="Special Items, Net - Components"/>
      <sheetName val="Earnings Per Common Share - Com"/>
      <sheetName val="Share Repurchase Programs and32"/>
      <sheetName val="Share Repurchase Programs and33"/>
      <sheetName val="Debt - Components of Long-Term "/>
      <sheetName val="Debt - Summary of Availability "/>
      <sheetName val="Debt - Components of Long-Ter36"/>
      <sheetName val="Debt - Details of 2017-1 Enhanc"/>
      <sheetName val="Debt - Components of Long-Ter38"/>
      <sheetName val="Debt - Details of 2016-3 Enhanc"/>
      <sheetName val="Debt - Components of Long-Ter40"/>
      <sheetName val="Debt - Components of Long-Ter41"/>
      <sheetName val="Debt - Components of Long-Ter42"/>
      <sheetName val="Income Taxes (Detail)"/>
      <sheetName val="Fair Value Measurements - Summa"/>
      <sheetName val="Fair Value Measurements - Sched"/>
      <sheetName val="Employee Benefit Plans - Compon"/>
      <sheetName val="Employee Benefit Plans - Additi"/>
      <sheetName val="Accumulated Other Comprehensi48"/>
      <sheetName val="Accumulated Other Comprehensi49"/>
      <sheetName val="Regional Expenses (Detail)"/>
      <sheetName val="Legal Proceedings - Additional "/>
      <sheetName val="Subsequent Event - Additional I"/>
      <sheetName val="Transactions with Related Par53"/>
    </sheetNames>
    <sheetDataSet>
      <sheetData sheetId="0"/>
      <sheetData sheetId="1">
        <row r="4">
          <cell r="C4">
            <v>7209</v>
          </cell>
        </row>
        <row r="5">
          <cell r="C5">
            <v>1786</v>
          </cell>
        </row>
        <row r="6">
          <cell r="C6">
            <v>174</v>
          </cell>
        </row>
        <row r="7">
          <cell r="C7">
            <v>1194</v>
          </cell>
        </row>
        <row r="8">
          <cell r="C8">
            <v>10363</v>
          </cell>
        </row>
        <row r="10">
          <cell r="C10">
            <v>1314</v>
          </cell>
        </row>
        <row r="11">
          <cell r="C11">
            <v>2670</v>
          </cell>
        </row>
        <row r="12">
          <cell r="C12">
            <v>1518</v>
          </cell>
        </row>
        <row r="13">
          <cell r="C13">
            <v>453</v>
          </cell>
        </row>
        <row r="14">
          <cell r="C14">
            <v>458</v>
          </cell>
        </row>
        <row r="15">
          <cell r="C15">
            <v>302</v>
          </cell>
        </row>
        <row r="16">
          <cell r="C16">
            <v>334</v>
          </cell>
        </row>
        <row r="17">
          <cell r="C17">
            <v>374</v>
          </cell>
        </row>
        <row r="18">
          <cell r="C18">
            <v>62</v>
          </cell>
        </row>
        <row r="19">
          <cell r="C19">
            <v>1127</v>
          </cell>
        </row>
        <row r="20">
          <cell r="C20">
            <v>8612</v>
          </cell>
        </row>
        <row r="21">
          <cell r="C21">
            <v>1751</v>
          </cell>
        </row>
        <row r="23">
          <cell r="C23">
            <v>16</v>
          </cell>
        </row>
        <row r="24">
          <cell r="C24">
            <v>-249</v>
          </cell>
        </row>
        <row r="25">
          <cell r="C25">
            <v>-25</v>
          </cell>
        </row>
        <row r="26">
          <cell r="C26">
            <v>-258</v>
          </cell>
        </row>
        <row r="27">
          <cell r="C27">
            <v>1493</v>
          </cell>
        </row>
        <row r="28">
          <cell r="C28">
            <v>543</v>
          </cell>
        </row>
        <row r="29">
          <cell r="C29">
            <v>950</v>
          </cell>
        </row>
        <row r="31">
          <cell r="C31">
            <v>1.69</v>
          </cell>
        </row>
        <row r="32">
          <cell r="C32">
            <v>1.68</v>
          </cell>
        </row>
        <row r="34">
          <cell r="C34">
            <v>563000</v>
          </cell>
        </row>
        <row r="35">
          <cell r="C35">
            <v>566040</v>
          </cell>
        </row>
        <row r="36">
          <cell r="C36">
            <v>0.1</v>
          </cell>
        </row>
      </sheetData>
      <sheetData sheetId="2"/>
      <sheetData sheetId="3">
        <row r="3">
          <cell r="B3">
            <v>386</v>
          </cell>
        </row>
        <row r="4">
          <cell r="B4">
            <v>6500</v>
          </cell>
        </row>
        <row r="5">
          <cell r="B5">
            <v>554</v>
          </cell>
        </row>
        <row r="6">
          <cell r="B6">
            <v>1543</v>
          </cell>
        </row>
        <row r="7">
          <cell r="B7">
            <v>1206</v>
          </cell>
        </row>
        <row r="8">
          <cell r="B8">
            <v>827</v>
          </cell>
        </row>
        <row r="9">
          <cell r="B9">
            <v>11016</v>
          </cell>
        </row>
        <row r="11">
          <cell r="B11">
            <v>39329</v>
          </cell>
        </row>
        <row r="12">
          <cell r="B12">
            <v>7580</v>
          </cell>
        </row>
        <row r="13">
          <cell r="B13">
            <v>1212</v>
          </cell>
        </row>
        <row r="14">
          <cell r="B14">
            <v>48121</v>
          </cell>
        </row>
        <row r="15">
          <cell r="B15">
            <v>-15128</v>
          </cell>
        </row>
        <row r="16">
          <cell r="B16">
            <v>32993</v>
          </cell>
        </row>
        <row r="18">
          <cell r="B18">
            <v>4091</v>
          </cell>
        </row>
        <row r="19">
          <cell r="B19">
            <v>2224</v>
          </cell>
        </row>
        <row r="20">
          <cell r="B20">
            <v>905</v>
          </cell>
        </row>
        <row r="21">
          <cell r="B21">
            <v>2107</v>
          </cell>
        </row>
        <row r="22">
          <cell r="B22">
            <v>9327</v>
          </cell>
        </row>
        <row r="23">
          <cell r="B23">
            <v>53336</v>
          </cell>
        </row>
        <row r="25">
          <cell r="B25">
            <v>2334</v>
          </cell>
        </row>
        <row r="26">
          <cell r="B26">
            <v>1924</v>
          </cell>
        </row>
        <row r="27">
          <cell r="B27">
            <v>1295</v>
          </cell>
        </row>
        <row r="28">
          <cell r="B28">
            <v>5222</v>
          </cell>
        </row>
        <row r="29">
          <cell r="B29">
            <v>3014</v>
          </cell>
        </row>
        <row r="30">
          <cell r="B30">
            <v>2323</v>
          </cell>
        </row>
        <row r="31">
          <cell r="B31">
            <v>16112</v>
          </cell>
        </row>
        <row r="33">
          <cell r="B33">
            <v>22525</v>
          </cell>
        </row>
        <row r="34">
          <cell r="B34">
            <v>7500</v>
          </cell>
        </row>
        <row r="35">
          <cell r="B35">
            <v>3484</v>
          </cell>
        </row>
        <row r="36">
          <cell r="B36">
            <v>33509</v>
          </cell>
        </row>
        <row r="39">
          <cell r="B39">
            <v>5</v>
          </cell>
        </row>
        <row r="40">
          <cell r="B40">
            <v>6245</v>
          </cell>
        </row>
        <row r="41">
          <cell r="B41">
            <v>-5112</v>
          </cell>
        </row>
        <row r="42">
          <cell r="B42">
            <v>2577</v>
          </cell>
        </row>
        <row r="43">
          <cell r="B43">
            <v>3715</v>
          </cell>
        </row>
        <row r="44">
          <cell r="B44">
            <v>53336</v>
          </cell>
        </row>
      </sheetData>
      <sheetData sheetId="4"/>
      <sheetData sheetId="5">
        <row r="3">
          <cell r="C3">
            <v>4833</v>
          </cell>
        </row>
        <row r="5">
          <cell r="C5">
            <v>-3063</v>
          </cell>
        </row>
        <row r="6">
          <cell r="C6">
            <v>-3605</v>
          </cell>
        </row>
        <row r="7">
          <cell r="C7">
            <v>2810</v>
          </cell>
        </row>
        <row r="8">
          <cell r="C8">
            <v>55</v>
          </cell>
        </row>
        <row r="9">
          <cell r="C9">
            <v>32</v>
          </cell>
        </row>
        <row r="10">
          <cell r="C10">
            <v>-3771</v>
          </cell>
        </row>
        <row r="12">
          <cell r="C12">
            <v>4522</v>
          </cell>
        </row>
        <row r="13">
          <cell r="C13">
            <v>-2163</v>
          </cell>
        </row>
        <row r="14">
          <cell r="C14">
            <v>-87</v>
          </cell>
        </row>
        <row r="15">
          <cell r="C15">
            <v>-3236</v>
          </cell>
        </row>
        <row r="16">
          <cell r="C16">
            <v>-119</v>
          </cell>
        </row>
        <row r="17">
          <cell r="C17">
            <v>77</v>
          </cell>
        </row>
        <row r="18">
          <cell r="C18">
            <v>-1006</v>
          </cell>
        </row>
        <row r="19">
          <cell r="C19">
            <v>56</v>
          </cell>
        </row>
        <row r="21">
          <cell r="C21">
            <v>446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densed Consolidated Stateme3"/>
      <sheetName val="BS"/>
      <sheetName val="Condensed Consolidated Balance5"/>
      <sheetName val="CF"/>
      <sheetName val="Basis of Presentation"/>
      <sheetName val="Special Items, Net"/>
      <sheetName val="Earnings Per Common Share"/>
      <sheetName val="Share Repurchase Programs and D"/>
      <sheetName val="Debt"/>
      <sheetName val="Income Taxes"/>
      <sheetName val="Fair Value Measurements and Oth"/>
      <sheetName val="Employee Benefit Plans"/>
      <sheetName val="Accumulated Other Comprehensive"/>
      <sheetName val="Regional Expenses"/>
      <sheetName val="Transactions with Related Parti"/>
      <sheetName val="Legal Proceedings"/>
      <sheetName val="Subsequent Events"/>
      <sheetName val="Basis of Presentation (Policies"/>
      <sheetName val="Special Items, Net (Tables)"/>
      <sheetName val="Earnings Per Common Share (Tabl"/>
      <sheetName val="Share Repurchase Programs and23"/>
      <sheetName val="Debt (Tables)"/>
      <sheetName val="Fair Value Measurements and O25"/>
      <sheetName val="Employee Benefit Plans (Tables)"/>
      <sheetName val="Accumulated Other Comprehensi27"/>
      <sheetName val="Regional Expenses (Tables)"/>
      <sheetName val="Transactions with Related Par29"/>
      <sheetName val="Special Items, Net - Components"/>
      <sheetName val="Earnings Per Common Share - Com"/>
      <sheetName val="Share Repurchase Programs and32"/>
      <sheetName val="Share Repurchase Programs and33"/>
      <sheetName val="Debt - Components of Long-Term "/>
      <sheetName val="Debt - Summary of Availability "/>
      <sheetName val="Debt - Components of Long-Ter36"/>
      <sheetName val="Debt - Details of 2017 Enhanced"/>
      <sheetName val="Debt - Components of Long-Ter38"/>
      <sheetName val="Debt - Details of 2016-3 Enhanc"/>
      <sheetName val="Debt - Components of Long-Ter40"/>
      <sheetName val="Debt - Components of Long-Ter41"/>
      <sheetName val="Debt - Components of Long-Ter42"/>
      <sheetName val="Debt - Components of Long-Ter43"/>
      <sheetName val="Income Taxes (Detail)"/>
      <sheetName val="Fair Value Measurements and O45"/>
      <sheetName val="Fair Value Measurements and O46"/>
      <sheetName val="Fair Value Measurements and O47"/>
      <sheetName val="Employee Benefit Plans - Compon"/>
      <sheetName val="Employee Benefit Plans - Additi"/>
      <sheetName val="Accumulated Other Comprehensi50"/>
      <sheetName val="Accumulated Other Comprehensi51"/>
      <sheetName val="Regional Expenses (Detail)"/>
      <sheetName val="Transactions with Related Par53"/>
      <sheetName val="Legal Proceedings - Additional "/>
      <sheetName val="Subsequent Events - Additional "/>
    </sheetNames>
    <sheetDataSet>
      <sheetData sheetId="0"/>
      <sheetData sheetId="1">
        <row r="4">
          <cell r="C4">
            <v>7419</v>
          </cell>
        </row>
        <row r="5">
          <cell r="C5">
            <v>1731</v>
          </cell>
        </row>
        <row r="6">
          <cell r="C6">
            <v>171</v>
          </cell>
        </row>
        <row r="7">
          <cell r="C7">
            <v>1273</v>
          </cell>
        </row>
        <row r="8">
          <cell r="C8">
            <v>10594</v>
          </cell>
        </row>
        <row r="10">
          <cell r="C10">
            <v>1393</v>
          </cell>
        </row>
        <row r="11">
          <cell r="C11">
            <v>2772</v>
          </cell>
        </row>
        <row r="12">
          <cell r="C12">
            <v>1538</v>
          </cell>
        </row>
        <row r="13">
          <cell r="C13">
            <v>481</v>
          </cell>
        </row>
        <row r="14">
          <cell r="C14">
            <v>463</v>
          </cell>
        </row>
        <row r="15">
          <cell r="C15">
            <v>299</v>
          </cell>
        </row>
        <row r="16">
          <cell r="C16">
            <v>347</v>
          </cell>
        </row>
        <row r="17">
          <cell r="C17">
            <v>399</v>
          </cell>
        </row>
        <row r="18">
          <cell r="C18">
            <v>289</v>
          </cell>
        </row>
        <row r="19">
          <cell r="C19">
            <v>1182</v>
          </cell>
        </row>
        <row r="20">
          <cell r="C20">
            <v>9163</v>
          </cell>
        </row>
        <row r="21">
          <cell r="C21">
            <v>1431</v>
          </cell>
        </row>
        <row r="23">
          <cell r="C23">
            <v>16</v>
          </cell>
        </row>
        <row r="24">
          <cell r="C24">
            <v>-250</v>
          </cell>
        </row>
        <row r="25">
          <cell r="C25">
            <v>-8</v>
          </cell>
        </row>
        <row r="26">
          <cell r="C26">
            <v>-242</v>
          </cell>
        </row>
        <row r="27">
          <cell r="C27">
            <v>1189</v>
          </cell>
        </row>
        <row r="28">
          <cell r="C28">
            <v>452</v>
          </cell>
        </row>
        <row r="29">
          <cell r="C29">
            <v>737</v>
          </cell>
        </row>
        <row r="31">
          <cell r="C31">
            <v>1.4</v>
          </cell>
        </row>
        <row r="32">
          <cell r="C32">
            <v>1.4</v>
          </cell>
        </row>
        <row r="34">
          <cell r="C34">
            <v>525415</v>
          </cell>
        </row>
        <row r="35">
          <cell r="C35">
            <v>528510</v>
          </cell>
        </row>
        <row r="36">
          <cell r="C36">
            <v>0.1</v>
          </cell>
        </row>
      </sheetData>
      <sheetData sheetId="2"/>
      <sheetData sheetId="3">
        <row r="3">
          <cell r="B3">
            <v>340</v>
          </cell>
        </row>
        <row r="4">
          <cell r="B4">
            <v>5428</v>
          </cell>
        </row>
        <row r="5">
          <cell r="B5">
            <v>393</v>
          </cell>
        </row>
        <row r="6">
          <cell r="B6">
            <v>1700</v>
          </cell>
        </row>
        <row r="7">
          <cell r="B7">
            <v>1315</v>
          </cell>
        </row>
        <row r="8">
          <cell r="B8">
            <v>826</v>
          </cell>
        </row>
        <row r="9">
          <cell r="B9">
            <v>10002</v>
          </cell>
        </row>
        <row r="11">
          <cell r="B11">
            <v>39545</v>
          </cell>
        </row>
        <row r="12">
          <cell r="B12">
            <v>7902</v>
          </cell>
        </row>
        <row r="13">
          <cell r="B13">
            <v>1280</v>
          </cell>
        </row>
        <row r="14">
          <cell r="B14">
            <v>48727</v>
          </cell>
        </row>
        <row r="15">
          <cell r="B15">
            <v>-15416</v>
          </cell>
        </row>
        <row r="16">
          <cell r="B16">
            <v>33311</v>
          </cell>
        </row>
        <row r="18">
          <cell r="B18">
            <v>4091</v>
          </cell>
        </row>
        <row r="19">
          <cell r="B19">
            <v>2214</v>
          </cell>
        </row>
        <row r="20">
          <cell r="B20">
            <v>538</v>
          </cell>
        </row>
        <row r="21">
          <cell r="B21">
            <v>2245</v>
          </cell>
        </row>
        <row r="22">
          <cell r="B22">
            <v>9088</v>
          </cell>
        </row>
        <row r="23">
          <cell r="B23">
            <v>52401</v>
          </cell>
        </row>
        <row r="25">
          <cell r="B25">
            <v>2467</v>
          </cell>
        </row>
        <row r="26">
          <cell r="B26">
            <v>1638</v>
          </cell>
        </row>
        <row r="27">
          <cell r="B27">
            <v>1413</v>
          </cell>
        </row>
        <row r="28">
          <cell r="B28">
            <v>4653</v>
          </cell>
        </row>
        <row r="29">
          <cell r="B29">
            <v>2893</v>
          </cell>
        </row>
        <row r="30">
          <cell r="B30">
            <v>2243</v>
          </cell>
        </row>
        <row r="31">
          <cell r="B31">
            <v>15307</v>
          </cell>
        </row>
        <row r="33">
          <cell r="B33">
            <v>22217</v>
          </cell>
        </row>
        <row r="34">
          <cell r="B34">
            <v>7467</v>
          </cell>
        </row>
        <row r="35">
          <cell r="B35">
            <v>3462</v>
          </cell>
        </row>
        <row r="36">
          <cell r="B36">
            <v>33146</v>
          </cell>
        </row>
        <row r="39">
          <cell r="B39">
            <v>5</v>
          </cell>
        </row>
        <row r="40">
          <cell r="B40">
            <v>5918</v>
          </cell>
        </row>
        <row r="41">
          <cell r="B41">
            <v>-5127</v>
          </cell>
        </row>
        <row r="42">
          <cell r="B42">
            <v>3152</v>
          </cell>
        </row>
        <row r="43">
          <cell r="B43">
            <v>3948</v>
          </cell>
        </row>
        <row r="44">
          <cell r="B44">
            <v>52401</v>
          </cell>
        </row>
      </sheetData>
      <sheetData sheetId="4"/>
      <sheetData sheetId="5">
        <row r="3">
          <cell r="C3">
            <v>5897</v>
          </cell>
        </row>
        <row r="5">
          <cell r="C5">
            <v>-4271</v>
          </cell>
        </row>
        <row r="6">
          <cell r="C6">
            <v>-5078</v>
          </cell>
        </row>
        <row r="7">
          <cell r="C7">
            <v>4587</v>
          </cell>
        </row>
        <row r="9">
          <cell r="C9">
            <v>60</v>
          </cell>
        </row>
        <row r="10">
          <cell r="C10">
            <v>60</v>
          </cell>
        </row>
        <row r="11">
          <cell r="C11">
            <v>-4642</v>
          </cell>
        </row>
        <row r="13">
          <cell r="C13">
            <v>5392</v>
          </cell>
        </row>
        <row r="14">
          <cell r="C14">
            <v>-2534</v>
          </cell>
        </row>
        <row r="15">
          <cell r="C15">
            <v>-39</v>
          </cell>
        </row>
        <row r="16">
          <cell r="C16">
            <v>-3931</v>
          </cell>
        </row>
        <row r="17">
          <cell r="C17">
            <v>-172</v>
          </cell>
        </row>
        <row r="18">
          <cell r="C18">
            <v>20</v>
          </cell>
        </row>
        <row r="19">
          <cell r="C19">
            <v>-1264</v>
          </cell>
        </row>
        <row r="20">
          <cell r="C20">
            <v>-9</v>
          </cell>
        </row>
        <row r="22">
          <cell r="C22">
            <v>381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solidated Statements of Comp"/>
      <sheetName val="BS"/>
      <sheetName val="Consolidated Balance Sheets (Pa"/>
      <sheetName val="CF"/>
      <sheetName val="Consolidated Statements of Ca_2"/>
      <sheetName val="Consolidated Statements of Stoc"/>
      <sheetName val="Consolidated Statements of St_2"/>
      <sheetName val="Basis of Presentation and Summa"/>
      <sheetName val="Special Items, Net"/>
      <sheetName val="Earnings Per Common Share"/>
      <sheetName val="Share Repurchase Programs and D"/>
      <sheetName val="Debt"/>
      <sheetName val="Leases"/>
      <sheetName val="Income Taxes"/>
      <sheetName val="Risk Management"/>
      <sheetName val="Fair Value Measurements and Oth"/>
      <sheetName val="Employee Benefit Plans"/>
      <sheetName val="Accumulated Other Comprehensive"/>
      <sheetName val="Commitments, Contingencies and "/>
      <sheetName val="Supplemental Cash Flow Informat"/>
      <sheetName val="Operating Segments and Related "/>
      <sheetName val="Share-based Compensation"/>
      <sheetName val="Valuation and Qualifying Accoun"/>
      <sheetName val="Quarterly Financial Data (Unaud"/>
      <sheetName val="Transactions with Related Parti"/>
      <sheetName val="Subsequent Event"/>
      <sheetName val="Basis of Presentation and Sum_2"/>
      <sheetName val="Basis of Presentation and Sum_3"/>
      <sheetName val="Special Items, Net (Tables)"/>
      <sheetName val="Earnings Per Common Share (Tabl"/>
      <sheetName val="Debt (Tables)"/>
      <sheetName val="Leases (Tables)"/>
      <sheetName val="Income Taxes (Tables)"/>
      <sheetName val="Fair Value Measurements and O_2"/>
      <sheetName val="Employee Benefit Plans (Tables)"/>
      <sheetName val="Accumulated Other Comprehensi_2"/>
      <sheetName val="Commitments, Contingencies an_2"/>
      <sheetName val="Supplemental Cash Flow Inform_2"/>
      <sheetName val="Share-based Compensation (Table"/>
      <sheetName val="Valuation and Qualifying Acco_2"/>
      <sheetName val="Quarterly Financial Data (Una_2"/>
      <sheetName val="Transactions with Related Par_2"/>
      <sheetName val="Basis of Presentation and Sum_4"/>
      <sheetName val="Basis of Presentation and Sum_5"/>
      <sheetName val="Basis of Presentation and Sum_6"/>
      <sheetName val="Basis of Presentation and Sum_7"/>
      <sheetName val="Basis of Presentation and Sum_8"/>
      <sheetName val="Basis of Presentation and Sum_9"/>
      <sheetName val="Basis of Presentation and Su_10"/>
      <sheetName val="Basis of Presentation and Su_11"/>
      <sheetName val="Basis of Presentation and Su_12"/>
      <sheetName val="Basis of Presentation and Su_13"/>
      <sheetName val="Special Items, Net (Details)"/>
      <sheetName val="Earnings Per Common Share (Deta"/>
      <sheetName val="Share Repurchase Programs and_2"/>
      <sheetName val="Share Repurchase Programs and_3"/>
      <sheetName val="Debt - Components of Long-Term "/>
      <sheetName val="Debt - Summary of Availability "/>
      <sheetName val="Debt - Schedule of Maturities o"/>
      <sheetName val="Debt - 2013, 2014 and 2016 Cred"/>
      <sheetName val="Debt - 2017-2 EETCs (Details)"/>
      <sheetName val="Debt - 2017-2 EETCs - Certain I"/>
      <sheetName val="Debt - 2012-2C(R) EETCs (Detail"/>
      <sheetName val="Debt - 2012-2C(R) EETCs - Certa"/>
      <sheetName val="Debt - Equipment Loans and Othe"/>
      <sheetName val="Debt - Senior Notes (Details)"/>
      <sheetName val="Debt - Guarantees (Details)"/>
      <sheetName val="Debt - Collateral-Related Coven"/>
      <sheetName val="Leases - Components of Lease Ex"/>
      <sheetName val="Leases - Supplemental Balance S"/>
      <sheetName val="Leases - Supplemental Cash Flow"/>
      <sheetName val="Leases - Maturities of Lease Li"/>
      <sheetName val="Leases - Future Minimum Lease P"/>
      <sheetName val="Leases - Additional Information"/>
      <sheetName val="Income Taxes - Components of In"/>
      <sheetName val="Income Taxes - Reconciliation o"/>
      <sheetName val="Income Taxes - Deferred Tax Ass"/>
      <sheetName val="Income Taxes - Additional Discl"/>
      <sheetName val="Risk Management - Additional In"/>
      <sheetName val="Fair Value Measurements and O_3"/>
      <sheetName val="Fair Value Measurements and O_4"/>
      <sheetName val="Employee Benefit Plans - Additi"/>
      <sheetName val="Employee Benefit Plans - Schedu"/>
      <sheetName val="Employee Benefit Plans - Sche_2"/>
      <sheetName val="Employee Benefit Plans - Sche_3"/>
      <sheetName val="Employee Benefit Plans - Sche_4"/>
      <sheetName val="Employee Benefit Plans - Sche_5"/>
      <sheetName val="Employee Benefit Plans - Compon"/>
      <sheetName val="Employee Benefit Plans - Sche_6"/>
      <sheetName val="Employee Benefit Plans - Sche_7"/>
      <sheetName val="Employee Benefit Plans - Sche_8"/>
      <sheetName val="Employee Benefit Plans - Sche_9"/>
      <sheetName val="Employee Benefit Plans - Sch_10"/>
      <sheetName val="Employee Benefit Plans - Sch_11"/>
      <sheetName val="Employee Benefit Plans - Change"/>
      <sheetName val="Employee Benefit Plans - Fair V"/>
      <sheetName val="Employee Benefit Plans - Define"/>
      <sheetName val="Employee Benefit Plans Employee"/>
      <sheetName val="Accumulated Other Comprehensi_3"/>
      <sheetName val="Accumulated Other Comprehensi_4"/>
      <sheetName val="Commitments, Contingencies an_3"/>
      <sheetName val="Commitments, Contingencies an_4"/>
      <sheetName val="Commitments, Contingencies an_5"/>
      <sheetName val="Supplemental Cash Flow Inform_3"/>
      <sheetName val="Operating Segments and Relate_2"/>
      <sheetName val="Share Based Compensation - Addi"/>
      <sheetName val="Share Based Compensation - Rest"/>
      <sheetName val="Valuation and Qualifying Acco_3"/>
      <sheetName val="Quarterly Financial Data - Summ"/>
      <sheetName val="Quarterly Financial Data - Addi"/>
      <sheetName val="Transactions with Related Par_3"/>
      <sheetName val="Transactions with Related Par_4"/>
      <sheetName val="Subsequent Event - Additional I"/>
      <sheetName val="Uncategorized Items - aal-20181"/>
    </sheetNames>
    <sheetDataSet>
      <sheetData sheetId="0"/>
      <sheetData sheetId="1">
        <row r="4">
          <cell r="B4">
            <v>44541</v>
          </cell>
          <cell r="C4">
            <v>42622</v>
          </cell>
          <cell r="D4">
            <v>40142</v>
          </cell>
        </row>
        <row r="6">
          <cell r="B6">
            <v>8053</v>
          </cell>
          <cell r="C6">
            <v>6128</v>
          </cell>
          <cell r="D6">
            <v>5071</v>
          </cell>
        </row>
        <row r="7">
          <cell r="B7">
            <v>12251</v>
          </cell>
          <cell r="C7">
            <v>11954</v>
          </cell>
          <cell r="D7">
            <v>10967</v>
          </cell>
        </row>
        <row r="8">
          <cell r="B8">
            <v>7133</v>
          </cell>
          <cell r="C8">
            <v>6546</v>
          </cell>
          <cell r="D8">
            <v>6044</v>
          </cell>
        </row>
        <row r="9">
          <cell r="B9">
            <v>2050</v>
          </cell>
          <cell r="C9">
            <v>1959</v>
          </cell>
          <cell r="D9">
            <v>1834</v>
          </cell>
        </row>
        <row r="10">
          <cell r="B10">
            <v>1900</v>
          </cell>
          <cell r="C10">
            <v>1806</v>
          </cell>
          <cell r="D10">
            <v>1772</v>
          </cell>
        </row>
        <row r="11">
          <cell r="B11">
            <v>1264</v>
          </cell>
          <cell r="C11">
            <v>1197</v>
          </cell>
          <cell r="D11">
            <v>1203</v>
          </cell>
        </row>
        <row r="12">
          <cell r="B12">
            <v>1520</v>
          </cell>
          <cell r="C12">
            <v>1477</v>
          </cell>
          <cell r="D12">
            <v>1323</v>
          </cell>
        </row>
        <row r="13">
          <cell r="B13">
            <v>1839</v>
          </cell>
          <cell r="C13">
            <v>1702</v>
          </cell>
          <cell r="D13">
            <v>1525</v>
          </cell>
        </row>
        <row r="14">
          <cell r="B14">
            <v>787</v>
          </cell>
          <cell r="C14">
            <v>712</v>
          </cell>
          <cell r="D14">
            <v>709</v>
          </cell>
        </row>
        <row r="15">
          <cell r="B15">
            <v>5088</v>
          </cell>
          <cell r="C15">
            <v>4910</v>
          </cell>
          <cell r="D15">
            <v>4634</v>
          </cell>
        </row>
        <row r="16">
          <cell r="B16">
            <v>41885</v>
          </cell>
          <cell r="C16">
            <v>38391</v>
          </cell>
          <cell r="D16">
            <v>35082</v>
          </cell>
        </row>
        <row r="17">
          <cell r="B17">
            <v>2656</v>
          </cell>
          <cell r="C17">
            <v>4231</v>
          </cell>
          <cell r="D17">
            <v>5060</v>
          </cell>
        </row>
        <row r="19">
          <cell r="B19">
            <v>118</v>
          </cell>
          <cell r="C19">
            <v>94</v>
          </cell>
          <cell r="D19">
            <v>63</v>
          </cell>
        </row>
        <row r="20">
          <cell r="B20">
            <v>-1056</v>
          </cell>
          <cell r="C20">
            <v>-1053</v>
          </cell>
          <cell r="D20">
            <v>-991</v>
          </cell>
        </row>
        <row r="21">
          <cell r="B21">
            <v>166</v>
          </cell>
          <cell r="C21">
            <v>123</v>
          </cell>
          <cell r="D21">
            <v>20</v>
          </cell>
        </row>
        <row r="22">
          <cell r="B22">
            <v>-772</v>
          </cell>
          <cell r="C22">
            <v>-836</v>
          </cell>
          <cell r="D22">
            <v>-908</v>
          </cell>
        </row>
        <row r="23">
          <cell r="B23">
            <v>1884</v>
          </cell>
          <cell r="C23">
            <v>3395</v>
          </cell>
          <cell r="D23">
            <v>4152</v>
          </cell>
        </row>
        <row r="24">
          <cell r="B24">
            <v>472</v>
          </cell>
          <cell r="C24">
            <v>2113</v>
          </cell>
          <cell r="D24">
            <v>1568</v>
          </cell>
        </row>
        <row r="25">
          <cell r="B25">
            <v>1412</v>
          </cell>
          <cell r="C25">
            <v>1282</v>
          </cell>
          <cell r="D25">
            <v>2584</v>
          </cell>
        </row>
        <row r="27">
          <cell r="B27">
            <v>3.04</v>
          </cell>
          <cell r="C27">
            <v>2.62</v>
          </cell>
          <cell r="D27">
            <v>4.68</v>
          </cell>
        </row>
        <row r="28">
          <cell r="B28">
            <v>3.03</v>
          </cell>
          <cell r="C28">
            <v>2.61</v>
          </cell>
          <cell r="D28">
            <v>4.6500000000000004</v>
          </cell>
        </row>
        <row r="30">
          <cell r="B30">
            <v>464236</v>
          </cell>
          <cell r="C30">
            <v>489164</v>
          </cell>
          <cell r="D30">
            <v>552308</v>
          </cell>
        </row>
        <row r="31">
          <cell r="B31">
            <v>465660</v>
          </cell>
          <cell r="C31">
            <v>491692</v>
          </cell>
          <cell r="D31">
            <v>556099</v>
          </cell>
        </row>
        <row r="32">
          <cell r="B32">
            <v>0.4</v>
          </cell>
          <cell r="C32">
            <v>0.4</v>
          </cell>
          <cell r="D32">
            <v>0.4</v>
          </cell>
        </row>
        <row r="35">
          <cell r="B35">
            <v>40676</v>
          </cell>
          <cell r="C35">
            <v>39131</v>
          </cell>
          <cell r="D35">
            <v>37045</v>
          </cell>
        </row>
        <row r="38">
          <cell r="B38">
            <v>1013</v>
          </cell>
          <cell r="C38">
            <v>890</v>
          </cell>
          <cell r="D38">
            <v>785</v>
          </cell>
        </row>
        <row r="41">
          <cell r="B41">
            <v>2852</v>
          </cell>
          <cell r="C41">
            <v>2601</v>
          </cell>
          <cell r="D41">
            <v>2312</v>
          </cell>
        </row>
      </sheetData>
      <sheetData sheetId="2"/>
      <sheetData sheetId="3">
        <row r="3">
          <cell r="C3">
            <v>295</v>
          </cell>
        </row>
        <row r="4">
          <cell r="C4">
            <v>4771</v>
          </cell>
        </row>
        <row r="5">
          <cell r="C5">
            <v>318</v>
          </cell>
        </row>
        <row r="6">
          <cell r="C6">
            <v>1752</v>
          </cell>
        </row>
        <row r="7">
          <cell r="C7">
            <v>1359</v>
          </cell>
        </row>
        <row r="8">
          <cell r="C8">
            <v>651</v>
          </cell>
        </row>
        <row r="9">
          <cell r="C9">
            <v>9146</v>
          </cell>
        </row>
        <row r="11">
          <cell r="C11">
            <v>40318</v>
          </cell>
        </row>
        <row r="12">
          <cell r="C12">
            <v>8267</v>
          </cell>
        </row>
        <row r="13">
          <cell r="C13">
            <v>1217</v>
          </cell>
        </row>
        <row r="14">
          <cell r="C14">
            <v>49802</v>
          </cell>
        </row>
        <row r="15">
          <cell r="C15">
            <v>-15646</v>
          </cell>
        </row>
        <row r="16">
          <cell r="C16">
            <v>34156</v>
          </cell>
        </row>
        <row r="17">
          <cell r="C17">
            <v>0</v>
          </cell>
        </row>
        <row r="19">
          <cell r="C19">
            <v>4091</v>
          </cell>
        </row>
        <row r="20">
          <cell r="C20">
            <v>2203</v>
          </cell>
        </row>
        <row r="21">
          <cell r="C21">
            <v>1816</v>
          </cell>
        </row>
        <row r="22">
          <cell r="C22">
            <v>1373</v>
          </cell>
        </row>
        <row r="23">
          <cell r="C23">
            <v>9483</v>
          </cell>
        </row>
        <row r="24">
          <cell r="C24">
            <v>52785</v>
          </cell>
        </row>
        <row r="26">
          <cell r="C26">
            <v>2554</v>
          </cell>
        </row>
        <row r="27">
          <cell r="C27">
            <v>1688</v>
          </cell>
        </row>
        <row r="28">
          <cell r="C28">
            <v>1672</v>
          </cell>
        </row>
        <row r="29">
          <cell r="C29">
            <v>0</v>
          </cell>
        </row>
        <row r="30">
          <cell r="C30">
            <v>2281</v>
          </cell>
        </row>
        <row r="31">
          <cell r="C31">
            <v>15358</v>
          </cell>
        </row>
        <row r="33">
          <cell r="C33">
            <v>22511</v>
          </cell>
        </row>
        <row r="34">
          <cell r="C34">
            <v>7497</v>
          </cell>
        </row>
        <row r="35">
          <cell r="C35">
            <v>5701</v>
          </cell>
        </row>
        <row r="36">
          <cell r="C36">
            <v>0</v>
          </cell>
        </row>
        <row r="37">
          <cell r="C37">
            <v>2498</v>
          </cell>
        </row>
        <row r="38">
          <cell r="C38">
            <v>38207</v>
          </cell>
        </row>
        <row r="40">
          <cell r="C40">
            <v>5</v>
          </cell>
        </row>
        <row r="41">
          <cell r="C41">
            <v>5714</v>
          </cell>
        </row>
        <row r="42">
          <cell r="C42">
            <v>-5154</v>
          </cell>
        </row>
        <row r="43">
          <cell r="C43">
            <v>-1345</v>
          </cell>
        </row>
        <row r="44">
          <cell r="C44">
            <v>-780</v>
          </cell>
        </row>
        <row r="45">
          <cell r="C45">
            <v>52785</v>
          </cell>
        </row>
      </sheetData>
      <sheetData sheetId="4"/>
      <sheetData sheetId="5">
        <row r="4">
          <cell r="C4">
            <v>1412</v>
          </cell>
          <cell r="D4">
            <v>1282</v>
          </cell>
          <cell r="E4">
            <v>2584</v>
          </cell>
        </row>
        <row r="6">
          <cell r="C6">
            <v>2159</v>
          </cell>
          <cell r="D6">
            <v>2017</v>
          </cell>
          <cell r="E6">
            <v>1818</v>
          </cell>
        </row>
        <row r="7">
          <cell r="C7">
            <v>-92</v>
          </cell>
          <cell r="D7">
            <v>-114</v>
          </cell>
          <cell r="E7">
            <v>-119</v>
          </cell>
        </row>
        <row r="8">
          <cell r="C8">
            <v>458</v>
          </cell>
          <cell r="D8">
            <v>272</v>
          </cell>
          <cell r="E8">
            <v>270</v>
          </cell>
        </row>
        <row r="9">
          <cell r="C9">
            <v>-300</v>
          </cell>
          <cell r="D9">
            <v>-132</v>
          </cell>
          <cell r="E9">
            <v>-68</v>
          </cell>
        </row>
        <row r="10">
          <cell r="C10">
            <v>440</v>
          </cell>
          <cell r="D10">
            <v>2089</v>
          </cell>
          <cell r="E10">
            <v>1556</v>
          </cell>
        </row>
        <row r="11">
          <cell r="C11">
            <v>86</v>
          </cell>
          <cell r="D11">
            <v>90</v>
          </cell>
          <cell r="E11">
            <v>100</v>
          </cell>
        </row>
        <row r="12">
          <cell r="C12">
            <v>-64</v>
          </cell>
          <cell r="D12">
            <v>-39</v>
          </cell>
          <cell r="E12">
            <v>-18</v>
          </cell>
        </row>
        <row r="14">
          <cell r="C14">
            <v>222</v>
          </cell>
          <cell r="D14">
            <v>-190</v>
          </cell>
          <cell r="E14">
            <v>-160</v>
          </cell>
        </row>
        <row r="15">
          <cell r="C15">
            <v>-390</v>
          </cell>
          <cell r="D15">
            <v>-433</v>
          </cell>
          <cell r="E15">
            <v>-184</v>
          </cell>
        </row>
        <row r="16">
          <cell r="C16">
            <v>-147</v>
          </cell>
          <cell r="D16">
            <v>299</v>
          </cell>
          <cell r="E16">
            <v>307</v>
          </cell>
        </row>
        <row r="17">
          <cell r="C17">
            <v>-475</v>
          </cell>
          <cell r="D17">
            <v>-286</v>
          </cell>
          <cell r="E17">
            <v>-32</v>
          </cell>
        </row>
        <row r="18">
          <cell r="C18">
            <v>210</v>
          </cell>
          <cell r="D18">
            <v>132</v>
          </cell>
          <cell r="E18">
            <v>-105</v>
          </cell>
        </row>
        <row r="19">
          <cell r="C19">
            <v>3533</v>
          </cell>
          <cell r="D19">
            <v>4744</v>
          </cell>
          <cell r="E19">
            <v>6524</v>
          </cell>
        </row>
        <row r="21">
          <cell r="C21">
            <v>-3745</v>
          </cell>
          <cell r="D21">
            <v>-5971</v>
          </cell>
          <cell r="E21">
            <v>-5731</v>
          </cell>
        </row>
        <row r="22">
          <cell r="C22">
            <v>1207</v>
          </cell>
          <cell r="D22">
            <v>947</v>
          </cell>
          <cell r="E22">
            <v>125</v>
          </cell>
        </row>
        <row r="23">
          <cell r="C23">
            <v>-3412</v>
          </cell>
          <cell r="D23">
            <v>-4633</v>
          </cell>
          <cell r="E23">
            <v>-6241</v>
          </cell>
        </row>
        <row r="24">
          <cell r="C24">
            <v>3705</v>
          </cell>
          <cell r="D24">
            <v>5915</v>
          </cell>
          <cell r="E24">
            <v>6092</v>
          </cell>
        </row>
        <row r="25">
          <cell r="C25">
            <v>207</v>
          </cell>
          <cell r="D25">
            <v>0</v>
          </cell>
          <cell r="E25">
            <v>0</v>
          </cell>
        </row>
        <row r="26">
          <cell r="C26">
            <v>72</v>
          </cell>
          <cell r="D26">
            <v>309</v>
          </cell>
          <cell r="E26">
            <v>53</v>
          </cell>
        </row>
        <row r="27">
          <cell r="C27">
            <v>0</v>
          </cell>
          <cell r="D27">
            <v>-203</v>
          </cell>
          <cell r="E27">
            <v>0</v>
          </cell>
        </row>
        <row r="28">
          <cell r="C28">
            <v>-7</v>
          </cell>
          <cell r="D28">
            <v>0</v>
          </cell>
          <cell r="E28">
            <v>0</v>
          </cell>
        </row>
        <row r="29">
          <cell r="C29">
            <v>-1973</v>
          </cell>
          <cell r="D29">
            <v>-3636</v>
          </cell>
          <cell r="E29">
            <v>-5702</v>
          </cell>
        </row>
        <row r="31">
          <cell r="C31">
            <v>2354</v>
          </cell>
          <cell r="D31">
            <v>3058</v>
          </cell>
          <cell r="E31">
            <v>7701</v>
          </cell>
        </row>
        <row r="32">
          <cell r="C32">
            <v>-2941</v>
          </cell>
          <cell r="D32">
            <v>-2332</v>
          </cell>
          <cell r="E32">
            <v>-3827</v>
          </cell>
        </row>
        <row r="33">
          <cell r="C33">
            <v>-59</v>
          </cell>
          <cell r="D33">
            <v>-85</v>
          </cell>
          <cell r="E33">
            <v>-77</v>
          </cell>
        </row>
        <row r="34">
          <cell r="C34">
            <v>-837</v>
          </cell>
          <cell r="D34">
            <v>-1615</v>
          </cell>
          <cell r="E34">
            <v>-4500</v>
          </cell>
        </row>
        <row r="35">
          <cell r="C35">
            <v>-186</v>
          </cell>
          <cell r="D35">
            <v>-198</v>
          </cell>
          <cell r="E35">
            <v>-224</v>
          </cell>
        </row>
        <row r="36">
          <cell r="C36">
            <v>-3</v>
          </cell>
          <cell r="D36">
            <v>27</v>
          </cell>
          <cell r="E36">
            <v>33</v>
          </cell>
        </row>
        <row r="37">
          <cell r="C37">
            <v>-1672</v>
          </cell>
          <cell r="D37">
            <v>-1145</v>
          </cell>
          <cell r="E37">
            <v>-894</v>
          </cell>
        </row>
        <row r="38">
          <cell r="C38">
            <v>-112</v>
          </cell>
          <cell r="D38">
            <v>-37</v>
          </cell>
          <cell r="E38">
            <v>-72</v>
          </cell>
        </row>
        <row r="40">
          <cell r="C40">
            <v>286</v>
          </cell>
          <cell r="D40">
            <v>398</v>
          </cell>
          <cell r="E40">
            <v>435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>
        <row r="18">
          <cell r="B18">
            <v>1843</v>
          </cell>
          <cell r="C18">
            <v>1382</v>
          </cell>
          <cell r="D18">
            <v>1109</v>
          </cell>
        </row>
        <row r="19">
          <cell r="B19">
            <v>1591</v>
          </cell>
          <cell r="C19">
            <v>1452</v>
          </cell>
          <cell r="D19">
            <v>1333</v>
          </cell>
        </row>
        <row r="20">
          <cell r="B20">
            <v>1431</v>
          </cell>
          <cell r="C20">
            <v>1581</v>
          </cell>
          <cell r="D20">
            <v>1538</v>
          </cell>
        </row>
        <row r="21">
          <cell r="B21">
            <v>340</v>
          </cell>
          <cell r="C21">
            <v>281</v>
          </cell>
          <cell r="D21">
            <v>345</v>
          </cell>
        </row>
        <row r="22">
          <cell r="B22">
            <v>610</v>
          </cell>
          <cell r="C22">
            <v>625</v>
          </cell>
          <cell r="D22">
            <v>564</v>
          </cell>
        </row>
        <row r="23">
          <cell r="B23">
            <v>32</v>
          </cell>
          <cell r="C23">
            <v>35</v>
          </cell>
          <cell r="D23">
            <v>36</v>
          </cell>
        </row>
        <row r="24">
          <cell r="B24">
            <v>369</v>
          </cell>
          <cell r="C24">
            <v>361</v>
          </cell>
          <cell r="D24">
            <v>347</v>
          </cell>
        </row>
        <row r="25">
          <cell r="B25">
            <v>318</v>
          </cell>
          <cell r="C25">
            <v>315</v>
          </cell>
          <cell r="D25">
            <v>301</v>
          </cell>
        </row>
        <row r="26">
          <cell r="B26">
            <v>6</v>
          </cell>
          <cell r="C26">
            <v>22</v>
          </cell>
          <cell r="D26">
            <v>14</v>
          </cell>
        </row>
        <row r="27">
          <cell r="B27">
            <v>593</v>
          </cell>
          <cell r="C27">
            <v>492</v>
          </cell>
          <cell r="D27">
            <v>457</v>
          </cell>
        </row>
      </sheetData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densed Consolidated Stateme3"/>
      <sheetName val="BS"/>
      <sheetName val="Condensed Consolidated Balance5"/>
      <sheetName val="CF"/>
      <sheetName val="Condensed Consolidated Stateme7"/>
      <sheetName val="Basis of Presentation and Recen"/>
      <sheetName val="Special Items, Net"/>
      <sheetName val="Earnings Per Common Share"/>
      <sheetName val="Share Repurchase Programs and D"/>
      <sheetName val="Revenue Recognition"/>
      <sheetName val="Debt"/>
      <sheetName val="Income Taxes"/>
      <sheetName val="Fair Value Measurements"/>
      <sheetName val="Employee Benefit Plans"/>
      <sheetName val="Accumulated Other Comprehensive"/>
      <sheetName val="Regional Expenses"/>
      <sheetName val="Transactions with Related Parti"/>
      <sheetName val="Legal Proceedings"/>
      <sheetName val="Subsequent Events"/>
      <sheetName val="Basis of Presentation and Rec22"/>
      <sheetName val="Basis of Presentation and Rec23"/>
      <sheetName val="Special Items, Net (Tables)"/>
      <sheetName val="Earnings Per Common Share (Tabl"/>
      <sheetName val="Revenue Recognition (Tables)"/>
      <sheetName val="Debt (Tables)"/>
      <sheetName val="Fair Value Measurements (Tables"/>
      <sheetName val="Employee Benefit Plans (Tables)"/>
      <sheetName val="Accumulated Other Comprehensi30"/>
      <sheetName val="Regional Expenses (Tables)"/>
      <sheetName val="Transactions with Related Par32"/>
      <sheetName val="Basis of Presentation and Rec33"/>
      <sheetName val="Special Items, Net - Components"/>
      <sheetName val="Earnings Per Common Share - Com"/>
      <sheetName val="Share Repurchase Programs and36"/>
      <sheetName val="Share Repurchase Programs and37"/>
      <sheetName val="Revenue Recognition - Significa"/>
      <sheetName val="Revenue Recognition - Passenger"/>
      <sheetName val="Revenue Recognition - Signifi40"/>
      <sheetName val="Revenue Recognition - Changes i"/>
      <sheetName val="Revenue Recognition - Narrative"/>
      <sheetName val="Debt - Components of Long-Term "/>
      <sheetName val="Debt - Summary of Availability "/>
      <sheetName val="Debt - 2017-2 EETCs (Detail)"/>
      <sheetName val="Debt - 2017-2  EETCs - Certain "/>
      <sheetName val="Income Taxes (Detail)"/>
      <sheetName val="Fair Value Measurements - Summa"/>
      <sheetName val="Fair Value Measurements - Sched"/>
      <sheetName val="Employee Benefit Plans - Compon"/>
      <sheetName val="Employee Benefit Plans - Additi"/>
      <sheetName val="Accumulated Other Comprehensi52"/>
      <sheetName val="Accumulated Other Comprehensi53"/>
      <sheetName val="Regional Expenses (Detail)"/>
      <sheetName val="Transactions with Related Par55"/>
      <sheetName val="Legal Proceedings - Additional "/>
      <sheetName val="Subsequent Events - Additional "/>
    </sheetNames>
    <sheetDataSet>
      <sheetData sheetId="0"/>
      <sheetData sheetId="1">
        <row r="4">
          <cell r="C4">
            <v>8997</v>
          </cell>
        </row>
        <row r="5">
          <cell r="C5">
            <v>191</v>
          </cell>
        </row>
        <row r="6">
          <cell r="C6">
            <v>632</v>
          </cell>
        </row>
        <row r="7">
          <cell r="C7">
            <v>9820</v>
          </cell>
        </row>
        <row r="9">
          <cell r="C9">
            <v>1402</v>
          </cell>
        </row>
        <row r="10">
          <cell r="C10">
            <v>2859</v>
          </cell>
        </row>
        <row r="11">
          <cell r="C11">
            <v>1573</v>
          </cell>
        </row>
        <row r="12">
          <cell r="C12">
            <v>492</v>
          </cell>
        </row>
        <row r="13">
          <cell r="C13">
            <v>440</v>
          </cell>
        </row>
        <row r="14">
          <cell r="C14">
            <v>295</v>
          </cell>
        </row>
        <row r="15">
          <cell r="C15">
            <v>318</v>
          </cell>
        </row>
        <row r="16">
          <cell r="C16">
            <v>405</v>
          </cell>
        </row>
        <row r="17">
          <cell r="C17">
            <v>119</v>
          </cell>
        </row>
        <row r="18">
          <cell r="C18">
            <v>1180</v>
          </cell>
        </row>
        <row r="19">
          <cell r="C19">
            <v>9083</v>
          </cell>
        </row>
        <row r="20">
          <cell r="C20">
            <v>737</v>
          </cell>
        </row>
        <row r="22">
          <cell r="C22">
            <v>21</v>
          </cell>
        </row>
        <row r="23">
          <cell r="C23">
            <v>-257</v>
          </cell>
        </row>
        <row r="24">
          <cell r="C24">
            <v>34</v>
          </cell>
        </row>
        <row r="25">
          <cell r="C25">
            <v>-202</v>
          </cell>
        </row>
        <row r="26">
          <cell r="C26">
            <v>535</v>
          </cell>
        </row>
        <row r="27">
          <cell r="C27">
            <v>195</v>
          </cell>
        </row>
        <row r="28">
          <cell r="C28">
            <v>340</v>
          </cell>
        </row>
        <row r="30">
          <cell r="C30">
            <v>0.67</v>
          </cell>
        </row>
        <row r="31">
          <cell r="C31">
            <v>0.67</v>
          </cell>
        </row>
        <row r="33">
          <cell r="C33">
            <v>503902</v>
          </cell>
        </row>
        <row r="34">
          <cell r="C34">
            <v>507797</v>
          </cell>
        </row>
        <row r="35">
          <cell r="C35">
            <v>0.1</v>
          </cell>
        </row>
      </sheetData>
      <sheetData sheetId="2"/>
      <sheetData sheetId="3">
        <row r="3">
          <cell r="B3">
            <v>297</v>
          </cell>
        </row>
        <row r="4">
          <cell r="B4">
            <v>4994</v>
          </cell>
        </row>
        <row r="5">
          <cell r="B5">
            <v>294</v>
          </cell>
        </row>
        <row r="6">
          <cell r="B6">
            <v>1809</v>
          </cell>
        </row>
        <row r="7">
          <cell r="B7">
            <v>1455</v>
          </cell>
        </row>
        <row r="8">
          <cell r="B8">
            <v>824</v>
          </cell>
        </row>
        <row r="9">
          <cell r="B9">
            <v>9673</v>
          </cell>
        </row>
        <row r="11">
          <cell r="B11">
            <v>40662</v>
          </cell>
        </row>
        <row r="12">
          <cell r="B12">
            <v>8599</v>
          </cell>
        </row>
        <row r="13">
          <cell r="B13">
            <v>1231</v>
          </cell>
        </row>
        <row r="14">
          <cell r="B14">
            <v>50492</v>
          </cell>
        </row>
        <row r="15">
          <cell r="B15">
            <v>-16159</v>
          </cell>
        </row>
        <row r="16">
          <cell r="B16">
            <v>34333</v>
          </cell>
        </row>
        <row r="18">
          <cell r="B18">
            <v>4091</v>
          </cell>
        </row>
        <row r="19">
          <cell r="B19">
            <v>2193</v>
          </cell>
        </row>
        <row r="20">
          <cell r="B20">
            <v>1581</v>
          </cell>
        </row>
        <row r="21">
          <cell r="B21">
            <v>1409</v>
          </cell>
        </row>
        <row r="22">
          <cell r="B22">
            <v>9274</v>
          </cell>
        </row>
        <row r="23">
          <cell r="B23">
            <v>53280</v>
          </cell>
        </row>
        <row r="25">
          <cell r="B25">
            <v>2793</v>
          </cell>
        </row>
        <row r="26">
          <cell r="B26">
            <v>1953</v>
          </cell>
        </row>
        <row r="27">
          <cell r="B27">
            <v>1178</v>
          </cell>
        </row>
        <row r="28">
          <cell r="B28">
            <v>5549</v>
          </cell>
        </row>
        <row r="29">
          <cell r="B29">
            <v>3176</v>
          </cell>
        </row>
        <row r="30">
          <cell r="B30">
            <v>2359</v>
          </cell>
        </row>
        <row r="31">
          <cell r="B31">
            <v>17008</v>
          </cell>
        </row>
        <row r="33">
          <cell r="B33">
            <v>21946</v>
          </cell>
        </row>
        <row r="34">
          <cell r="B34">
            <v>7259</v>
          </cell>
        </row>
        <row r="35">
          <cell r="B35">
            <v>5610</v>
          </cell>
        </row>
        <row r="36">
          <cell r="B36">
            <v>2475</v>
          </cell>
        </row>
        <row r="37">
          <cell r="B37">
            <v>37290</v>
          </cell>
        </row>
        <row r="40">
          <cell r="B40">
            <v>5</v>
          </cell>
        </row>
        <row r="41">
          <cell r="B41">
            <v>5279</v>
          </cell>
        </row>
        <row r="42">
          <cell r="B42">
            <v>-5172</v>
          </cell>
        </row>
        <row r="43">
          <cell r="B43">
            <v>-1130</v>
          </cell>
        </row>
        <row r="44">
          <cell r="B44">
            <v>-1018</v>
          </cell>
        </row>
        <row r="45">
          <cell r="B45">
            <v>53280</v>
          </cell>
        </row>
      </sheetData>
      <sheetData sheetId="4"/>
      <sheetData sheetId="5">
        <row r="3">
          <cell r="D3">
            <v>2250</v>
          </cell>
        </row>
        <row r="5">
          <cell r="D5">
            <v>-1714</v>
          </cell>
        </row>
        <row r="6">
          <cell r="D6">
            <v>32</v>
          </cell>
        </row>
        <row r="7">
          <cell r="D7">
            <v>-1922</v>
          </cell>
        </row>
        <row r="8">
          <cell r="D8">
            <v>1660</v>
          </cell>
        </row>
        <row r="9">
          <cell r="D9">
            <v>74</v>
          </cell>
        </row>
        <row r="10">
          <cell r="D10">
            <v>-1870</v>
          </cell>
        </row>
        <row r="12">
          <cell r="D12">
            <v>899</v>
          </cell>
        </row>
        <row r="13">
          <cell r="D13">
            <v>-686</v>
          </cell>
        </row>
        <row r="14">
          <cell r="D14">
            <v>-31</v>
          </cell>
        </row>
        <row r="15">
          <cell r="D15">
            <v>-484</v>
          </cell>
        </row>
        <row r="16">
          <cell r="D16">
            <v>-51</v>
          </cell>
        </row>
        <row r="17">
          <cell r="D17">
            <v>4</v>
          </cell>
        </row>
        <row r="18">
          <cell r="D18">
            <v>-349</v>
          </cell>
        </row>
        <row r="19">
          <cell r="D19">
            <v>31</v>
          </cell>
        </row>
        <row r="21">
          <cell r="D21">
            <v>467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densed Consolidated Stateme3"/>
      <sheetName val="BS"/>
      <sheetName val="Condensed Consolidated Balance5"/>
      <sheetName val="CF"/>
      <sheetName val="Condensed Consolidated Stateme7"/>
      <sheetName val="Basis of Presentation and Recen"/>
      <sheetName val="Special Items, Net"/>
      <sheetName val="Earnings Per Common Share"/>
      <sheetName val="Share Repurchase Programs and D"/>
      <sheetName val="Revenue Recognition"/>
      <sheetName val="Debt"/>
      <sheetName val="Income Taxes"/>
      <sheetName val="Fair Value Measurements"/>
      <sheetName val="Employee Benefit Plans"/>
      <sheetName val="Accumulated Other Comprehensive"/>
      <sheetName val="Regional Expenses"/>
      <sheetName val="Transactions with Related Parti"/>
      <sheetName val="Legal Proceedings"/>
      <sheetName val="Subsequent Events"/>
      <sheetName val="Basis of Presentation and Rec22"/>
      <sheetName val="Basis of Presentation and Rec23"/>
      <sheetName val="Special Items, Net (Tables)"/>
      <sheetName val="Earnings Per Common Share (Tabl"/>
      <sheetName val="Revenue Recognition (Tables)"/>
      <sheetName val="Debt (Tables)"/>
      <sheetName val="Fair Value Measurements (Tables"/>
      <sheetName val="Employee Benefit Plans (Tables)"/>
      <sheetName val="Accumulated Other Comprehensi30"/>
      <sheetName val="Regional Expenses (Tables)"/>
      <sheetName val="Transactions with Related Par32"/>
      <sheetName val="Basis of Presentation and Rec33"/>
      <sheetName val="Special Items, Net (Details)"/>
      <sheetName val="Earnings Per Common Share (Deta"/>
      <sheetName val="Share Repurchase Programs and36"/>
      <sheetName val="Share Repurchase Programs and37"/>
      <sheetName val="Revenue Recognition - Significa"/>
      <sheetName val="Revenue Recognition - Passenger"/>
      <sheetName val="Revenue Recognition - Narrative"/>
      <sheetName val="Revenue Recognition - Signifi41"/>
      <sheetName val="Revenue Recognition - Changes i"/>
      <sheetName val="Debt - Components of Long-Term "/>
      <sheetName val="Debt - Summary of Availability "/>
      <sheetName val="Debt - 2017-2 EETCs (Details)"/>
      <sheetName val="Debt - 2017-2  EETCs - Certain "/>
      <sheetName val="Debt - 2012-2C(R) EETCs (Detail"/>
      <sheetName val="Debt - 2012-2C(R) EETCs - Certa"/>
      <sheetName val="Debt - Components of Long-Ter49"/>
      <sheetName val="Debt - Components of Long-Ter50"/>
      <sheetName val="Income Taxes (Details)"/>
      <sheetName val="Fair Value Measurements - Summa"/>
      <sheetName val="Fair Value Measurements - Sched"/>
      <sheetName val="Employee Benefit Plans - Compon"/>
      <sheetName val="Employee Benefit Plans - Additi"/>
      <sheetName val="Accumulated Other Comprehensi56"/>
      <sheetName val="Accumulated Other Comprehensi57"/>
      <sheetName val="Regional Expenses (Details)"/>
      <sheetName val="Transactions with Related Par59"/>
      <sheetName val="Legal Proceedings (Details)"/>
      <sheetName val="Subsequent Events (Details)"/>
    </sheetNames>
    <sheetDataSet>
      <sheetData sheetId="0"/>
      <sheetData sheetId="1">
        <row r="4">
          <cell r="B4">
            <v>10674</v>
          </cell>
          <cell r="C4">
            <v>10353</v>
          </cell>
        </row>
        <row r="5">
          <cell r="B5">
            <v>261</v>
          </cell>
          <cell r="C5">
            <v>219</v>
          </cell>
        </row>
        <row r="6">
          <cell r="B6">
            <v>708</v>
          </cell>
          <cell r="C6">
            <v>655</v>
          </cell>
        </row>
        <row r="7">
          <cell r="B7">
            <v>11643</v>
          </cell>
          <cell r="C7">
            <v>11227</v>
          </cell>
        </row>
        <row r="9">
          <cell r="B9">
            <v>2103</v>
          </cell>
          <cell r="C9">
            <v>1510</v>
          </cell>
        </row>
        <row r="10">
          <cell r="B10">
            <v>3093</v>
          </cell>
          <cell r="C10">
            <v>3037</v>
          </cell>
        </row>
        <row r="11">
          <cell r="B11">
            <v>1793</v>
          </cell>
          <cell r="C11">
            <v>1620</v>
          </cell>
        </row>
        <row r="12">
          <cell r="B12">
            <v>505</v>
          </cell>
          <cell r="C12">
            <v>495</v>
          </cell>
        </row>
        <row r="13">
          <cell r="B13">
            <v>490</v>
          </cell>
          <cell r="C13">
            <v>452</v>
          </cell>
        </row>
        <row r="14">
          <cell r="B14">
            <v>305</v>
          </cell>
          <cell r="C14">
            <v>294</v>
          </cell>
        </row>
        <row r="15">
          <cell r="B15">
            <v>385</v>
          </cell>
          <cell r="C15">
            <v>376</v>
          </cell>
        </row>
        <row r="16">
          <cell r="B16">
            <v>463</v>
          </cell>
          <cell r="C16">
            <v>418</v>
          </cell>
        </row>
        <row r="17">
          <cell r="B17">
            <v>152</v>
          </cell>
          <cell r="C17">
            <v>202</v>
          </cell>
        </row>
        <row r="18">
          <cell r="B18">
            <v>1326</v>
          </cell>
          <cell r="C18">
            <v>1224</v>
          </cell>
        </row>
        <row r="19">
          <cell r="B19">
            <v>10615</v>
          </cell>
          <cell r="C19">
            <v>9628</v>
          </cell>
        </row>
        <row r="20">
          <cell r="B20">
            <v>1028</v>
          </cell>
          <cell r="C20">
            <v>1599</v>
          </cell>
        </row>
        <row r="22">
          <cell r="B22">
            <v>30</v>
          </cell>
          <cell r="C22">
            <v>24</v>
          </cell>
        </row>
        <row r="23">
          <cell r="B23">
            <v>-266</v>
          </cell>
          <cell r="C23">
            <v>-263</v>
          </cell>
        </row>
        <row r="24">
          <cell r="B24">
            <v>-23</v>
          </cell>
          <cell r="C24">
            <v>29</v>
          </cell>
        </row>
        <row r="25">
          <cell r="B25">
            <v>-259</v>
          </cell>
          <cell r="C25">
            <v>-210</v>
          </cell>
        </row>
        <row r="26">
          <cell r="B26">
            <v>769</v>
          </cell>
          <cell r="C26">
            <v>1389</v>
          </cell>
        </row>
        <row r="27">
          <cell r="B27">
            <v>203</v>
          </cell>
          <cell r="C27">
            <v>525</v>
          </cell>
        </row>
        <row r="28">
          <cell r="B28">
            <v>566</v>
          </cell>
          <cell r="C28">
            <v>864</v>
          </cell>
        </row>
        <row r="30">
          <cell r="B30">
            <v>1.22</v>
          </cell>
          <cell r="C30">
            <v>1.76</v>
          </cell>
        </row>
        <row r="31">
          <cell r="B31">
            <v>1.22</v>
          </cell>
          <cell r="C31">
            <v>1.75</v>
          </cell>
        </row>
        <row r="33">
          <cell r="B33">
            <v>463533</v>
          </cell>
          <cell r="C33">
            <v>490818</v>
          </cell>
        </row>
        <row r="34">
          <cell r="B34">
            <v>464618</v>
          </cell>
          <cell r="C34">
            <v>492965</v>
          </cell>
        </row>
        <row r="35">
          <cell r="B35">
            <v>0.1</v>
          </cell>
          <cell r="C35">
            <v>0.1</v>
          </cell>
        </row>
      </sheetData>
      <sheetData sheetId="2"/>
      <sheetData sheetId="3">
        <row r="3">
          <cell r="B3">
            <v>293</v>
          </cell>
        </row>
        <row r="4">
          <cell r="B4">
            <v>4381</v>
          </cell>
        </row>
        <row r="5">
          <cell r="B5">
            <v>183</v>
          </cell>
        </row>
        <row r="6">
          <cell r="B6">
            <v>1941</v>
          </cell>
        </row>
        <row r="7">
          <cell r="B7">
            <v>1522</v>
          </cell>
        </row>
        <row r="8">
          <cell r="B8">
            <v>856</v>
          </cell>
        </row>
        <row r="9">
          <cell r="B9">
            <v>9176</v>
          </cell>
        </row>
        <row r="11">
          <cell r="B11">
            <v>40854</v>
          </cell>
        </row>
        <row r="12">
          <cell r="B12">
            <v>8903</v>
          </cell>
        </row>
        <row r="13">
          <cell r="B13">
            <v>1392</v>
          </cell>
        </row>
        <row r="14">
          <cell r="B14">
            <v>51149</v>
          </cell>
        </row>
        <row r="15">
          <cell r="B15">
            <v>-16725</v>
          </cell>
        </row>
        <row r="16">
          <cell r="B16">
            <v>34424</v>
          </cell>
        </row>
        <row r="18">
          <cell r="B18">
            <v>4091</v>
          </cell>
        </row>
        <row r="19">
          <cell r="B19">
            <v>2157</v>
          </cell>
        </row>
        <row r="20">
          <cell r="B20">
            <v>1399</v>
          </cell>
        </row>
        <row r="21">
          <cell r="B21">
            <v>1375</v>
          </cell>
        </row>
        <row r="22">
          <cell r="B22">
            <v>9022</v>
          </cell>
        </row>
        <row r="23">
          <cell r="B23">
            <v>52622</v>
          </cell>
        </row>
        <row r="25">
          <cell r="B25">
            <v>2213</v>
          </cell>
        </row>
        <row r="26">
          <cell r="B26">
            <v>2053</v>
          </cell>
        </row>
        <row r="27">
          <cell r="B27">
            <v>1299</v>
          </cell>
        </row>
        <row r="28">
          <cell r="B28">
            <v>5512</v>
          </cell>
        </row>
        <row r="29">
          <cell r="B29">
            <v>3191</v>
          </cell>
        </row>
        <row r="30">
          <cell r="B30">
            <v>2401</v>
          </cell>
        </row>
        <row r="31">
          <cell r="B31">
            <v>16669</v>
          </cell>
        </row>
        <row r="33">
          <cell r="B33">
            <v>21863</v>
          </cell>
        </row>
        <row r="34">
          <cell r="B34">
            <v>7118</v>
          </cell>
        </row>
        <row r="35">
          <cell r="B35">
            <v>5484</v>
          </cell>
        </row>
        <row r="36">
          <cell r="B36">
            <v>2357</v>
          </cell>
        </row>
        <row r="37">
          <cell r="B37">
            <v>36822</v>
          </cell>
        </row>
        <row r="40">
          <cell r="B40">
            <v>5</v>
          </cell>
        </row>
        <row r="41">
          <cell r="B41">
            <v>4923</v>
          </cell>
        </row>
        <row r="42">
          <cell r="B42">
            <v>-5187</v>
          </cell>
        </row>
        <row r="43">
          <cell r="B43">
            <v>-610</v>
          </cell>
        </row>
        <row r="44">
          <cell r="B44">
            <v>-869</v>
          </cell>
        </row>
        <row r="45">
          <cell r="B45">
            <v>52622</v>
          </cell>
        </row>
      </sheetData>
      <sheetData sheetId="4"/>
      <sheetData sheetId="5">
        <row r="3">
          <cell r="C3">
            <v>2883</v>
          </cell>
          <cell r="D3">
            <v>3938</v>
          </cell>
        </row>
        <row r="5">
          <cell r="C5">
            <v>-1731</v>
          </cell>
          <cell r="D5">
            <v>-3194</v>
          </cell>
        </row>
        <row r="6">
          <cell r="C6">
            <v>258</v>
          </cell>
          <cell r="D6">
            <v>313</v>
          </cell>
        </row>
        <row r="7">
          <cell r="C7">
            <v>-1184</v>
          </cell>
          <cell r="D7">
            <v>-3829</v>
          </cell>
        </row>
        <row r="8">
          <cell r="C8">
            <v>1579</v>
          </cell>
          <cell r="D8">
            <v>3373</v>
          </cell>
        </row>
        <row r="9">
          <cell r="C9">
            <v>43</v>
          </cell>
          <cell r="D9">
            <v>73</v>
          </cell>
        </row>
        <row r="10">
          <cell r="C10">
            <v>-1035</v>
          </cell>
          <cell r="D10">
            <v>-3264</v>
          </cell>
        </row>
        <row r="12">
          <cell r="C12">
            <v>892</v>
          </cell>
          <cell r="D12">
            <v>1625</v>
          </cell>
        </row>
        <row r="13">
          <cell r="C13">
            <v>-1885</v>
          </cell>
          <cell r="D13">
            <v>-1101</v>
          </cell>
        </row>
        <row r="14">
          <cell r="C14">
            <v>-28</v>
          </cell>
          <cell r="D14">
            <v>-39</v>
          </cell>
        </row>
        <row r="15">
          <cell r="C15">
            <v>-837</v>
          </cell>
          <cell r="D15">
            <v>-1013</v>
          </cell>
        </row>
        <row r="16">
          <cell r="C16">
            <v>-94</v>
          </cell>
          <cell r="D16">
            <v>-102</v>
          </cell>
        </row>
        <row r="17">
          <cell r="C17">
            <v>11</v>
          </cell>
          <cell r="D17">
            <v>9</v>
          </cell>
        </row>
        <row r="18">
          <cell r="C18">
            <v>-1941</v>
          </cell>
          <cell r="D18">
            <v>-621</v>
          </cell>
        </row>
        <row r="19">
          <cell r="C19">
            <v>-93</v>
          </cell>
          <cell r="D19">
            <v>53</v>
          </cell>
        </row>
        <row r="21">
          <cell r="C21">
            <v>305</v>
          </cell>
          <cell r="D21">
            <v>489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densed Consolidated Statem_2"/>
      <sheetName val="BS"/>
      <sheetName val="Condensed Consolidated Balanc_2"/>
      <sheetName val="CF"/>
      <sheetName val="Condensed Consolidated Statem_4"/>
      <sheetName val="Basis of Presentation and Recen"/>
      <sheetName val="Special Items, Net"/>
      <sheetName val="Earnings Per Common Share"/>
      <sheetName val="Share Repurchase Programs and D"/>
      <sheetName val="Revenue Recognition"/>
      <sheetName val="Debt"/>
      <sheetName val="Income Taxes"/>
      <sheetName val="Fair Value Measurements"/>
      <sheetName val="Employee Benefit Plans"/>
      <sheetName val="Accumulated Other Comprehensive"/>
      <sheetName val="Regional Expenses"/>
      <sheetName val="Transactions with Related Parti"/>
      <sheetName val="Legal Proceedings"/>
      <sheetName val="Subsequent Events"/>
      <sheetName val="Basis of Presentation and Rec_2"/>
      <sheetName val="Basis of Presentation and Rec_3"/>
      <sheetName val="Special Items, Net (Tables)"/>
      <sheetName val="Earnings Per Common Share (Tabl"/>
      <sheetName val="Revenue Recognition (Tables)"/>
      <sheetName val="Debt (Tables)"/>
      <sheetName val="Fair Value Measurements (Tables"/>
      <sheetName val="Employee Benefit Plans (Tables)"/>
      <sheetName val="Accumulated Other Comprehensi_2"/>
      <sheetName val="Regional Expenses (Tables)"/>
      <sheetName val="Transactions with Related Par_2"/>
      <sheetName val="Basis of Presentation and Rec_4"/>
      <sheetName val="Special Items, Net (Details)"/>
      <sheetName val="Earnings Per Common Share (Deta"/>
      <sheetName val="Share Repurchase Programs and_2"/>
      <sheetName val="Share Repurchase Programs and_3"/>
      <sheetName val="Revenue Recognition - Significa"/>
      <sheetName val="Revenue Recognition - Passenger"/>
      <sheetName val="Revenue Recognition - Narrative"/>
      <sheetName val="Revenue Recognition - Signifi_2"/>
      <sheetName val="Revenue Recognition - Changes i"/>
      <sheetName val="Debt - Components of Long-Term "/>
      <sheetName val="Debt - Summary of Availability "/>
      <sheetName val="Debt - 2017-2 EETCs (Details)"/>
      <sheetName val="Debt - 2017-2  EETCs - Certain "/>
      <sheetName val="Debt - 2012-2C(R) EETCs (Detail"/>
      <sheetName val="Debt - 2012-2C(R) EETCs - Certa"/>
      <sheetName val="Debt - Components of Long-Ter_2"/>
      <sheetName val="Debt - Components of Long-Ter_3"/>
      <sheetName val="Debt - Components of Long-Ter_4"/>
      <sheetName val="Income Taxes (Details)"/>
      <sheetName val="Fair Value Measurements - Summa"/>
      <sheetName val="Fair Value Measurements - Sched"/>
      <sheetName val="Employee Benefit Plans - Compon"/>
      <sheetName val="Employee Benefit Plans - Additi"/>
      <sheetName val="Accumulated Other Comprehensi_3"/>
      <sheetName val="Accumulated Other Comprehensi_4"/>
      <sheetName val="Regional Expenses (Details)"/>
      <sheetName val="Transactions with Related Par_3"/>
      <sheetName val="Legal Proceedings (Details)"/>
      <sheetName val="Subsequent Events (Details)"/>
    </sheetNames>
    <sheetDataSet>
      <sheetData sheetId="0"/>
      <sheetData sheetId="1">
        <row r="4">
          <cell r="B4">
            <v>11559</v>
          </cell>
          <cell r="C4">
            <v>10965</v>
          </cell>
        </row>
        <row r="6">
          <cell r="B6">
            <v>2234</v>
          </cell>
          <cell r="C6">
            <v>1570</v>
          </cell>
        </row>
        <row r="7">
          <cell r="B7">
            <v>3129</v>
          </cell>
          <cell r="C7">
            <v>3030</v>
          </cell>
        </row>
        <row r="8">
          <cell r="B8">
            <v>1833</v>
          </cell>
          <cell r="C8">
            <v>1654</v>
          </cell>
        </row>
        <row r="9">
          <cell r="B9">
            <v>526</v>
          </cell>
          <cell r="C9">
            <v>487</v>
          </cell>
        </row>
        <row r="10">
          <cell r="B10">
            <v>497</v>
          </cell>
          <cell r="C10">
            <v>471</v>
          </cell>
        </row>
        <row r="11">
          <cell r="B11">
            <v>312</v>
          </cell>
          <cell r="C11">
            <v>304</v>
          </cell>
        </row>
        <row r="12">
          <cell r="B12">
            <v>395</v>
          </cell>
          <cell r="C12">
            <v>400</v>
          </cell>
        </row>
        <row r="13">
          <cell r="B13">
            <v>473</v>
          </cell>
          <cell r="C13">
            <v>433</v>
          </cell>
        </row>
        <row r="14">
          <cell r="B14">
            <v>215</v>
          </cell>
          <cell r="C14">
            <v>112</v>
          </cell>
        </row>
        <row r="15">
          <cell r="B15">
            <v>1296</v>
          </cell>
          <cell r="C15">
            <v>1248</v>
          </cell>
        </row>
        <row r="16">
          <cell r="B16">
            <v>10910</v>
          </cell>
          <cell r="C16">
            <v>9709</v>
          </cell>
        </row>
        <row r="17">
          <cell r="B17">
            <v>649</v>
          </cell>
          <cell r="C17">
            <v>1256</v>
          </cell>
        </row>
        <row r="19">
          <cell r="B19">
            <v>29</v>
          </cell>
          <cell r="C19">
            <v>25</v>
          </cell>
        </row>
        <row r="20">
          <cell r="B20">
            <v>-265</v>
          </cell>
          <cell r="C20">
            <v>-266</v>
          </cell>
        </row>
        <row r="21">
          <cell r="B21">
            <v>43</v>
          </cell>
          <cell r="C21">
            <v>48</v>
          </cell>
        </row>
        <row r="22">
          <cell r="B22">
            <v>-193</v>
          </cell>
          <cell r="C22">
            <v>-193</v>
          </cell>
        </row>
        <row r="23">
          <cell r="B23">
            <v>456</v>
          </cell>
          <cell r="C23">
            <v>1063</v>
          </cell>
        </row>
        <row r="24">
          <cell r="B24">
            <v>115</v>
          </cell>
          <cell r="C24">
            <v>402</v>
          </cell>
        </row>
        <row r="25">
          <cell r="B25">
            <v>341</v>
          </cell>
          <cell r="C25">
            <v>661</v>
          </cell>
        </row>
        <row r="27">
          <cell r="B27">
            <v>0.74</v>
          </cell>
          <cell r="C27">
            <v>1.36</v>
          </cell>
        </row>
        <row r="28">
          <cell r="B28">
            <v>0.74</v>
          </cell>
          <cell r="C28">
            <v>1.36</v>
          </cell>
        </row>
        <row r="30">
          <cell r="B30">
            <v>460526</v>
          </cell>
          <cell r="C30">
            <v>484772</v>
          </cell>
        </row>
        <row r="31">
          <cell r="B31">
            <v>461507</v>
          </cell>
          <cell r="C31">
            <v>486625</v>
          </cell>
        </row>
        <row r="32">
          <cell r="B32">
            <v>0.1</v>
          </cell>
          <cell r="C32">
            <v>0.1</v>
          </cell>
        </row>
        <row r="35">
          <cell r="B35">
            <v>10561</v>
          </cell>
          <cell r="C35">
            <v>10096</v>
          </cell>
        </row>
        <row r="38">
          <cell r="B38">
            <v>260</v>
          </cell>
          <cell r="C38">
            <v>223</v>
          </cell>
        </row>
        <row r="41">
          <cell r="B41">
            <v>738</v>
          </cell>
          <cell r="C41">
            <v>646</v>
          </cell>
        </row>
      </sheetData>
      <sheetData sheetId="2"/>
      <sheetData sheetId="3">
        <row r="3">
          <cell r="B3">
            <v>303</v>
          </cell>
        </row>
        <row r="4">
          <cell r="B4">
            <v>4552</v>
          </cell>
        </row>
        <row r="5">
          <cell r="B5">
            <v>154</v>
          </cell>
        </row>
        <row r="6">
          <cell r="B6">
            <v>2170</v>
          </cell>
        </row>
        <row r="7">
          <cell r="B7">
            <v>1576</v>
          </cell>
        </row>
        <row r="8">
          <cell r="B8">
            <v>743</v>
          </cell>
        </row>
        <row r="9">
          <cell r="B9">
            <v>9498</v>
          </cell>
        </row>
        <row r="11">
          <cell r="B11">
            <v>40983</v>
          </cell>
        </row>
        <row r="12">
          <cell r="B12">
            <v>9187</v>
          </cell>
        </row>
        <row r="13">
          <cell r="B13">
            <v>1330</v>
          </cell>
        </row>
        <row r="14">
          <cell r="B14">
            <v>51500</v>
          </cell>
        </row>
        <row r="15">
          <cell r="B15">
            <v>-17277</v>
          </cell>
        </row>
        <row r="16">
          <cell r="B16">
            <v>34223</v>
          </cell>
        </row>
        <row r="18">
          <cell r="B18">
            <v>4091</v>
          </cell>
        </row>
        <row r="19">
          <cell r="B19">
            <v>2147</v>
          </cell>
        </row>
        <row r="20">
          <cell r="B20">
            <v>1293</v>
          </cell>
        </row>
        <row r="21">
          <cell r="B21">
            <v>1383</v>
          </cell>
        </row>
        <row r="22">
          <cell r="B22">
            <v>8914</v>
          </cell>
        </row>
        <row r="23">
          <cell r="B23">
            <v>52635</v>
          </cell>
        </row>
        <row r="25">
          <cell r="B25">
            <v>2493</v>
          </cell>
        </row>
        <row r="26">
          <cell r="B26">
            <v>1886</v>
          </cell>
        </row>
        <row r="27">
          <cell r="B27">
            <v>1386</v>
          </cell>
        </row>
        <row r="28">
          <cell r="B28">
            <v>2301</v>
          </cell>
        </row>
        <row r="29">
          <cell r="B29">
            <v>16348</v>
          </cell>
        </row>
        <row r="31">
          <cell r="B31">
            <v>22274</v>
          </cell>
        </row>
        <row r="32">
          <cell r="B32">
            <v>6898</v>
          </cell>
        </row>
        <row r="33">
          <cell r="B33">
            <v>5317</v>
          </cell>
        </row>
        <row r="34">
          <cell r="B34">
            <v>2366</v>
          </cell>
        </row>
        <row r="35">
          <cell r="B35">
            <v>36855</v>
          </cell>
        </row>
        <row r="38">
          <cell r="B38">
            <v>5</v>
          </cell>
        </row>
        <row r="39">
          <cell r="B39">
            <v>4946</v>
          </cell>
        </row>
        <row r="40">
          <cell r="B40">
            <v>-5203</v>
          </cell>
        </row>
        <row r="41">
          <cell r="B41">
            <v>-316</v>
          </cell>
        </row>
        <row r="42">
          <cell r="B42">
            <v>-568</v>
          </cell>
        </row>
        <row r="43">
          <cell r="B43">
            <v>52635</v>
          </cell>
        </row>
        <row r="46">
          <cell r="B46">
            <v>5040</v>
          </cell>
        </row>
        <row r="49">
          <cell r="B49">
            <v>3242</v>
          </cell>
        </row>
      </sheetData>
      <sheetData sheetId="4"/>
      <sheetData sheetId="5">
        <row r="3">
          <cell r="C3">
            <v>2804</v>
          </cell>
          <cell r="D3">
            <v>4307</v>
          </cell>
        </row>
        <row r="5">
          <cell r="C5">
            <v>-2736</v>
          </cell>
          <cell r="D5">
            <v>-4563</v>
          </cell>
        </row>
        <row r="6">
          <cell r="C6">
            <v>860</v>
          </cell>
          <cell r="D6">
            <v>831</v>
          </cell>
        </row>
        <row r="7">
          <cell r="C7">
            <v>-2590</v>
          </cell>
          <cell r="D7">
            <v>-4093</v>
          </cell>
        </row>
        <row r="8">
          <cell r="C8">
            <v>2816</v>
          </cell>
          <cell r="D8">
            <v>4714</v>
          </cell>
        </row>
        <row r="9">
          <cell r="C9">
            <v>72</v>
          </cell>
          <cell r="D9">
            <v>235</v>
          </cell>
        </row>
        <row r="10">
          <cell r="C10">
            <v>0</v>
          </cell>
          <cell r="D10">
            <v>-203</v>
          </cell>
        </row>
        <row r="11">
          <cell r="C11">
            <v>-5</v>
          </cell>
          <cell r="D11">
            <v>0</v>
          </cell>
        </row>
        <row r="12">
          <cell r="C12">
            <v>-1583</v>
          </cell>
          <cell r="D12">
            <v>-3079</v>
          </cell>
        </row>
        <row r="14">
          <cell r="C14">
            <v>2149</v>
          </cell>
          <cell r="D14">
            <v>2160</v>
          </cell>
        </row>
        <row r="15">
          <cell r="C15">
            <v>-2442</v>
          </cell>
          <cell r="D15">
            <v>-1813</v>
          </cell>
        </row>
        <row r="16">
          <cell r="C16">
            <v>-48</v>
          </cell>
          <cell r="D16">
            <v>-66</v>
          </cell>
        </row>
        <row r="17">
          <cell r="C17">
            <v>-837</v>
          </cell>
          <cell r="D17">
            <v>-1372</v>
          </cell>
        </row>
        <row r="18">
          <cell r="C18">
            <v>-140</v>
          </cell>
          <cell r="D18">
            <v>-150</v>
          </cell>
        </row>
        <row r="19">
          <cell r="C19">
            <v>13</v>
          </cell>
          <cell r="D19">
            <v>21</v>
          </cell>
        </row>
        <row r="20">
          <cell r="C20">
            <v>-1305</v>
          </cell>
          <cell r="D20">
            <v>-1220</v>
          </cell>
        </row>
        <row r="21">
          <cell r="C21">
            <v>-84</v>
          </cell>
          <cell r="D21">
            <v>8</v>
          </cell>
        </row>
        <row r="23">
          <cell r="C23">
            <v>314</v>
          </cell>
          <cell r="D23">
            <v>444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0">
          <cell r="D40">
            <v>10938</v>
          </cell>
          <cell r="E40">
            <v>10611</v>
          </cell>
          <cell r="H40">
            <v>44541</v>
          </cell>
          <cell r="I40">
            <v>42622</v>
          </cell>
        </row>
        <row r="44">
          <cell r="D44">
            <v>10159</v>
          </cell>
          <cell r="E44">
            <v>9670</v>
          </cell>
          <cell r="H44">
            <v>41092</v>
          </cell>
          <cell r="I44">
            <v>37657</v>
          </cell>
        </row>
        <row r="47">
          <cell r="D47">
            <v>779</v>
          </cell>
          <cell r="E47">
            <v>941</v>
          </cell>
          <cell r="H47">
            <v>3449</v>
          </cell>
          <cell r="I47">
            <v>4965</v>
          </cell>
        </row>
        <row r="50">
          <cell r="D50">
            <v>634</v>
          </cell>
          <cell r="E50">
            <v>722</v>
          </cell>
          <cell r="H50">
            <v>2790</v>
          </cell>
          <cell r="I50">
            <v>4151</v>
          </cell>
        </row>
        <row r="57">
          <cell r="D57">
            <v>481</v>
          </cell>
          <cell r="E57">
            <v>444</v>
          </cell>
          <cell r="H57">
            <v>2117</v>
          </cell>
          <cell r="I57">
            <v>2592</v>
          </cell>
        </row>
        <row r="61">
          <cell r="D61">
            <v>1.04</v>
          </cell>
          <cell r="E61">
            <v>0.93</v>
          </cell>
          <cell r="H61">
            <v>4.55</v>
          </cell>
          <cell r="I61">
            <v>5.27</v>
          </cell>
        </row>
        <row r="245">
          <cell r="C245">
            <v>9962</v>
          </cell>
          <cell r="D245">
            <v>9685</v>
          </cell>
        </row>
        <row r="246">
          <cell r="C246">
            <v>264</v>
          </cell>
          <cell r="D246">
            <v>257</v>
          </cell>
        </row>
        <row r="247">
          <cell r="C247">
            <v>712</v>
          </cell>
          <cell r="D247">
            <v>669</v>
          </cell>
        </row>
        <row r="248">
          <cell r="C248">
            <v>10938</v>
          </cell>
          <cell r="D248">
            <v>10611</v>
          </cell>
        </row>
        <row r="250">
          <cell r="C250">
            <v>1953</v>
          </cell>
          <cell r="D250">
            <v>1646</v>
          </cell>
        </row>
        <row r="251">
          <cell r="C251">
            <v>3011</v>
          </cell>
          <cell r="D251">
            <v>3028</v>
          </cell>
        </row>
        <row r="253">
          <cell r="C253">
            <v>474</v>
          </cell>
          <cell r="D253">
            <v>383</v>
          </cell>
        </row>
        <row r="254">
          <cell r="C254">
            <v>1336</v>
          </cell>
          <cell r="D254">
            <v>1315</v>
          </cell>
        </row>
        <row r="256">
          <cell r="C256">
            <v>550</v>
          </cell>
          <cell r="D256">
            <v>484</v>
          </cell>
        </row>
        <row r="257">
          <cell r="C257">
            <v>452</v>
          </cell>
          <cell r="D257">
            <v>443</v>
          </cell>
        </row>
        <row r="259">
          <cell r="C259">
            <v>343</v>
          </cell>
          <cell r="D259">
            <v>305</v>
          </cell>
        </row>
        <row r="260">
          <cell r="C260">
            <v>383</v>
          </cell>
          <cell r="D260">
            <v>383</v>
          </cell>
        </row>
        <row r="261">
          <cell r="C261">
            <v>458</v>
          </cell>
          <cell r="D261">
            <v>447</v>
          </cell>
        </row>
        <row r="262">
          <cell r="C262">
            <v>225</v>
          </cell>
          <cell r="D262">
            <v>280</v>
          </cell>
        </row>
        <row r="263">
          <cell r="C263">
            <v>1204</v>
          </cell>
          <cell r="D263">
            <v>1259</v>
          </cell>
        </row>
        <row r="264">
          <cell r="C264">
            <v>10389</v>
          </cell>
          <cell r="D264">
            <v>9973</v>
          </cell>
        </row>
        <row r="265">
          <cell r="C265">
            <v>549</v>
          </cell>
          <cell r="D265">
            <v>638</v>
          </cell>
        </row>
        <row r="268">
          <cell r="C268">
            <v>34</v>
          </cell>
          <cell r="D268">
            <v>24</v>
          </cell>
        </row>
        <row r="269">
          <cell r="C269">
            <v>-261</v>
          </cell>
          <cell r="D269">
            <v>-266</v>
          </cell>
        </row>
        <row r="270">
          <cell r="C270">
            <v>65</v>
          </cell>
          <cell r="D270">
            <v>12</v>
          </cell>
        </row>
        <row r="272">
          <cell r="C272">
            <v>-162</v>
          </cell>
          <cell r="D272">
            <v>-230</v>
          </cell>
        </row>
        <row r="273">
          <cell r="C273">
            <v>387</v>
          </cell>
          <cell r="D273">
            <v>408</v>
          </cell>
        </row>
        <row r="274">
          <cell r="C274">
            <v>68</v>
          </cell>
          <cell r="D274">
            <v>991</v>
          </cell>
        </row>
        <row r="275">
          <cell r="C275">
            <v>319</v>
          </cell>
          <cell r="D275">
            <v>-583</v>
          </cell>
        </row>
        <row r="278">
          <cell r="C278">
            <v>0.69</v>
          </cell>
          <cell r="D278">
            <v>-1.22</v>
          </cell>
        </row>
        <row r="279">
          <cell r="C279">
            <v>0.69</v>
          </cell>
          <cell r="D279">
            <v>-1.22</v>
          </cell>
        </row>
        <row r="283">
          <cell r="C283">
            <v>460589</v>
          </cell>
          <cell r="D283">
            <v>477165</v>
          </cell>
        </row>
        <row r="284">
          <cell r="C284">
            <v>461915</v>
          </cell>
          <cell r="D284">
            <v>477165</v>
          </cell>
        </row>
        <row r="305">
          <cell r="B305">
            <v>49143</v>
          </cell>
          <cell r="C305">
            <v>48951</v>
          </cell>
          <cell r="F305">
            <v>205451</v>
          </cell>
          <cell r="G305">
            <v>201351</v>
          </cell>
        </row>
        <row r="307">
          <cell r="B307">
            <v>59852</v>
          </cell>
          <cell r="C307">
            <v>59140</v>
          </cell>
          <cell r="F307">
            <v>248562</v>
          </cell>
          <cell r="G307">
            <v>243806</v>
          </cell>
        </row>
        <row r="308">
          <cell r="B308">
            <v>82.1</v>
          </cell>
          <cell r="C308">
            <v>82.8</v>
          </cell>
          <cell r="F308">
            <v>82.7</v>
          </cell>
          <cell r="G308">
            <v>82.6</v>
          </cell>
        </row>
        <row r="310">
          <cell r="B310">
            <v>36581</v>
          </cell>
          <cell r="C310">
            <v>36035</v>
          </cell>
          <cell r="F310">
            <v>148228</v>
          </cell>
          <cell r="G310">
            <v>144922</v>
          </cell>
        </row>
        <row r="311">
          <cell r="B311">
            <v>273</v>
          </cell>
          <cell r="C311">
            <v>265</v>
          </cell>
          <cell r="F311">
            <v>1098</v>
          </cell>
          <cell r="G311">
            <v>1081</v>
          </cell>
        </row>
        <row r="312">
          <cell r="B312">
            <v>956</v>
          </cell>
          <cell r="C312">
            <v>948</v>
          </cell>
          <cell r="F312">
            <v>956</v>
          </cell>
          <cell r="G312">
            <v>948</v>
          </cell>
        </row>
        <row r="313">
          <cell r="B313">
            <v>846</v>
          </cell>
          <cell r="C313">
            <v>833</v>
          </cell>
          <cell r="F313">
            <v>3493</v>
          </cell>
          <cell r="G313">
            <v>3441</v>
          </cell>
        </row>
        <row r="314">
          <cell r="B314">
            <v>1198</v>
          </cell>
          <cell r="C314">
            <v>1226</v>
          </cell>
          <cell r="F314">
            <v>1236</v>
          </cell>
          <cell r="G314">
            <v>1240</v>
          </cell>
        </row>
        <row r="316">
          <cell r="B316">
            <v>877</v>
          </cell>
          <cell r="C316">
            <v>866</v>
          </cell>
          <cell r="F316">
            <v>3644</v>
          </cell>
          <cell r="G316">
            <v>3579</v>
          </cell>
        </row>
        <row r="319">
          <cell r="B319">
            <v>2.23</v>
          </cell>
          <cell r="C319">
            <v>1.9</v>
          </cell>
          <cell r="F319">
            <v>2.21</v>
          </cell>
          <cell r="G319">
            <v>1.71</v>
          </cell>
        </row>
        <row r="321">
          <cell r="B321">
            <v>102900</v>
          </cell>
          <cell r="C321">
            <v>103100</v>
          </cell>
          <cell r="F321">
            <v>102900</v>
          </cell>
          <cell r="G321">
            <v>103100</v>
          </cell>
        </row>
        <row r="325">
          <cell r="B325">
            <v>6427</v>
          </cell>
          <cell r="C325">
            <v>6376</v>
          </cell>
          <cell r="F325">
            <v>25709</v>
          </cell>
          <cell r="G325">
            <v>24995</v>
          </cell>
        </row>
        <row r="326">
          <cell r="B326">
            <v>8446</v>
          </cell>
          <cell r="C326">
            <v>8215</v>
          </cell>
          <cell r="F326">
            <v>33492</v>
          </cell>
          <cell r="G326">
            <v>32687</v>
          </cell>
        </row>
        <row r="327">
          <cell r="B327">
            <v>76.099999999999994</v>
          </cell>
          <cell r="C327">
            <v>77.599999999999994</v>
          </cell>
          <cell r="F327">
            <v>76.8</v>
          </cell>
          <cell r="G327">
            <v>76.5</v>
          </cell>
        </row>
        <row r="329">
          <cell r="B329">
            <v>13902</v>
          </cell>
          <cell r="C329">
            <v>13990</v>
          </cell>
          <cell r="F329">
            <v>55517</v>
          </cell>
          <cell r="G329">
            <v>54718</v>
          </cell>
        </row>
        <row r="330">
          <cell r="B330">
            <v>595</v>
          </cell>
          <cell r="C330">
            <v>597</v>
          </cell>
          <cell r="F330">
            <v>595</v>
          </cell>
          <cell r="G330">
            <v>597</v>
          </cell>
        </row>
        <row r="333">
          <cell r="B333">
            <v>203</v>
          </cell>
          <cell r="C333">
            <v>194</v>
          </cell>
          <cell r="F333">
            <v>803</v>
          </cell>
          <cell r="G333">
            <v>773</v>
          </cell>
        </row>
        <row r="336">
          <cell r="B336">
            <v>2.34</v>
          </cell>
          <cell r="C336">
            <v>1.97</v>
          </cell>
          <cell r="F336">
            <v>2.2999999999999998</v>
          </cell>
          <cell r="G336">
            <v>1.79</v>
          </cell>
        </row>
        <row r="339">
          <cell r="B339">
            <v>26000</v>
          </cell>
          <cell r="C339">
            <v>23500</v>
          </cell>
          <cell r="F339">
            <v>26000</v>
          </cell>
          <cell r="G339">
            <v>23500</v>
          </cell>
        </row>
        <row r="342">
          <cell r="B342">
            <v>55570</v>
          </cell>
          <cell r="C342">
            <v>55327</v>
          </cell>
          <cell r="F342">
            <v>231160</v>
          </cell>
          <cell r="G342">
            <v>226346</v>
          </cell>
        </row>
        <row r="343">
          <cell r="B343">
            <v>68298</v>
          </cell>
          <cell r="C343">
            <v>67355</v>
          </cell>
          <cell r="F343">
            <v>282054</v>
          </cell>
          <cell r="G343">
            <v>276493</v>
          </cell>
        </row>
        <row r="344">
          <cell r="B344">
            <v>81.400000000000006</v>
          </cell>
          <cell r="C344">
            <v>82.1</v>
          </cell>
          <cell r="F344">
            <v>82</v>
          </cell>
          <cell r="G344">
            <v>81.900000000000006</v>
          </cell>
        </row>
        <row r="345">
          <cell r="B345">
            <v>17.93</v>
          </cell>
          <cell r="C345">
            <v>17.510000000000002</v>
          </cell>
          <cell r="F345">
            <v>17.600000000000001</v>
          </cell>
          <cell r="G345">
            <v>17.29</v>
          </cell>
        </row>
        <row r="347">
          <cell r="B347">
            <v>14.59</v>
          </cell>
          <cell r="C347">
            <v>14.38</v>
          </cell>
          <cell r="F347">
            <v>14.42</v>
          </cell>
          <cell r="G347">
            <v>14.15</v>
          </cell>
        </row>
        <row r="348">
          <cell r="B348">
            <v>16.02</v>
          </cell>
          <cell r="C348">
            <v>15.75</v>
          </cell>
          <cell r="F348">
            <v>15.79</v>
          </cell>
          <cell r="G348">
            <v>15.42</v>
          </cell>
        </row>
        <row r="349">
          <cell r="B349">
            <v>710</v>
          </cell>
          <cell r="C349">
            <v>752</v>
          </cell>
          <cell r="F349">
            <v>2908</v>
          </cell>
          <cell r="G349">
            <v>2788</v>
          </cell>
        </row>
        <row r="350">
          <cell r="B350">
            <v>37.25</v>
          </cell>
          <cell r="C350">
            <v>34.130000000000003</v>
          </cell>
          <cell r="F350">
            <v>34.81</v>
          </cell>
          <cell r="G350">
            <v>31.91</v>
          </cell>
        </row>
        <row r="352">
          <cell r="B352">
            <v>50483</v>
          </cell>
          <cell r="C352">
            <v>50025</v>
          </cell>
          <cell r="F352">
            <v>203745</v>
          </cell>
          <cell r="G352">
            <v>199640</v>
          </cell>
        </row>
        <row r="353">
          <cell r="B353">
            <v>1551</v>
          </cell>
          <cell r="C353">
            <v>1545</v>
          </cell>
          <cell r="F353">
            <v>1551</v>
          </cell>
          <cell r="G353">
            <v>1545</v>
          </cell>
        </row>
        <row r="355">
          <cell r="B355">
            <v>1080</v>
          </cell>
          <cell r="C355">
            <v>1060</v>
          </cell>
          <cell r="F355">
            <v>4447</v>
          </cell>
          <cell r="G355">
            <v>4352</v>
          </cell>
        </row>
        <row r="358">
          <cell r="B358">
            <v>2.25</v>
          </cell>
          <cell r="C358">
            <v>1.91</v>
          </cell>
          <cell r="F358">
            <v>2.23</v>
          </cell>
          <cell r="G358">
            <v>1.73</v>
          </cell>
        </row>
        <row r="360">
          <cell r="B360">
            <v>128900</v>
          </cell>
          <cell r="C360">
            <v>126600</v>
          </cell>
          <cell r="F360">
            <v>128900</v>
          </cell>
          <cell r="G360">
            <v>126600</v>
          </cell>
        </row>
        <row r="361">
          <cell r="B361">
            <v>15.21</v>
          </cell>
          <cell r="C361">
            <v>14.81</v>
          </cell>
          <cell r="F361">
            <v>14.85</v>
          </cell>
          <cell r="G361">
            <v>13.88</v>
          </cell>
        </row>
        <row r="364">
          <cell r="B364">
            <v>14.88</v>
          </cell>
          <cell r="C364">
            <v>14.35</v>
          </cell>
          <cell r="F364">
            <v>14.57</v>
          </cell>
          <cell r="G364">
            <v>13.62</v>
          </cell>
        </row>
        <row r="367">
          <cell r="B367">
            <v>11.32</v>
          </cell>
          <cell r="C367">
            <v>11.34</v>
          </cell>
          <cell r="F367">
            <v>11.06</v>
          </cell>
          <cell r="G367">
            <v>10.9</v>
          </cell>
        </row>
        <row r="380">
          <cell r="C380">
            <v>38096</v>
          </cell>
          <cell r="D380">
            <v>37901</v>
          </cell>
          <cell r="G380">
            <v>154746</v>
          </cell>
          <cell r="H380">
            <v>151862</v>
          </cell>
        </row>
        <row r="381">
          <cell r="C381">
            <v>45932</v>
          </cell>
          <cell r="D381">
            <v>44744</v>
          </cell>
          <cell r="G381">
            <v>184901</v>
          </cell>
          <cell r="H381">
            <v>181862</v>
          </cell>
        </row>
        <row r="382">
          <cell r="C382">
            <v>82.9</v>
          </cell>
          <cell r="D382">
            <v>84.7</v>
          </cell>
          <cell r="G382">
            <v>83.7</v>
          </cell>
          <cell r="H382">
            <v>83.5</v>
          </cell>
        </row>
        <row r="384">
          <cell r="C384">
            <v>7502</v>
          </cell>
          <cell r="D384">
            <v>7228</v>
          </cell>
          <cell r="G384">
            <v>29573</v>
          </cell>
          <cell r="H384">
            <v>28749</v>
          </cell>
        </row>
        <row r="386">
          <cell r="C386">
            <v>19.690000000000001</v>
          </cell>
          <cell r="D386">
            <v>19.07</v>
          </cell>
          <cell r="G386">
            <v>19.11</v>
          </cell>
          <cell r="H386">
            <v>18.93</v>
          </cell>
        </row>
        <row r="387">
          <cell r="C387">
            <v>16.329999999999998</v>
          </cell>
          <cell r="D387">
            <v>16.149999999999999</v>
          </cell>
          <cell r="G387">
            <v>15.99</v>
          </cell>
          <cell r="H387">
            <v>15.81</v>
          </cell>
        </row>
        <row r="390">
          <cell r="C390">
            <v>7229</v>
          </cell>
          <cell r="D390">
            <v>7281</v>
          </cell>
          <cell r="G390">
            <v>30628</v>
          </cell>
          <cell r="H390">
            <v>29725</v>
          </cell>
        </row>
        <row r="391">
          <cell r="C391">
            <v>9085</v>
          </cell>
          <cell r="D391">
            <v>9269</v>
          </cell>
          <cell r="G391">
            <v>38493</v>
          </cell>
          <cell r="H391">
            <v>37702</v>
          </cell>
        </row>
        <row r="392">
          <cell r="C392">
            <v>79.599999999999994</v>
          </cell>
          <cell r="D392">
            <v>78.5</v>
          </cell>
          <cell r="G392">
            <v>79.599999999999994</v>
          </cell>
          <cell r="H392">
            <v>78.8</v>
          </cell>
        </row>
        <row r="394">
          <cell r="C394">
            <v>1186</v>
          </cell>
          <cell r="D394">
            <v>1218</v>
          </cell>
          <cell r="G394">
            <v>5125</v>
          </cell>
          <cell r="H394">
            <v>4840</v>
          </cell>
        </row>
        <row r="395">
          <cell r="C395">
            <v>16.41</v>
          </cell>
          <cell r="D395">
            <v>16.73</v>
          </cell>
          <cell r="G395">
            <v>16.73</v>
          </cell>
          <cell r="H395">
            <v>16.28</v>
          </cell>
        </row>
        <row r="396">
          <cell r="C396">
            <v>13.06</v>
          </cell>
          <cell r="D396">
            <v>13.14</v>
          </cell>
          <cell r="G396">
            <v>13.31</v>
          </cell>
          <cell r="H396">
            <v>12.84</v>
          </cell>
        </row>
        <row r="398">
          <cell r="C398">
            <v>6652</v>
          </cell>
          <cell r="D398">
            <v>6262</v>
          </cell>
          <cell r="G398">
            <v>30282</v>
          </cell>
          <cell r="H398">
            <v>29338</v>
          </cell>
        </row>
        <row r="399">
          <cell r="C399">
            <v>8624</v>
          </cell>
          <cell r="D399">
            <v>8558</v>
          </cell>
          <cell r="G399">
            <v>39178</v>
          </cell>
          <cell r="H399">
            <v>38112</v>
          </cell>
        </row>
        <row r="400">
          <cell r="C400">
            <v>77.099999999999994</v>
          </cell>
          <cell r="D400">
            <v>73.2</v>
          </cell>
          <cell r="G400">
            <v>77.3</v>
          </cell>
          <cell r="H400">
            <v>77</v>
          </cell>
        </row>
        <row r="402">
          <cell r="C402">
            <v>905</v>
          </cell>
          <cell r="D402">
            <v>858</v>
          </cell>
          <cell r="G402">
            <v>4376</v>
          </cell>
          <cell r="H402">
            <v>4028</v>
          </cell>
        </row>
        <row r="403">
          <cell r="C403">
            <v>13.61</v>
          </cell>
          <cell r="D403">
            <v>13.71</v>
          </cell>
          <cell r="G403">
            <v>14.45</v>
          </cell>
          <cell r="H403">
            <v>13.73</v>
          </cell>
        </row>
        <row r="404">
          <cell r="C404">
            <v>10.5</v>
          </cell>
          <cell r="D404">
            <v>10.029999999999999</v>
          </cell>
          <cell r="G404">
            <v>11.17</v>
          </cell>
          <cell r="H404">
            <v>10.57</v>
          </cell>
        </row>
        <row r="406">
          <cell r="C406">
            <v>3593</v>
          </cell>
          <cell r="D406">
            <v>3883</v>
          </cell>
          <cell r="G406">
            <v>15504</v>
          </cell>
          <cell r="H406">
            <v>15421</v>
          </cell>
        </row>
        <row r="407">
          <cell r="C407">
            <v>4657</v>
          </cell>
          <cell r="D407">
            <v>4784</v>
          </cell>
          <cell r="G407">
            <v>19482</v>
          </cell>
          <cell r="H407">
            <v>18817</v>
          </cell>
        </row>
        <row r="408">
          <cell r="C408">
            <v>77.099999999999994</v>
          </cell>
          <cell r="D408">
            <v>81.2</v>
          </cell>
          <cell r="G408">
            <v>79.599999999999994</v>
          </cell>
          <cell r="H408">
            <v>82</v>
          </cell>
        </row>
        <row r="410">
          <cell r="C410">
            <v>369</v>
          </cell>
          <cell r="D410">
            <v>381</v>
          </cell>
          <cell r="G410">
            <v>1602</v>
          </cell>
          <cell r="H410">
            <v>1514</v>
          </cell>
        </row>
        <row r="411">
          <cell r="C411">
            <v>10.26</v>
          </cell>
          <cell r="D411">
            <v>9.81</v>
          </cell>
          <cell r="G411">
            <v>10.33</v>
          </cell>
          <cell r="H411">
            <v>9.82</v>
          </cell>
        </row>
        <row r="413">
          <cell r="C413">
            <v>7.92</v>
          </cell>
          <cell r="D413">
            <v>7.96</v>
          </cell>
          <cell r="G413">
            <v>8.2200000000000006</v>
          </cell>
          <cell r="H413">
            <v>8.0500000000000007</v>
          </cell>
        </row>
        <row r="415">
          <cell r="C415">
            <v>17474</v>
          </cell>
          <cell r="D415">
            <v>17426</v>
          </cell>
          <cell r="G415">
            <v>76414</v>
          </cell>
          <cell r="H415">
            <v>74484</v>
          </cell>
        </row>
        <row r="416">
          <cell r="C416">
            <v>22366</v>
          </cell>
          <cell r="D416">
            <v>22611</v>
          </cell>
          <cell r="G416">
            <v>97153</v>
          </cell>
          <cell r="H416">
            <v>94631</v>
          </cell>
        </row>
        <row r="417">
          <cell r="C417">
            <v>78.099999999999994</v>
          </cell>
          <cell r="D417">
            <v>77.099999999999994</v>
          </cell>
          <cell r="G417">
            <v>78.7</v>
          </cell>
          <cell r="H417">
            <v>78.7</v>
          </cell>
        </row>
        <row r="419">
          <cell r="C419">
            <v>2460</v>
          </cell>
          <cell r="D419">
            <v>2457</v>
          </cell>
          <cell r="G419">
            <v>11103</v>
          </cell>
          <cell r="H419">
            <v>10382</v>
          </cell>
        </row>
        <row r="420">
          <cell r="C420">
            <v>14.08</v>
          </cell>
          <cell r="D420">
            <v>14.1</v>
          </cell>
          <cell r="G420">
            <v>14.53</v>
          </cell>
          <cell r="H420">
            <v>13.94</v>
          </cell>
        </row>
        <row r="421">
          <cell r="C421">
            <v>11</v>
          </cell>
          <cell r="D421">
            <v>10.87</v>
          </cell>
          <cell r="G421">
            <v>11.43</v>
          </cell>
          <cell r="H421">
            <v>10.97</v>
          </cell>
        </row>
        <row r="674">
          <cell r="C674">
            <v>4042</v>
          </cell>
        </row>
        <row r="675">
          <cell r="C675">
            <v>3121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Condensed Consolidated Statemen"/>
      <sheetName val="IS"/>
      <sheetName val="BS"/>
      <sheetName val="Condensed Consolidated Balanc_2"/>
      <sheetName val="CF"/>
      <sheetName val="Condensed Consolidated Statem_4"/>
      <sheetName val="Consolidated Statements of Stoc"/>
      <sheetName val="Consolidated Statements of St_2"/>
      <sheetName val="Basis of Presentation and Recen"/>
      <sheetName val="Special Items, Net"/>
      <sheetName val="Earnings Per Common Share"/>
      <sheetName val="Share Repurchase Programs and D"/>
      <sheetName val="Revenue Recognition"/>
      <sheetName val="Debt"/>
      <sheetName val="Income Taxes"/>
      <sheetName val="Fair Value Measurements"/>
      <sheetName val="Employee Benefit Plans"/>
      <sheetName val="Accumulated Other Comprehensive"/>
      <sheetName val="Regional Expenses"/>
      <sheetName val="Transactions with Related Parti"/>
      <sheetName val="Legal Proceedings"/>
      <sheetName val="Subsequent Events"/>
      <sheetName val="Basis of Presentation and Rec_2"/>
      <sheetName val="Special Items, Net (Tables)"/>
      <sheetName val="Earnings Per Common Share (Tabl"/>
      <sheetName val="Revenue Recognition (Tables)"/>
      <sheetName val="Debt (Tables)"/>
      <sheetName val="Fair Value Measurements (Tables"/>
      <sheetName val="Employee Benefit Plans (Tables)"/>
      <sheetName val="Accumulated Other Comprehensi_2"/>
      <sheetName val="Regional Expenses (Tables)"/>
      <sheetName val="Transactions with Related Par_2"/>
      <sheetName val="Basis of Presentation and Rec_3"/>
      <sheetName val="Special Items, Net (Details)"/>
      <sheetName val="Earnings Per Common Share (Deta"/>
      <sheetName val="Share Repurchase Programs and_2"/>
      <sheetName val="Share Repurchase Programs and_3"/>
      <sheetName val="Revenue Recognition - Significa"/>
      <sheetName val="Revenue Recognition - Passenger"/>
      <sheetName val="Revenue Recognition - Narrative"/>
      <sheetName val="Revenue Recognition - Signifi_2"/>
      <sheetName val="Revenue Recognition - Changes i"/>
      <sheetName val="Debt - Components of Long-Term "/>
      <sheetName val="Debt - Summary of Availability "/>
      <sheetName val="Debt - Components of Long-Ter_2"/>
      <sheetName val="Income Taxes (Details)"/>
      <sheetName val="Fair Value Measurements - Summa"/>
      <sheetName val="Fair Value Measurements - Sched"/>
      <sheetName val="Employee Benefit Plans - Compon"/>
      <sheetName val="Employee Benefit Plans - Additi"/>
      <sheetName val="Accumulated Other Comprehensi_3"/>
      <sheetName val="Accumulated Other Comprehensi_4"/>
      <sheetName val="Regional Expenses (Details)"/>
      <sheetName val="Transactions with Related Par_3"/>
      <sheetName val="Legal Proceedings (Details)"/>
      <sheetName val="Subsequent Events (Details)"/>
      <sheetName val="Uncategorized Items - aal-20190"/>
    </sheetNames>
    <sheetDataSet>
      <sheetData sheetId="0"/>
      <sheetData sheetId="1"/>
      <sheetData sheetId="2">
        <row r="4">
          <cell r="B4">
            <v>10584</v>
          </cell>
          <cell r="C4">
            <v>10401</v>
          </cell>
        </row>
        <row r="6">
          <cell r="B6">
            <v>1726</v>
          </cell>
          <cell r="C6">
            <v>1763</v>
          </cell>
        </row>
        <row r="7">
          <cell r="B7">
            <v>3090</v>
          </cell>
          <cell r="C7">
            <v>3017</v>
          </cell>
        </row>
        <row r="8">
          <cell r="B8">
            <v>1763</v>
          </cell>
          <cell r="C8">
            <v>1698</v>
          </cell>
        </row>
        <row r="9">
          <cell r="B9">
            <v>561</v>
          </cell>
          <cell r="C9">
            <v>469</v>
          </cell>
        </row>
        <row r="10">
          <cell r="B10">
            <v>503</v>
          </cell>
          <cell r="C10">
            <v>467</v>
          </cell>
        </row>
        <row r="11">
          <cell r="B11">
            <v>327</v>
          </cell>
          <cell r="C11">
            <v>309</v>
          </cell>
        </row>
        <row r="12">
          <cell r="B12">
            <v>370</v>
          </cell>
          <cell r="C12">
            <v>356</v>
          </cell>
        </row>
        <row r="13">
          <cell r="B13">
            <v>480</v>
          </cell>
          <cell r="C13">
            <v>440</v>
          </cell>
        </row>
        <row r="14">
          <cell r="B14">
            <v>138</v>
          </cell>
          <cell r="C14">
            <v>225</v>
          </cell>
        </row>
        <row r="15">
          <cell r="B15">
            <v>1251</v>
          </cell>
          <cell r="C15">
            <v>1261</v>
          </cell>
        </row>
        <row r="16">
          <cell r="B16">
            <v>10209</v>
          </cell>
          <cell r="C16">
            <v>10005</v>
          </cell>
        </row>
        <row r="17">
          <cell r="B17">
            <v>375</v>
          </cell>
          <cell r="C17">
            <v>396</v>
          </cell>
        </row>
        <row r="19">
          <cell r="B19">
            <v>33</v>
          </cell>
          <cell r="C19">
            <v>25</v>
          </cell>
        </row>
        <row r="20">
          <cell r="B20">
            <v>-271</v>
          </cell>
          <cell r="C20">
            <v>-262</v>
          </cell>
        </row>
        <row r="21">
          <cell r="B21">
            <v>108</v>
          </cell>
          <cell r="C21">
            <v>79</v>
          </cell>
        </row>
        <row r="23">
          <cell r="B23">
            <v>245</v>
          </cell>
          <cell r="C23">
            <v>238</v>
          </cell>
        </row>
        <row r="24">
          <cell r="B24">
            <v>60</v>
          </cell>
          <cell r="C24">
            <v>79</v>
          </cell>
        </row>
        <row r="25">
          <cell r="B25">
            <v>185</v>
          </cell>
          <cell r="C25">
            <v>159</v>
          </cell>
        </row>
        <row r="27">
          <cell r="B27">
            <v>0.41</v>
          </cell>
          <cell r="C27">
            <v>0.34</v>
          </cell>
        </row>
        <row r="28">
          <cell r="B28">
            <v>0.41</v>
          </cell>
          <cell r="C28">
            <v>0.34</v>
          </cell>
        </row>
        <row r="30">
          <cell r="B30">
            <v>451951</v>
          </cell>
          <cell r="C30">
            <v>472297</v>
          </cell>
        </row>
        <row r="31">
          <cell r="B31">
            <v>453429</v>
          </cell>
          <cell r="C31">
            <v>474598</v>
          </cell>
        </row>
        <row r="35">
          <cell r="B35">
            <v>9658</v>
          </cell>
          <cell r="C35">
            <v>9480</v>
          </cell>
        </row>
        <row r="38">
          <cell r="B38">
            <v>218</v>
          </cell>
          <cell r="C38">
            <v>227</v>
          </cell>
        </row>
        <row r="41">
          <cell r="B41">
            <v>708</v>
          </cell>
          <cell r="C41">
            <v>694</v>
          </cell>
        </row>
      </sheetData>
      <sheetData sheetId="3">
        <row r="3">
          <cell r="B3">
            <v>337</v>
          </cell>
          <cell r="C3">
            <v>275</v>
          </cell>
        </row>
        <row r="4">
          <cell r="B4">
            <v>4012</v>
          </cell>
          <cell r="C4">
            <v>4485</v>
          </cell>
        </row>
        <row r="5">
          <cell r="B5">
            <v>156</v>
          </cell>
          <cell r="C5">
            <v>154</v>
          </cell>
        </row>
        <row r="6">
          <cell r="B6">
            <v>1876</v>
          </cell>
          <cell r="C6">
            <v>1706</v>
          </cell>
        </row>
        <row r="7">
          <cell r="B7">
            <v>1666</v>
          </cell>
          <cell r="C7">
            <v>1522</v>
          </cell>
        </row>
        <row r="8">
          <cell r="B8">
            <v>607</v>
          </cell>
          <cell r="C8">
            <v>495</v>
          </cell>
        </row>
        <row r="9">
          <cell r="B9">
            <v>8654</v>
          </cell>
          <cell r="C9">
            <v>8637</v>
          </cell>
        </row>
        <row r="11">
          <cell r="B11">
            <v>42013</v>
          </cell>
          <cell r="C11">
            <v>41499</v>
          </cell>
        </row>
        <row r="12">
          <cell r="B12">
            <v>8932</v>
          </cell>
          <cell r="C12">
            <v>8764</v>
          </cell>
        </row>
        <row r="13">
          <cell r="B13">
            <v>1211</v>
          </cell>
          <cell r="C13">
            <v>1278</v>
          </cell>
        </row>
        <row r="14">
          <cell r="B14">
            <v>52156</v>
          </cell>
          <cell r="C14">
            <v>51541</v>
          </cell>
        </row>
        <row r="15">
          <cell r="B15">
            <v>-17746</v>
          </cell>
          <cell r="C15">
            <v>-17443</v>
          </cell>
        </row>
        <row r="16">
          <cell r="B16">
            <v>34410</v>
          </cell>
          <cell r="C16">
            <v>34098</v>
          </cell>
        </row>
        <row r="17">
          <cell r="B17">
            <v>9124</v>
          </cell>
          <cell r="C17">
            <v>9151</v>
          </cell>
        </row>
        <row r="19">
          <cell r="B19">
            <v>4091</v>
          </cell>
          <cell r="C19">
            <v>4091</v>
          </cell>
        </row>
        <row r="20">
          <cell r="B20">
            <v>2115</v>
          </cell>
          <cell r="C20">
            <v>2137</v>
          </cell>
        </row>
        <row r="21">
          <cell r="B21">
            <v>1007</v>
          </cell>
          <cell r="C21">
            <v>1145</v>
          </cell>
        </row>
        <row r="22">
          <cell r="B22">
            <v>1386</v>
          </cell>
          <cell r="C22">
            <v>1321</v>
          </cell>
        </row>
        <row r="23">
          <cell r="B23">
            <v>8599</v>
          </cell>
          <cell r="C23">
            <v>8694</v>
          </cell>
        </row>
        <row r="24">
          <cell r="B24">
            <v>60787</v>
          </cell>
          <cell r="C24">
            <v>60580</v>
          </cell>
        </row>
        <row r="26">
          <cell r="B26">
            <v>3370</v>
          </cell>
          <cell r="C26">
            <v>3294</v>
          </cell>
        </row>
        <row r="27">
          <cell r="B27">
            <v>2139</v>
          </cell>
          <cell r="C27">
            <v>1773</v>
          </cell>
        </row>
        <row r="28">
          <cell r="B28">
            <v>1217</v>
          </cell>
          <cell r="C28">
            <v>1427</v>
          </cell>
        </row>
        <row r="29">
          <cell r="B29">
            <v>1629</v>
          </cell>
          <cell r="C29">
            <v>1654</v>
          </cell>
        </row>
        <row r="30">
          <cell r="B30">
            <v>2210</v>
          </cell>
          <cell r="C30">
            <v>2342</v>
          </cell>
        </row>
        <row r="31">
          <cell r="B31">
            <v>19849</v>
          </cell>
          <cell r="C31">
            <v>18096</v>
          </cell>
        </row>
        <row r="33">
          <cell r="B33">
            <v>20660</v>
          </cell>
          <cell r="C33">
            <v>21179</v>
          </cell>
        </row>
        <row r="34">
          <cell r="B34">
            <v>6519</v>
          </cell>
          <cell r="C34">
            <v>6907</v>
          </cell>
        </row>
        <row r="35">
          <cell r="B35">
            <v>5214</v>
          </cell>
          <cell r="C35">
            <v>5272</v>
          </cell>
        </row>
        <row r="36">
          <cell r="B36">
            <v>7785</v>
          </cell>
          <cell r="C36">
            <v>7902</v>
          </cell>
        </row>
        <row r="37">
          <cell r="B37">
            <v>1396</v>
          </cell>
          <cell r="C37">
            <v>1393</v>
          </cell>
        </row>
        <row r="38">
          <cell r="B38">
            <v>41574</v>
          </cell>
          <cell r="C38">
            <v>42653</v>
          </cell>
        </row>
        <row r="41">
          <cell r="B41">
            <v>5</v>
          </cell>
          <cell r="C41">
            <v>5</v>
          </cell>
        </row>
        <row r="42">
          <cell r="B42">
            <v>4371</v>
          </cell>
          <cell r="C42">
            <v>4964</v>
          </cell>
        </row>
        <row r="43">
          <cell r="B43">
            <v>-5909</v>
          </cell>
          <cell r="C43">
            <v>-5896</v>
          </cell>
        </row>
        <row r="44">
          <cell r="B44">
            <v>897</v>
          </cell>
          <cell r="C44">
            <v>758</v>
          </cell>
        </row>
        <row r="45">
          <cell r="B45">
            <v>-636</v>
          </cell>
          <cell r="C45">
            <v>-169</v>
          </cell>
        </row>
        <row r="46">
          <cell r="B46">
            <v>60787</v>
          </cell>
          <cell r="C46">
            <v>60580</v>
          </cell>
        </row>
      </sheetData>
      <sheetData sheetId="4"/>
      <sheetData sheetId="5">
        <row r="3">
          <cell r="C3">
            <v>1651</v>
          </cell>
          <cell r="D3">
            <v>1800</v>
          </cell>
        </row>
        <row r="5">
          <cell r="C5">
            <v>-1305</v>
          </cell>
          <cell r="D5">
            <v>-779</v>
          </cell>
        </row>
        <row r="6">
          <cell r="C6">
            <v>359</v>
          </cell>
          <cell r="D6">
            <v>22</v>
          </cell>
        </row>
        <row r="7">
          <cell r="C7">
            <v>-570</v>
          </cell>
          <cell r="D7">
            <v>-1252</v>
          </cell>
        </row>
        <row r="8">
          <cell r="C8">
            <v>1051</v>
          </cell>
          <cell r="D8">
            <v>1029</v>
          </cell>
        </row>
        <row r="9">
          <cell r="C9">
            <v>-1</v>
          </cell>
          <cell r="D9">
            <v>24</v>
          </cell>
        </row>
        <row r="10">
          <cell r="C10">
            <v>-14</v>
          </cell>
          <cell r="D10">
            <v>0</v>
          </cell>
        </row>
        <row r="11">
          <cell r="C11">
            <v>-480</v>
          </cell>
          <cell r="D11">
            <v>-956</v>
          </cell>
        </row>
        <row r="13">
          <cell r="C13">
            <v>400</v>
          </cell>
          <cell r="D13">
            <v>236</v>
          </cell>
        </row>
        <row r="14">
          <cell r="C14">
            <v>-849</v>
          </cell>
          <cell r="D14">
            <v>-568</v>
          </cell>
        </row>
        <row r="15">
          <cell r="C15">
            <v>-6</v>
          </cell>
          <cell r="D15">
            <v>-1</v>
          </cell>
        </row>
        <row r="16">
          <cell r="C16">
            <v>-608</v>
          </cell>
          <cell r="D16">
            <v>-461</v>
          </cell>
        </row>
        <row r="17">
          <cell r="C17">
            <v>-46</v>
          </cell>
          <cell r="D17">
            <v>-48</v>
          </cell>
        </row>
        <row r="18">
          <cell r="C18">
            <v>-1109</v>
          </cell>
          <cell r="D18">
            <v>-842</v>
          </cell>
        </row>
        <row r="19">
          <cell r="C19">
            <v>62</v>
          </cell>
          <cell r="D19">
            <v>2</v>
          </cell>
        </row>
        <row r="21">
          <cell r="C21">
            <v>348</v>
          </cell>
          <cell r="D21">
            <v>400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4">
          <cell r="C4">
            <v>0.1</v>
          </cell>
          <cell r="D4">
            <v>0.1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8269">
          <cell r="C8269">
            <v>1012</v>
          </cell>
          <cell r="D8269">
            <v>946</v>
          </cell>
        </row>
        <row r="8270">
          <cell r="C8270">
            <v>681</v>
          </cell>
          <cell r="D8270">
            <v>692</v>
          </cell>
        </row>
        <row r="8271">
          <cell r="C8271">
            <v>129</v>
          </cell>
          <cell r="D8271">
            <v>113</v>
          </cell>
        </row>
        <row r="8272">
          <cell r="C8272">
            <v>285</v>
          </cell>
          <cell r="D8272">
            <v>286</v>
          </cell>
        </row>
        <row r="8273">
          <cell r="C8273">
            <v>222</v>
          </cell>
          <cell r="D8273">
            <v>238</v>
          </cell>
        </row>
        <row r="8274">
          <cell r="C8274">
            <v>6</v>
          </cell>
          <cell r="D8274">
            <v>32</v>
          </cell>
        </row>
        <row r="8275">
          <cell r="C8275">
            <v>152</v>
          </cell>
          <cell r="D8275">
            <v>154</v>
          </cell>
        </row>
        <row r="8276">
          <cell r="C8276">
            <v>170</v>
          </cell>
          <cell r="D8276">
            <v>171</v>
          </cell>
        </row>
        <row r="8277">
          <cell r="C8277">
            <v>1</v>
          </cell>
          <cell r="D8277" t="str">
            <v>—</v>
          </cell>
        </row>
        <row r="8278">
          <cell r="C8278">
            <v>370</v>
          </cell>
          <cell r="D8278">
            <v>377</v>
          </cell>
        </row>
      </sheetData>
      <sheetData sheetId="1"/>
      <sheetData sheetId="2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428">
          <cell r="F428">
            <v>1120</v>
          </cell>
        </row>
        <row r="429">
          <cell r="F429">
            <v>2206</v>
          </cell>
        </row>
        <row r="651">
          <cell r="G651">
            <v>194026</v>
          </cell>
        </row>
        <row r="652">
          <cell r="G652">
            <v>231873</v>
          </cell>
        </row>
        <row r="653">
          <cell r="G653">
            <v>83.7</v>
          </cell>
        </row>
        <row r="656">
          <cell r="G656">
            <v>143747</v>
          </cell>
        </row>
        <row r="657">
          <cell r="G657">
            <v>1140</v>
          </cell>
        </row>
        <row r="658">
          <cell r="G658">
            <v>970</v>
          </cell>
        </row>
        <row r="659">
          <cell r="G659">
            <v>3454</v>
          </cell>
        </row>
        <row r="660">
          <cell r="G660">
            <v>1190</v>
          </cell>
        </row>
        <row r="661">
          <cell r="G661">
            <v>3608</v>
          </cell>
        </row>
        <row r="662">
          <cell r="G662">
            <v>3.08</v>
          </cell>
        </row>
        <row r="663">
          <cell r="G663">
            <v>91500</v>
          </cell>
        </row>
        <row r="668">
          <cell r="G668">
            <v>21515</v>
          </cell>
        </row>
        <row r="669">
          <cell r="G669">
            <v>28041</v>
          </cell>
        </row>
        <row r="670">
          <cell r="G670">
            <v>76.7</v>
          </cell>
        </row>
        <row r="673">
          <cell r="G673">
            <v>49993</v>
          </cell>
        </row>
        <row r="674">
          <cell r="G674">
            <v>558</v>
          </cell>
        </row>
        <row r="675">
          <cell r="G675">
            <v>687</v>
          </cell>
        </row>
        <row r="676">
          <cell r="G676">
            <v>3.07</v>
          </cell>
        </row>
        <row r="677">
          <cell r="G677">
            <v>18200</v>
          </cell>
        </row>
        <row r="682">
          <cell r="G682">
            <v>215541</v>
          </cell>
        </row>
        <row r="683">
          <cell r="G683">
            <v>259914</v>
          </cell>
        </row>
        <row r="684">
          <cell r="G684">
            <v>2198</v>
          </cell>
        </row>
        <row r="685">
          <cell r="G685">
            <v>82.9</v>
          </cell>
        </row>
        <row r="686">
          <cell r="G686">
            <v>16.489999999999998</v>
          </cell>
        </row>
        <row r="687">
          <cell r="G687">
            <v>13.67</v>
          </cell>
        </row>
        <row r="688">
          <cell r="G688">
            <v>15.54</v>
          </cell>
        </row>
        <row r="689">
          <cell r="G689">
            <v>37.74</v>
          </cell>
        </row>
        <row r="690">
          <cell r="G690">
            <v>193740</v>
          </cell>
        </row>
        <row r="691">
          <cell r="G691">
            <v>1528</v>
          </cell>
        </row>
        <row r="692">
          <cell r="G692">
            <v>4295</v>
          </cell>
        </row>
        <row r="693">
          <cell r="G693">
            <v>3.08</v>
          </cell>
        </row>
        <row r="694">
          <cell r="G694">
            <v>109700</v>
          </cell>
        </row>
        <row r="695">
          <cell r="G695">
            <v>14.56</v>
          </cell>
        </row>
        <row r="696">
          <cell r="G696">
            <v>14.29</v>
          </cell>
        </row>
        <row r="697">
          <cell r="G697">
            <v>9.2100000000000009</v>
          </cell>
        </row>
        <row r="724">
          <cell r="G724">
            <v>124276</v>
          </cell>
        </row>
        <row r="725">
          <cell r="G725">
            <v>146224</v>
          </cell>
        </row>
        <row r="726">
          <cell r="G726">
            <v>85</v>
          </cell>
        </row>
        <row r="727">
          <cell r="G727">
            <v>14.94</v>
          </cell>
        </row>
        <row r="728">
          <cell r="G728">
            <v>12.7</v>
          </cell>
        </row>
        <row r="730">
          <cell r="G730">
            <v>32181</v>
          </cell>
        </row>
        <row r="731">
          <cell r="G731">
            <v>40081</v>
          </cell>
        </row>
        <row r="732">
          <cell r="G732">
            <v>80.3</v>
          </cell>
        </row>
        <row r="733">
          <cell r="G733">
            <v>17.260000000000002</v>
          </cell>
        </row>
        <row r="734">
          <cell r="G734">
            <v>13.86</v>
          </cell>
        </row>
        <row r="736">
          <cell r="G736">
            <v>29685</v>
          </cell>
        </row>
        <row r="737">
          <cell r="G737">
            <v>35967</v>
          </cell>
        </row>
        <row r="738">
          <cell r="G738">
            <v>82.5</v>
          </cell>
        </row>
        <row r="739">
          <cell r="G739">
            <v>14.16</v>
          </cell>
        </row>
        <row r="740">
          <cell r="G740">
            <v>11.68</v>
          </cell>
        </row>
        <row r="742">
          <cell r="G742">
            <v>7883</v>
          </cell>
        </row>
        <row r="743">
          <cell r="G743">
            <v>9601</v>
          </cell>
        </row>
        <row r="744">
          <cell r="G744">
            <v>82.1</v>
          </cell>
        </row>
        <row r="745">
          <cell r="G745">
            <v>11.89</v>
          </cell>
        </row>
        <row r="746">
          <cell r="G746">
            <v>9.77</v>
          </cell>
        </row>
        <row r="748">
          <cell r="G748">
            <v>69749</v>
          </cell>
        </row>
        <row r="749">
          <cell r="G749">
            <v>85649</v>
          </cell>
        </row>
        <row r="750">
          <cell r="G750">
            <v>81.400000000000006</v>
          </cell>
        </row>
        <row r="751">
          <cell r="G751">
            <v>15.33</v>
          </cell>
        </row>
        <row r="752">
          <cell r="G752">
            <v>12.49</v>
          </cell>
        </row>
        <row r="785">
          <cell r="F785">
            <v>2195</v>
          </cell>
        </row>
        <row r="793">
          <cell r="F793">
            <v>40388</v>
          </cell>
        </row>
        <row r="807">
          <cell r="F807">
            <v>1949</v>
          </cell>
        </row>
        <row r="825">
          <cell r="F825">
            <v>3241</v>
          </cell>
        </row>
        <row r="890">
          <cell r="E890">
            <v>37147</v>
          </cell>
        </row>
      </sheetData>
      <sheetData sheetId="1"/>
      <sheetData sheetId="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AL 4Q18 PR"/>
    </sheetNames>
    <sheetDataSet>
      <sheetData sheetId="0">
        <row r="400">
          <cell r="B400">
            <v>9962</v>
          </cell>
        </row>
        <row r="408">
          <cell r="B408">
            <v>474</v>
          </cell>
          <cell r="C408">
            <v>383</v>
          </cell>
        </row>
        <row r="409">
          <cell r="B409">
            <v>1336</v>
          </cell>
          <cell r="C409">
            <v>1315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01">
          <cell r="C201">
            <v>423</v>
          </cell>
          <cell r="E201">
            <v>398</v>
          </cell>
        </row>
        <row r="202">
          <cell r="C202">
            <v>1340</v>
          </cell>
          <cell r="E202">
            <v>1300</v>
          </cell>
        </row>
        <row r="216">
          <cell r="C216">
            <v>-130</v>
          </cell>
          <cell r="E216">
            <v>-158</v>
          </cell>
        </row>
        <row r="240">
          <cell r="B240">
            <v>48481</v>
          </cell>
          <cell r="C240">
            <v>47007</v>
          </cell>
        </row>
        <row r="241">
          <cell r="B241">
            <v>58323</v>
          </cell>
          <cell r="C241">
            <v>57963</v>
          </cell>
        </row>
        <row r="242">
          <cell r="B242">
            <v>83.1</v>
          </cell>
          <cell r="C242">
            <v>81.099999999999994</v>
          </cell>
        </row>
        <row r="243">
          <cell r="B243">
            <v>36546</v>
          </cell>
          <cell r="C243">
            <v>34840</v>
          </cell>
        </row>
        <row r="244">
          <cell r="B244">
            <v>271</v>
          </cell>
          <cell r="C244">
            <v>263</v>
          </cell>
        </row>
        <row r="245">
          <cell r="B245">
            <v>962</v>
          </cell>
          <cell r="C245">
            <v>952</v>
          </cell>
        </row>
        <row r="246">
          <cell r="B246">
            <v>835</v>
          </cell>
          <cell r="C246">
            <v>831</v>
          </cell>
        </row>
        <row r="247">
          <cell r="B247">
            <v>1178</v>
          </cell>
          <cell r="C247">
            <v>1217</v>
          </cell>
        </row>
        <row r="248">
          <cell r="B248">
            <v>853</v>
          </cell>
          <cell r="C248">
            <v>845</v>
          </cell>
        </row>
        <row r="249">
          <cell r="B249">
            <v>2.02</v>
          </cell>
          <cell r="C249">
            <v>2.09</v>
          </cell>
        </row>
        <row r="250">
          <cell r="B250">
            <v>103500</v>
          </cell>
          <cell r="C250">
            <v>104400</v>
          </cell>
        </row>
        <row r="252">
          <cell r="B252">
            <v>6321</v>
          </cell>
          <cell r="C252">
            <v>5938</v>
          </cell>
        </row>
        <row r="253">
          <cell r="B253">
            <v>8351</v>
          </cell>
          <cell r="C253">
            <v>7860</v>
          </cell>
        </row>
        <row r="254">
          <cell r="B254">
            <v>75.7</v>
          </cell>
          <cell r="C254">
            <v>75.5</v>
          </cell>
        </row>
        <row r="255">
          <cell r="B255">
            <v>13389</v>
          </cell>
          <cell r="C255">
            <v>12786</v>
          </cell>
        </row>
        <row r="256">
          <cell r="B256">
            <v>602</v>
          </cell>
          <cell r="C256">
            <v>587</v>
          </cell>
        </row>
        <row r="257">
          <cell r="B257">
            <v>200</v>
          </cell>
          <cell r="C257">
            <v>185</v>
          </cell>
        </row>
        <row r="258">
          <cell r="B258">
            <v>2.12</v>
          </cell>
          <cell r="C258">
            <v>2.15</v>
          </cell>
        </row>
        <row r="259">
          <cell r="B259">
            <v>26300</v>
          </cell>
          <cell r="C259">
            <v>24200</v>
          </cell>
        </row>
        <row r="261">
          <cell r="B261">
            <v>54802</v>
          </cell>
          <cell r="C261">
            <v>52945</v>
          </cell>
        </row>
        <row r="262">
          <cell r="B262">
            <v>66674</v>
          </cell>
          <cell r="C262">
            <v>65823</v>
          </cell>
        </row>
        <row r="263">
          <cell r="B263">
            <v>82.2</v>
          </cell>
          <cell r="C263">
            <v>80.400000000000006</v>
          </cell>
        </row>
        <row r="264">
          <cell r="B264">
            <v>17.62</v>
          </cell>
          <cell r="C264">
            <v>17.899999999999999</v>
          </cell>
        </row>
        <row r="265">
          <cell r="B265">
            <v>14.49</v>
          </cell>
          <cell r="C265">
            <v>14.4</v>
          </cell>
        </row>
        <row r="266">
          <cell r="B266">
            <v>15.87</v>
          </cell>
          <cell r="C266">
            <v>15.8</v>
          </cell>
        </row>
        <row r="267">
          <cell r="B267">
            <v>624</v>
          </cell>
          <cell r="C267">
            <v>687</v>
          </cell>
        </row>
        <row r="268">
          <cell r="B268">
            <v>34.86</v>
          </cell>
          <cell r="C268">
            <v>33.03</v>
          </cell>
        </row>
        <row r="269">
          <cell r="B269">
            <v>49935</v>
          </cell>
          <cell r="C269">
            <v>47626</v>
          </cell>
        </row>
        <row r="270">
          <cell r="B270">
            <v>1564</v>
          </cell>
          <cell r="C270">
            <v>1539</v>
          </cell>
        </row>
        <row r="271">
          <cell r="B271">
            <v>1053</v>
          </cell>
          <cell r="C271">
            <v>1030</v>
          </cell>
        </row>
        <row r="272">
          <cell r="B272">
            <v>2.04</v>
          </cell>
          <cell r="C272">
            <v>2.1</v>
          </cell>
        </row>
        <row r="273">
          <cell r="B273">
            <v>129800</v>
          </cell>
          <cell r="C273">
            <v>128600</v>
          </cell>
        </row>
        <row r="274">
          <cell r="B274">
            <v>15.31</v>
          </cell>
          <cell r="C274">
            <v>15.2</v>
          </cell>
        </row>
        <row r="275">
          <cell r="B275">
            <v>15.11</v>
          </cell>
          <cell r="C275">
            <v>14.86</v>
          </cell>
        </row>
        <row r="276">
          <cell r="B276">
            <v>11.88</v>
          </cell>
          <cell r="C276">
            <v>11.57</v>
          </cell>
        </row>
        <row r="289">
          <cell r="B289">
            <v>37717</v>
          </cell>
          <cell r="C289">
            <v>36261</v>
          </cell>
        </row>
        <row r="290">
          <cell r="B290">
            <v>45282</v>
          </cell>
          <cell r="C290">
            <v>43892</v>
          </cell>
        </row>
        <row r="291">
          <cell r="B291">
            <v>83.3</v>
          </cell>
          <cell r="C291">
            <v>82.6</v>
          </cell>
        </row>
        <row r="292">
          <cell r="B292">
            <v>7226</v>
          </cell>
          <cell r="C292">
            <v>6963</v>
          </cell>
        </row>
        <row r="293">
          <cell r="B293">
            <v>19.16</v>
          </cell>
          <cell r="C293">
            <v>19.2</v>
          </cell>
        </row>
        <row r="294">
          <cell r="B294">
            <v>15.96</v>
          </cell>
          <cell r="C294">
            <v>15.86</v>
          </cell>
        </row>
        <row r="296">
          <cell r="B296">
            <v>8351</v>
          </cell>
          <cell r="C296">
            <v>8085</v>
          </cell>
        </row>
        <row r="297">
          <cell r="B297">
            <v>10208</v>
          </cell>
          <cell r="C297">
            <v>10239</v>
          </cell>
        </row>
        <row r="298">
          <cell r="B298">
            <v>81.8</v>
          </cell>
          <cell r="C298">
            <v>79</v>
          </cell>
        </row>
        <row r="299">
          <cell r="B299">
            <v>1371</v>
          </cell>
          <cell r="C299">
            <v>1445</v>
          </cell>
        </row>
        <row r="300">
          <cell r="B300">
            <v>16.420000000000002</v>
          </cell>
          <cell r="C300">
            <v>17.87</v>
          </cell>
        </row>
        <row r="301">
          <cell r="B301">
            <v>13.43</v>
          </cell>
          <cell r="C301">
            <v>14.11</v>
          </cell>
        </row>
        <row r="303">
          <cell r="B303">
            <v>5042</v>
          </cell>
          <cell r="C303">
            <v>4665</v>
          </cell>
        </row>
        <row r="304">
          <cell r="B304">
            <v>6825</v>
          </cell>
          <cell r="C304">
            <v>6746</v>
          </cell>
        </row>
        <row r="305">
          <cell r="B305">
            <v>73.900000000000006</v>
          </cell>
          <cell r="C305">
            <v>69.2</v>
          </cell>
        </row>
        <row r="306">
          <cell r="B306">
            <v>673</v>
          </cell>
          <cell r="C306">
            <v>669</v>
          </cell>
        </row>
        <row r="307">
          <cell r="B307">
            <v>13.35</v>
          </cell>
          <cell r="C307">
            <v>14.34</v>
          </cell>
        </row>
        <row r="308">
          <cell r="B308">
            <v>9.86</v>
          </cell>
          <cell r="C308">
            <v>9.92</v>
          </cell>
        </row>
        <row r="310">
          <cell r="B310">
            <v>3692</v>
          </cell>
          <cell r="C310">
            <v>3934</v>
          </cell>
        </row>
        <row r="311">
          <cell r="B311">
            <v>4359</v>
          </cell>
          <cell r="C311">
            <v>4946</v>
          </cell>
        </row>
        <row r="312">
          <cell r="B312">
            <v>84.7</v>
          </cell>
          <cell r="C312">
            <v>79.5</v>
          </cell>
        </row>
        <row r="313">
          <cell r="B313">
            <v>388</v>
          </cell>
          <cell r="C313">
            <v>403</v>
          </cell>
        </row>
        <row r="314">
          <cell r="B314">
            <v>10.5</v>
          </cell>
          <cell r="C314">
            <v>10.25</v>
          </cell>
        </row>
        <row r="315">
          <cell r="B315">
            <v>8.9</v>
          </cell>
          <cell r="C315">
            <v>8.15</v>
          </cell>
        </row>
        <row r="317">
          <cell r="B317">
            <v>17085</v>
          </cell>
          <cell r="C317">
            <v>16684</v>
          </cell>
        </row>
        <row r="318">
          <cell r="B318">
            <v>21392</v>
          </cell>
          <cell r="C318">
            <v>21931</v>
          </cell>
        </row>
        <row r="319">
          <cell r="B319">
            <v>79.900000000000006</v>
          </cell>
          <cell r="C319">
            <v>76.099999999999994</v>
          </cell>
        </row>
        <row r="320">
          <cell r="B320">
            <v>2432</v>
          </cell>
          <cell r="C320">
            <v>2517</v>
          </cell>
        </row>
        <row r="321">
          <cell r="B321">
            <v>14.24</v>
          </cell>
          <cell r="C321">
            <v>15.09</v>
          </cell>
        </row>
        <row r="322">
          <cell r="B322">
            <v>11.37</v>
          </cell>
          <cell r="C322">
            <v>11.48</v>
          </cell>
        </row>
        <row r="383">
          <cell r="C383">
            <v>10584</v>
          </cell>
          <cell r="E383">
            <v>10401</v>
          </cell>
        </row>
        <row r="386">
          <cell r="C386">
            <v>314</v>
          </cell>
          <cell r="E386">
            <v>463</v>
          </cell>
        </row>
        <row r="397">
          <cell r="C397">
            <v>237</v>
          </cell>
          <cell r="E397">
            <v>353</v>
          </cell>
        </row>
        <row r="403">
          <cell r="C403">
            <v>0.52</v>
          </cell>
          <cell r="E403">
            <v>0.74</v>
          </cell>
        </row>
        <row r="411">
          <cell r="C411">
            <v>513</v>
          </cell>
          <cell r="E411">
            <v>621</v>
          </cell>
        </row>
        <row r="416">
          <cell r="C416">
            <v>10071</v>
          </cell>
          <cell r="E416">
            <v>9780</v>
          </cell>
        </row>
        <row r="483">
          <cell r="B483">
            <v>5930</v>
          </cell>
          <cell r="D483">
            <v>4339</v>
          </cell>
        </row>
        <row r="484">
          <cell r="B484">
            <v>3354</v>
          </cell>
          <cell r="D484">
            <v>3267</v>
          </cell>
        </row>
      </sheetData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_and_Entity_Informatio"/>
      <sheetName val="IS"/>
      <sheetName val="Consolidated_Statements_Of_Ope1"/>
      <sheetName val="Consolidated_Statements_Of_Com"/>
      <sheetName val="BS"/>
      <sheetName val="Consolidated_Balance_Sheets_Pa"/>
      <sheetName val="CF"/>
      <sheetName val="Consolidated_Statements_Of_Sto"/>
      <sheetName val="Consolidated_Statements_Of_Sto1"/>
      <sheetName val="Reorganization"/>
      <sheetName val="Summary_Of_Accounting_Policies"/>
      <sheetName val="Special_Charges_And_Restructur"/>
      <sheetName val="Investments_And_Fair_Value_Mea"/>
      <sheetName val="Commitments_Contingencies_And_"/>
      <sheetName val="Leases"/>
      <sheetName val="Indebtedness"/>
      <sheetName val="Financial_Instruments_And_Risk"/>
      <sheetName val="Income_Taxes"/>
      <sheetName val="Share_Based_Compensation"/>
      <sheetName val="Retirement_Benefits"/>
      <sheetName val="Intangible_Assets"/>
      <sheetName val="Comprehensive_Income_Loss_Note"/>
      <sheetName val="Earnings_Loss_Per_Share"/>
      <sheetName val="Segment_Reporting"/>
      <sheetName val="Quarterly_Financial_Data"/>
      <sheetName val="Subsequent_Events"/>
      <sheetName val="Schedule_II_Valuation_And_Qual"/>
      <sheetName val="Summary_Of_Accounting_Policies1"/>
      <sheetName val="Reorganization_Tables"/>
      <sheetName val="Summary_Of_Accounting_Policies2"/>
      <sheetName val="Special_Charges_And_Restructur1"/>
      <sheetName val="Investments_And_Fair_Value_Mea1"/>
      <sheetName val="Commitments_Contingencies_And_1"/>
      <sheetName val="Leases_Tables"/>
      <sheetName val="Indebtedness_Tables"/>
      <sheetName val="Financial_Instruments_And_Risk1"/>
      <sheetName val="Income_Taxes_Tables"/>
      <sheetName val="Share_Based_Compensation_Table"/>
      <sheetName val="Retirement_Benefits_Tables"/>
      <sheetName val="Intangible_Assets_Tables"/>
      <sheetName val="Comprehensive_Income_Loss_Note1"/>
      <sheetName val="Earnings_Loss_Per_Share_Tables"/>
      <sheetName val="Segment_Reporting_Tables"/>
      <sheetName val="Quarterly_Financial_Data_Table"/>
      <sheetName val="Subsequent_Events_Tables"/>
      <sheetName val="Reorganization_Narrative_Detai"/>
      <sheetName val="Reorganization_Schedule_Of_Lia"/>
      <sheetName val="Reorganization_Components_Of_L"/>
      <sheetName val="Reorganization_Schedule_Of_Reo"/>
      <sheetName val="Summary_Of_Accounting_Policies3"/>
      <sheetName val="Summary_Of_Accounting_Policies4"/>
      <sheetName val="Special_Charges_And_Restructur2"/>
      <sheetName val="Special_Charges_And_Restructur3"/>
      <sheetName val="Investments_And_Fair_Value_Mea2"/>
      <sheetName val="Investments_And_Fair_Value_Mea3"/>
      <sheetName val="Investments_And_Fair_Value_Mea4"/>
      <sheetName val="Commitments_Contingencies_And_2"/>
      <sheetName val="Commitments_Contingencies_And_3"/>
      <sheetName val="Leases_Future_Minimum_Lease_Pa"/>
      <sheetName val="Leases_Future_Minimum_Lease_Pa1"/>
      <sheetName val="Leases_Narrative_Detail"/>
      <sheetName val="Indebtedness_Components_Of_Lon"/>
      <sheetName val="Indebtedness_Schedule_Of_Matur"/>
      <sheetName val="Indebtedness_Narrative_Detail"/>
      <sheetName val="Indebtedness_Schedule_Of_Colla"/>
      <sheetName val="Financial_Instruments_And_Risk2"/>
      <sheetName val="Financial_Instruments_And_Risk3"/>
      <sheetName val="Financial_Instruments_And_Risk4"/>
      <sheetName val="Financial_Instruments_And_Risk5"/>
      <sheetName val="Income_Taxes_Components_Of_Inc"/>
      <sheetName val="Income_Taxes_Computation_Of_In"/>
      <sheetName val="Income_Taxes_Narrative_Detail"/>
      <sheetName val="Income_Taxes_Deferred_Tax_Asse"/>
      <sheetName val="Income_Taxes_Reconciliation_Of"/>
      <sheetName val="Share_Based_Compensation_Narra"/>
      <sheetName val="Share_Based_Compensation_Stock"/>
      <sheetName val="Share_Based_Compensation_Sched"/>
      <sheetName val="Share_Based_Compensation_Statu"/>
      <sheetName val="Share_Based_Compensation_Sched1"/>
      <sheetName val="Retirement_Benefits_Narrative_"/>
      <sheetName val="Retirement_Benefits_Schedule_O"/>
      <sheetName val="Retirement_Benefits_Schedule_O1"/>
      <sheetName val="Retirement_Benefits_Schedule_O2"/>
      <sheetName val="Retirement_Benefits_Schedule_O3"/>
      <sheetName val="Retirement_Benefits_Components"/>
      <sheetName val="Retirement_Benefits_Schedule_O4"/>
      <sheetName val="Retirement_Benefits_Summary_Of"/>
      <sheetName val="Retirement_Benefits_Schedule_O5"/>
      <sheetName val="Retirement_Benefits_Changes_In"/>
      <sheetName val="Retirement_Benefits_Fair_Value"/>
      <sheetName val="Recovered_Sheet1"/>
      <sheetName val="Retirement_Benefits_Schedule_O6"/>
      <sheetName val="Retirement_Benefits_Benefit_Pa"/>
      <sheetName val="Intangible_Assets_Narrative_De"/>
      <sheetName val="Intangible_Assets_Summary_Of_A"/>
      <sheetName val="Accumulated_Other_Comprehensiv"/>
      <sheetName val="Earnings_Loss_Per_Share_Comput"/>
      <sheetName val="Segment_Reporting_Operating_Re"/>
      <sheetName val="Quarterly_Financial_Data_Summa"/>
      <sheetName val="Quarterly_Financial_Data_Narra"/>
      <sheetName val="Subsequent_Events_Narrative_De"/>
      <sheetName val="Subsequent_Events_Subsequent_E"/>
      <sheetName val="Schedule_II_Valuation_And_Qual1"/>
    </sheetNames>
    <sheetDataSet>
      <sheetData sheetId="0"/>
      <sheetData sheetId="1"/>
      <sheetData sheetId="2"/>
      <sheetData sheetId="3"/>
      <sheetData sheetId="4">
        <row r="4">
          <cell r="C4">
            <v>283</v>
          </cell>
        </row>
        <row r="5">
          <cell r="C5">
            <v>3718</v>
          </cell>
        </row>
        <row r="6">
          <cell r="C6">
            <v>738</v>
          </cell>
        </row>
        <row r="7">
          <cell r="C7">
            <v>902</v>
          </cell>
        </row>
        <row r="8">
          <cell r="C8">
            <v>617</v>
          </cell>
        </row>
        <row r="9">
          <cell r="C9">
            <v>97</v>
          </cell>
        </row>
        <row r="10">
          <cell r="C10">
            <v>402</v>
          </cell>
        </row>
        <row r="11">
          <cell r="C11">
            <v>6757</v>
          </cell>
        </row>
        <row r="13">
          <cell r="C13">
            <v>18136</v>
          </cell>
        </row>
        <row r="16">
          <cell r="C16">
            <v>746</v>
          </cell>
        </row>
        <row r="17">
          <cell r="C17">
            <v>5131</v>
          </cell>
        </row>
        <row r="20">
          <cell r="C20">
            <v>13913</v>
          </cell>
        </row>
        <row r="22">
          <cell r="C22">
            <v>641</v>
          </cell>
        </row>
        <row r="23">
          <cell r="C23">
            <v>200</v>
          </cell>
        </row>
        <row r="26">
          <cell r="C26">
            <v>393</v>
          </cell>
        </row>
        <row r="28">
          <cell r="C28">
            <v>708</v>
          </cell>
        </row>
        <row r="29">
          <cell r="C29">
            <v>186</v>
          </cell>
        </row>
        <row r="30">
          <cell r="C30">
            <v>1891</v>
          </cell>
        </row>
        <row r="31">
          <cell r="C31">
            <v>2785</v>
          </cell>
        </row>
        <row r="32">
          <cell r="C32">
            <v>23848</v>
          </cell>
        </row>
        <row r="34">
          <cell r="C34">
            <v>1007</v>
          </cell>
        </row>
        <row r="35">
          <cell r="C35">
            <v>524</v>
          </cell>
        </row>
        <row r="36">
          <cell r="C36">
            <v>1358</v>
          </cell>
        </row>
        <row r="37">
          <cell r="C37">
            <v>4223</v>
          </cell>
        </row>
        <row r="38">
          <cell r="C38">
            <v>1518</v>
          </cell>
        </row>
        <row r="40">
          <cell r="C40">
            <v>8630</v>
          </cell>
        </row>
        <row r="41">
          <cell r="C41">
            <v>6702</v>
          </cell>
        </row>
        <row r="44">
          <cell r="C44">
            <v>110</v>
          </cell>
        </row>
        <row r="45">
          <cell r="C45">
            <v>9204</v>
          </cell>
        </row>
        <row r="46">
          <cell r="C46">
            <v>1470</v>
          </cell>
        </row>
        <row r="48">
          <cell r="C48">
            <v>4843</v>
          </cell>
        </row>
        <row r="51">
          <cell r="C51">
            <v>341</v>
          </cell>
        </row>
        <row r="52">
          <cell r="C52">
            <v>4465</v>
          </cell>
        </row>
        <row r="53">
          <cell r="C53">
            <v>-367</v>
          </cell>
        </row>
        <row r="54">
          <cell r="C54">
            <v>-3964</v>
          </cell>
        </row>
        <row r="55">
          <cell r="C55">
            <v>-7586</v>
          </cell>
        </row>
        <row r="56">
          <cell r="C56">
            <v>-7111</v>
          </cell>
        </row>
        <row r="57">
          <cell r="C57">
            <v>23848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densed Consolidated Stateme3"/>
      <sheetName val="BS"/>
      <sheetName val="Condensed Consolidated Balance5"/>
      <sheetName val="CF"/>
      <sheetName val="Basis of Presentation"/>
      <sheetName val="Special Items"/>
      <sheetName val="Earnings Per Common Share"/>
      <sheetName val="Share Repurchase Programs and D"/>
      <sheetName val="Debt"/>
      <sheetName val="Income Taxes"/>
      <sheetName val="Fair Value Measurements"/>
      <sheetName val="Retirement Benefits"/>
      <sheetName val="Accumulated Other Comprehensive"/>
      <sheetName val="Regional Expenses"/>
      <sheetName val="Legal Proceedings"/>
      <sheetName val="Subsequent Events"/>
      <sheetName val="Transactions with Related Parti"/>
      <sheetName val="Basis of Presentation (Policies"/>
      <sheetName val="Special Items (Tables)"/>
      <sheetName val="Earnings Per Common Share (Tabl"/>
      <sheetName val="Share Repurchase Programs and23"/>
      <sheetName val="Debt (Tables)"/>
      <sheetName val="Fair Value Measurements (Tables"/>
      <sheetName val="Retirement Benefits (Tables)"/>
      <sheetName val="Accumulated Other Comprehensi27"/>
      <sheetName val="Regional Expenses (Tables)"/>
      <sheetName val="Transactions with Related Par29"/>
      <sheetName val="Special Items - Components of C"/>
      <sheetName val="Special Items - Additional Disc"/>
      <sheetName val="Earnings (Loss) per Share - Com"/>
      <sheetName val="Share Repurchase Programs and33"/>
      <sheetName val="Share Repurchase Programs and34"/>
      <sheetName val="Debt - Components of Long-Term "/>
      <sheetName val="Debt - Summary of Availability "/>
      <sheetName val="Debt - Components of Long-Ter37"/>
      <sheetName val="Debt - Components of Long-Ter38"/>
      <sheetName val="Income Taxes (Detail)"/>
      <sheetName val="Fair Value Measurements - Summa"/>
      <sheetName val="Fair Value Measurements - Sched"/>
      <sheetName val="Retirement Benefits - Component"/>
      <sheetName val="Accumulated Other Comprehensi43"/>
      <sheetName val="Accumulated Other Comprehensi44"/>
      <sheetName val="Regional Expenses (Detail)"/>
      <sheetName val="Legal Proceedings (Detail)"/>
      <sheetName val="Subsequent Events (Detail)"/>
      <sheetName val="Transactions with Related Par48"/>
    </sheetNames>
    <sheetDataSet>
      <sheetData sheetId="0"/>
      <sheetData sheetId="1"/>
      <sheetData sheetId="2"/>
      <sheetData sheetId="3">
        <row r="3">
          <cell r="B3">
            <v>495</v>
          </cell>
        </row>
        <row r="4">
          <cell r="B4">
            <v>6435</v>
          </cell>
        </row>
        <row r="5">
          <cell r="B5">
            <v>691</v>
          </cell>
        </row>
        <row r="6">
          <cell r="B6">
            <v>1450</v>
          </cell>
        </row>
        <row r="7">
          <cell r="B7">
            <v>886</v>
          </cell>
        </row>
        <row r="8">
          <cell r="B8">
            <v>845</v>
          </cell>
        </row>
        <row r="9">
          <cell r="B9">
            <v>10802</v>
          </cell>
        </row>
        <row r="11">
          <cell r="B11">
            <v>34407</v>
          </cell>
        </row>
        <row r="12">
          <cell r="B12">
            <v>6561</v>
          </cell>
        </row>
        <row r="13">
          <cell r="B13">
            <v>1058</v>
          </cell>
        </row>
        <row r="14">
          <cell r="B14">
            <v>42026</v>
          </cell>
        </row>
        <row r="15">
          <cell r="B15">
            <v>-13393</v>
          </cell>
        </row>
        <row r="16">
          <cell r="B16">
            <v>28633</v>
          </cell>
        </row>
        <row r="18">
          <cell r="B18">
            <v>4091</v>
          </cell>
        </row>
        <row r="19">
          <cell r="B19">
            <v>2236</v>
          </cell>
        </row>
        <row r="20">
          <cell r="B20">
            <v>2072</v>
          </cell>
        </row>
        <row r="21">
          <cell r="B21">
            <v>2075</v>
          </cell>
        </row>
        <row r="22">
          <cell r="B22">
            <v>10474</v>
          </cell>
        </row>
        <row r="23">
          <cell r="B23">
            <v>49909</v>
          </cell>
        </row>
        <row r="25">
          <cell r="B25">
            <v>2610</v>
          </cell>
        </row>
        <row r="26">
          <cell r="B26">
            <v>1913</v>
          </cell>
        </row>
        <row r="27">
          <cell r="B27">
            <v>1183</v>
          </cell>
        </row>
        <row r="28">
          <cell r="B28">
            <v>4692</v>
          </cell>
        </row>
        <row r="29">
          <cell r="B29">
            <v>2535</v>
          </cell>
        </row>
        <row r="30">
          <cell r="B30">
            <v>2344</v>
          </cell>
        </row>
        <row r="31">
          <cell r="B31">
            <v>15277</v>
          </cell>
        </row>
        <row r="33">
          <cell r="B33">
            <v>19134</v>
          </cell>
        </row>
        <row r="34">
          <cell r="B34">
            <v>7440</v>
          </cell>
        </row>
        <row r="35">
          <cell r="B35">
            <v>625</v>
          </cell>
        </row>
        <row r="36">
          <cell r="B36">
            <v>2723</v>
          </cell>
        </row>
        <row r="37">
          <cell r="B37">
            <v>29922</v>
          </cell>
        </row>
        <row r="40">
          <cell r="B40">
            <v>6</v>
          </cell>
        </row>
        <row r="41">
          <cell r="B41">
            <v>10044</v>
          </cell>
        </row>
        <row r="42">
          <cell r="B42">
            <v>-4749</v>
          </cell>
        </row>
        <row r="43">
          <cell r="B43">
            <v>-591</v>
          </cell>
        </row>
        <row r="44">
          <cell r="B44">
            <v>4710</v>
          </cell>
        </row>
        <row r="45">
          <cell r="B45">
            <v>49909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densed Consolidated Stateme3"/>
      <sheetName val="BS"/>
      <sheetName val="Condensed Consolidated Balance5"/>
      <sheetName val="CF"/>
      <sheetName val="Basis of Presentation"/>
      <sheetName val="Special Items"/>
      <sheetName val="Earnings Per Common Share"/>
      <sheetName val="Share Repurchase Programs and D"/>
      <sheetName val="Debt"/>
      <sheetName val="Income Taxes"/>
      <sheetName val="Fair Value Measurements"/>
      <sheetName val="Retirement Benefits"/>
      <sheetName val="Accumulated Other Comprehensive"/>
      <sheetName val="Regional Expenses"/>
      <sheetName val="Legal Proceedings"/>
      <sheetName val="Subsequent Events"/>
      <sheetName val="Transactions with Related Parti"/>
      <sheetName val="Basis of Presentation (Policies"/>
      <sheetName val="Special Items (Tables)"/>
      <sheetName val="Earnings Per Common Share (Tabl"/>
      <sheetName val="Share Repurchase Programs and23"/>
      <sheetName val="Debt (Tables)"/>
      <sheetName val="Fair Value Measurements (Tables"/>
      <sheetName val="Retirement Benefits (Tables)"/>
      <sheetName val="Accumulated Other Comprehensi27"/>
      <sheetName val="Regional Expenses (Tables)"/>
      <sheetName val="Transactions with Related Par29"/>
      <sheetName val="Basis of Presentation - Additio"/>
      <sheetName val="Special Items - Components of C"/>
      <sheetName val="Special Items - Additional Disc"/>
      <sheetName val="Earnings (Loss) per Share - Com"/>
      <sheetName val="Share Repurchase Programs and34"/>
      <sheetName val="Share Repurchase Programs and35"/>
      <sheetName val="Debt - Components of Long-Term "/>
      <sheetName val="Debt - Summary of Availability "/>
      <sheetName val="Debt - Components of Long-Ter38"/>
      <sheetName val="Debt - Components of Long-Ter39"/>
      <sheetName val="Debt - Components of Long-Ter40"/>
      <sheetName val="Debt - Components of Long-Ter41"/>
      <sheetName val="Debt - Components of Long-Ter42"/>
      <sheetName val="Income Taxes (Detail)"/>
      <sheetName val="Fair Value Measurements - Summa"/>
      <sheetName val="Fair Value Measurements - Sched"/>
      <sheetName val="Retirement Benefits - Component"/>
      <sheetName val="Accumulated Other Comprehensi47"/>
      <sheetName val="Accumulated Other Comprehensi48"/>
      <sheetName val="Regional Expenses (Detail)"/>
      <sheetName val="Legal Proceedings (Detail)"/>
      <sheetName val="Subsequent Events - Additional "/>
      <sheetName val="Transactions with Related Par52"/>
    </sheetNames>
    <sheetDataSet>
      <sheetData sheetId="0"/>
      <sheetData sheetId="1"/>
      <sheetData sheetId="2"/>
      <sheetData sheetId="3">
        <row r="3">
          <cell r="B3">
            <v>446</v>
          </cell>
        </row>
        <row r="4">
          <cell r="B4">
            <v>6672</v>
          </cell>
        </row>
        <row r="5">
          <cell r="B5">
            <v>640</v>
          </cell>
        </row>
        <row r="6">
          <cell r="B6">
            <v>1593</v>
          </cell>
        </row>
        <row r="7">
          <cell r="B7">
            <v>999</v>
          </cell>
        </row>
        <row r="8">
          <cell r="B8">
            <v>834</v>
          </cell>
        </row>
        <row r="9">
          <cell r="B9">
            <v>11184</v>
          </cell>
        </row>
        <row r="11">
          <cell r="B11">
            <v>35553</v>
          </cell>
        </row>
        <row r="12">
          <cell r="B12">
            <v>6726</v>
          </cell>
        </row>
        <row r="13">
          <cell r="B13">
            <v>1136</v>
          </cell>
        </row>
        <row r="14">
          <cell r="B14">
            <v>43415</v>
          </cell>
        </row>
        <row r="15">
          <cell r="B15">
            <v>-13804</v>
          </cell>
        </row>
        <row r="16">
          <cell r="B16">
            <v>29611</v>
          </cell>
        </row>
        <row r="18">
          <cell r="B18">
            <v>4091</v>
          </cell>
        </row>
        <row r="19">
          <cell r="B19">
            <v>2213</v>
          </cell>
        </row>
        <row r="20">
          <cell r="B20">
            <v>1965</v>
          </cell>
        </row>
        <row r="21">
          <cell r="B21">
            <v>1987</v>
          </cell>
        </row>
        <row r="22">
          <cell r="B22">
            <v>10256</v>
          </cell>
        </row>
        <row r="23">
          <cell r="B23">
            <v>51051</v>
          </cell>
        </row>
        <row r="25">
          <cell r="B25">
            <v>1715</v>
          </cell>
        </row>
        <row r="26">
          <cell r="B26">
            <v>1944</v>
          </cell>
        </row>
        <row r="27">
          <cell r="B27">
            <v>1327</v>
          </cell>
        </row>
        <row r="28">
          <cell r="B28">
            <v>4984</v>
          </cell>
        </row>
        <row r="29">
          <cell r="B29">
            <v>2511</v>
          </cell>
        </row>
        <row r="30">
          <cell r="B30">
            <v>2436</v>
          </cell>
        </row>
        <row r="31">
          <cell r="B31">
            <v>14917</v>
          </cell>
        </row>
        <row r="33">
          <cell r="B33">
            <v>21131</v>
          </cell>
        </row>
        <row r="34">
          <cell r="B34">
            <v>7426</v>
          </cell>
        </row>
        <row r="35">
          <cell r="B35">
            <v>590</v>
          </cell>
        </row>
        <row r="36">
          <cell r="B36">
            <v>2675</v>
          </cell>
        </row>
        <row r="37">
          <cell r="B37">
            <v>31822</v>
          </cell>
        </row>
        <row r="40">
          <cell r="B40">
            <v>5</v>
          </cell>
        </row>
        <row r="41">
          <cell r="B41">
            <v>8351</v>
          </cell>
        </row>
        <row r="42">
          <cell r="B42">
            <v>-4763</v>
          </cell>
        </row>
        <row r="43">
          <cell r="B43">
            <v>719</v>
          </cell>
        </row>
        <row r="44">
          <cell r="B44">
            <v>4312</v>
          </cell>
        </row>
        <row r="45">
          <cell r="B45">
            <v>51051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ocument and Entity Information"/>
      <sheetName val="IS"/>
      <sheetName val="Condensed Consolidated Stateme3"/>
      <sheetName val="BS"/>
      <sheetName val="Condensed Consolidated Balance5"/>
      <sheetName val="CF"/>
      <sheetName val="Basis of Presentation"/>
      <sheetName val="Special Items"/>
      <sheetName val="Earnings Per Common Share"/>
      <sheetName val="Share Repurchase Programs and D"/>
      <sheetName val="Debt"/>
      <sheetName val="Income Taxes"/>
      <sheetName val="Fair Value Measurements"/>
      <sheetName val="Retirement Benefits"/>
      <sheetName val="Accumulated Other Comprehensive"/>
      <sheetName val="Regional Expenses"/>
      <sheetName val="Legal Proceedings"/>
      <sheetName val="Subsequent Events"/>
      <sheetName val="Transactions with Related Parti"/>
      <sheetName val="Basis of Presentation (Policies"/>
      <sheetName val="Special Items (Tables)"/>
      <sheetName val="Earnings Per Common Share (Tabl"/>
      <sheetName val="Share Repurchase Programs and23"/>
      <sheetName val="Debt (Tables)"/>
      <sheetName val="Fair Value Measurements (Tables"/>
      <sheetName val="Retirement Benefits (Tables)"/>
      <sheetName val="Accumulated Other Comprehensi27"/>
      <sheetName val="Regional Expenses (Tables)"/>
      <sheetName val="Transactions with Related Par29"/>
      <sheetName val="Basis of Presentation - Additio"/>
      <sheetName val="Special Items - Components of C"/>
      <sheetName val="Special Items - Additional Disc"/>
      <sheetName val="Earnings (Loss) per Share - Com"/>
      <sheetName val="Share Repurchase Programs and34"/>
      <sheetName val="Share Repurchase Programs and35"/>
      <sheetName val="Debt - Components of Long-Term "/>
      <sheetName val="Debt - Summary of Availability "/>
      <sheetName val="Debt - Components of Long-Ter38"/>
      <sheetName val="Debt - Components of Long-Ter39"/>
      <sheetName val="Debt - Components of Long-Ter40"/>
      <sheetName val="Debt - Components of Long-Ter41"/>
      <sheetName val="Debt - Components of Long-Ter42"/>
      <sheetName val="Debt - Components of Long-Ter43"/>
      <sheetName val="Income Taxes (Detail)"/>
      <sheetName val="Fair Value Measurements - Summa"/>
      <sheetName val="Fair Value Measurements - Sched"/>
      <sheetName val="Retirement Benefits - Component"/>
      <sheetName val="Accumulated Other Comprehensi48"/>
      <sheetName val="Accumulated Other Comprehensi49"/>
      <sheetName val="Regional Expenses (Detail)"/>
      <sheetName val="Legal Proceedings (Detail)"/>
      <sheetName val="Subsequent Events - Additional "/>
      <sheetName val="Transactions with Related Par53"/>
    </sheetNames>
    <sheetDataSet>
      <sheetData sheetId="0"/>
      <sheetData sheetId="1"/>
      <sheetData sheetId="2"/>
      <sheetData sheetId="3">
        <row r="3">
          <cell r="B3">
            <v>381</v>
          </cell>
        </row>
        <row r="4">
          <cell r="B4">
            <v>6374</v>
          </cell>
        </row>
        <row r="5">
          <cell r="B5">
            <v>635</v>
          </cell>
        </row>
        <row r="6">
          <cell r="B6">
            <v>1703</v>
          </cell>
        </row>
        <row r="7">
          <cell r="B7">
            <v>1100</v>
          </cell>
        </row>
        <row r="8">
          <cell r="B8">
            <v>855</v>
          </cell>
        </row>
        <row r="9">
          <cell r="B9">
            <v>11048</v>
          </cell>
        </row>
        <row r="11">
          <cell r="B11">
            <v>36259</v>
          </cell>
        </row>
        <row r="12">
          <cell r="B12">
            <v>6915</v>
          </cell>
        </row>
        <row r="13">
          <cell r="B13">
            <v>1149</v>
          </cell>
        </row>
        <row r="14">
          <cell r="B14">
            <v>44323</v>
          </cell>
        </row>
        <row r="15">
          <cell r="B15">
            <v>-14019</v>
          </cell>
        </row>
        <row r="16">
          <cell r="B16">
            <v>30304</v>
          </cell>
        </row>
        <row r="18">
          <cell r="B18">
            <v>4091</v>
          </cell>
        </row>
        <row r="19">
          <cell r="B19">
            <v>2189</v>
          </cell>
        </row>
        <row r="20">
          <cell r="B20">
            <v>1524</v>
          </cell>
        </row>
        <row r="21">
          <cell r="B21">
            <v>1952</v>
          </cell>
        </row>
        <row r="22">
          <cell r="B22">
            <v>9756</v>
          </cell>
        </row>
        <row r="23">
          <cell r="B23">
            <v>51108</v>
          </cell>
        </row>
        <row r="25">
          <cell r="B25">
            <v>1798</v>
          </cell>
        </row>
        <row r="26">
          <cell r="B26">
            <v>1673</v>
          </cell>
        </row>
        <row r="27">
          <cell r="B27">
            <v>1365</v>
          </cell>
        </row>
        <row r="28">
          <cell r="B28">
            <v>4513</v>
          </cell>
        </row>
        <row r="29">
          <cell r="B29">
            <v>2950</v>
          </cell>
        </row>
        <row r="30">
          <cell r="B30">
            <v>2234</v>
          </cell>
        </row>
        <row r="31">
          <cell r="B31">
            <v>14533</v>
          </cell>
        </row>
        <row r="33">
          <cell r="B33">
            <v>21545</v>
          </cell>
        </row>
        <row r="34">
          <cell r="B34">
            <v>7387</v>
          </cell>
        </row>
        <row r="35">
          <cell r="B35">
            <v>554</v>
          </cell>
        </row>
        <row r="36">
          <cell r="B36">
            <v>2698</v>
          </cell>
        </row>
        <row r="37">
          <cell r="B37">
            <v>32184</v>
          </cell>
        </row>
        <row r="40">
          <cell r="B40">
            <v>5</v>
          </cell>
        </row>
        <row r="41">
          <cell r="B41">
            <v>7761</v>
          </cell>
        </row>
        <row r="42">
          <cell r="B42">
            <v>-4778</v>
          </cell>
        </row>
        <row r="43">
          <cell r="B43">
            <v>1403</v>
          </cell>
        </row>
        <row r="44">
          <cell r="B44">
            <v>4391</v>
          </cell>
        </row>
        <row r="45">
          <cell r="B45">
            <v>51108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054">
          <cell r="C4054">
            <v>297</v>
          </cell>
          <cell r="D4054">
            <v>65</v>
          </cell>
          <cell r="F4054">
            <v>158</v>
          </cell>
        </row>
        <row r="4055">
          <cell r="C4055">
            <v>-283</v>
          </cell>
          <cell r="D4055">
            <v>-308</v>
          </cell>
          <cell r="F4055">
            <v>417</v>
          </cell>
        </row>
      </sheetData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745">
          <cell r="Q745">
            <v>38620</v>
          </cell>
        </row>
        <row r="892">
          <cell r="J892">
            <v>188841</v>
          </cell>
        </row>
        <row r="893">
          <cell r="J893">
            <v>226839</v>
          </cell>
        </row>
        <row r="894">
          <cell r="J894">
            <v>83.2</v>
          </cell>
        </row>
        <row r="897">
          <cell r="J897">
            <v>140742</v>
          </cell>
        </row>
        <row r="898">
          <cell r="J898">
            <v>1113</v>
          </cell>
        </row>
        <row r="899">
          <cell r="J899">
            <v>954</v>
          </cell>
        </row>
        <row r="900">
          <cell r="J900">
            <v>3350</v>
          </cell>
        </row>
        <row r="901">
          <cell r="J901">
            <v>1183</v>
          </cell>
        </row>
        <row r="902">
          <cell r="J902">
            <v>3512</v>
          </cell>
        </row>
        <row r="903">
          <cell r="J903">
            <v>3.19</v>
          </cell>
        </row>
        <row r="904">
          <cell r="J904">
            <v>95786</v>
          </cell>
        </row>
        <row r="911">
          <cell r="J911">
            <v>21097</v>
          </cell>
        </row>
        <row r="912">
          <cell r="J912">
            <v>27809</v>
          </cell>
        </row>
        <row r="913">
          <cell r="J913">
            <v>75.900000000000006</v>
          </cell>
        </row>
        <row r="916">
          <cell r="J916">
            <v>49757</v>
          </cell>
        </row>
        <row r="917">
          <cell r="J917">
            <v>536</v>
          </cell>
        </row>
        <row r="918">
          <cell r="J918">
            <v>658</v>
          </cell>
        </row>
        <row r="919">
          <cell r="J919">
            <v>3.21</v>
          </cell>
        </row>
        <row r="924">
          <cell r="J924">
            <v>209938</v>
          </cell>
        </row>
        <row r="925">
          <cell r="J925">
            <v>254648</v>
          </cell>
        </row>
        <row r="926">
          <cell r="J926">
            <v>2105</v>
          </cell>
        </row>
        <row r="927">
          <cell r="J927">
            <v>82.4</v>
          </cell>
        </row>
        <row r="928">
          <cell r="J928">
            <v>16.170000000000002</v>
          </cell>
        </row>
        <row r="929">
          <cell r="J929">
            <v>13.33</v>
          </cell>
        </row>
        <row r="930">
          <cell r="J930">
            <v>15.17</v>
          </cell>
        </row>
        <row r="931">
          <cell r="J931">
            <v>39.380000000000003</v>
          </cell>
        </row>
        <row r="932">
          <cell r="J932">
            <v>190499</v>
          </cell>
        </row>
        <row r="933">
          <cell r="J933">
            <v>1490</v>
          </cell>
        </row>
        <row r="934">
          <cell r="J934">
            <v>4170</v>
          </cell>
        </row>
        <row r="935">
          <cell r="J935">
            <v>3.19</v>
          </cell>
        </row>
        <row r="936">
          <cell r="J936">
            <v>14.77</v>
          </cell>
        </row>
        <row r="937">
          <cell r="J937">
            <v>14.61</v>
          </cell>
        </row>
        <row r="938">
          <cell r="J938">
            <v>9.3800000000000008</v>
          </cell>
        </row>
        <row r="940">
          <cell r="J940">
            <v>9.36</v>
          </cell>
        </row>
        <row r="992">
          <cell r="G992">
            <v>121869</v>
          </cell>
        </row>
        <row r="993">
          <cell r="G993">
            <v>144361</v>
          </cell>
        </row>
        <row r="994">
          <cell r="G994">
            <v>84.4</v>
          </cell>
        </row>
        <row r="995">
          <cell r="G995">
            <v>14.57</v>
          </cell>
        </row>
        <row r="996">
          <cell r="G996">
            <v>12.3</v>
          </cell>
        </row>
        <row r="998">
          <cell r="G998">
            <v>30253</v>
          </cell>
        </row>
        <row r="999">
          <cell r="G999">
            <v>37464</v>
          </cell>
        </row>
        <row r="1000">
          <cell r="G1000">
            <v>80.8</v>
          </cell>
        </row>
        <row r="1001">
          <cell r="G1001">
            <v>16.89</v>
          </cell>
        </row>
        <row r="1002">
          <cell r="G1002">
            <v>13.64</v>
          </cell>
        </row>
        <row r="1004">
          <cell r="G1004">
            <v>29194</v>
          </cell>
        </row>
        <row r="1005">
          <cell r="G1005">
            <v>35877</v>
          </cell>
        </row>
        <row r="1006">
          <cell r="G1006">
            <v>81.400000000000006</v>
          </cell>
        </row>
        <row r="1007">
          <cell r="G1007">
            <v>13.25</v>
          </cell>
        </row>
        <row r="1008">
          <cell r="G1008">
            <v>10.78</v>
          </cell>
        </row>
        <row r="1010">
          <cell r="G1010">
            <v>7526</v>
          </cell>
        </row>
        <row r="1011">
          <cell r="G1011">
            <v>9136</v>
          </cell>
        </row>
        <row r="1012">
          <cell r="G1012">
            <v>82.4</v>
          </cell>
        </row>
        <row r="1013">
          <cell r="G1013">
            <v>12.69</v>
          </cell>
        </row>
        <row r="1014">
          <cell r="G1014">
            <v>10.45</v>
          </cell>
        </row>
        <row r="1016">
          <cell r="G1016">
            <v>66973</v>
          </cell>
        </row>
        <row r="1017">
          <cell r="G1017">
            <v>82477</v>
          </cell>
        </row>
        <row r="1018">
          <cell r="G1018">
            <v>81.2</v>
          </cell>
        </row>
        <row r="1019">
          <cell r="G1019">
            <v>14.83</v>
          </cell>
        </row>
        <row r="1020">
          <cell r="G1020">
            <v>12.04</v>
          </cell>
        </row>
        <row r="1061">
          <cell r="M1061">
            <v>535</v>
          </cell>
        </row>
        <row r="1302">
          <cell r="I1302">
            <v>407</v>
          </cell>
        </row>
        <row r="1336">
          <cell r="I1336">
            <v>1422</v>
          </cell>
        </row>
        <row r="1398">
          <cell r="J1398">
            <v>37198</v>
          </cell>
        </row>
      </sheetData>
      <sheetData sheetId="1"/>
      <sheetData sheetId="2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293">
          <cell r="C293">
            <v>46522</v>
          </cell>
          <cell r="G293">
            <v>195651</v>
          </cell>
        </row>
        <row r="294">
          <cell r="C294">
            <v>57840</v>
          </cell>
          <cell r="G294">
            <v>237522</v>
          </cell>
        </row>
        <row r="295">
          <cell r="C295">
            <v>80.400000000000006</v>
          </cell>
          <cell r="G295">
            <v>82.4</v>
          </cell>
        </row>
        <row r="298">
          <cell r="C298">
            <v>35305</v>
          </cell>
          <cell r="G298">
            <v>145574</v>
          </cell>
        </row>
        <row r="299">
          <cell r="C299">
            <v>282</v>
          </cell>
          <cell r="G299">
            <v>1144</v>
          </cell>
        </row>
        <row r="300">
          <cell r="C300">
            <v>983</v>
          </cell>
          <cell r="G300">
            <v>983</v>
          </cell>
        </row>
        <row r="301">
          <cell r="C301">
            <v>858</v>
          </cell>
          <cell r="G301">
            <v>3514</v>
          </cell>
        </row>
        <row r="302">
          <cell r="C302">
            <v>1187</v>
          </cell>
          <cell r="G302">
            <v>1205</v>
          </cell>
        </row>
        <row r="303">
          <cell r="C303">
            <v>881</v>
          </cell>
          <cell r="G303">
            <v>3644</v>
          </cell>
        </row>
        <row r="304">
          <cell r="C304">
            <v>2.52</v>
          </cell>
          <cell r="G304">
            <v>2.91</v>
          </cell>
        </row>
        <row r="305">
          <cell r="C305">
            <v>94400</v>
          </cell>
          <cell r="G305">
            <v>94400</v>
          </cell>
        </row>
        <row r="316">
          <cell r="C316">
            <v>5618</v>
          </cell>
          <cell r="G316">
            <v>22219</v>
          </cell>
        </row>
        <row r="317">
          <cell r="C317">
            <v>7213</v>
          </cell>
          <cell r="G317">
            <v>28135</v>
          </cell>
        </row>
        <row r="318">
          <cell r="C318">
            <v>77.900000000000006</v>
          </cell>
          <cell r="G318">
            <v>79</v>
          </cell>
        </row>
        <row r="321">
          <cell r="C321">
            <v>13021</v>
          </cell>
          <cell r="G321">
            <v>51766</v>
          </cell>
        </row>
        <row r="322">
          <cell r="C322">
            <v>566</v>
          </cell>
          <cell r="G322">
            <v>566</v>
          </cell>
        </row>
        <row r="323">
          <cell r="C323">
            <v>174</v>
          </cell>
          <cell r="G323">
            <v>688</v>
          </cell>
        </row>
        <row r="324">
          <cell r="C324">
            <v>2.5099999999999998</v>
          </cell>
          <cell r="G324">
            <v>2.92</v>
          </cell>
        </row>
        <row r="325">
          <cell r="C325">
            <v>18900</v>
          </cell>
          <cell r="G325">
            <v>18900</v>
          </cell>
        </row>
        <row r="330">
          <cell r="C330">
            <v>52140</v>
          </cell>
          <cell r="G330">
            <v>217870</v>
          </cell>
        </row>
        <row r="331">
          <cell r="C331">
            <v>65053</v>
          </cell>
          <cell r="G331">
            <v>265657</v>
          </cell>
        </row>
        <row r="332">
          <cell r="C332">
            <v>611</v>
          </cell>
          <cell r="G332">
            <v>2333</v>
          </cell>
        </row>
        <row r="333">
          <cell r="C333">
            <v>80.099999999999994</v>
          </cell>
          <cell r="G333">
            <v>82</v>
          </cell>
        </row>
        <row r="334">
          <cell r="C334">
            <v>16.84</v>
          </cell>
          <cell r="G334">
            <v>17.04</v>
          </cell>
        </row>
        <row r="335">
          <cell r="C335">
            <v>13.5</v>
          </cell>
          <cell r="G335">
            <v>13.97</v>
          </cell>
        </row>
        <row r="336">
          <cell r="C336">
            <v>15.62</v>
          </cell>
          <cell r="G336">
            <v>16.05</v>
          </cell>
        </row>
        <row r="337">
          <cell r="C337">
            <v>37.950000000000003</v>
          </cell>
          <cell r="G337">
            <v>37.5</v>
          </cell>
        </row>
        <row r="338">
          <cell r="C338">
            <v>48326</v>
          </cell>
          <cell r="G338">
            <v>197340</v>
          </cell>
        </row>
        <row r="339">
          <cell r="C339">
            <v>1549</v>
          </cell>
          <cell r="G339">
            <v>1549</v>
          </cell>
        </row>
        <row r="340">
          <cell r="C340">
            <v>1055</v>
          </cell>
          <cell r="G340">
            <v>4332</v>
          </cell>
        </row>
        <row r="341">
          <cell r="C341">
            <v>2.52</v>
          </cell>
          <cell r="G341">
            <v>2.91</v>
          </cell>
        </row>
        <row r="342">
          <cell r="C342">
            <v>113300</v>
          </cell>
          <cell r="G342">
            <v>113300</v>
          </cell>
        </row>
        <row r="343">
          <cell r="C343">
            <v>14.3</v>
          </cell>
          <cell r="G343">
            <v>14.45</v>
          </cell>
        </row>
        <row r="344">
          <cell r="C344">
            <v>13.56</v>
          </cell>
          <cell r="G344">
            <v>14.14</v>
          </cell>
        </row>
        <row r="345">
          <cell r="C345">
            <v>9.4700000000000006</v>
          </cell>
          <cell r="G345">
            <v>9.4</v>
          </cell>
        </row>
        <row r="365">
          <cell r="C365">
            <v>30591</v>
          </cell>
          <cell r="G365">
            <v>125916</v>
          </cell>
        </row>
        <row r="366">
          <cell r="C366">
            <v>37008</v>
          </cell>
          <cell r="G366">
            <v>148083</v>
          </cell>
        </row>
        <row r="367">
          <cell r="C367">
            <v>82.7</v>
          </cell>
          <cell r="G367">
            <v>85</v>
          </cell>
        </row>
        <row r="368">
          <cell r="C368">
            <v>15.88</v>
          </cell>
          <cell r="G368">
            <v>15.89</v>
          </cell>
        </row>
        <row r="369">
          <cell r="C369">
            <v>13.12</v>
          </cell>
          <cell r="G369">
            <v>13.51</v>
          </cell>
        </row>
        <row r="371">
          <cell r="C371">
            <v>7477</v>
          </cell>
          <cell r="G371">
            <v>32093</v>
          </cell>
        </row>
        <row r="372">
          <cell r="C372">
            <v>9742</v>
          </cell>
          <cell r="G372">
            <v>41581</v>
          </cell>
        </row>
        <row r="373">
          <cell r="C373">
            <v>76.8</v>
          </cell>
          <cell r="G373">
            <v>77.2</v>
          </cell>
        </row>
        <row r="374">
          <cell r="C374">
            <v>16.47</v>
          </cell>
          <cell r="G374">
            <v>16.760000000000002</v>
          </cell>
        </row>
        <row r="375">
          <cell r="C375">
            <v>12.64</v>
          </cell>
          <cell r="G375">
            <v>12.94</v>
          </cell>
        </row>
        <row r="377">
          <cell r="C377">
            <v>6245</v>
          </cell>
          <cell r="G377">
            <v>29306</v>
          </cell>
        </row>
        <row r="378">
          <cell r="C378">
            <v>8233</v>
          </cell>
          <cell r="G378">
            <v>37573</v>
          </cell>
        </row>
        <row r="379">
          <cell r="C379">
            <v>75.900000000000006</v>
          </cell>
          <cell r="G379">
            <v>78</v>
          </cell>
        </row>
        <row r="380">
          <cell r="C380">
            <v>14.14</v>
          </cell>
          <cell r="G380">
            <v>14.89</v>
          </cell>
        </row>
        <row r="381">
          <cell r="C381">
            <v>10.73</v>
          </cell>
          <cell r="G381">
            <v>11.61</v>
          </cell>
        </row>
        <row r="383">
          <cell r="C383">
            <v>2209</v>
          </cell>
          <cell r="G383">
            <v>8335</v>
          </cell>
        </row>
        <row r="384">
          <cell r="C384">
            <v>2858</v>
          </cell>
          <cell r="G384">
            <v>10285</v>
          </cell>
        </row>
        <row r="385">
          <cell r="C385">
            <v>77.3</v>
          </cell>
          <cell r="G385">
            <v>81</v>
          </cell>
        </row>
        <row r="386">
          <cell r="C386">
            <v>12.09</v>
          </cell>
          <cell r="G386">
            <v>12.66</v>
          </cell>
        </row>
        <row r="387">
          <cell r="C387">
            <v>9.34</v>
          </cell>
          <cell r="G387">
            <v>10.26</v>
          </cell>
        </row>
        <row r="389">
          <cell r="C389">
            <v>15931</v>
          </cell>
          <cell r="G389">
            <v>69734</v>
          </cell>
        </row>
        <row r="395">
          <cell r="C395">
            <v>20833</v>
          </cell>
          <cell r="G395">
            <v>89439</v>
          </cell>
        </row>
        <row r="396">
          <cell r="C396">
            <v>76.5</v>
          </cell>
          <cell r="G396">
            <v>78</v>
          </cell>
        </row>
        <row r="397">
          <cell r="C397">
            <v>14.95</v>
          </cell>
          <cell r="G397">
            <v>15.48</v>
          </cell>
        </row>
        <row r="398">
          <cell r="C398">
            <v>11.43</v>
          </cell>
          <cell r="G398">
            <v>12.07</v>
          </cell>
        </row>
        <row r="419">
          <cell r="C419">
            <v>1080</v>
          </cell>
          <cell r="F419">
            <v>4168</v>
          </cell>
        </row>
        <row r="422">
          <cell r="C422">
            <v>10160</v>
          </cell>
          <cell r="F422">
            <v>42650</v>
          </cell>
        </row>
        <row r="436">
          <cell r="D436">
            <v>1104</v>
          </cell>
          <cell r="I436">
            <v>4184</v>
          </cell>
        </row>
        <row r="449">
          <cell r="D449">
            <v>1.52</v>
          </cell>
          <cell r="I449">
            <v>5.7</v>
          </cell>
        </row>
        <row r="456">
          <cell r="D456">
            <v>1342</v>
          </cell>
          <cell r="I456">
            <v>5073</v>
          </cell>
        </row>
        <row r="516">
          <cell r="D516">
            <v>8818</v>
          </cell>
          <cell r="H516">
            <v>37577</v>
          </cell>
        </row>
      </sheetData>
      <sheetData sheetId="1"/>
      <sheetData sheetId="2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63">
          <cell r="E63">
            <v>9630</v>
          </cell>
          <cell r="I63">
            <v>40990</v>
          </cell>
        </row>
        <row r="65">
          <cell r="E65">
            <v>8112</v>
          </cell>
          <cell r="I65">
            <v>33706</v>
          </cell>
        </row>
        <row r="66">
          <cell r="E66">
            <v>1518</v>
          </cell>
          <cell r="I66">
            <v>7284</v>
          </cell>
        </row>
        <row r="67">
          <cell r="E67">
            <v>1286</v>
          </cell>
          <cell r="I67">
            <v>6290</v>
          </cell>
        </row>
        <row r="69">
          <cell r="E69">
            <v>1286</v>
          </cell>
          <cell r="I69">
            <v>6269</v>
          </cell>
        </row>
        <row r="70">
          <cell r="I70">
            <v>9.1199999999999992</v>
          </cell>
        </row>
        <row r="74">
          <cell r="F74">
            <v>2</v>
          </cell>
        </row>
        <row r="358">
          <cell r="C358">
            <v>48319</v>
          </cell>
          <cell r="G358">
            <v>199467</v>
          </cell>
        </row>
        <row r="359">
          <cell r="C359">
            <v>58143</v>
          </cell>
          <cell r="G359">
            <v>239375</v>
          </cell>
        </row>
        <row r="360">
          <cell r="C360">
            <v>83.1</v>
          </cell>
          <cell r="G360">
            <v>83.3</v>
          </cell>
        </row>
        <row r="368">
          <cell r="C368">
            <v>36131</v>
          </cell>
          <cell r="G368">
            <v>146814</v>
          </cell>
        </row>
        <row r="369">
          <cell r="C369">
            <v>274</v>
          </cell>
          <cell r="G369">
            <v>1114</v>
          </cell>
        </row>
        <row r="370">
          <cell r="C370">
            <v>946</v>
          </cell>
          <cell r="G370">
            <v>946</v>
          </cell>
        </row>
        <row r="371">
          <cell r="C371">
            <v>850</v>
          </cell>
          <cell r="G371">
            <v>3494</v>
          </cell>
        </row>
        <row r="372">
          <cell r="C372">
            <v>1209</v>
          </cell>
          <cell r="G372">
            <v>1226</v>
          </cell>
        </row>
        <row r="373">
          <cell r="C373">
            <v>875</v>
          </cell>
          <cell r="G373">
            <v>3611</v>
          </cell>
        </row>
        <row r="375">
          <cell r="C375">
            <v>1.5</v>
          </cell>
          <cell r="G375">
            <v>1.72</v>
          </cell>
        </row>
        <row r="377">
          <cell r="C377">
            <v>98900</v>
          </cell>
          <cell r="G377">
            <v>98900</v>
          </cell>
        </row>
        <row r="386">
          <cell r="C386">
            <v>5814</v>
          </cell>
          <cell r="G386">
            <v>23543</v>
          </cell>
        </row>
        <row r="387">
          <cell r="C387">
            <v>7310</v>
          </cell>
          <cell r="G387">
            <v>29361</v>
          </cell>
        </row>
        <row r="388">
          <cell r="C388">
            <v>79.5</v>
          </cell>
          <cell r="G388">
            <v>80.2</v>
          </cell>
        </row>
        <row r="391">
          <cell r="C391">
            <v>13402</v>
          </cell>
          <cell r="G391">
            <v>54435</v>
          </cell>
        </row>
        <row r="392">
          <cell r="C392">
            <v>587</v>
          </cell>
          <cell r="G392">
            <v>587</v>
          </cell>
        </row>
        <row r="393">
          <cell r="C393">
            <v>177</v>
          </cell>
          <cell r="G393">
            <v>712</v>
          </cell>
        </row>
        <row r="395">
          <cell r="C395">
            <v>1.47</v>
          </cell>
          <cell r="G395">
            <v>1.73</v>
          </cell>
        </row>
        <row r="397">
          <cell r="C397">
            <v>19600</v>
          </cell>
          <cell r="G397">
            <v>19600</v>
          </cell>
        </row>
        <row r="410">
          <cell r="C410">
            <v>54133</v>
          </cell>
          <cell r="G410">
            <v>223010</v>
          </cell>
        </row>
        <row r="411">
          <cell r="C411">
            <v>65453</v>
          </cell>
          <cell r="G411">
            <v>268736</v>
          </cell>
        </row>
        <row r="412">
          <cell r="C412">
            <v>598</v>
          </cell>
          <cell r="G412">
            <v>2314</v>
          </cell>
        </row>
        <row r="413">
          <cell r="C413">
            <v>82.7</v>
          </cell>
          <cell r="G413">
            <v>83</v>
          </cell>
        </row>
        <row r="414">
          <cell r="C414">
            <v>15.34</v>
          </cell>
          <cell r="G414">
            <v>15.92</v>
          </cell>
        </row>
        <row r="415">
          <cell r="C415">
            <v>12.69</v>
          </cell>
          <cell r="G415">
            <v>13.21</v>
          </cell>
        </row>
        <row r="416">
          <cell r="C416">
            <v>14.71</v>
          </cell>
          <cell r="G416">
            <v>15.25</v>
          </cell>
        </row>
        <row r="417">
          <cell r="C417">
            <v>32.07</v>
          </cell>
          <cell r="G417">
            <v>32.840000000000003</v>
          </cell>
        </row>
        <row r="418">
          <cell r="C418">
            <v>49533</v>
          </cell>
          <cell r="G418">
            <v>201249</v>
          </cell>
        </row>
        <row r="419">
          <cell r="C419">
            <v>1533</v>
          </cell>
          <cell r="G419">
            <v>1533</v>
          </cell>
        </row>
        <row r="420">
          <cell r="C420">
            <v>1052</v>
          </cell>
          <cell r="G420">
            <v>4323</v>
          </cell>
        </row>
        <row r="422">
          <cell r="C422">
            <v>1.5</v>
          </cell>
          <cell r="G422">
            <v>1.72</v>
          </cell>
        </row>
        <row r="424">
          <cell r="C424">
            <v>118500</v>
          </cell>
          <cell r="G424">
            <v>118500</v>
          </cell>
        </row>
        <row r="426">
          <cell r="C426">
            <v>13.08</v>
          </cell>
          <cell r="G426">
            <v>12.94</v>
          </cell>
        </row>
        <row r="428">
          <cell r="C428">
            <v>12.39</v>
          </cell>
          <cell r="G428">
            <v>12.54</v>
          </cell>
        </row>
        <row r="430">
          <cell r="C430">
            <v>9.99</v>
          </cell>
          <cell r="G430">
            <v>9.77</v>
          </cell>
        </row>
        <row r="454">
          <cell r="G454">
            <v>128590</v>
          </cell>
        </row>
        <row r="455">
          <cell r="G455">
            <v>149584</v>
          </cell>
        </row>
        <row r="456">
          <cell r="G456">
            <v>86</v>
          </cell>
        </row>
        <row r="457">
          <cell r="G457">
            <v>14.96</v>
          </cell>
        </row>
        <row r="458">
          <cell r="G458">
            <v>12.86</v>
          </cell>
        </row>
        <row r="463">
          <cell r="C463">
            <v>37390</v>
          </cell>
          <cell r="G463">
            <v>152133</v>
          </cell>
        </row>
        <row r="464">
          <cell r="C464">
            <v>44019</v>
          </cell>
          <cell r="G464">
            <v>178945</v>
          </cell>
        </row>
        <row r="465">
          <cell r="C465">
            <v>84.9</v>
          </cell>
          <cell r="G465">
            <v>85</v>
          </cell>
        </row>
        <row r="466">
          <cell r="C466">
            <v>16.5</v>
          </cell>
          <cell r="G466">
            <v>16.899999999999999</v>
          </cell>
        </row>
        <row r="467">
          <cell r="C467">
            <v>14.01</v>
          </cell>
          <cell r="G467">
            <v>14.37</v>
          </cell>
        </row>
        <row r="469">
          <cell r="C469">
            <v>7529</v>
          </cell>
          <cell r="G469">
            <v>31201</v>
          </cell>
        </row>
        <row r="470">
          <cell r="C470">
            <v>9695</v>
          </cell>
          <cell r="G470">
            <v>39726</v>
          </cell>
        </row>
        <row r="471">
          <cell r="C471">
            <v>77.7</v>
          </cell>
          <cell r="G471">
            <v>78.5</v>
          </cell>
        </row>
        <row r="472">
          <cell r="C472">
            <v>13.53</v>
          </cell>
          <cell r="G472">
            <v>14.54</v>
          </cell>
        </row>
        <row r="473">
          <cell r="C473">
            <v>10.51</v>
          </cell>
          <cell r="G473">
            <v>11.42</v>
          </cell>
        </row>
        <row r="481">
          <cell r="C481">
            <v>6564</v>
          </cell>
          <cell r="G481">
            <v>29218</v>
          </cell>
        </row>
        <row r="482">
          <cell r="C482">
            <v>8536</v>
          </cell>
          <cell r="G482">
            <v>37611</v>
          </cell>
        </row>
        <row r="483">
          <cell r="C483">
            <v>76.900000000000006</v>
          </cell>
          <cell r="G483">
            <v>77.7</v>
          </cell>
        </row>
        <row r="484">
          <cell r="C484">
            <v>12.92</v>
          </cell>
          <cell r="G484">
            <v>14.11</v>
          </cell>
        </row>
        <row r="485">
          <cell r="C485">
            <v>9.93</v>
          </cell>
          <cell r="G485">
            <v>10.96</v>
          </cell>
        </row>
        <row r="487">
          <cell r="C487">
            <v>2650</v>
          </cell>
          <cell r="G487">
            <v>10458</v>
          </cell>
        </row>
        <row r="488">
          <cell r="C488">
            <v>3203</v>
          </cell>
          <cell r="G488">
            <v>12454</v>
          </cell>
        </row>
        <row r="489">
          <cell r="C489">
            <v>82.7</v>
          </cell>
          <cell r="G489">
            <v>84</v>
          </cell>
        </row>
        <row r="490">
          <cell r="C490">
            <v>10.19</v>
          </cell>
          <cell r="G490">
            <v>10.89</v>
          </cell>
        </row>
        <row r="491">
          <cell r="C491">
            <v>8.43</v>
          </cell>
          <cell r="G491">
            <v>9.14</v>
          </cell>
        </row>
        <row r="493">
          <cell r="C493">
            <v>16743</v>
          </cell>
        </row>
        <row r="494">
          <cell r="C494">
            <v>21434</v>
          </cell>
        </row>
        <row r="495">
          <cell r="C495">
            <v>78.099999999999994</v>
          </cell>
        </row>
        <row r="496">
          <cell r="C496">
            <v>12.76</v>
          </cell>
        </row>
        <row r="497">
          <cell r="C497">
            <v>9.9700000000000006</v>
          </cell>
        </row>
      </sheetData>
      <sheetData sheetId="1"/>
      <sheetData sheetId="2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40">
          <cell r="E40">
            <v>9789</v>
          </cell>
          <cell r="I40">
            <v>40180</v>
          </cell>
        </row>
        <row r="44">
          <cell r="E44">
            <v>8761</v>
          </cell>
          <cell r="I44">
            <v>34173</v>
          </cell>
        </row>
        <row r="47">
          <cell r="E47">
            <v>1028</v>
          </cell>
          <cell r="I47">
            <v>6007</v>
          </cell>
        </row>
        <row r="51">
          <cell r="H51">
            <v>773</v>
          </cell>
          <cell r="P51">
            <v>5071</v>
          </cell>
        </row>
        <row r="56">
          <cell r="E56">
            <v>475</v>
          </cell>
          <cell r="I56">
            <v>3173</v>
          </cell>
        </row>
        <row r="58">
          <cell r="E58">
            <v>0.92</v>
          </cell>
          <cell r="I58">
            <v>5.71</v>
          </cell>
        </row>
        <row r="305">
          <cell r="C305">
            <v>47395</v>
          </cell>
          <cell r="G305">
            <v>199014</v>
          </cell>
        </row>
        <row r="306">
          <cell r="C306">
            <v>57749</v>
          </cell>
          <cell r="G306">
            <v>241734</v>
          </cell>
        </row>
        <row r="307">
          <cell r="C307">
            <v>82.1</v>
          </cell>
          <cell r="G307">
            <v>82.3</v>
          </cell>
        </row>
        <row r="310">
          <cell r="C310">
            <v>34700</v>
          </cell>
          <cell r="G310">
            <v>144530</v>
          </cell>
        </row>
        <row r="311">
          <cell r="C311">
            <v>265</v>
          </cell>
          <cell r="G311">
            <v>1102</v>
          </cell>
        </row>
        <row r="312">
          <cell r="C312">
            <v>930</v>
          </cell>
          <cell r="G312">
            <v>930</v>
          </cell>
        </row>
        <row r="313">
          <cell r="C313">
            <v>827</v>
          </cell>
          <cell r="G313">
            <v>3477</v>
          </cell>
        </row>
        <row r="314">
          <cell r="C314">
            <v>1215</v>
          </cell>
          <cell r="G314">
            <v>1230</v>
          </cell>
        </row>
        <row r="315">
          <cell r="C315">
            <v>857</v>
          </cell>
          <cell r="G315">
            <v>3596</v>
          </cell>
        </row>
        <row r="316">
          <cell r="C316">
            <v>1.56</v>
          </cell>
          <cell r="G316">
            <v>1.41</v>
          </cell>
        </row>
        <row r="317">
          <cell r="C317">
            <v>101500</v>
          </cell>
          <cell r="G317">
            <v>101500</v>
          </cell>
        </row>
        <row r="322">
          <cell r="C322">
            <v>6057</v>
          </cell>
          <cell r="G322">
            <v>24463</v>
          </cell>
        </row>
        <row r="323">
          <cell r="C323">
            <v>7934</v>
          </cell>
          <cell r="G323">
            <v>31676</v>
          </cell>
        </row>
        <row r="324">
          <cell r="C324">
            <v>76.3</v>
          </cell>
          <cell r="G324">
            <v>77.2</v>
          </cell>
        </row>
        <row r="327">
          <cell r="C327">
            <v>13276</v>
          </cell>
          <cell r="G327">
            <v>54184</v>
          </cell>
        </row>
        <row r="328">
          <cell r="C328">
            <v>606</v>
          </cell>
          <cell r="G328">
            <v>606</v>
          </cell>
        </row>
        <row r="329">
          <cell r="C329">
            <v>187</v>
          </cell>
          <cell r="G329">
            <v>751</v>
          </cell>
        </row>
        <row r="335">
          <cell r="C335">
            <v>1.65</v>
          </cell>
          <cell r="G335">
            <v>1.48</v>
          </cell>
        </row>
        <row r="336">
          <cell r="C336">
            <v>20800</v>
          </cell>
          <cell r="G336">
            <v>20800</v>
          </cell>
        </row>
        <row r="341">
          <cell r="C341">
            <v>53452</v>
          </cell>
          <cell r="G341">
            <v>223477</v>
          </cell>
        </row>
        <row r="342">
          <cell r="C342">
            <v>65683</v>
          </cell>
          <cell r="G342">
            <v>273410</v>
          </cell>
        </row>
        <row r="343">
          <cell r="C343">
            <v>670</v>
          </cell>
          <cell r="G343">
            <v>2424</v>
          </cell>
        </row>
        <row r="344">
          <cell r="C344">
            <v>81.400000000000006</v>
          </cell>
          <cell r="G344">
            <v>81.7</v>
          </cell>
        </row>
        <row r="345">
          <cell r="C345">
            <v>15.62</v>
          </cell>
          <cell r="G345">
            <v>15.47</v>
          </cell>
        </row>
        <row r="346">
          <cell r="C346">
            <v>12.71</v>
          </cell>
          <cell r="G346">
            <v>12.65</v>
          </cell>
        </row>
        <row r="347">
          <cell r="C347">
            <v>14.9</v>
          </cell>
          <cell r="G347">
            <v>14.7</v>
          </cell>
        </row>
        <row r="348">
          <cell r="C348">
            <v>28.97</v>
          </cell>
          <cell r="G348">
            <v>28.89</v>
          </cell>
        </row>
        <row r="349">
          <cell r="C349">
            <v>47976</v>
          </cell>
          <cell r="G349">
            <v>198714</v>
          </cell>
        </row>
        <row r="350">
          <cell r="C350">
            <v>1536</v>
          </cell>
          <cell r="G350">
            <v>1536</v>
          </cell>
        </row>
        <row r="351">
          <cell r="C351">
            <v>1044</v>
          </cell>
          <cell r="G351">
            <v>4347</v>
          </cell>
        </row>
        <row r="352">
          <cell r="C352">
            <v>1.57</v>
          </cell>
          <cell r="G352">
            <v>1.42</v>
          </cell>
        </row>
        <row r="353">
          <cell r="C353">
            <v>122300</v>
          </cell>
          <cell r="G353">
            <v>122300</v>
          </cell>
        </row>
        <row r="354">
          <cell r="C354">
            <v>13.74</v>
          </cell>
          <cell r="G354">
            <v>12.76</v>
          </cell>
        </row>
        <row r="355">
          <cell r="C355">
            <v>13.34</v>
          </cell>
          <cell r="G355">
            <v>12.5</v>
          </cell>
        </row>
        <row r="356">
          <cell r="C356">
            <v>10.84</v>
          </cell>
          <cell r="G356">
            <v>10.24</v>
          </cell>
        </row>
        <row r="386">
          <cell r="C386">
            <v>36631</v>
          </cell>
          <cell r="G386">
            <v>152332</v>
          </cell>
        </row>
        <row r="387">
          <cell r="C387">
            <v>44295</v>
          </cell>
          <cell r="G387">
            <v>182330</v>
          </cell>
        </row>
        <row r="388">
          <cell r="C388">
            <v>82.7</v>
          </cell>
          <cell r="G388">
            <v>83.5</v>
          </cell>
        </row>
        <row r="389">
          <cell r="C389">
            <v>16.989999999999998</v>
          </cell>
          <cell r="G389">
            <v>16.66</v>
          </cell>
        </row>
        <row r="390">
          <cell r="C390">
            <v>14.05</v>
          </cell>
          <cell r="G390">
            <v>13.92</v>
          </cell>
        </row>
        <row r="392">
          <cell r="C392">
            <v>7070</v>
          </cell>
          <cell r="G392">
            <v>29927</v>
          </cell>
        </row>
        <row r="393">
          <cell r="C393">
            <v>8866</v>
          </cell>
          <cell r="G393">
            <v>37760</v>
          </cell>
        </row>
        <row r="394">
          <cell r="C394">
            <v>79.7</v>
          </cell>
          <cell r="G394">
            <v>79.3</v>
          </cell>
        </row>
        <row r="395">
          <cell r="C395">
            <v>14.52</v>
          </cell>
          <cell r="G395">
            <v>13.72</v>
          </cell>
        </row>
        <row r="396">
          <cell r="C396">
            <v>11.58</v>
          </cell>
          <cell r="G396">
            <v>10.87</v>
          </cell>
        </row>
        <row r="398">
          <cell r="C398">
            <v>6087</v>
          </cell>
          <cell r="G398">
            <v>27794</v>
          </cell>
        </row>
        <row r="399">
          <cell r="C399">
            <v>8071</v>
          </cell>
          <cell r="G399">
            <v>37174</v>
          </cell>
        </row>
        <row r="400">
          <cell r="C400">
            <v>75.400000000000006</v>
          </cell>
          <cell r="G400">
            <v>74.8</v>
          </cell>
        </row>
        <row r="401">
          <cell r="C401">
            <v>12.15</v>
          </cell>
          <cell r="G401">
            <v>13.6</v>
          </cell>
        </row>
        <row r="402">
          <cell r="C402">
            <v>9.16</v>
          </cell>
          <cell r="G402">
            <v>10.17</v>
          </cell>
        </row>
        <row r="404">
          <cell r="C404">
            <v>3664</v>
          </cell>
          <cell r="G404">
            <v>13424</v>
          </cell>
        </row>
        <row r="405">
          <cell r="C405">
            <v>4451</v>
          </cell>
          <cell r="G405">
            <v>16145</v>
          </cell>
        </row>
        <row r="406">
          <cell r="C406">
            <v>82.3</v>
          </cell>
          <cell r="G406">
            <v>83.1</v>
          </cell>
        </row>
        <row r="407">
          <cell r="C407">
            <v>9.74</v>
          </cell>
          <cell r="G407">
            <v>9.7799999999999994</v>
          </cell>
        </row>
        <row r="413">
          <cell r="C413">
            <v>8.01</v>
          </cell>
          <cell r="G413">
            <v>8.1300000000000008</v>
          </cell>
        </row>
        <row r="415">
          <cell r="C415">
            <v>16821</v>
          </cell>
          <cell r="G415">
            <v>71145</v>
          </cell>
        </row>
        <row r="416">
          <cell r="C416">
            <v>21388</v>
          </cell>
          <cell r="G416">
            <v>91079</v>
          </cell>
        </row>
        <row r="417">
          <cell r="C417">
            <v>78.599999999999994</v>
          </cell>
          <cell r="G417">
            <v>78.099999999999994</v>
          </cell>
        </row>
        <row r="418">
          <cell r="C418">
            <v>12.62</v>
          </cell>
          <cell r="G418">
            <v>12.93</v>
          </cell>
        </row>
        <row r="419">
          <cell r="C419">
            <v>9.93</v>
          </cell>
          <cell r="G419">
            <v>10.1</v>
          </cell>
        </row>
      </sheetData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332">
          <cell r="C332">
            <v>45828</v>
          </cell>
        </row>
        <row r="333">
          <cell r="C333">
            <v>56831</v>
          </cell>
        </row>
        <row r="334">
          <cell r="C334">
            <v>80.599999999999994</v>
          </cell>
        </row>
        <row r="337">
          <cell r="C337">
            <v>34843</v>
          </cell>
        </row>
        <row r="338">
          <cell r="C338">
            <v>279</v>
          </cell>
        </row>
        <row r="339">
          <cell r="C339">
            <v>977</v>
          </cell>
        </row>
        <row r="340">
          <cell r="C340">
            <v>853</v>
          </cell>
        </row>
        <row r="341">
          <cell r="C341">
            <v>1189</v>
          </cell>
        </row>
        <row r="342">
          <cell r="C342">
            <v>874</v>
          </cell>
        </row>
        <row r="343">
          <cell r="C343">
            <v>3.1</v>
          </cell>
        </row>
        <row r="344">
          <cell r="C344">
            <v>93400</v>
          </cell>
        </row>
        <row r="354">
          <cell r="C354">
            <v>5058</v>
          </cell>
        </row>
        <row r="355">
          <cell r="C355">
            <v>6561</v>
          </cell>
        </row>
        <row r="356">
          <cell r="C356">
            <v>77.099999999999994</v>
          </cell>
        </row>
        <row r="359">
          <cell r="C359">
            <v>11709</v>
          </cell>
        </row>
        <row r="360">
          <cell r="C360">
            <v>560</v>
          </cell>
        </row>
        <row r="361">
          <cell r="C361">
            <v>161</v>
          </cell>
        </row>
        <row r="362">
          <cell r="C362">
            <v>3.1</v>
          </cell>
        </row>
        <row r="363">
          <cell r="C363">
            <v>18000</v>
          </cell>
        </row>
        <row r="374">
          <cell r="C374">
            <v>50886</v>
          </cell>
        </row>
        <row r="375">
          <cell r="C375">
            <v>63392</v>
          </cell>
        </row>
        <row r="376">
          <cell r="C376">
            <v>560</v>
          </cell>
        </row>
        <row r="377">
          <cell r="C377">
            <v>80.3</v>
          </cell>
        </row>
        <row r="378">
          <cell r="C378">
            <v>17.03</v>
          </cell>
        </row>
        <row r="379">
          <cell r="C379">
            <v>13.67</v>
          </cell>
        </row>
        <row r="380">
          <cell r="C380">
            <v>15.77</v>
          </cell>
        </row>
        <row r="381">
          <cell r="C381">
            <v>36.880000000000003</v>
          </cell>
        </row>
        <row r="382">
          <cell r="C382">
            <v>46552</v>
          </cell>
        </row>
        <row r="383">
          <cell r="C383">
            <v>1537</v>
          </cell>
        </row>
        <row r="384">
          <cell r="C384">
            <v>1035</v>
          </cell>
        </row>
        <row r="385">
          <cell r="C385">
            <v>3.1</v>
          </cell>
        </row>
        <row r="386">
          <cell r="C386">
            <v>111400</v>
          </cell>
        </row>
        <row r="387">
          <cell r="C387">
            <v>14.62</v>
          </cell>
        </row>
        <row r="388">
          <cell r="C388">
            <v>14.83</v>
          </cell>
        </row>
        <row r="389">
          <cell r="C389">
            <v>9.76</v>
          </cell>
        </row>
        <row r="410">
          <cell r="C410">
            <v>30176</v>
          </cell>
        </row>
        <row r="411">
          <cell r="C411">
            <v>35989</v>
          </cell>
        </row>
        <row r="417">
          <cell r="C417">
            <v>83.8</v>
          </cell>
        </row>
        <row r="418">
          <cell r="C418">
            <v>15.79</v>
          </cell>
        </row>
        <row r="419">
          <cell r="C419">
            <v>13.24</v>
          </cell>
        </row>
        <row r="421">
          <cell r="C421">
            <v>8683</v>
          </cell>
        </row>
        <row r="422">
          <cell r="C422">
            <v>11358</v>
          </cell>
        </row>
        <row r="423">
          <cell r="C423">
            <v>76.400000000000006</v>
          </cell>
        </row>
        <row r="424">
          <cell r="C424">
            <v>17.82</v>
          </cell>
        </row>
        <row r="425">
          <cell r="C425">
            <v>13.62</v>
          </cell>
        </row>
        <row r="427">
          <cell r="C427">
            <v>5264</v>
          </cell>
        </row>
        <row r="428">
          <cell r="C428">
            <v>7405</v>
          </cell>
        </row>
        <row r="429">
          <cell r="C429">
            <v>71.099999999999994</v>
          </cell>
        </row>
        <row r="430">
          <cell r="C430">
            <v>14</v>
          </cell>
        </row>
        <row r="431">
          <cell r="C431">
            <v>9.9600000000000009</v>
          </cell>
        </row>
        <row r="439">
          <cell r="C439">
            <v>1705</v>
          </cell>
        </row>
        <row r="440">
          <cell r="C440">
            <v>2079</v>
          </cell>
        </row>
        <row r="441">
          <cell r="C441">
            <v>82</v>
          </cell>
        </row>
        <row r="442">
          <cell r="C442">
            <v>12.32</v>
          </cell>
        </row>
        <row r="443">
          <cell r="C443">
            <v>10.11</v>
          </cell>
        </row>
        <row r="445">
          <cell r="C445">
            <v>15652</v>
          </cell>
        </row>
        <row r="446">
          <cell r="C446">
            <v>20842</v>
          </cell>
        </row>
        <row r="447">
          <cell r="C447">
            <v>75.099999999999994</v>
          </cell>
        </row>
        <row r="448">
          <cell r="C448">
            <v>15.94</v>
          </cell>
        </row>
        <row r="449">
          <cell r="C449">
            <v>11.97</v>
          </cell>
        </row>
        <row r="477">
          <cell r="C477">
            <v>407</v>
          </cell>
        </row>
        <row r="488">
          <cell r="C488">
            <v>9995</v>
          </cell>
        </row>
        <row r="500">
          <cell r="C500">
            <v>402</v>
          </cell>
        </row>
        <row r="517">
          <cell r="C517">
            <v>0.54</v>
          </cell>
        </row>
        <row r="531">
          <cell r="C531">
            <v>597</v>
          </cell>
        </row>
        <row r="597">
          <cell r="C597">
            <v>9398</v>
          </cell>
        </row>
      </sheetData>
      <sheetData sheetId="1"/>
      <sheetData sheetId="2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397">
          <cell r="D397">
            <v>51407</v>
          </cell>
        </row>
        <row r="398">
          <cell r="D398">
            <v>60999</v>
          </cell>
        </row>
        <row r="399">
          <cell r="D399">
            <v>84.3</v>
          </cell>
        </row>
        <row r="409">
          <cell r="C409">
            <v>37910</v>
          </cell>
        </row>
        <row r="410">
          <cell r="C410">
            <v>292</v>
          </cell>
        </row>
        <row r="411">
          <cell r="C411">
            <v>984</v>
          </cell>
        </row>
        <row r="412">
          <cell r="C412">
            <v>901</v>
          </cell>
        </row>
        <row r="413">
          <cell r="C413">
            <v>1215</v>
          </cell>
        </row>
        <row r="414">
          <cell r="C414">
            <v>937</v>
          </cell>
        </row>
        <row r="416">
          <cell r="C416">
            <v>3.02</v>
          </cell>
        </row>
        <row r="417">
          <cell r="C417">
            <v>94100</v>
          </cell>
        </row>
        <row r="425">
          <cell r="D425">
            <v>5787</v>
          </cell>
        </row>
        <row r="426">
          <cell r="D426">
            <v>7091</v>
          </cell>
        </row>
        <row r="427">
          <cell r="D427">
            <v>81.599999999999994</v>
          </cell>
        </row>
        <row r="437">
          <cell r="C437">
            <v>13553</v>
          </cell>
        </row>
        <row r="438">
          <cell r="C438">
            <v>557</v>
          </cell>
        </row>
        <row r="439">
          <cell r="C439">
            <v>174</v>
          </cell>
        </row>
        <row r="441">
          <cell r="C441">
            <v>3.07</v>
          </cell>
        </row>
        <row r="442">
          <cell r="C442">
            <v>18300</v>
          </cell>
        </row>
        <row r="450">
          <cell r="D450">
            <v>57194</v>
          </cell>
        </row>
        <row r="451">
          <cell r="D451">
            <v>68090</v>
          </cell>
        </row>
        <row r="452">
          <cell r="D452">
            <v>595</v>
          </cell>
        </row>
        <row r="453">
          <cell r="D453">
            <v>84</v>
          </cell>
        </row>
        <row r="454">
          <cell r="D454">
            <v>17.34</v>
          </cell>
        </row>
        <row r="455">
          <cell r="D455">
            <v>14.57</v>
          </cell>
        </row>
        <row r="456">
          <cell r="D456">
            <v>16.68</v>
          </cell>
        </row>
        <row r="457">
          <cell r="D457">
            <v>37.159999999999997</v>
          </cell>
        </row>
        <row r="465">
          <cell r="C465">
            <v>51463</v>
          </cell>
        </row>
        <row r="466">
          <cell r="C466">
            <v>1541</v>
          </cell>
        </row>
        <row r="467">
          <cell r="C467">
            <v>1111</v>
          </cell>
        </row>
        <row r="469">
          <cell r="C469">
            <v>3.03</v>
          </cell>
        </row>
        <row r="470">
          <cell r="C470">
            <v>112400</v>
          </cell>
        </row>
        <row r="471">
          <cell r="C471">
            <v>14.62</v>
          </cell>
        </row>
        <row r="473">
          <cell r="C473">
            <v>14.25</v>
          </cell>
        </row>
        <row r="475">
          <cell r="C475">
            <v>9.31</v>
          </cell>
        </row>
        <row r="498">
          <cell r="C498">
            <v>32717</v>
          </cell>
        </row>
        <row r="499">
          <cell r="C499">
            <v>37467</v>
          </cell>
        </row>
        <row r="500">
          <cell r="C500">
            <v>87.3</v>
          </cell>
        </row>
        <row r="501">
          <cell r="C501">
            <v>16.190000000000001</v>
          </cell>
        </row>
        <row r="502">
          <cell r="C502">
            <v>14.13</v>
          </cell>
        </row>
        <row r="504">
          <cell r="C504">
            <v>8095</v>
          </cell>
        </row>
        <row r="505">
          <cell r="C505">
            <v>10663</v>
          </cell>
        </row>
        <row r="506">
          <cell r="C506">
            <v>75.900000000000006</v>
          </cell>
        </row>
        <row r="507">
          <cell r="C507">
            <v>16.79</v>
          </cell>
        </row>
        <row r="508">
          <cell r="C508">
            <v>12.75</v>
          </cell>
        </row>
        <row r="510">
          <cell r="C510">
            <v>8604</v>
          </cell>
        </row>
        <row r="511">
          <cell r="C511">
            <v>10506</v>
          </cell>
        </row>
        <row r="512">
          <cell r="C512">
            <v>81.900000000000006</v>
          </cell>
        </row>
        <row r="513">
          <cell r="C513">
            <v>15.13</v>
          </cell>
        </row>
        <row r="514">
          <cell r="C514">
            <v>12.39</v>
          </cell>
        </row>
        <row r="523">
          <cell r="C523">
            <v>1991</v>
          </cell>
        </row>
        <row r="524">
          <cell r="C524">
            <v>2363</v>
          </cell>
        </row>
        <row r="525">
          <cell r="C525">
            <v>84.3</v>
          </cell>
        </row>
        <row r="526">
          <cell r="C526">
            <v>12.83</v>
          </cell>
        </row>
        <row r="527">
          <cell r="C527">
            <v>10.81</v>
          </cell>
        </row>
        <row r="529">
          <cell r="C529">
            <v>18690</v>
          </cell>
        </row>
        <row r="530">
          <cell r="C530">
            <v>23532</v>
          </cell>
        </row>
        <row r="531">
          <cell r="C531">
            <v>79.400000000000006</v>
          </cell>
        </row>
        <row r="532">
          <cell r="C532">
            <v>15.61</v>
          </cell>
        </row>
        <row r="533">
          <cell r="C533">
            <v>12.4</v>
          </cell>
        </row>
        <row r="574">
          <cell r="C574">
            <v>1459</v>
          </cell>
        </row>
        <row r="595">
          <cell r="C595">
            <v>11355</v>
          </cell>
        </row>
        <row r="621">
          <cell r="C621">
            <v>1456</v>
          </cell>
        </row>
        <row r="659">
          <cell r="C659">
            <v>1.98</v>
          </cell>
        </row>
        <row r="686">
          <cell r="C686">
            <v>1652</v>
          </cell>
        </row>
        <row r="829">
          <cell r="C829">
            <v>9703</v>
          </cell>
        </row>
      </sheetData>
      <sheetData sheetId="1"/>
      <sheetData sheetId="2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383">
          <cell r="D383">
            <v>51895</v>
          </cell>
        </row>
        <row r="384">
          <cell r="D384">
            <v>61851</v>
          </cell>
        </row>
        <row r="385">
          <cell r="D385">
            <v>83.9</v>
          </cell>
        </row>
        <row r="395">
          <cell r="C395">
            <v>37516</v>
          </cell>
        </row>
        <row r="396">
          <cell r="C396">
            <v>291</v>
          </cell>
        </row>
        <row r="397">
          <cell r="C397">
            <v>978</v>
          </cell>
        </row>
        <row r="398">
          <cell r="C398">
            <v>901</v>
          </cell>
        </row>
        <row r="399">
          <cell r="C399">
            <v>1229</v>
          </cell>
        </row>
        <row r="400">
          <cell r="C400">
            <v>952</v>
          </cell>
        </row>
        <row r="402">
          <cell r="C402">
            <v>2.97</v>
          </cell>
        </row>
        <row r="403">
          <cell r="C403">
            <v>93400</v>
          </cell>
        </row>
        <row r="411">
          <cell r="D411">
            <v>5755</v>
          </cell>
        </row>
        <row r="412">
          <cell r="D412">
            <v>7269</v>
          </cell>
        </row>
        <row r="413">
          <cell r="D413">
            <v>79.2</v>
          </cell>
        </row>
        <row r="416">
          <cell r="D416">
            <v>13483</v>
          </cell>
        </row>
        <row r="424">
          <cell r="C424">
            <v>557</v>
          </cell>
        </row>
        <row r="425">
          <cell r="C425">
            <v>178</v>
          </cell>
        </row>
        <row r="427">
          <cell r="C427">
            <v>3.02</v>
          </cell>
        </row>
        <row r="428">
          <cell r="C428">
            <v>18500</v>
          </cell>
        </row>
        <row r="436">
          <cell r="D436">
            <v>57650</v>
          </cell>
        </row>
        <row r="437">
          <cell r="D437">
            <v>69120</v>
          </cell>
        </row>
        <row r="438">
          <cell r="D438">
            <v>566</v>
          </cell>
        </row>
        <row r="439">
          <cell r="D439">
            <v>83.4</v>
          </cell>
        </row>
        <row r="440">
          <cell r="D440">
            <v>16.93</v>
          </cell>
        </row>
        <row r="441">
          <cell r="D441">
            <v>14.12</v>
          </cell>
        </row>
        <row r="442">
          <cell r="D442">
            <v>16.12</v>
          </cell>
        </row>
        <row r="443">
          <cell r="D443">
            <v>37.979999999999997</v>
          </cell>
        </row>
        <row r="444">
          <cell r="D444">
            <v>50999</v>
          </cell>
        </row>
        <row r="445">
          <cell r="D445">
            <v>1535</v>
          </cell>
        </row>
        <row r="446">
          <cell r="D446">
            <v>1130</v>
          </cell>
        </row>
        <row r="455">
          <cell r="C455">
            <v>2.98</v>
          </cell>
        </row>
        <row r="456">
          <cell r="C456">
            <v>111900</v>
          </cell>
        </row>
        <row r="457">
          <cell r="C457">
            <v>14.29</v>
          </cell>
        </row>
        <row r="459">
          <cell r="C459">
            <v>13.97</v>
          </cell>
        </row>
        <row r="461">
          <cell r="C461">
            <v>9.1</v>
          </cell>
        </row>
        <row r="484">
          <cell r="C484">
            <v>32433</v>
          </cell>
        </row>
        <row r="485">
          <cell r="C485">
            <v>37619</v>
          </cell>
        </row>
        <row r="486">
          <cell r="C486">
            <v>86.2</v>
          </cell>
        </row>
        <row r="487">
          <cell r="C487">
            <v>15.7</v>
          </cell>
        </row>
        <row r="488">
          <cell r="C488">
            <v>13.53</v>
          </cell>
        </row>
        <row r="490">
          <cell r="C490">
            <v>7839</v>
          </cell>
        </row>
        <row r="491">
          <cell r="C491">
            <v>9819</v>
          </cell>
        </row>
        <row r="492">
          <cell r="C492">
            <v>79.8</v>
          </cell>
        </row>
        <row r="493">
          <cell r="C493">
            <v>15.84</v>
          </cell>
        </row>
        <row r="494">
          <cell r="C494">
            <v>12.65</v>
          </cell>
        </row>
        <row r="496">
          <cell r="C496">
            <v>9192</v>
          </cell>
        </row>
        <row r="497">
          <cell r="C497">
            <v>11429</v>
          </cell>
        </row>
        <row r="498">
          <cell r="C498">
            <v>80.400000000000006</v>
          </cell>
        </row>
        <row r="499">
          <cell r="C499">
            <v>15.65</v>
          </cell>
        </row>
        <row r="500">
          <cell r="C500">
            <v>12.59</v>
          </cell>
        </row>
        <row r="502">
          <cell r="C502">
            <v>2431</v>
          </cell>
        </row>
        <row r="510">
          <cell r="C510">
            <v>2985</v>
          </cell>
        </row>
        <row r="511">
          <cell r="C511">
            <v>81.400000000000006</v>
          </cell>
        </row>
        <row r="512">
          <cell r="C512">
            <v>13.26</v>
          </cell>
        </row>
        <row r="513">
          <cell r="C513">
            <v>10.8</v>
          </cell>
        </row>
        <row r="515">
          <cell r="C515">
            <v>19462</v>
          </cell>
        </row>
        <row r="516">
          <cell r="C516">
            <v>24233</v>
          </cell>
        </row>
        <row r="517">
          <cell r="C517">
            <v>80.3</v>
          </cell>
        </row>
        <row r="518">
          <cell r="C518">
            <v>15.43</v>
          </cell>
        </row>
        <row r="519">
          <cell r="C519">
            <v>12.39</v>
          </cell>
        </row>
        <row r="559">
          <cell r="C559">
            <v>1222</v>
          </cell>
        </row>
        <row r="571">
          <cell r="C571">
            <v>11139</v>
          </cell>
        </row>
        <row r="598">
          <cell r="C598">
            <v>1223</v>
          </cell>
        </row>
        <row r="632">
          <cell r="C632">
            <v>1.66</v>
          </cell>
        </row>
        <row r="650">
          <cell r="C650">
            <v>1483</v>
          </cell>
        </row>
        <row r="799">
          <cell r="C799">
            <v>9656</v>
          </cell>
        </row>
      </sheetData>
      <sheetData sheetId="1"/>
      <sheetData sheetId="2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359">
          <cell r="D359">
            <v>44849</v>
          </cell>
        </row>
        <row r="360">
          <cell r="D360">
            <v>55854</v>
          </cell>
        </row>
        <row r="361">
          <cell r="D361">
            <v>80.3</v>
          </cell>
        </row>
        <row r="364">
          <cell r="D364">
            <v>33951</v>
          </cell>
        </row>
        <row r="365">
          <cell r="D365">
            <v>269</v>
          </cell>
        </row>
        <row r="366">
          <cell r="D366">
            <v>973</v>
          </cell>
        </row>
        <row r="367">
          <cell r="D367">
            <v>833</v>
          </cell>
        </row>
        <row r="368">
          <cell r="D368">
            <v>1195</v>
          </cell>
        </row>
        <row r="369">
          <cell r="D369">
            <v>846</v>
          </cell>
        </row>
        <row r="370">
          <cell r="D370">
            <v>1.83</v>
          </cell>
        </row>
        <row r="371">
          <cell r="D371">
            <v>97500</v>
          </cell>
        </row>
        <row r="383">
          <cell r="C383">
            <v>5341</v>
          </cell>
        </row>
        <row r="384">
          <cell r="C384">
            <v>6937</v>
          </cell>
        </row>
        <row r="385">
          <cell r="C385">
            <v>77</v>
          </cell>
        </row>
        <row r="388">
          <cell r="C388">
            <v>12243</v>
          </cell>
        </row>
        <row r="389">
          <cell r="C389">
            <v>577</v>
          </cell>
        </row>
        <row r="390">
          <cell r="C390">
            <v>167</v>
          </cell>
        </row>
        <row r="391">
          <cell r="C391">
            <v>1.86</v>
          </cell>
        </row>
        <row r="392">
          <cell r="C392">
            <v>19300</v>
          </cell>
        </row>
        <row r="397">
          <cell r="C397">
            <v>50190</v>
          </cell>
        </row>
        <row r="398">
          <cell r="C398">
            <v>62791</v>
          </cell>
        </row>
        <row r="399">
          <cell r="C399">
            <v>553</v>
          </cell>
        </row>
        <row r="400">
          <cell r="C400">
            <v>79.900000000000006</v>
          </cell>
        </row>
        <row r="401">
          <cell r="C401">
            <v>16.82</v>
          </cell>
        </row>
        <row r="402">
          <cell r="C402">
            <v>13.44</v>
          </cell>
        </row>
        <row r="403">
          <cell r="C403">
            <v>15.65</v>
          </cell>
        </row>
        <row r="404">
          <cell r="C404">
            <v>35.14</v>
          </cell>
        </row>
        <row r="405">
          <cell r="C405">
            <v>46194</v>
          </cell>
        </row>
        <row r="406">
          <cell r="C406">
            <v>1550</v>
          </cell>
        </row>
        <row r="414">
          <cell r="C414">
            <v>1013</v>
          </cell>
        </row>
        <row r="415">
          <cell r="C415">
            <v>1.83</v>
          </cell>
        </row>
        <row r="416">
          <cell r="C416">
            <v>116800</v>
          </cell>
        </row>
        <row r="417">
          <cell r="C417">
            <v>13.71</v>
          </cell>
        </row>
        <row r="418">
          <cell r="C418">
            <v>13.22</v>
          </cell>
        </row>
        <row r="419">
          <cell r="C419">
            <v>10.26</v>
          </cell>
        </row>
        <row r="436">
          <cell r="D436">
            <v>29586</v>
          </cell>
        </row>
        <row r="437">
          <cell r="D437">
            <v>35672</v>
          </cell>
        </row>
        <row r="438">
          <cell r="D438">
            <v>82.9</v>
          </cell>
        </row>
        <row r="439">
          <cell r="D439">
            <v>15.8</v>
          </cell>
        </row>
        <row r="440">
          <cell r="D440">
            <v>13.1</v>
          </cell>
        </row>
        <row r="449">
          <cell r="C449">
            <v>8182</v>
          </cell>
        </row>
        <row r="450">
          <cell r="C450">
            <v>10593</v>
          </cell>
        </row>
        <row r="451">
          <cell r="C451">
            <v>77.2</v>
          </cell>
        </row>
        <row r="452">
          <cell r="C452">
            <v>16.54</v>
          </cell>
        </row>
        <row r="453">
          <cell r="C453">
            <v>12.78</v>
          </cell>
        </row>
        <row r="455">
          <cell r="C455">
            <v>4772</v>
          </cell>
        </row>
        <row r="456">
          <cell r="C456">
            <v>6768</v>
          </cell>
        </row>
        <row r="457">
          <cell r="C457">
            <v>70.5</v>
          </cell>
        </row>
        <row r="458">
          <cell r="C458">
            <v>14.59</v>
          </cell>
        </row>
        <row r="459">
          <cell r="C459">
            <v>10.29</v>
          </cell>
        </row>
        <row r="461">
          <cell r="C461">
            <v>2309</v>
          </cell>
        </row>
        <row r="462">
          <cell r="C462">
            <v>2820</v>
          </cell>
        </row>
        <row r="463">
          <cell r="C463">
            <v>81.900000000000006</v>
          </cell>
        </row>
        <row r="464">
          <cell r="C464">
            <v>11.49</v>
          </cell>
        </row>
        <row r="465">
          <cell r="C465">
            <v>9.41</v>
          </cell>
        </row>
        <row r="467">
          <cell r="C467">
            <v>15263</v>
          </cell>
        </row>
        <row r="468">
          <cell r="C468">
            <v>20181</v>
          </cell>
        </row>
        <row r="469">
          <cell r="C469">
            <v>75.599999999999994</v>
          </cell>
        </row>
        <row r="470">
          <cell r="C470">
            <v>15.17</v>
          </cell>
        </row>
        <row r="471">
          <cell r="C471">
            <v>11.47</v>
          </cell>
        </row>
        <row r="503">
          <cell r="C503">
            <v>1245</v>
          </cell>
        </row>
        <row r="509">
          <cell r="C509">
            <v>9827</v>
          </cell>
        </row>
        <row r="536">
          <cell r="C536">
            <v>1243</v>
          </cell>
        </row>
        <row r="554">
          <cell r="C554">
            <v>1.73</v>
          </cell>
        </row>
        <row r="591">
          <cell r="C591">
            <v>1526</v>
          </cell>
        </row>
        <row r="672">
          <cell r="C672">
            <v>8301</v>
          </cell>
        </row>
      </sheetData>
      <sheetData sheetId="1"/>
      <sheetData sheetId="2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44">
          <cell r="E44">
            <v>10827</v>
          </cell>
        </row>
        <row r="45">
          <cell r="E45">
            <v>8752</v>
          </cell>
        </row>
        <row r="46">
          <cell r="E46">
            <v>2075</v>
          </cell>
        </row>
        <row r="47">
          <cell r="E47">
            <v>1862</v>
          </cell>
        </row>
        <row r="49">
          <cell r="E49">
            <v>1854</v>
          </cell>
        </row>
        <row r="52">
          <cell r="E52">
            <v>2.62</v>
          </cell>
        </row>
        <row r="380">
          <cell r="C380">
            <v>51632</v>
          </cell>
        </row>
        <row r="382">
          <cell r="C382">
            <v>61920</v>
          </cell>
        </row>
        <row r="384">
          <cell r="C384">
            <v>83.4</v>
          </cell>
        </row>
        <row r="391">
          <cell r="C391">
            <v>37823</v>
          </cell>
        </row>
        <row r="392">
          <cell r="C392">
            <v>285</v>
          </cell>
        </row>
        <row r="393">
          <cell r="C393">
            <v>963</v>
          </cell>
        </row>
        <row r="394">
          <cell r="C394">
            <v>903</v>
          </cell>
        </row>
        <row r="396">
          <cell r="C396">
            <v>1236</v>
          </cell>
        </row>
        <row r="398">
          <cell r="C398">
            <v>936</v>
          </cell>
        </row>
        <row r="401">
          <cell r="C401">
            <v>1.9</v>
          </cell>
        </row>
        <row r="404">
          <cell r="C404">
            <v>100700</v>
          </cell>
        </row>
        <row r="422">
          <cell r="C422">
            <v>6189</v>
          </cell>
        </row>
        <row r="424">
          <cell r="C424">
            <v>7481</v>
          </cell>
        </row>
        <row r="426">
          <cell r="C426">
            <v>82.7</v>
          </cell>
        </row>
        <row r="433">
          <cell r="C433">
            <v>14377</v>
          </cell>
        </row>
        <row r="434">
          <cell r="C434">
            <v>578</v>
          </cell>
        </row>
        <row r="436">
          <cell r="C436">
            <v>182</v>
          </cell>
        </row>
        <row r="439">
          <cell r="C439">
            <v>1.91</v>
          </cell>
        </row>
        <row r="442">
          <cell r="C442">
            <v>19700</v>
          </cell>
        </row>
        <row r="456">
          <cell r="C456">
            <v>57821</v>
          </cell>
        </row>
        <row r="458">
          <cell r="C458">
            <v>69401</v>
          </cell>
        </row>
        <row r="460">
          <cell r="C460">
            <v>594</v>
          </cell>
        </row>
        <row r="462">
          <cell r="C462">
            <v>83.3</v>
          </cell>
        </row>
        <row r="468">
          <cell r="C468">
            <v>16.28</v>
          </cell>
        </row>
        <row r="470">
          <cell r="C470">
            <v>13.57</v>
          </cell>
        </row>
        <row r="472">
          <cell r="C472">
            <v>15.6</v>
          </cell>
        </row>
        <row r="474">
          <cell r="C474">
            <v>32.619999999999997</v>
          </cell>
        </row>
        <row r="478">
          <cell r="C478">
            <v>52200</v>
          </cell>
        </row>
        <row r="479">
          <cell r="C479">
            <v>1541</v>
          </cell>
        </row>
        <row r="481">
          <cell r="C481">
            <v>1118</v>
          </cell>
        </row>
        <row r="484">
          <cell r="C484">
            <v>1.9</v>
          </cell>
        </row>
        <row r="487">
          <cell r="C487">
            <v>120400</v>
          </cell>
        </row>
        <row r="490">
          <cell r="C490">
            <v>12.83</v>
          </cell>
        </row>
        <row r="493">
          <cell r="C493">
            <v>12.61</v>
          </cell>
        </row>
        <row r="496">
          <cell r="C496">
            <v>9.5500000000000007</v>
          </cell>
        </row>
        <row r="535">
          <cell r="C535">
            <v>39359</v>
          </cell>
        </row>
        <row r="537">
          <cell r="C537">
            <v>45802</v>
          </cell>
        </row>
        <row r="539">
          <cell r="C539">
            <v>85.9</v>
          </cell>
        </row>
        <row r="540">
          <cell r="C540">
            <v>17.38</v>
          </cell>
        </row>
        <row r="542">
          <cell r="C542">
            <v>14.94</v>
          </cell>
        </row>
        <row r="546">
          <cell r="C546">
            <v>7570</v>
          </cell>
        </row>
        <row r="548">
          <cell r="C548">
            <v>9895</v>
          </cell>
        </row>
        <row r="550">
          <cell r="C550">
            <v>76.5</v>
          </cell>
        </row>
        <row r="556">
          <cell r="C556">
            <v>14.42</v>
          </cell>
        </row>
        <row r="558">
          <cell r="C558">
            <v>11.04</v>
          </cell>
        </row>
        <row r="562">
          <cell r="C562">
            <v>8221</v>
          </cell>
        </row>
        <row r="564">
          <cell r="C564">
            <v>10553</v>
          </cell>
        </row>
        <row r="566">
          <cell r="C566">
            <v>77.900000000000006</v>
          </cell>
        </row>
        <row r="567">
          <cell r="C567">
            <v>14.43</v>
          </cell>
        </row>
        <row r="569">
          <cell r="C569">
            <v>11.24</v>
          </cell>
        </row>
        <row r="573">
          <cell r="C573">
            <v>2671</v>
          </cell>
        </row>
        <row r="575">
          <cell r="C575">
            <v>3151</v>
          </cell>
        </row>
        <row r="577">
          <cell r="C577">
            <v>84.8</v>
          </cell>
        </row>
        <row r="578">
          <cell r="C578">
            <v>11.04</v>
          </cell>
        </row>
        <row r="580">
          <cell r="C580">
            <v>9.35</v>
          </cell>
        </row>
        <row r="584">
          <cell r="C584">
            <v>18462</v>
          </cell>
        </row>
        <row r="586">
          <cell r="C586">
            <v>23599</v>
          </cell>
        </row>
        <row r="588">
          <cell r="C588">
            <v>78.2</v>
          </cell>
        </row>
        <row r="589">
          <cell r="C589">
            <v>13.94</v>
          </cell>
        </row>
        <row r="591">
          <cell r="C591">
            <v>10.9</v>
          </cell>
        </row>
      </sheetData>
      <sheetData sheetId="1"/>
      <sheetData sheetId="2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44">
          <cell r="E44">
            <v>10706</v>
          </cell>
        </row>
        <row r="45">
          <cell r="E45">
            <v>8542</v>
          </cell>
        </row>
        <row r="46">
          <cell r="E46">
            <v>2164</v>
          </cell>
        </row>
        <row r="47">
          <cell r="E47">
            <v>1895</v>
          </cell>
        </row>
        <row r="49">
          <cell r="E49">
            <v>1885</v>
          </cell>
        </row>
        <row r="53">
          <cell r="F53">
            <v>2.77</v>
          </cell>
        </row>
        <row r="317">
          <cell r="C317">
            <v>54667</v>
          </cell>
        </row>
        <row r="318">
          <cell r="C318">
            <v>63459</v>
          </cell>
        </row>
        <row r="319">
          <cell r="C319">
            <v>86.1</v>
          </cell>
        </row>
        <row r="322">
          <cell r="C322">
            <v>38909</v>
          </cell>
        </row>
        <row r="323">
          <cell r="C323">
            <v>286</v>
          </cell>
        </row>
        <row r="324">
          <cell r="C324">
            <v>943</v>
          </cell>
        </row>
        <row r="325">
          <cell r="C325">
            <v>908</v>
          </cell>
        </row>
        <row r="326">
          <cell r="C326">
            <v>1259</v>
          </cell>
        </row>
        <row r="327">
          <cell r="C327">
            <v>954</v>
          </cell>
        </row>
        <row r="328">
          <cell r="C328">
            <v>1.67</v>
          </cell>
        </row>
        <row r="329">
          <cell r="C329">
            <v>99700</v>
          </cell>
        </row>
        <row r="334">
          <cell r="C334">
            <v>6199</v>
          </cell>
        </row>
        <row r="335">
          <cell r="C335">
            <v>7633</v>
          </cell>
        </row>
        <row r="336">
          <cell r="C336">
            <v>81.2</v>
          </cell>
        </row>
        <row r="339">
          <cell r="C339">
            <v>14413</v>
          </cell>
        </row>
        <row r="340">
          <cell r="C340">
            <v>584</v>
          </cell>
        </row>
        <row r="341">
          <cell r="C341">
            <v>186</v>
          </cell>
        </row>
        <row r="342">
          <cell r="C342">
            <v>1.67</v>
          </cell>
        </row>
        <row r="343">
          <cell r="C343">
            <v>19300</v>
          </cell>
        </row>
        <row r="354">
          <cell r="C354">
            <v>60866</v>
          </cell>
        </row>
        <row r="355">
          <cell r="C355">
            <v>71092</v>
          </cell>
        </row>
        <row r="356">
          <cell r="C356">
            <v>569</v>
          </cell>
        </row>
        <row r="357">
          <cell r="C357">
            <v>85.6</v>
          </cell>
        </row>
        <row r="358">
          <cell r="C358">
            <v>15.37</v>
          </cell>
        </row>
        <row r="359">
          <cell r="C359">
            <v>13.16</v>
          </cell>
        </row>
        <row r="360">
          <cell r="C360">
            <v>15.06</v>
          </cell>
        </row>
        <row r="361">
          <cell r="C361">
            <v>31.63</v>
          </cell>
        </row>
        <row r="362">
          <cell r="C362">
            <v>53322</v>
          </cell>
        </row>
        <row r="363">
          <cell r="C363">
            <v>1527</v>
          </cell>
        </row>
        <row r="364">
          <cell r="C364">
            <v>1140</v>
          </cell>
        </row>
        <row r="365">
          <cell r="C365">
            <v>1.67</v>
          </cell>
        </row>
        <row r="366">
          <cell r="C366">
            <v>119000</v>
          </cell>
        </row>
        <row r="367">
          <cell r="C367">
            <v>12.25</v>
          </cell>
        </row>
        <row r="368">
          <cell r="C368">
            <v>12.02</v>
          </cell>
        </row>
        <row r="369">
          <cell r="C369">
            <v>9.34</v>
          </cell>
        </row>
        <row r="385">
          <cell r="C385">
            <v>34259</v>
          </cell>
        </row>
        <row r="386">
          <cell r="C386">
            <v>38882</v>
          </cell>
        </row>
        <row r="387">
          <cell r="C387">
            <v>88.1</v>
          </cell>
        </row>
        <row r="388">
          <cell r="C388">
            <v>14.19</v>
          </cell>
        </row>
        <row r="394">
          <cell r="C394">
            <v>12.51</v>
          </cell>
        </row>
        <row r="403">
          <cell r="C403">
            <v>7920</v>
          </cell>
        </row>
        <row r="404">
          <cell r="C404">
            <v>9542</v>
          </cell>
        </row>
        <row r="405">
          <cell r="C405">
            <v>83</v>
          </cell>
        </row>
        <row r="406">
          <cell r="C406">
            <v>13.65</v>
          </cell>
        </row>
        <row r="407">
          <cell r="C407">
            <v>11.33</v>
          </cell>
        </row>
        <row r="409">
          <cell r="C409">
            <v>9661</v>
          </cell>
        </row>
        <row r="410">
          <cell r="C410">
            <v>11754</v>
          </cell>
        </row>
        <row r="411">
          <cell r="C411">
            <v>82.2</v>
          </cell>
        </row>
        <row r="412">
          <cell r="C412">
            <v>14.46</v>
          </cell>
        </row>
        <row r="413">
          <cell r="C413">
            <v>11.88</v>
          </cell>
        </row>
        <row r="415">
          <cell r="C415">
            <v>2827</v>
          </cell>
        </row>
        <row r="416">
          <cell r="C416">
            <v>3281</v>
          </cell>
        </row>
        <row r="417">
          <cell r="C417">
            <v>86.2</v>
          </cell>
        </row>
        <row r="418">
          <cell r="C418">
            <v>11.11</v>
          </cell>
        </row>
        <row r="419">
          <cell r="C419">
            <v>9.58</v>
          </cell>
        </row>
        <row r="421">
          <cell r="C421">
            <v>20408</v>
          </cell>
        </row>
        <row r="422">
          <cell r="C422">
            <v>24577</v>
          </cell>
        </row>
        <row r="423">
          <cell r="C423">
            <v>83</v>
          </cell>
        </row>
        <row r="424">
          <cell r="C424">
            <v>13.68</v>
          </cell>
        </row>
        <row r="425">
          <cell r="C425">
            <v>11.36</v>
          </cell>
        </row>
      </sheetData>
      <sheetData sheetId="1"/>
      <sheetData sheetId="2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55">
          <cell r="E55">
            <v>9435</v>
          </cell>
        </row>
        <row r="56">
          <cell r="E56">
            <v>7996</v>
          </cell>
        </row>
        <row r="57">
          <cell r="E57">
            <v>1439</v>
          </cell>
        </row>
        <row r="58">
          <cell r="E58">
            <v>1221</v>
          </cell>
        </row>
        <row r="60">
          <cell r="E60">
            <v>765</v>
          </cell>
        </row>
        <row r="61">
          <cell r="E61">
            <v>1.25</v>
          </cell>
        </row>
        <row r="271">
          <cell r="C271">
            <v>46220</v>
          </cell>
        </row>
        <row r="272">
          <cell r="C272">
            <v>57564</v>
          </cell>
        </row>
        <row r="273">
          <cell r="C273">
            <v>80.3</v>
          </cell>
        </row>
        <row r="276">
          <cell r="C276">
            <v>34547</v>
          </cell>
        </row>
        <row r="277">
          <cell r="C277">
            <v>272</v>
          </cell>
        </row>
        <row r="278">
          <cell r="C278">
            <v>942</v>
          </cell>
        </row>
        <row r="284">
          <cell r="C284">
            <v>845</v>
          </cell>
        </row>
        <row r="285">
          <cell r="C285">
            <v>1205</v>
          </cell>
        </row>
        <row r="286">
          <cell r="C286">
            <v>855</v>
          </cell>
        </row>
        <row r="287">
          <cell r="C287">
            <v>1.2</v>
          </cell>
        </row>
        <row r="288">
          <cell r="C288">
            <v>100200</v>
          </cell>
        </row>
        <row r="293">
          <cell r="C293">
            <v>5551</v>
          </cell>
        </row>
        <row r="294">
          <cell r="C294">
            <v>7500</v>
          </cell>
        </row>
        <row r="295">
          <cell r="C295">
            <v>74</v>
          </cell>
        </row>
        <row r="298">
          <cell r="C298">
            <v>12368</v>
          </cell>
        </row>
        <row r="299">
          <cell r="C299">
            <v>597</v>
          </cell>
        </row>
        <row r="300">
          <cell r="C300">
            <v>178</v>
          </cell>
        </row>
        <row r="301">
          <cell r="C301">
            <v>1.24</v>
          </cell>
        </row>
        <row r="302">
          <cell r="C302">
            <v>20000</v>
          </cell>
        </row>
        <row r="307">
          <cell r="C307">
            <v>51771</v>
          </cell>
        </row>
        <row r="308">
          <cell r="C308">
            <v>65064</v>
          </cell>
        </row>
        <row r="309">
          <cell r="C309">
            <v>543</v>
          </cell>
        </row>
        <row r="315">
          <cell r="C315">
            <v>79.599999999999994</v>
          </cell>
        </row>
        <row r="316">
          <cell r="C316">
            <v>15.62</v>
          </cell>
        </row>
        <row r="317">
          <cell r="C317">
            <v>12.43</v>
          </cell>
        </row>
        <row r="318">
          <cell r="C318">
            <v>14.5</v>
          </cell>
        </row>
        <row r="319">
          <cell r="C319">
            <v>29.77</v>
          </cell>
        </row>
        <row r="320">
          <cell r="C320">
            <v>46915</v>
          </cell>
        </row>
        <row r="321">
          <cell r="C321">
            <v>1539</v>
          </cell>
        </row>
        <row r="322">
          <cell r="C322">
            <v>1033</v>
          </cell>
        </row>
        <row r="323">
          <cell r="C323">
            <v>1.21</v>
          </cell>
        </row>
        <row r="324">
          <cell r="C324">
            <v>120200</v>
          </cell>
        </row>
        <row r="325">
          <cell r="C325">
            <v>12.45</v>
          </cell>
        </row>
        <row r="326">
          <cell r="C326">
            <v>12.29</v>
          </cell>
        </row>
        <row r="327">
          <cell r="C327">
            <v>10.37</v>
          </cell>
        </row>
        <row r="357">
          <cell r="C357">
            <v>35942</v>
          </cell>
        </row>
        <row r="358">
          <cell r="C358">
            <v>44043</v>
          </cell>
        </row>
        <row r="359">
          <cell r="C359">
            <v>81.599999999999994</v>
          </cell>
        </row>
        <row r="360">
          <cell r="C360">
            <v>16.68</v>
          </cell>
        </row>
        <row r="361">
          <cell r="C361">
            <v>13.61</v>
          </cell>
        </row>
        <row r="363">
          <cell r="C363">
            <v>8054</v>
          </cell>
        </row>
        <row r="364">
          <cell r="C364">
            <v>10480</v>
          </cell>
        </row>
        <row r="365">
          <cell r="C365">
            <v>76.900000000000006</v>
          </cell>
        </row>
        <row r="366">
          <cell r="C366">
            <v>13.78</v>
          </cell>
        </row>
        <row r="367">
          <cell r="C367">
            <v>10.59</v>
          </cell>
        </row>
        <row r="369">
          <cell r="C369">
            <v>4801</v>
          </cell>
        </row>
        <row r="370">
          <cell r="C370">
            <v>6893</v>
          </cell>
        </row>
        <row r="371">
          <cell r="C371">
            <v>69.7</v>
          </cell>
        </row>
        <row r="372">
          <cell r="C372">
            <v>14.46</v>
          </cell>
        </row>
        <row r="373">
          <cell r="C373">
            <v>10.07</v>
          </cell>
        </row>
        <row r="375">
          <cell r="C375">
            <v>2974</v>
          </cell>
        </row>
        <row r="376">
          <cell r="C376">
            <v>3648</v>
          </cell>
        </row>
        <row r="382">
          <cell r="C382">
            <v>81.5</v>
          </cell>
        </row>
        <row r="383">
          <cell r="C383">
            <v>9.68</v>
          </cell>
        </row>
        <row r="384">
          <cell r="C384">
            <v>7.89</v>
          </cell>
        </row>
        <row r="386">
          <cell r="C386">
            <v>15829</v>
          </cell>
        </row>
        <row r="387">
          <cell r="C387">
            <v>21021</v>
          </cell>
        </row>
        <row r="388">
          <cell r="C388">
            <v>75.3</v>
          </cell>
        </row>
        <row r="389">
          <cell r="C389">
            <v>13.22</v>
          </cell>
        </row>
        <row r="390">
          <cell r="C390">
            <v>9.9499999999999993</v>
          </cell>
        </row>
      </sheetData>
      <sheetData sheetId="1"/>
      <sheetData sheetId="2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23">
          <cell r="E23">
            <v>10363</v>
          </cell>
        </row>
        <row r="24">
          <cell r="E24">
            <v>8547</v>
          </cell>
        </row>
        <row r="25">
          <cell r="E25">
            <v>1816</v>
          </cell>
        </row>
        <row r="26">
          <cell r="E26">
            <v>1594</v>
          </cell>
        </row>
        <row r="28">
          <cell r="E28">
            <v>1001</v>
          </cell>
        </row>
        <row r="29">
          <cell r="E29">
            <v>1.77</v>
          </cell>
        </row>
        <row r="203">
          <cell r="D203">
            <v>51927</v>
          </cell>
        </row>
        <row r="204">
          <cell r="D204">
            <v>62670</v>
          </cell>
        </row>
        <row r="205">
          <cell r="D205">
            <v>82.9</v>
          </cell>
        </row>
        <row r="215">
          <cell r="C215">
            <v>37699</v>
          </cell>
        </row>
        <row r="216">
          <cell r="C216">
            <v>283</v>
          </cell>
        </row>
        <row r="217">
          <cell r="C217">
            <v>947</v>
          </cell>
        </row>
        <row r="218">
          <cell r="C218">
            <v>901</v>
          </cell>
        </row>
        <row r="219">
          <cell r="C219">
            <v>1241</v>
          </cell>
        </row>
        <row r="220">
          <cell r="C220">
            <v>931</v>
          </cell>
        </row>
        <row r="221">
          <cell r="C221">
            <v>1.41</v>
          </cell>
        </row>
        <row r="222">
          <cell r="C222">
            <v>103100</v>
          </cell>
        </row>
        <row r="227">
          <cell r="C227">
            <v>6409</v>
          </cell>
        </row>
        <row r="228">
          <cell r="C228">
            <v>8081</v>
          </cell>
        </row>
        <row r="229">
          <cell r="C229">
            <v>79.3</v>
          </cell>
        </row>
        <row r="232">
          <cell r="C232">
            <v>14252</v>
          </cell>
        </row>
        <row r="233">
          <cell r="C233">
            <v>600</v>
          </cell>
        </row>
        <row r="234">
          <cell r="C234">
            <v>191</v>
          </cell>
        </row>
        <row r="235">
          <cell r="C235">
            <v>1.46</v>
          </cell>
        </row>
        <row r="236">
          <cell r="C236">
            <v>20400</v>
          </cell>
        </row>
        <row r="241">
          <cell r="C241">
            <v>58336</v>
          </cell>
        </row>
        <row r="242">
          <cell r="C242">
            <v>70751</v>
          </cell>
        </row>
        <row r="243">
          <cell r="C243">
            <v>610</v>
          </cell>
        </row>
        <row r="244">
          <cell r="C244">
            <v>82.5</v>
          </cell>
        </row>
        <row r="245">
          <cell r="C245">
            <v>15.42</v>
          </cell>
        </row>
        <row r="253">
          <cell r="C253">
            <v>12.71</v>
          </cell>
        </row>
        <row r="254">
          <cell r="C254">
            <v>14.65</v>
          </cell>
        </row>
        <row r="255">
          <cell r="C255">
            <v>28.48</v>
          </cell>
        </row>
        <row r="256">
          <cell r="C256">
            <v>51951</v>
          </cell>
        </row>
        <row r="257">
          <cell r="C257">
            <v>1547</v>
          </cell>
        </row>
        <row r="258">
          <cell r="C258">
            <v>1122</v>
          </cell>
        </row>
        <row r="259">
          <cell r="C259">
            <v>1.42</v>
          </cell>
        </row>
        <row r="260">
          <cell r="C260">
            <v>123500</v>
          </cell>
        </row>
        <row r="261">
          <cell r="C261">
            <v>12.17</v>
          </cell>
        </row>
        <row r="262">
          <cell r="C262">
            <v>12.08</v>
          </cell>
        </row>
        <row r="263">
          <cell r="C263">
            <v>9.83</v>
          </cell>
        </row>
        <row r="293">
          <cell r="C293">
            <v>39826</v>
          </cell>
        </row>
        <row r="294">
          <cell r="C294">
            <v>46782</v>
          </cell>
        </row>
        <row r="295">
          <cell r="C295">
            <v>85.1</v>
          </cell>
        </row>
        <row r="296">
          <cell r="C296">
            <v>16.63</v>
          </cell>
        </row>
        <row r="297">
          <cell r="C297">
            <v>14.15</v>
          </cell>
        </row>
        <row r="299">
          <cell r="C299">
            <v>7421</v>
          </cell>
        </row>
        <row r="300">
          <cell r="C300">
            <v>9469</v>
          </cell>
        </row>
        <row r="301">
          <cell r="C301">
            <v>78.400000000000006</v>
          </cell>
        </row>
        <row r="302">
          <cell r="C302">
            <v>12.65</v>
          </cell>
        </row>
        <row r="303">
          <cell r="C303">
            <v>9.91</v>
          </cell>
        </row>
        <row r="305">
          <cell r="C305">
            <v>7879</v>
          </cell>
        </row>
        <row r="306">
          <cell r="C306">
            <v>10677</v>
          </cell>
        </row>
        <row r="307">
          <cell r="C307">
            <v>73.8</v>
          </cell>
        </row>
        <row r="308">
          <cell r="C308">
            <v>14.34</v>
          </cell>
        </row>
        <row r="309">
          <cell r="C309">
            <v>10.58</v>
          </cell>
        </row>
        <row r="311">
          <cell r="C311">
            <v>3209</v>
          </cell>
        </row>
        <row r="312">
          <cell r="C312">
            <v>3823</v>
          </cell>
        </row>
        <row r="313">
          <cell r="C313">
            <v>83.9</v>
          </cell>
        </row>
        <row r="314">
          <cell r="C314">
            <v>9.52</v>
          </cell>
        </row>
        <row r="315">
          <cell r="C315">
            <v>7.99</v>
          </cell>
        </row>
        <row r="317">
          <cell r="C317">
            <v>18509</v>
          </cell>
        </row>
        <row r="318">
          <cell r="C318">
            <v>23969</v>
          </cell>
        </row>
        <row r="319">
          <cell r="C319">
            <v>77.2</v>
          </cell>
        </row>
        <row r="320">
          <cell r="C320">
            <v>12.83</v>
          </cell>
        </row>
        <row r="321">
          <cell r="C321">
            <v>9.9</v>
          </cell>
        </row>
      </sheetData>
      <sheetData sheetId="1"/>
      <sheetData sheetId="2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AL 3Q17 PR"/>
    </sheetNames>
    <sheetDataSet>
      <sheetData sheetId="0">
        <row r="38">
          <cell r="E38">
            <v>10594</v>
          </cell>
        </row>
        <row r="39">
          <cell r="E39">
            <v>8869</v>
          </cell>
        </row>
        <row r="40">
          <cell r="E40">
            <v>1725</v>
          </cell>
        </row>
        <row r="41">
          <cell r="E41">
            <v>1483</v>
          </cell>
        </row>
        <row r="43">
          <cell r="E43">
            <v>933</v>
          </cell>
        </row>
        <row r="44">
          <cell r="E44">
            <v>1.76</v>
          </cell>
        </row>
        <row r="289">
          <cell r="C289">
            <v>53472</v>
          </cell>
        </row>
        <row r="290">
          <cell r="C290">
            <v>63751</v>
          </cell>
        </row>
        <row r="291">
          <cell r="C291">
            <v>83.9</v>
          </cell>
        </row>
        <row r="294">
          <cell r="C294">
            <v>37584</v>
          </cell>
        </row>
        <row r="295">
          <cell r="C295">
            <v>282</v>
          </cell>
        </row>
        <row r="296">
          <cell r="C296">
            <v>922</v>
          </cell>
        </row>
        <row r="297">
          <cell r="C297">
            <v>905</v>
          </cell>
        </row>
        <row r="298">
          <cell r="C298">
            <v>1258</v>
          </cell>
        </row>
        <row r="304">
          <cell r="C304">
            <v>953</v>
          </cell>
        </row>
        <row r="306">
          <cell r="C306">
            <v>1.46</v>
          </cell>
        </row>
        <row r="308">
          <cell r="C308">
            <v>101200</v>
          </cell>
        </row>
        <row r="317">
          <cell r="C317">
            <v>6447</v>
          </cell>
        </row>
        <row r="318">
          <cell r="C318">
            <v>8160</v>
          </cell>
        </row>
        <row r="319">
          <cell r="C319">
            <v>79</v>
          </cell>
        </row>
        <row r="322">
          <cell r="C322">
            <v>14288</v>
          </cell>
        </row>
        <row r="323">
          <cell r="C323">
            <v>599</v>
          </cell>
        </row>
        <row r="324">
          <cell r="C324">
            <v>196</v>
          </cell>
        </row>
        <row r="326">
          <cell r="C326">
            <v>1.55</v>
          </cell>
        </row>
        <row r="328">
          <cell r="C328">
            <v>20600</v>
          </cell>
        </row>
        <row r="337">
          <cell r="C337">
            <v>59919</v>
          </cell>
        </row>
        <row r="338">
          <cell r="C338">
            <v>71911</v>
          </cell>
        </row>
        <row r="339">
          <cell r="C339">
            <v>601</v>
          </cell>
        </row>
        <row r="340">
          <cell r="C340">
            <v>83.3</v>
          </cell>
        </row>
        <row r="341">
          <cell r="C341">
            <v>15.27</v>
          </cell>
        </row>
        <row r="347">
          <cell r="C347">
            <v>12.72</v>
          </cell>
        </row>
        <row r="348">
          <cell r="C348">
            <v>14.73</v>
          </cell>
        </row>
        <row r="349">
          <cell r="C349">
            <v>28.42</v>
          </cell>
        </row>
        <row r="350">
          <cell r="C350">
            <v>51872</v>
          </cell>
        </row>
        <row r="351">
          <cell r="C351">
            <v>1521</v>
          </cell>
        </row>
        <row r="352">
          <cell r="C352">
            <v>1149</v>
          </cell>
        </row>
        <row r="354">
          <cell r="C354">
            <v>1.48</v>
          </cell>
        </row>
        <row r="356">
          <cell r="C356">
            <v>121800</v>
          </cell>
        </row>
        <row r="358">
          <cell r="C358">
            <v>12.74</v>
          </cell>
        </row>
        <row r="360">
          <cell r="C360">
            <v>12.33</v>
          </cell>
        </row>
        <row r="362">
          <cell r="C362">
            <v>9.9700000000000006</v>
          </cell>
        </row>
        <row r="394">
          <cell r="C394">
            <v>39934</v>
          </cell>
        </row>
        <row r="395">
          <cell r="C395">
            <v>47211</v>
          </cell>
        </row>
        <row r="396">
          <cell r="C396">
            <v>84.6</v>
          </cell>
        </row>
        <row r="397">
          <cell r="C397">
            <v>16.37</v>
          </cell>
        </row>
        <row r="398">
          <cell r="C398">
            <v>13.85</v>
          </cell>
        </row>
        <row r="400">
          <cell r="C400">
            <v>7382</v>
          </cell>
        </row>
        <row r="401">
          <cell r="C401">
            <v>8944</v>
          </cell>
        </row>
        <row r="402">
          <cell r="C402">
            <v>82.5</v>
          </cell>
        </row>
        <row r="403">
          <cell r="C403">
            <v>13.97</v>
          </cell>
        </row>
        <row r="404">
          <cell r="C404">
            <v>11.53</v>
          </cell>
        </row>
        <row r="406">
          <cell r="C406">
            <v>9027</v>
          </cell>
        </row>
        <row r="407">
          <cell r="C407">
            <v>11533</v>
          </cell>
        </row>
        <row r="408">
          <cell r="C408">
            <v>78.3</v>
          </cell>
        </row>
        <row r="409">
          <cell r="C409">
            <v>13.49</v>
          </cell>
        </row>
        <row r="410">
          <cell r="C410">
            <v>10.56</v>
          </cell>
        </row>
        <row r="412">
          <cell r="C412">
            <v>3576</v>
          </cell>
        </row>
        <row r="413">
          <cell r="C413">
            <v>4223</v>
          </cell>
        </row>
        <row r="414">
          <cell r="C414">
            <v>84.7</v>
          </cell>
        </row>
        <row r="415">
          <cell r="C415">
            <v>10.130000000000001</v>
          </cell>
        </row>
        <row r="416">
          <cell r="C416">
            <v>8.58</v>
          </cell>
        </row>
        <row r="424">
          <cell r="C424">
            <v>19985</v>
          </cell>
        </row>
        <row r="425">
          <cell r="C425">
            <v>24700</v>
          </cell>
        </row>
        <row r="426">
          <cell r="C426">
            <v>80.900000000000006</v>
          </cell>
        </row>
        <row r="427">
          <cell r="C427">
            <v>13.06</v>
          </cell>
        </row>
        <row r="428">
          <cell r="C428">
            <v>10.57</v>
          </cell>
        </row>
      </sheetData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7">
          <cell r="E27">
            <v>9820</v>
          </cell>
        </row>
        <row r="28">
          <cell r="E28">
            <v>8962</v>
          </cell>
        </row>
        <row r="29">
          <cell r="E29">
            <v>858</v>
          </cell>
        </row>
        <row r="30">
          <cell r="E30">
            <v>661</v>
          </cell>
        </row>
        <row r="32">
          <cell r="E32">
            <v>414</v>
          </cell>
        </row>
        <row r="33">
          <cell r="E33">
            <v>0.82</v>
          </cell>
        </row>
        <row r="239">
          <cell r="E239">
            <v>45211</v>
          </cell>
        </row>
        <row r="240">
          <cell r="E240">
            <v>56564</v>
          </cell>
        </row>
        <row r="241">
          <cell r="E241">
            <v>79.900000000000006</v>
          </cell>
        </row>
        <row r="243">
          <cell r="E243">
            <v>33755</v>
          </cell>
        </row>
        <row r="244">
          <cell r="E244">
            <v>262</v>
          </cell>
        </row>
        <row r="245">
          <cell r="E245">
            <v>944</v>
          </cell>
        </row>
        <row r="246">
          <cell r="E246">
            <v>819</v>
          </cell>
        </row>
        <row r="247">
          <cell r="E247">
            <v>1201</v>
          </cell>
        </row>
        <row r="248">
          <cell r="E248">
            <v>831</v>
          </cell>
        </row>
        <row r="249">
          <cell r="E249">
            <v>1.69</v>
          </cell>
        </row>
        <row r="250">
          <cell r="E250">
            <v>102900</v>
          </cell>
        </row>
        <row r="253">
          <cell r="E253">
            <v>5773</v>
          </cell>
        </row>
        <row r="254">
          <cell r="E254">
            <v>7777</v>
          </cell>
        </row>
        <row r="255">
          <cell r="E255">
            <v>74.2</v>
          </cell>
        </row>
        <row r="256">
          <cell r="E256">
            <v>12605</v>
          </cell>
        </row>
        <row r="257">
          <cell r="E257">
            <v>623</v>
          </cell>
        </row>
        <row r="258">
          <cell r="E258">
            <v>182</v>
          </cell>
        </row>
        <row r="259">
          <cell r="E259">
            <v>1.75</v>
          </cell>
        </row>
        <row r="261">
          <cell r="E261">
            <v>21400</v>
          </cell>
        </row>
        <row r="263">
          <cell r="E263">
            <v>50984</v>
          </cell>
        </row>
        <row r="264">
          <cell r="E264">
            <v>64341</v>
          </cell>
        </row>
        <row r="265">
          <cell r="E265">
            <v>79.2</v>
          </cell>
        </row>
        <row r="267">
          <cell r="E267">
            <v>17.649999999999999</v>
          </cell>
        </row>
        <row r="268">
          <cell r="E268">
            <v>13.98</v>
          </cell>
        </row>
        <row r="269">
          <cell r="E269">
            <v>15.26</v>
          </cell>
        </row>
        <row r="270">
          <cell r="E270">
            <v>619</v>
          </cell>
        </row>
        <row r="271">
          <cell r="E271">
            <v>30.83</v>
          </cell>
        </row>
        <row r="272">
          <cell r="E272">
            <v>46360</v>
          </cell>
        </row>
        <row r="273">
          <cell r="E273">
            <v>1567</v>
          </cell>
        </row>
        <row r="274">
          <cell r="E274">
            <v>1013</v>
          </cell>
        </row>
        <row r="275">
          <cell r="E275">
            <v>1.7</v>
          </cell>
        </row>
        <row r="276">
          <cell r="E276">
            <v>124300</v>
          </cell>
        </row>
        <row r="277">
          <cell r="E277">
            <v>14.12</v>
          </cell>
        </row>
        <row r="278">
          <cell r="E278">
            <v>13.93</v>
          </cell>
        </row>
        <row r="279">
          <cell r="E279">
            <v>11.25</v>
          </cell>
        </row>
        <row r="295">
          <cell r="C295">
            <v>35303</v>
          </cell>
        </row>
        <row r="296">
          <cell r="C296">
            <v>43582</v>
          </cell>
        </row>
        <row r="297">
          <cell r="C297">
            <v>81</v>
          </cell>
        </row>
        <row r="298">
          <cell r="C298">
            <v>6781</v>
          </cell>
        </row>
        <row r="299">
          <cell r="C299">
            <v>19.21</v>
          </cell>
        </row>
        <row r="300">
          <cell r="C300">
            <v>15.56</v>
          </cell>
        </row>
        <row r="302">
          <cell r="C302">
            <v>7490</v>
          </cell>
        </row>
        <row r="303">
          <cell r="C303">
            <v>9775</v>
          </cell>
        </row>
        <row r="304">
          <cell r="C304">
            <v>76.599999999999994</v>
          </cell>
        </row>
        <row r="305">
          <cell r="C305">
            <v>1231</v>
          </cell>
        </row>
        <row r="306">
          <cell r="C306">
            <v>16.43</v>
          </cell>
        </row>
        <row r="307">
          <cell r="C307">
            <v>12.59</v>
          </cell>
        </row>
        <row r="309">
          <cell r="C309">
            <v>4500</v>
          </cell>
        </row>
        <row r="310">
          <cell r="C310">
            <v>6415</v>
          </cell>
        </row>
        <row r="312">
          <cell r="C312">
            <v>70.099999999999994</v>
          </cell>
        </row>
        <row r="313">
          <cell r="C313">
            <v>624</v>
          </cell>
        </row>
        <row r="314">
          <cell r="C314">
            <v>13.87</v>
          </cell>
        </row>
        <row r="315">
          <cell r="C315">
            <v>9.73</v>
          </cell>
        </row>
        <row r="317">
          <cell r="C317">
            <v>3691</v>
          </cell>
        </row>
        <row r="318">
          <cell r="C318">
            <v>4569</v>
          </cell>
        </row>
        <row r="319">
          <cell r="C319">
            <v>80.8</v>
          </cell>
        </row>
        <row r="320">
          <cell r="C320">
            <v>361</v>
          </cell>
        </row>
        <row r="321">
          <cell r="C321">
            <v>9.7899999999999991</v>
          </cell>
        </row>
        <row r="322">
          <cell r="C322">
            <v>7.91</v>
          </cell>
        </row>
        <row r="324">
          <cell r="C324">
            <v>15681</v>
          </cell>
        </row>
        <row r="325">
          <cell r="C325">
            <v>20759</v>
          </cell>
        </row>
        <row r="326">
          <cell r="C326">
            <v>75.5</v>
          </cell>
        </row>
        <row r="327">
          <cell r="C327">
            <v>2216</v>
          </cell>
        </row>
        <row r="328">
          <cell r="C328">
            <v>14.13</v>
          </cell>
        </row>
        <row r="329">
          <cell r="C329">
            <v>10.68</v>
          </cell>
        </row>
      </sheetData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8">
          <cell r="D38">
            <v>11643</v>
          </cell>
          <cell r="E38">
            <v>11227</v>
          </cell>
        </row>
        <row r="39">
          <cell r="D39">
            <v>10463</v>
          </cell>
          <cell r="E39">
            <v>9425</v>
          </cell>
        </row>
        <row r="40">
          <cell r="D40">
            <v>1180</v>
          </cell>
          <cell r="E40">
            <v>1802</v>
          </cell>
        </row>
        <row r="41">
          <cell r="D41">
            <v>1001</v>
          </cell>
          <cell r="E41">
            <v>1594</v>
          </cell>
        </row>
        <row r="43">
          <cell r="D43">
            <v>757</v>
          </cell>
          <cell r="E43">
            <v>1005</v>
          </cell>
        </row>
        <row r="45">
          <cell r="D45">
            <v>1.63</v>
          </cell>
          <cell r="E45">
            <v>2.04</v>
          </cell>
        </row>
        <row r="287">
          <cell r="B287">
            <v>54118</v>
          </cell>
          <cell r="C287">
            <v>53177</v>
          </cell>
        </row>
        <row r="290">
          <cell r="B290">
            <v>64452</v>
          </cell>
          <cell r="C290">
            <v>63520</v>
          </cell>
        </row>
        <row r="292">
          <cell r="B292">
            <v>84</v>
          </cell>
          <cell r="C292">
            <v>83.7</v>
          </cell>
        </row>
        <row r="294">
          <cell r="B294">
            <v>38574</v>
          </cell>
          <cell r="C294">
            <v>37767</v>
          </cell>
        </row>
        <row r="295">
          <cell r="B295">
            <v>280</v>
          </cell>
          <cell r="C295">
            <v>278</v>
          </cell>
        </row>
        <row r="296">
          <cell r="B296">
            <v>955</v>
          </cell>
          <cell r="C296">
            <v>956</v>
          </cell>
        </row>
        <row r="297">
          <cell r="B297">
            <v>900</v>
          </cell>
          <cell r="C297">
            <v>896</v>
          </cell>
        </row>
        <row r="298">
          <cell r="B298">
            <v>1254</v>
          </cell>
          <cell r="C298">
            <v>1254</v>
          </cell>
        </row>
        <row r="300">
          <cell r="B300">
            <v>944</v>
          </cell>
          <cell r="C300">
            <v>934</v>
          </cell>
        </row>
        <row r="303">
          <cell r="B303">
            <v>2.23</v>
          </cell>
          <cell r="C303">
            <v>1.62</v>
          </cell>
        </row>
        <row r="305">
          <cell r="B305">
            <v>106600</v>
          </cell>
          <cell r="C305">
            <v>106100</v>
          </cell>
        </row>
        <row r="309">
          <cell r="B309">
            <v>6661</v>
          </cell>
          <cell r="C309">
            <v>6387</v>
          </cell>
        </row>
        <row r="310">
          <cell r="B310">
            <v>8441</v>
          </cell>
          <cell r="C310">
            <v>8223</v>
          </cell>
        </row>
        <row r="312">
          <cell r="B312">
            <v>78.900000000000006</v>
          </cell>
          <cell r="C312">
            <v>77.7</v>
          </cell>
        </row>
        <row r="314">
          <cell r="B314">
            <v>14486</v>
          </cell>
          <cell r="C314">
            <v>14049</v>
          </cell>
        </row>
        <row r="315">
          <cell r="B315">
            <v>604</v>
          </cell>
          <cell r="C315">
            <v>627</v>
          </cell>
        </row>
        <row r="317">
          <cell r="B317">
            <v>203</v>
          </cell>
          <cell r="C317">
            <v>195</v>
          </cell>
        </row>
        <row r="321">
          <cell r="B321">
            <v>2.29</v>
          </cell>
          <cell r="C321">
            <v>1.69</v>
          </cell>
        </row>
        <row r="324">
          <cell r="B324">
            <v>25000</v>
          </cell>
          <cell r="C324">
            <v>22200</v>
          </cell>
        </row>
        <row r="327">
          <cell r="B327">
            <v>60779</v>
          </cell>
          <cell r="C327">
            <v>59564</v>
          </cell>
        </row>
        <row r="328">
          <cell r="B328">
            <v>72893</v>
          </cell>
          <cell r="C328">
            <v>71743</v>
          </cell>
        </row>
        <row r="330">
          <cell r="B330">
            <v>83.4</v>
          </cell>
          <cell r="C330">
            <v>83</v>
          </cell>
        </row>
        <row r="331">
          <cell r="B331">
            <v>17.559999999999999</v>
          </cell>
          <cell r="C331">
            <v>17.38</v>
          </cell>
        </row>
        <row r="333">
          <cell r="B333">
            <v>14.64</v>
          </cell>
          <cell r="C333">
            <v>14.43</v>
          </cell>
        </row>
        <row r="335">
          <cell r="B335">
            <v>15.97</v>
          </cell>
          <cell r="C335">
            <v>15.65</v>
          </cell>
        </row>
        <row r="336">
          <cell r="B336">
            <v>768</v>
          </cell>
          <cell r="C336">
            <v>701</v>
          </cell>
        </row>
        <row r="338">
          <cell r="B338">
            <v>34</v>
          </cell>
          <cell r="C338">
            <v>31.21</v>
          </cell>
        </row>
        <row r="340">
          <cell r="B340">
            <v>53060</v>
          </cell>
          <cell r="C340">
            <v>51816</v>
          </cell>
        </row>
        <row r="341">
          <cell r="B341">
            <v>1559</v>
          </cell>
          <cell r="C341">
            <v>1583</v>
          </cell>
        </row>
        <row r="343">
          <cell r="B343">
            <v>1147</v>
          </cell>
          <cell r="C343">
            <v>1129</v>
          </cell>
        </row>
        <row r="346">
          <cell r="B346">
            <v>2.2400000000000002</v>
          </cell>
          <cell r="C346">
            <v>1.63</v>
          </cell>
        </row>
        <row r="348">
          <cell r="B348">
            <v>131600</v>
          </cell>
          <cell r="C348">
            <v>128300</v>
          </cell>
        </row>
        <row r="351">
          <cell r="B351">
            <v>14.56</v>
          </cell>
          <cell r="C351">
            <v>13.42</v>
          </cell>
        </row>
        <row r="354">
          <cell r="B354">
            <v>14.35</v>
          </cell>
          <cell r="C354">
            <v>13.14</v>
          </cell>
        </row>
        <row r="357">
          <cell r="B357">
            <v>10.83</v>
          </cell>
          <cell r="C357">
            <v>10.57</v>
          </cell>
        </row>
        <row r="376">
          <cell r="B376">
            <v>40067</v>
          </cell>
          <cell r="C376">
            <v>39166</v>
          </cell>
        </row>
        <row r="378">
          <cell r="B378">
            <v>46817</v>
          </cell>
          <cell r="C378">
            <v>46315</v>
          </cell>
        </row>
        <row r="379">
          <cell r="B379">
            <v>85.6</v>
          </cell>
          <cell r="C379">
            <v>84.6</v>
          </cell>
        </row>
        <row r="381">
          <cell r="B381">
            <v>7685</v>
          </cell>
          <cell r="C381">
            <v>7578</v>
          </cell>
        </row>
        <row r="382">
          <cell r="B382">
            <v>19.18</v>
          </cell>
          <cell r="C382">
            <v>19.350000000000001</v>
          </cell>
        </row>
        <row r="384">
          <cell r="B384">
            <v>16.41</v>
          </cell>
          <cell r="C384">
            <v>16.36</v>
          </cell>
        </row>
        <row r="387">
          <cell r="B387">
            <v>7903</v>
          </cell>
          <cell r="C387">
            <v>7592</v>
          </cell>
        </row>
        <row r="388">
          <cell r="B388">
            <v>9894</v>
          </cell>
          <cell r="C388">
            <v>9739</v>
          </cell>
        </row>
        <row r="389">
          <cell r="B389">
            <v>79.900000000000006</v>
          </cell>
          <cell r="C389">
            <v>78</v>
          </cell>
        </row>
        <row r="391">
          <cell r="B391">
            <v>1284</v>
          </cell>
          <cell r="C391">
            <v>1209</v>
          </cell>
        </row>
        <row r="392">
          <cell r="B392">
            <v>16.25</v>
          </cell>
          <cell r="C392">
            <v>15.92</v>
          </cell>
        </row>
        <row r="394">
          <cell r="B394">
            <v>12.98</v>
          </cell>
          <cell r="C394">
            <v>12.41</v>
          </cell>
        </row>
        <row r="397">
          <cell r="B397">
            <v>8855</v>
          </cell>
          <cell r="C397">
            <v>8849</v>
          </cell>
        </row>
        <row r="398">
          <cell r="B398">
            <v>11306</v>
          </cell>
          <cell r="C398">
            <v>10927</v>
          </cell>
        </row>
        <row r="399">
          <cell r="B399">
            <v>78.3</v>
          </cell>
          <cell r="C399">
            <v>81</v>
          </cell>
        </row>
        <row r="401">
          <cell r="B401">
            <v>1298</v>
          </cell>
          <cell r="C401">
            <v>1182</v>
          </cell>
        </row>
        <row r="402">
          <cell r="B402">
            <v>14.66</v>
          </cell>
          <cell r="C402">
            <v>13.36</v>
          </cell>
        </row>
        <row r="405">
          <cell r="B405">
            <v>11.48</v>
          </cell>
          <cell r="C405">
            <v>10.82</v>
          </cell>
        </row>
        <row r="408">
          <cell r="B408">
            <v>3954</v>
          </cell>
          <cell r="C408">
            <v>3957</v>
          </cell>
        </row>
        <row r="409">
          <cell r="B409">
            <v>4876</v>
          </cell>
          <cell r="C409">
            <v>4762</v>
          </cell>
        </row>
        <row r="410">
          <cell r="B410">
            <v>81.099999999999994</v>
          </cell>
          <cell r="C410">
            <v>83.1</v>
          </cell>
        </row>
        <row r="412">
          <cell r="B412">
            <v>407</v>
          </cell>
          <cell r="C412">
            <v>384</v>
          </cell>
        </row>
        <row r="413">
          <cell r="B413">
            <v>10.29</v>
          </cell>
          <cell r="C413">
            <v>9.6999999999999993</v>
          </cell>
        </row>
        <row r="415">
          <cell r="B415">
            <v>8.35</v>
          </cell>
          <cell r="C415">
            <v>8.06</v>
          </cell>
        </row>
        <row r="418">
          <cell r="B418">
            <v>20712</v>
          </cell>
          <cell r="C418">
            <v>20398</v>
          </cell>
        </row>
        <row r="419">
          <cell r="B419">
            <v>26076</v>
          </cell>
          <cell r="C419">
            <v>25428</v>
          </cell>
        </row>
        <row r="420">
          <cell r="B420">
            <v>79.400000000000006</v>
          </cell>
          <cell r="C420">
            <v>80.2</v>
          </cell>
        </row>
        <row r="422">
          <cell r="B422">
            <v>2989</v>
          </cell>
          <cell r="C422">
            <v>2775</v>
          </cell>
        </row>
        <row r="423">
          <cell r="B423">
            <v>14.43</v>
          </cell>
          <cell r="C423">
            <v>13.6</v>
          </cell>
        </row>
        <row r="425">
          <cell r="B425">
            <v>11.46</v>
          </cell>
          <cell r="C425">
            <v>10.91</v>
          </cell>
        </row>
      </sheetData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34">
          <cell r="D34">
            <v>11559</v>
          </cell>
          <cell r="E34">
            <v>10965</v>
          </cell>
        </row>
        <row r="35">
          <cell r="D35">
            <v>10693</v>
          </cell>
          <cell r="E35">
            <v>9602</v>
          </cell>
        </row>
        <row r="36">
          <cell r="D36">
            <v>866</v>
          </cell>
          <cell r="E36">
            <v>1363</v>
          </cell>
        </row>
        <row r="37">
          <cell r="D37">
            <v>688</v>
          </cell>
          <cell r="E37">
            <v>1173</v>
          </cell>
        </row>
        <row r="39">
          <cell r="D39">
            <v>523</v>
          </cell>
          <cell r="E39">
            <v>729</v>
          </cell>
        </row>
        <row r="40">
          <cell r="D40">
            <v>1.1299999999999999</v>
          </cell>
          <cell r="E40">
            <v>1.5</v>
          </cell>
        </row>
        <row r="275">
          <cell r="B275">
            <v>55182</v>
          </cell>
          <cell r="C275">
            <v>54012</v>
          </cell>
        </row>
        <row r="277">
          <cell r="B277">
            <v>66295</v>
          </cell>
          <cell r="C277">
            <v>64582</v>
          </cell>
        </row>
        <row r="279">
          <cell r="B279">
            <v>83.2</v>
          </cell>
          <cell r="C279">
            <v>83.6</v>
          </cell>
        </row>
        <row r="281">
          <cell r="B281">
            <v>38233</v>
          </cell>
          <cell r="C281">
            <v>37365</v>
          </cell>
        </row>
        <row r="282">
          <cell r="B282">
            <v>282</v>
          </cell>
          <cell r="C282">
            <v>275</v>
          </cell>
        </row>
        <row r="283">
          <cell r="B283">
            <v>949</v>
          </cell>
          <cell r="C283">
            <v>947</v>
          </cell>
        </row>
        <row r="284">
          <cell r="B284">
            <v>916</v>
          </cell>
          <cell r="C284">
            <v>893</v>
          </cell>
        </row>
        <row r="286">
          <cell r="B286">
            <v>1272</v>
          </cell>
          <cell r="C286">
            <v>1278</v>
          </cell>
        </row>
        <row r="288">
          <cell r="B288">
            <v>978</v>
          </cell>
          <cell r="C288">
            <v>947</v>
          </cell>
        </row>
        <row r="291">
          <cell r="B291">
            <v>2.2799999999999998</v>
          </cell>
          <cell r="C291">
            <v>1.66</v>
          </cell>
        </row>
        <row r="293">
          <cell r="B293">
            <v>105100</v>
          </cell>
          <cell r="C293">
            <v>105000</v>
          </cell>
        </row>
        <row r="297">
          <cell r="B297">
            <v>6683</v>
          </cell>
          <cell r="C297">
            <v>6459</v>
          </cell>
        </row>
        <row r="299">
          <cell r="B299">
            <v>8744</v>
          </cell>
          <cell r="C299">
            <v>8471</v>
          </cell>
        </row>
        <row r="304">
          <cell r="B304">
            <v>76.400000000000006</v>
          </cell>
          <cell r="C304">
            <v>76.3</v>
          </cell>
        </row>
        <row r="306">
          <cell r="B306">
            <v>14342</v>
          </cell>
          <cell r="C306">
            <v>14073</v>
          </cell>
        </row>
        <row r="307">
          <cell r="B307">
            <v>592</v>
          </cell>
          <cell r="C307">
            <v>611</v>
          </cell>
        </row>
        <row r="309">
          <cell r="B309">
            <v>212</v>
          </cell>
          <cell r="C309">
            <v>201</v>
          </cell>
        </row>
        <row r="312">
          <cell r="B312">
            <v>2.39</v>
          </cell>
          <cell r="C312">
            <v>1.75</v>
          </cell>
        </row>
        <row r="315">
          <cell r="B315">
            <v>25400</v>
          </cell>
          <cell r="C315">
            <v>22600</v>
          </cell>
        </row>
        <row r="318">
          <cell r="B318">
            <v>61865</v>
          </cell>
          <cell r="C318">
            <v>60471</v>
          </cell>
        </row>
        <row r="320">
          <cell r="B320">
            <v>75039</v>
          </cell>
          <cell r="C320">
            <v>73053</v>
          </cell>
        </row>
        <row r="322">
          <cell r="B322">
            <v>82.4</v>
          </cell>
          <cell r="C322">
            <v>82.8</v>
          </cell>
        </row>
        <row r="323">
          <cell r="B323">
            <v>17.07</v>
          </cell>
          <cell r="C323">
            <v>16.7</v>
          </cell>
        </row>
        <row r="325">
          <cell r="B325">
            <v>14.07</v>
          </cell>
          <cell r="C325">
            <v>13.82</v>
          </cell>
        </row>
        <row r="327">
          <cell r="B327">
            <v>15.4</v>
          </cell>
          <cell r="C327">
            <v>15.01</v>
          </cell>
        </row>
        <row r="328">
          <cell r="B328">
            <v>743</v>
          </cell>
          <cell r="C328">
            <v>716</v>
          </cell>
        </row>
        <row r="330">
          <cell r="B330">
            <v>34.979999999999997</v>
          </cell>
          <cell r="C330">
            <v>31.21</v>
          </cell>
        </row>
        <row r="332">
          <cell r="B332">
            <v>52575</v>
          </cell>
          <cell r="C332">
            <v>51438</v>
          </cell>
        </row>
        <row r="333">
          <cell r="B333">
            <v>1541</v>
          </cell>
          <cell r="C333">
            <v>1558</v>
          </cell>
        </row>
        <row r="338">
          <cell r="B338">
            <v>1190</v>
          </cell>
          <cell r="C338">
            <v>1148</v>
          </cell>
        </row>
        <row r="341">
          <cell r="B341">
            <v>2.2999999999999998</v>
          </cell>
          <cell r="C341">
            <v>1.67</v>
          </cell>
        </row>
        <row r="343">
          <cell r="B343">
            <v>130500</v>
          </cell>
          <cell r="C343">
            <v>127600</v>
          </cell>
        </row>
        <row r="345">
          <cell r="B345">
            <v>14.54</v>
          </cell>
          <cell r="C345">
            <v>13.29</v>
          </cell>
        </row>
        <row r="348">
          <cell r="B348">
            <v>14.25</v>
          </cell>
          <cell r="C348">
            <v>13.14</v>
          </cell>
        </row>
        <row r="351">
          <cell r="B351">
            <v>10.6</v>
          </cell>
          <cell r="C351">
            <v>10.51</v>
          </cell>
        </row>
        <row r="373">
          <cell r="B373">
            <v>40321</v>
          </cell>
          <cell r="C373">
            <v>39491</v>
          </cell>
        </row>
        <row r="375">
          <cell r="B375">
            <v>48260</v>
          </cell>
          <cell r="C375">
            <v>47221</v>
          </cell>
        </row>
        <row r="376">
          <cell r="B376">
            <v>83.6</v>
          </cell>
          <cell r="C376">
            <v>83.6</v>
          </cell>
        </row>
        <row r="378">
          <cell r="B378">
            <v>7424</v>
          </cell>
          <cell r="C378">
            <v>7162</v>
          </cell>
        </row>
        <row r="379">
          <cell r="B379">
            <v>18.41</v>
          </cell>
          <cell r="C379">
            <v>18.14</v>
          </cell>
        </row>
        <row r="381">
          <cell r="B381">
            <v>15.38</v>
          </cell>
          <cell r="C381">
            <v>15.17</v>
          </cell>
        </row>
        <row r="385">
          <cell r="B385">
            <v>7411</v>
          </cell>
          <cell r="C385">
            <v>7362</v>
          </cell>
        </row>
        <row r="386">
          <cell r="B386">
            <v>9274</v>
          </cell>
          <cell r="C386">
            <v>8919</v>
          </cell>
        </row>
        <row r="387">
          <cell r="B387">
            <v>79.900000000000006</v>
          </cell>
          <cell r="C387">
            <v>82.5</v>
          </cell>
        </row>
        <row r="389">
          <cell r="B389">
            <v>1210</v>
          </cell>
          <cell r="C389">
            <v>1183</v>
          </cell>
        </row>
        <row r="390">
          <cell r="B390">
            <v>16.329999999999998</v>
          </cell>
          <cell r="C390">
            <v>16.059999999999999</v>
          </cell>
        </row>
        <row r="392">
          <cell r="B392">
            <v>13.05</v>
          </cell>
          <cell r="C392">
            <v>13.26</v>
          </cell>
        </row>
        <row r="395">
          <cell r="B395">
            <v>10110</v>
          </cell>
          <cell r="C395">
            <v>9728</v>
          </cell>
        </row>
        <row r="396">
          <cell r="B396">
            <v>12503</v>
          </cell>
          <cell r="C396">
            <v>12212</v>
          </cell>
        </row>
        <row r="400">
          <cell r="B400">
            <v>80.900000000000006</v>
          </cell>
          <cell r="C400">
            <v>79.7</v>
          </cell>
        </row>
        <row r="402">
          <cell r="B402">
            <v>1504</v>
          </cell>
          <cell r="C402">
            <v>1363</v>
          </cell>
        </row>
        <row r="403">
          <cell r="B403">
            <v>14.88</v>
          </cell>
          <cell r="C403">
            <v>14.02</v>
          </cell>
        </row>
        <row r="405">
          <cell r="B405">
            <v>12.03</v>
          </cell>
          <cell r="C405">
            <v>11.17</v>
          </cell>
        </row>
        <row r="408">
          <cell r="B408">
            <v>4023</v>
          </cell>
          <cell r="C408">
            <v>3890</v>
          </cell>
        </row>
        <row r="409">
          <cell r="B409">
            <v>5002</v>
          </cell>
          <cell r="C409">
            <v>4701</v>
          </cell>
        </row>
        <row r="410">
          <cell r="B410">
            <v>80.400000000000006</v>
          </cell>
          <cell r="C410">
            <v>82.7</v>
          </cell>
        </row>
        <row r="412">
          <cell r="B412">
            <v>423</v>
          </cell>
          <cell r="C412">
            <v>388</v>
          </cell>
        </row>
        <row r="413">
          <cell r="B413">
            <v>10.51</v>
          </cell>
          <cell r="C413">
            <v>9.98</v>
          </cell>
        </row>
        <row r="415">
          <cell r="B415">
            <v>8.4600000000000009</v>
          </cell>
          <cell r="C415">
            <v>8.25</v>
          </cell>
        </row>
        <row r="418">
          <cell r="B418">
            <v>21544</v>
          </cell>
          <cell r="C418">
            <v>20980</v>
          </cell>
        </row>
        <row r="419">
          <cell r="B419">
            <v>26779</v>
          </cell>
          <cell r="C419">
            <v>25832</v>
          </cell>
        </row>
        <row r="420">
          <cell r="B420">
            <v>80.400000000000006</v>
          </cell>
          <cell r="C420">
            <v>81.2</v>
          </cell>
        </row>
        <row r="422">
          <cell r="B422">
            <v>3137</v>
          </cell>
          <cell r="C422">
            <v>2934</v>
          </cell>
        </row>
        <row r="423">
          <cell r="B423">
            <v>14.56</v>
          </cell>
          <cell r="C423">
            <v>13.99</v>
          </cell>
        </row>
        <row r="425">
          <cell r="B425">
            <v>11.71</v>
          </cell>
          <cell r="C425">
            <v>11.36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66"/>
  <sheetViews>
    <sheetView tabSelected="1" zoomScaleNormal="100" workbookViewId="0">
      <pane xSplit="1" ySplit="2" topLeftCell="B3" activePane="bottomRight" state="frozen"/>
      <selection activeCell="C1" sqref="C1"/>
      <selection pane="topRight" activeCell="C1" sqref="C1"/>
      <selection pane="bottomLeft" activeCell="C1" sqref="C1"/>
      <selection pane="bottomRight"/>
    </sheetView>
  </sheetViews>
  <sheetFormatPr defaultRowHeight="12.75" x14ac:dyDescent="0.2"/>
  <cols>
    <col min="1" max="1" width="50.7109375" style="3" customWidth="1"/>
    <col min="2" max="2" width="1.85546875" style="2" customWidth="1"/>
    <col min="3" max="11" width="8.42578125" style="1" bestFit="1" customWidth="1"/>
    <col min="12" max="12" width="9.140625" style="1"/>
    <col min="13" max="13" width="8.42578125" style="1" bestFit="1" customWidth="1"/>
    <col min="14" max="16" width="9.42578125" style="1" bestFit="1" customWidth="1"/>
    <col min="17" max="17" width="8.28515625" style="1" customWidth="1"/>
    <col min="18" max="19" width="9.42578125" style="1" bestFit="1" customWidth="1"/>
    <col min="20" max="20" width="9" style="1" bestFit="1" customWidth="1"/>
    <col min="21" max="21" width="8.42578125" style="1" bestFit="1" customWidth="1"/>
    <col min="22" max="22" width="9.28515625" style="1" customWidth="1"/>
    <col min="23" max="24" width="9.42578125" style="1" bestFit="1" customWidth="1"/>
    <col min="25" max="25" width="8.42578125" style="1" bestFit="1" customWidth="1"/>
    <col min="26" max="26" width="9.28515625" style="1" customWidth="1"/>
    <col min="27" max="29" width="9.42578125" style="1" bestFit="1" customWidth="1"/>
    <col min="30" max="30" width="9.28515625" style="1" customWidth="1"/>
    <col min="31" max="33" width="9.42578125" style="1" bestFit="1" customWidth="1"/>
    <col min="34" max="16384" width="9.140625" style="1"/>
  </cols>
  <sheetData>
    <row r="1" spans="1:33" x14ac:dyDescent="0.2">
      <c r="C1" s="43" t="s">
        <v>69</v>
      </c>
      <c r="D1" s="43" t="s">
        <v>68</v>
      </c>
      <c r="E1" s="43" t="s">
        <v>67</v>
      </c>
      <c r="F1" s="43" t="s">
        <v>66</v>
      </c>
      <c r="G1" s="43" t="s">
        <v>65</v>
      </c>
      <c r="H1" s="43" t="s">
        <v>64</v>
      </c>
      <c r="I1" s="43" t="s">
        <v>63</v>
      </c>
      <c r="J1" s="43" t="s">
        <v>62</v>
      </c>
      <c r="K1" s="43" t="s">
        <v>61</v>
      </c>
      <c r="L1" s="44"/>
      <c r="M1" s="43" t="s">
        <v>60</v>
      </c>
      <c r="N1" s="43" t="s">
        <v>59</v>
      </c>
      <c r="O1" s="43" t="s">
        <v>58</v>
      </c>
      <c r="P1" s="43" t="s">
        <v>57</v>
      </c>
      <c r="Q1" s="43" t="s">
        <v>56</v>
      </c>
      <c r="R1" s="43" t="s">
        <v>55</v>
      </c>
      <c r="S1" s="43" t="s">
        <v>54</v>
      </c>
      <c r="T1" s="43" t="s">
        <v>53</v>
      </c>
      <c r="U1" s="43" t="s">
        <v>52</v>
      </c>
      <c r="V1" s="43" t="s">
        <v>51</v>
      </c>
      <c r="W1" s="43" t="s">
        <v>50</v>
      </c>
      <c r="X1" s="43" t="s">
        <v>49</v>
      </c>
      <c r="Y1" s="43" t="s">
        <v>48</v>
      </c>
      <c r="Z1" s="43" t="s">
        <v>47</v>
      </c>
      <c r="AA1" s="43" t="s">
        <v>46</v>
      </c>
      <c r="AB1" s="43" t="s">
        <v>45</v>
      </c>
      <c r="AC1" s="43" t="s">
        <v>44</v>
      </c>
      <c r="AD1" s="43" t="s">
        <v>43</v>
      </c>
      <c r="AE1" s="43" t="s">
        <v>42</v>
      </c>
      <c r="AF1" s="43" t="s">
        <v>41</v>
      </c>
      <c r="AG1" s="43" t="s">
        <v>40</v>
      </c>
    </row>
    <row r="2" spans="1:33" x14ac:dyDescent="0.2">
      <c r="C2" s="41">
        <v>40908</v>
      </c>
      <c r="D2" s="41">
        <v>41274</v>
      </c>
      <c r="E2" s="41">
        <v>41639</v>
      </c>
      <c r="F2" s="41">
        <v>42004</v>
      </c>
      <c r="G2" s="41">
        <v>42369</v>
      </c>
      <c r="H2" s="41">
        <v>42735</v>
      </c>
      <c r="I2" s="41">
        <v>43100</v>
      </c>
      <c r="J2" s="41">
        <v>43465</v>
      </c>
      <c r="K2" s="41"/>
      <c r="L2" s="42"/>
      <c r="M2" s="41">
        <v>41729</v>
      </c>
      <c r="N2" s="41">
        <v>41820</v>
      </c>
      <c r="O2" s="41">
        <v>41912</v>
      </c>
      <c r="P2" s="41">
        <v>42004</v>
      </c>
      <c r="Q2" s="41">
        <v>42094</v>
      </c>
      <c r="R2" s="41">
        <v>42185</v>
      </c>
      <c r="S2" s="41">
        <v>42277</v>
      </c>
      <c r="T2" s="41">
        <v>42369</v>
      </c>
      <c r="U2" s="41">
        <v>42460</v>
      </c>
      <c r="V2" s="41">
        <v>42551</v>
      </c>
      <c r="W2" s="41">
        <v>42643</v>
      </c>
      <c r="X2" s="41">
        <v>42735</v>
      </c>
      <c r="Y2" s="41">
        <v>42825</v>
      </c>
      <c r="Z2" s="41">
        <v>42916</v>
      </c>
      <c r="AA2" s="41">
        <v>43008</v>
      </c>
      <c r="AB2" s="41">
        <v>43100</v>
      </c>
      <c r="AC2" s="41">
        <v>43190</v>
      </c>
      <c r="AD2" s="41">
        <v>43281</v>
      </c>
      <c r="AE2" s="41">
        <v>43373</v>
      </c>
      <c r="AF2" s="41">
        <v>43465</v>
      </c>
      <c r="AG2" s="41">
        <v>43555</v>
      </c>
    </row>
    <row r="3" spans="1:33" s="2" customFormat="1" x14ac:dyDescent="0.2">
      <c r="A3" s="40" t="s">
        <v>39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8"/>
    </row>
    <row r="4" spans="1:33" x14ac:dyDescent="0.2">
      <c r="A4" s="12" t="s">
        <v>38</v>
      </c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</row>
    <row r="5" spans="1:33" x14ac:dyDescent="0.2">
      <c r="A5" s="8" t="s">
        <v>37</v>
      </c>
      <c r="C5" s="5">
        <f>[1]IS!D4</f>
        <v>17947</v>
      </c>
      <c r="D5" s="5">
        <f>[2]IS!D4</f>
        <v>18743</v>
      </c>
      <c r="E5" s="5">
        <f>[3]IS!D4</f>
        <v>20218</v>
      </c>
      <c r="F5" s="5">
        <f>[4]IS!D4</f>
        <v>30802</v>
      </c>
      <c r="G5" s="5">
        <f>[5]IS!D4</f>
        <v>29037</v>
      </c>
      <c r="H5" s="36"/>
      <c r="I5" s="36"/>
      <c r="J5" s="36"/>
      <c r="K5" s="36"/>
      <c r="L5" s="5"/>
      <c r="M5" s="5">
        <v>7258</v>
      </c>
      <c r="N5" s="5">
        <v>8213</v>
      </c>
      <c r="O5" s="5">
        <v>8093</v>
      </c>
      <c r="P5" s="5">
        <v>7238</v>
      </c>
      <c r="Q5" s="5">
        <v>6989</v>
      </c>
      <c r="R5" s="5">
        <v>7655</v>
      </c>
      <c r="S5" s="5">
        <v>7654</v>
      </c>
      <c r="T5" s="5">
        <v>6739</v>
      </c>
      <c r="U5" s="5">
        <f>[6]IS!C4</f>
        <v>6564</v>
      </c>
      <c r="V5" s="5">
        <f>[7]IS!C4</f>
        <v>7209</v>
      </c>
      <c r="W5" s="5">
        <f>[8]IS!C4</f>
        <v>7419</v>
      </c>
      <c r="X5" s="36"/>
      <c r="Y5" s="36"/>
      <c r="Z5" s="36"/>
      <c r="AA5" s="36"/>
      <c r="AB5" s="36"/>
      <c r="AC5" s="36"/>
      <c r="AD5" s="36"/>
      <c r="AE5" s="36"/>
      <c r="AF5" s="36"/>
      <c r="AG5" s="36"/>
    </row>
    <row r="6" spans="1:33" s="32" customFormat="1" x14ac:dyDescent="0.2">
      <c r="A6" s="30" t="s">
        <v>36</v>
      </c>
      <c r="B6" s="29"/>
      <c r="C6" s="27">
        <f>[1]IS!D5</f>
        <v>2724</v>
      </c>
      <c r="D6" s="27">
        <f>[2]IS!D5</f>
        <v>2914</v>
      </c>
      <c r="E6" s="27">
        <f>[3]IS!D5</f>
        <v>3131</v>
      </c>
      <c r="F6" s="27">
        <f>[4]IS!D5</f>
        <v>6322</v>
      </c>
      <c r="G6" s="27">
        <f>[5]IS!D5</f>
        <v>6475</v>
      </c>
      <c r="H6" s="27"/>
      <c r="I6" s="27"/>
      <c r="J6" s="27"/>
      <c r="K6" s="27"/>
      <c r="L6" s="27"/>
      <c r="M6" s="27">
        <v>1407</v>
      </c>
      <c r="N6" s="27">
        <v>1707</v>
      </c>
      <c r="O6" s="27">
        <v>1665</v>
      </c>
      <c r="P6" s="27">
        <v>1544</v>
      </c>
      <c r="Q6" s="27">
        <v>1452</v>
      </c>
      <c r="R6" s="27">
        <v>1759</v>
      </c>
      <c r="S6" s="27">
        <v>1699</v>
      </c>
      <c r="T6" s="27">
        <v>1566</v>
      </c>
      <c r="U6" s="27">
        <f>[6]IS!C5</f>
        <v>1523</v>
      </c>
      <c r="V6" s="27">
        <f>[7]IS!C5</f>
        <v>1786</v>
      </c>
      <c r="W6" s="27">
        <f>[8]IS!C5</f>
        <v>1731</v>
      </c>
      <c r="X6" s="28"/>
      <c r="Y6" s="27"/>
      <c r="Z6" s="27"/>
      <c r="AA6" s="27"/>
      <c r="AB6" s="28"/>
      <c r="AC6" s="27"/>
      <c r="AD6" s="27"/>
      <c r="AE6" s="27"/>
      <c r="AF6" s="27"/>
      <c r="AG6" s="27"/>
    </row>
    <row r="7" spans="1:33" x14ac:dyDescent="0.2">
      <c r="A7" s="35" t="s">
        <v>35</v>
      </c>
      <c r="C7" s="6">
        <f>SUM(C5:C6)</f>
        <v>20671</v>
      </c>
      <c r="D7" s="6">
        <f>SUM(D5:D6)</f>
        <v>21657</v>
      </c>
      <c r="E7" s="6">
        <f>SUM(E5:E6)</f>
        <v>23349</v>
      </c>
      <c r="F7" s="6">
        <f>SUM(F5:F6)</f>
        <v>37124</v>
      </c>
      <c r="G7" s="6">
        <f>SUM(G5:G6)</f>
        <v>35512</v>
      </c>
      <c r="H7" s="5">
        <f>[9]IS!D35</f>
        <v>37045</v>
      </c>
      <c r="I7" s="5">
        <f>[9]IS!C35</f>
        <v>39131</v>
      </c>
      <c r="J7" s="5">
        <f>[9]IS!B35</f>
        <v>40676</v>
      </c>
      <c r="K7" s="6">
        <f>SUM(AD7:AG7)</f>
        <v>40855</v>
      </c>
      <c r="L7" s="5"/>
      <c r="M7" s="6">
        <f t="shared" ref="M7:W7" si="0">SUM(M5:M6)</f>
        <v>8665</v>
      </c>
      <c r="N7" s="6">
        <f t="shared" si="0"/>
        <v>9920</v>
      </c>
      <c r="O7" s="6">
        <f t="shared" si="0"/>
        <v>9758</v>
      </c>
      <c r="P7" s="6">
        <f t="shared" si="0"/>
        <v>8782</v>
      </c>
      <c r="Q7" s="6">
        <f t="shared" si="0"/>
        <v>8441</v>
      </c>
      <c r="R7" s="6">
        <f t="shared" si="0"/>
        <v>9414</v>
      </c>
      <c r="S7" s="6">
        <f t="shared" si="0"/>
        <v>9353</v>
      </c>
      <c r="T7" s="6">
        <f t="shared" si="0"/>
        <v>8305</v>
      </c>
      <c r="U7" s="6">
        <f t="shared" si="0"/>
        <v>8087</v>
      </c>
      <c r="V7" s="6">
        <f t="shared" si="0"/>
        <v>8995</v>
      </c>
      <c r="W7" s="6">
        <f t="shared" si="0"/>
        <v>9150</v>
      </c>
      <c r="X7" s="6">
        <f>H7-W7-V7-U7</f>
        <v>10813</v>
      </c>
      <c r="Y7" s="5">
        <f>[10]IS!C4</f>
        <v>8997</v>
      </c>
      <c r="Z7" s="5">
        <f>[11]IS!C4</f>
        <v>10353</v>
      </c>
      <c r="AA7" s="5">
        <f>[12]IS!C35</f>
        <v>10096</v>
      </c>
      <c r="AB7" s="5">
        <f>[13]Sheet1!D245</f>
        <v>9685</v>
      </c>
      <c r="AC7" s="5">
        <f>[14]IS!C35</f>
        <v>9480</v>
      </c>
      <c r="AD7" s="5">
        <f>[11]IS!B4</f>
        <v>10674</v>
      </c>
      <c r="AE7" s="5">
        <f>[12]IS!B35</f>
        <v>10561</v>
      </c>
      <c r="AF7" s="5">
        <f>[13]Sheet1!C245</f>
        <v>9962</v>
      </c>
      <c r="AG7" s="5">
        <f>[14]IS!B35</f>
        <v>9658</v>
      </c>
    </row>
    <row r="8" spans="1:33" x14ac:dyDescent="0.2">
      <c r="A8" s="35" t="s">
        <v>34</v>
      </c>
      <c r="C8" s="5">
        <f>[1]IS!D6</f>
        <v>709</v>
      </c>
      <c r="D8" s="5">
        <f>[2]IS!D6</f>
        <v>675</v>
      </c>
      <c r="E8" s="5">
        <f>[3]IS!D6</f>
        <v>685</v>
      </c>
      <c r="F8" s="5">
        <f>[4]IS!D6</f>
        <v>875</v>
      </c>
      <c r="G8" s="5">
        <f>[5]IS!D6</f>
        <v>760</v>
      </c>
      <c r="H8" s="5">
        <f>[9]IS!D38</f>
        <v>785</v>
      </c>
      <c r="I8" s="5">
        <f>[9]IS!C38</f>
        <v>890</v>
      </c>
      <c r="J8" s="5">
        <f>[9]IS!B38</f>
        <v>1013</v>
      </c>
      <c r="K8" s="6">
        <f>SUM(AD8:AG8)</f>
        <v>1003</v>
      </c>
      <c r="L8" s="5"/>
      <c r="M8" s="5">
        <v>206</v>
      </c>
      <c r="N8" s="5">
        <v>221</v>
      </c>
      <c r="O8" s="5">
        <v>215</v>
      </c>
      <c r="P8" s="5">
        <v>232</v>
      </c>
      <c r="Q8" s="5">
        <v>194</v>
      </c>
      <c r="R8" s="5">
        <v>194</v>
      </c>
      <c r="S8" s="5">
        <v>180</v>
      </c>
      <c r="T8" s="5">
        <v>192</v>
      </c>
      <c r="U8" s="5">
        <f>[6]IS!C6</f>
        <v>162</v>
      </c>
      <c r="V8" s="5">
        <f>[7]IS!C6</f>
        <v>174</v>
      </c>
      <c r="W8" s="5">
        <f>[8]IS!C6</f>
        <v>171</v>
      </c>
      <c r="X8" s="6">
        <f>H8-W8-V8-U8</f>
        <v>278</v>
      </c>
      <c r="Y8" s="5">
        <f>[10]IS!C5</f>
        <v>191</v>
      </c>
      <c r="Z8" s="5">
        <f>[11]IS!C5</f>
        <v>219</v>
      </c>
      <c r="AA8" s="5">
        <f>[12]IS!C38</f>
        <v>223</v>
      </c>
      <c r="AB8" s="5">
        <f>[13]Sheet1!D246</f>
        <v>257</v>
      </c>
      <c r="AC8" s="5">
        <f>[14]IS!C38</f>
        <v>227</v>
      </c>
      <c r="AD8" s="5">
        <f>[11]IS!B5</f>
        <v>261</v>
      </c>
      <c r="AE8" s="5">
        <f>[12]IS!B38</f>
        <v>260</v>
      </c>
      <c r="AF8" s="5">
        <f>[13]Sheet1!C246</f>
        <v>264</v>
      </c>
      <c r="AG8" s="5">
        <f>[14]IS!B38</f>
        <v>218</v>
      </c>
    </row>
    <row r="9" spans="1:33" s="32" customFormat="1" x14ac:dyDescent="0.2">
      <c r="A9" s="33" t="s">
        <v>20</v>
      </c>
      <c r="B9" s="29"/>
      <c r="C9" s="27">
        <f>[1]IS!D7</f>
        <v>2599</v>
      </c>
      <c r="D9" s="27">
        <f>[2]IS!D7</f>
        <v>2523</v>
      </c>
      <c r="E9" s="27">
        <f>[3]IS!D7</f>
        <v>2709</v>
      </c>
      <c r="F9" s="27">
        <f>[4]IS!D7</f>
        <v>4651</v>
      </c>
      <c r="G9" s="27">
        <f>[5]IS!D7</f>
        <v>4718</v>
      </c>
      <c r="H9" s="27">
        <f>[9]IS!D41</f>
        <v>2312</v>
      </c>
      <c r="I9" s="27">
        <f>[9]IS!C41</f>
        <v>2601</v>
      </c>
      <c r="J9" s="27">
        <f>[9]IS!B41</f>
        <v>2852</v>
      </c>
      <c r="K9" s="28">
        <f>SUM(AD9:AG9)</f>
        <v>2866</v>
      </c>
      <c r="L9" s="27"/>
      <c r="M9" s="27">
        <v>1124</v>
      </c>
      <c r="N9" s="27">
        <v>1214</v>
      </c>
      <c r="O9" s="27">
        <v>1166</v>
      </c>
      <c r="P9" s="27">
        <v>1146</v>
      </c>
      <c r="Q9" s="27">
        <v>1192</v>
      </c>
      <c r="R9" s="27">
        <v>1219</v>
      </c>
      <c r="S9" s="27">
        <v>1173</v>
      </c>
      <c r="T9" s="27">
        <v>1133</v>
      </c>
      <c r="U9" s="27">
        <f>[6]IS!C7</f>
        <v>1186</v>
      </c>
      <c r="V9" s="27">
        <f>[7]IS!C7</f>
        <v>1194</v>
      </c>
      <c r="W9" s="27">
        <f>[8]IS!C7</f>
        <v>1273</v>
      </c>
      <c r="X9" s="28">
        <f>H9-W9-V9-U9</f>
        <v>-1341</v>
      </c>
      <c r="Y9" s="27">
        <f>[10]IS!C6</f>
        <v>632</v>
      </c>
      <c r="Z9" s="27">
        <f>[11]IS!C6</f>
        <v>655</v>
      </c>
      <c r="AA9" s="27">
        <f>[12]IS!C41</f>
        <v>646</v>
      </c>
      <c r="AB9" s="27">
        <f>[13]Sheet1!D247</f>
        <v>669</v>
      </c>
      <c r="AC9" s="27">
        <f>[14]IS!C41</f>
        <v>694</v>
      </c>
      <c r="AD9" s="27">
        <f>[11]IS!B6</f>
        <v>708</v>
      </c>
      <c r="AE9" s="27">
        <f>[12]IS!B41</f>
        <v>738</v>
      </c>
      <c r="AF9" s="27">
        <f>[13]Sheet1!C247</f>
        <v>712</v>
      </c>
      <c r="AG9" s="27">
        <f>[14]IS!B41</f>
        <v>708</v>
      </c>
    </row>
    <row r="10" spans="1:33" s="11" customFormat="1" x14ac:dyDescent="0.2">
      <c r="A10" s="12" t="s">
        <v>33</v>
      </c>
      <c r="B10" s="34" t="s">
        <v>32</v>
      </c>
      <c r="C10" s="23">
        <f>[1]IS!D8</f>
        <v>23979</v>
      </c>
      <c r="D10" s="23">
        <f>[2]IS!D8</f>
        <v>24855</v>
      </c>
      <c r="E10" s="23">
        <f>[3]IS!D8</f>
        <v>26743</v>
      </c>
      <c r="F10" s="23">
        <f>[4]IS!D8</f>
        <v>42650</v>
      </c>
      <c r="G10" s="23">
        <f>[5]IS!D8</f>
        <v>40990</v>
      </c>
      <c r="H10" s="23">
        <f>[9]IS!D4</f>
        <v>40142</v>
      </c>
      <c r="I10" s="23">
        <f>[9]IS!C4</f>
        <v>42622</v>
      </c>
      <c r="J10" s="23">
        <f>[9]IS!B4</f>
        <v>44541</v>
      </c>
      <c r="K10" s="24">
        <f>SUM(AD10:AG10)</f>
        <v>44724</v>
      </c>
      <c r="L10" s="23"/>
      <c r="M10" s="23">
        <v>9995</v>
      </c>
      <c r="N10" s="23">
        <v>11355</v>
      </c>
      <c r="O10" s="23">
        <v>11139</v>
      </c>
      <c r="P10" s="23">
        <v>10160</v>
      </c>
      <c r="Q10" s="23">
        <v>9827</v>
      </c>
      <c r="R10" s="23">
        <v>10827</v>
      </c>
      <c r="S10" s="23">
        <v>10706</v>
      </c>
      <c r="T10" s="23">
        <v>9630</v>
      </c>
      <c r="U10" s="23">
        <f>[6]IS!C8</f>
        <v>9435</v>
      </c>
      <c r="V10" s="23">
        <f>[7]IS!C8</f>
        <v>10363</v>
      </c>
      <c r="W10" s="23">
        <f>[8]IS!C8</f>
        <v>10594</v>
      </c>
      <c r="X10" s="24">
        <f>H10-W10-V10-U10</f>
        <v>9750</v>
      </c>
      <c r="Y10" s="23">
        <f>[10]IS!C7</f>
        <v>9820</v>
      </c>
      <c r="Z10" s="23">
        <f>[11]IS!C7</f>
        <v>11227</v>
      </c>
      <c r="AA10" s="23">
        <f>[12]IS!C4</f>
        <v>10965</v>
      </c>
      <c r="AB10" s="23">
        <f>[13]Sheet1!D248</f>
        <v>10611</v>
      </c>
      <c r="AC10" s="23">
        <f>[14]IS!C4</f>
        <v>10401</v>
      </c>
      <c r="AD10" s="23">
        <f>[11]IS!B7</f>
        <v>11643</v>
      </c>
      <c r="AE10" s="23">
        <f>[12]IS!B4</f>
        <v>11559</v>
      </c>
      <c r="AF10" s="23">
        <f>[13]Sheet1!C248</f>
        <v>10938</v>
      </c>
      <c r="AG10" s="23">
        <f>[14]IS!B4</f>
        <v>10584</v>
      </c>
    </row>
    <row r="11" spans="1:33" s="9" customFormat="1" x14ac:dyDescent="0.2">
      <c r="A11" s="22" t="s">
        <v>6</v>
      </c>
      <c r="B11" s="21"/>
      <c r="C11" s="20">
        <f t="shared" ref="C11:K11" si="1">SUM(C7:C9)-C10</f>
        <v>0</v>
      </c>
      <c r="D11" s="20">
        <f t="shared" si="1"/>
        <v>0</v>
      </c>
      <c r="E11" s="20">
        <f t="shared" si="1"/>
        <v>0</v>
      </c>
      <c r="F11" s="20">
        <f t="shared" si="1"/>
        <v>0</v>
      </c>
      <c r="G11" s="20">
        <f t="shared" si="1"/>
        <v>0</v>
      </c>
      <c r="H11" s="20">
        <f t="shared" si="1"/>
        <v>0</v>
      </c>
      <c r="I11" s="20">
        <f t="shared" si="1"/>
        <v>0</v>
      </c>
      <c r="J11" s="20">
        <f t="shared" si="1"/>
        <v>0</v>
      </c>
      <c r="K11" s="20">
        <f t="shared" si="1"/>
        <v>0</v>
      </c>
      <c r="L11" s="20"/>
      <c r="M11" s="20">
        <f t="shared" ref="M11:AG11" si="2">SUM(M7:M9)-M10</f>
        <v>0</v>
      </c>
      <c r="N11" s="20">
        <f t="shared" si="2"/>
        <v>0</v>
      </c>
      <c r="O11" s="20">
        <f t="shared" si="2"/>
        <v>0</v>
      </c>
      <c r="P11" s="20">
        <f t="shared" si="2"/>
        <v>0</v>
      </c>
      <c r="Q11" s="20">
        <f t="shared" si="2"/>
        <v>0</v>
      </c>
      <c r="R11" s="20">
        <f t="shared" si="2"/>
        <v>0</v>
      </c>
      <c r="S11" s="20">
        <f t="shared" si="2"/>
        <v>0</v>
      </c>
      <c r="T11" s="20">
        <f t="shared" si="2"/>
        <v>0</v>
      </c>
      <c r="U11" s="20">
        <f t="shared" si="2"/>
        <v>0</v>
      </c>
      <c r="V11" s="20">
        <f t="shared" si="2"/>
        <v>0</v>
      </c>
      <c r="W11" s="20">
        <f t="shared" si="2"/>
        <v>0</v>
      </c>
      <c r="X11" s="20">
        <f t="shared" si="2"/>
        <v>0</v>
      </c>
      <c r="Y11" s="20">
        <f t="shared" si="2"/>
        <v>0</v>
      </c>
      <c r="Z11" s="20">
        <f t="shared" si="2"/>
        <v>0</v>
      </c>
      <c r="AA11" s="20">
        <f t="shared" si="2"/>
        <v>0</v>
      </c>
      <c r="AB11" s="20">
        <f t="shared" si="2"/>
        <v>0</v>
      </c>
      <c r="AC11" s="20">
        <f t="shared" si="2"/>
        <v>0</v>
      </c>
      <c r="AD11" s="20">
        <f t="shared" si="2"/>
        <v>0</v>
      </c>
      <c r="AE11" s="20">
        <f t="shared" si="2"/>
        <v>0</v>
      </c>
      <c r="AF11" s="20">
        <f t="shared" si="2"/>
        <v>0</v>
      </c>
      <c r="AG11" s="20">
        <f t="shared" si="2"/>
        <v>0</v>
      </c>
    </row>
    <row r="12" spans="1:33" x14ac:dyDescent="0.2">
      <c r="A12" s="12" t="s">
        <v>31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6"/>
      <c r="Y12" s="5"/>
      <c r="Z12" s="5"/>
      <c r="AA12" s="5"/>
      <c r="AB12" s="5"/>
      <c r="AC12" s="5"/>
      <c r="AD12" s="5"/>
      <c r="AE12" s="5"/>
      <c r="AF12" s="5"/>
      <c r="AG12" s="5"/>
    </row>
    <row r="13" spans="1:33" x14ac:dyDescent="0.2">
      <c r="A13" s="8" t="s">
        <v>30</v>
      </c>
      <c r="C13" s="5">
        <f>[15]Sheet1!D8269</f>
        <v>946</v>
      </c>
      <c r="D13" s="5">
        <f>[15]Sheet1!C8269</f>
        <v>1012</v>
      </c>
      <c r="E13" s="5">
        <f>[16]Sheet1!F428</f>
        <v>1120</v>
      </c>
      <c r="F13" s="5">
        <v>2009</v>
      </c>
      <c r="G13" s="5">
        <v>1230</v>
      </c>
      <c r="H13" s="5">
        <f>'[9]Basis of Presentation and Su_12'!D18</f>
        <v>1109</v>
      </c>
      <c r="I13" s="5">
        <f>'[9]Basis of Presentation and Su_12'!C18</f>
        <v>1382</v>
      </c>
      <c r="J13" s="5">
        <f>'[9]Basis of Presentation and Su_12'!B18</f>
        <v>1843</v>
      </c>
      <c r="K13" s="6">
        <f t="shared" ref="K13:K25" si="3">SUM(AD13:AG13)</f>
        <v>1868</v>
      </c>
      <c r="L13" s="5"/>
      <c r="M13" s="5">
        <v>500</v>
      </c>
      <c r="N13" s="5">
        <v>535</v>
      </c>
      <c r="O13" s="5">
        <v>538</v>
      </c>
      <c r="P13" s="5">
        <v>437</v>
      </c>
      <c r="Q13" s="5">
        <v>311</v>
      </c>
      <c r="R13" s="5">
        <v>349</v>
      </c>
      <c r="S13" s="5">
        <v>310</v>
      </c>
      <c r="T13" s="5">
        <v>260</v>
      </c>
      <c r="U13" s="5">
        <v>219</v>
      </c>
      <c r="V13" s="5">
        <v>279</v>
      </c>
      <c r="W13" s="5">
        <v>303</v>
      </c>
      <c r="X13" s="6">
        <f t="shared" ref="X13:X25" si="4">H13-W13-V13-U13</f>
        <v>308</v>
      </c>
      <c r="Y13" s="5">
        <v>318</v>
      </c>
      <c r="Z13" s="5">
        <v>329</v>
      </c>
      <c r="AA13" s="5">
        <v>352</v>
      </c>
      <c r="AB13" s="5">
        <f>'[17]AAL 4Q18 PR'!C408</f>
        <v>383</v>
      </c>
      <c r="AC13" s="5">
        <f>[18]Sheet1!E201</f>
        <v>398</v>
      </c>
      <c r="AD13" s="5">
        <v>465</v>
      </c>
      <c r="AE13" s="5">
        <v>506</v>
      </c>
      <c r="AF13" s="5">
        <f>'[17]AAL 4Q18 PR'!B408</f>
        <v>474</v>
      </c>
      <c r="AG13" s="5">
        <f>[18]Sheet1!C201</f>
        <v>423</v>
      </c>
    </row>
    <row r="14" spans="1:33" s="32" customFormat="1" x14ac:dyDescent="0.2">
      <c r="A14" s="30" t="s">
        <v>20</v>
      </c>
      <c r="B14" s="29"/>
      <c r="C14" s="27">
        <f>SUM([15]Sheet1!D8270:D8278)</f>
        <v>2063</v>
      </c>
      <c r="D14" s="27">
        <f>SUM([15]Sheet1!C8270:C8278)</f>
        <v>2016</v>
      </c>
      <c r="E14" s="27">
        <f>[16]Sheet1!F429</f>
        <v>2206</v>
      </c>
      <c r="F14" s="27">
        <v>4507</v>
      </c>
      <c r="G14" s="27">
        <v>4753</v>
      </c>
      <c r="H14" s="27">
        <f>SUM('[9]Basis of Presentation and Su_12'!D19:D27)</f>
        <v>4935</v>
      </c>
      <c r="I14" s="27">
        <f>SUM('[9]Basis of Presentation and Su_12'!C19:C27)</f>
        <v>5164</v>
      </c>
      <c r="J14" s="27">
        <f>SUM('[9]Basis of Presentation and Su_12'!B19:B27)</f>
        <v>5290</v>
      </c>
      <c r="K14" s="28">
        <f t="shared" si="3"/>
        <v>5331</v>
      </c>
      <c r="L14" s="27"/>
      <c r="M14" s="27">
        <v>1094</v>
      </c>
      <c r="N14" s="27">
        <v>1122</v>
      </c>
      <c r="O14" s="27">
        <v>1130</v>
      </c>
      <c r="P14" s="27">
        <v>1161</v>
      </c>
      <c r="Q14" s="27">
        <v>1151</v>
      </c>
      <c r="R14" s="27">
        <v>1208</v>
      </c>
      <c r="S14" s="27">
        <v>1208</v>
      </c>
      <c r="T14" s="27">
        <v>1186</v>
      </c>
      <c r="U14" s="27">
        <v>1213</v>
      </c>
      <c r="V14" s="27">
        <v>1239</v>
      </c>
      <c r="W14" s="27">
        <v>1235</v>
      </c>
      <c r="X14" s="28">
        <f t="shared" si="4"/>
        <v>1248</v>
      </c>
      <c r="Y14" s="27">
        <v>1255</v>
      </c>
      <c r="Z14" s="27">
        <v>1291</v>
      </c>
      <c r="AA14" s="27">
        <v>1302</v>
      </c>
      <c r="AB14" s="27">
        <f>'[17]AAL 4Q18 PR'!C409</f>
        <v>1315</v>
      </c>
      <c r="AC14" s="27">
        <f>[18]Sheet1!E202</f>
        <v>1300</v>
      </c>
      <c r="AD14" s="27">
        <v>1328</v>
      </c>
      <c r="AE14" s="27">
        <v>1327</v>
      </c>
      <c r="AF14" s="27">
        <f>'[17]AAL 4Q18 PR'!B409</f>
        <v>1336</v>
      </c>
      <c r="AG14" s="27">
        <f>[18]Sheet1!C202</f>
        <v>1340</v>
      </c>
    </row>
    <row r="15" spans="1:33" s="11" customFormat="1" x14ac:dyDescent="0.2">
      <c r="A15" s="8" t="s">
        <v>29</v>
      </c>
      <c r="B15" s="2"/>
      <c r="C15" s="5">
        <f>[1]IS!D12</f>
        <v>3009</v>
      </c>
      <c r="D15" s="5">
        <f>[2]IS!D12</f>
        <v>3028</v>
      </c>
      <c r="E15" s="5">
        <f>[3]IS!D12</f>
        <v>3326</v>
      </c>
      <c r="F15" s="5">
        <f>[4]IS!D12</f>
        <v>6516</v>
      </c>
      <c r="G15" s="5">
        <f>[5]IS!D12</f>
        <v>5983</v>
      </c>
      <c r="H15" s="5">
        <f>[9]IS!D8</f>
        <v>6044</v>
      </c>
      <c r="I15" s="5">
        <f>[9]IS!C8</f>
        <v>6546</v>
      </c>
      <c r="J15" s="5">
        <f>[9]IS!B8</f>
        <v>7133</v>
      </c>
      <c r="K15" s="6">
        <f t="shared" si="3"/>
        <v>7199</v>
      </c>
      <c r="L15" s="5"/>
      <c r="M15" s="6">
        <f t="shared" ref="M15:T15" si="5">SUM(M13:M14)</f>
        <v>1594</v>
      </c>
      <c r="N15" s="6">
        <f t="shared" si="5"/>
        <v>1657</v>
      </c>
      <c r="O15" s="6">
        <f t="shared" si="5"/>
        <v>1668</v>
      </c>
      <c r="P15" s="6">
        <f t="shared" si="5"/>
        <v>1598</v>
      </c>
      <c r="Q15" s="6">
        <f t="shared" si="5"/>
        <v>1462</v>
      </c>
      <c r="R15" s="6">
        <f t="shared" si="5"/>
        <v>1557</v>
      </c>
      <c r="S15" s="6">
        <f t="shared" si="5"/>
        <v>1518</v>
      </c>
      <c r="T15" s="6">
        <f t="shared" si="5"/>
        <v>1446</v>
      </c>
      <c r="U15" s="5">
        <f>[6]IS!C12</f>
        <v>1432</v>
      </c>
      <c r="V15" s="5">
        <f>[7]IS!C12</f>
        <v>1518</v>
      </c>
      <c r="W15" s="5">
        <f>[8]IS!C12</f>
        <v>1538</v>
      </c>
      <c r="X15" s="6">
        <f t="shared" si="4"/>
        <v>1556</v>
      </c>
      <c r="Y15" s="5">
        <f>[10]IS!C11</f>
        <v>1573</v>
      </c>
      <c r="Z15" s="5">
        <f>[11]IS!C11</f>
        <v>1620</v>
      </c>
      <c r="AA15" s="5">
        <f>[12]IS!C8</f>
        <v>1654</v>
      </c>
      <c r="AB15" s="5">
        <f>SUM([13]Sheet1!D253:D254)</f>
        <v>1698</v>
      </c>
      <c r="AC15" s="5">
        <f>[14]IS!C8</f>
        <v>1698</v>
      </c>
      <c r="AD15" s="5">
        <f>[11]IS!B11</f>
        <v>1793</v>
      </c>
      <c r="AE15" s="5">
        <f>[12]IS!B8</f>
        <v>1833</v>
      </c>
      <c r="AF15" s="5">
        <f>SUM([13]Sheet1!C253:C254)</f>
        <v>1810</v>
      </c>
      <c r="AG15" s="5">
        <f>[14]IS!B8</f>
        <v>1763</v>
      </c>
    </row>
    <row r="16" spans="1:33" x14ac:dyDescent="0.2">
      <c r="A16" s="8" t="s">
        <v>28</v>
      </c>
      <c r="C16" s="5">
        <f>[1]IS!D10</f>
        <v>7358</v>
      </c>
      <c r="D16" s="5">
        <f>[2]IS!D10</f>
        <v>7705</v>
      </c>
      <c r="E16" s="5">
        <f>[3]IS!D10</f>
        <v>7839</v>
      </c>
      <c r="F16" s="5">
        <f>[4]IS!D10</f>
        <v>10592</v>
      </c>
      <c r="G16" s="5">
        <f>[5]IS!D10</f>
        <v>6226</v>
      </c>
      <c r="H16" s="5">
        <f>[9]IS!D6</f>
        <v>5071</v>
      </c>
      <c r="I16" s="5">
        <f>[9]IS!C6</f>
        <v>6128</v>
      </c>
      <c r="J16" s="5">
        <f>[9]IS!B6</f>
        <v>8053</v>
      </c>
      <c r="K16" s="6">
        <f t="shared" si="3"/>
        <v>8016</v>
      </c>
      <c r="L16" s="5"/>
      <c r="M16" s="5">
        <v>2711</v>
      </c>
      <c r="N16" s="5">
        <v>2830</v>
      </c>
      <c r="O16" s="5">
        <v>2829</v>
      </c>
      <c r="P16" s="5">
        <v>2222</v>
      </c>
      <c r="Q16" s="5">
        <v>1544</v>
      </c>
      <c r="R16" s="5">
        <v>1774</v>
      </c>
      <c r="S16" s="5">
        <v>1593</v>
      </c>
      <c r="T16" s="5">
        <v>1314</v>
      </c>
      <c r="U16" s="5">
        <f>[6]IS!C10</f>
        <v>1029</v>
      </c>
      <c r="V16" s="5">
        <f>[7]IS!C10</f>
        <v>1314</v>
      </c>
      <c r="W16" s="5">
        <f>[8]IS!C10</f>
        <v>1393</v>
      </c>
      <c r="X16" s="6">
        <f t="shared" si="4"/>
        <v>1335</v>
      </c>
      <c r="Y16" s="5">
        <f>[10]IS!C9</f>
        <v>1402</v>
      </c>
      <c r="Z16" s="5">
        <f>[11]IS!C9</f>
        <v>1510</v>
      </c>
      <c r="AA16" s="5">
        <f>[12]IS!C6</f>
        <v>1570</v>
      </c>
      <c r="AB16" s="5">
        <f>[13]Sheet1!D250</f>
        <v>1646</v>
      </c>
      <c r="AC16" s="5">
        <f>[14]IS!C6</f>
        <v>1763</v>
      </c>
      <c r="AD16" s="5">
        <f>[11]IS!B9</f>
        <v>2103</v>
      </c>
      <c r="AE16" s="5">
        <f>[12]IS!B6</f>
        <v>2234</v>
      </c>
      <c r="AF16" s="5">
        <f>[13]Sheet1!C250</f>
        <v>1953</v>
      </c>
      <c r="AG16" s="5">
        <f>[14]IS!B6</f>
        <v>1726</v>
      </c>
    </row>
    <row r="17" spans="1:34" x14ac:dyDescent="0.2">
      <c r="A17" s="8" t="s">
        <v>27</v>
      </c>
      <c r="C17" s="5">
        <f>[1]IS!D11</f>
        <v>6361</v>
      </c>
      <c r="D17" s="5">
        <f>[2]IS!D11</f>
        <v>6217</v>
      </c>
      <c r="E17" s="5">
        <f>[3]IS!D11</f>
        <v>5460</v>
      </c>
      <c r="F17" s="5">
        <f>[4]IS!D11</f>
        <v>8508</v>
      </c>
      <c r="G17" s="5">
        <f>[5]IS!D11</f>
        <v>9524</v>
      </c>
      <c r="H17" s="5">
        <f>[9]IS!D7</f>
        <v>10967</v>
      </c>
      <c r="I17" s="5">
        <f>[9]IS!C7</f>
        <v>11954</v>
      </c>
      <c r="J17" s="5">
        <f>[9]IS!B7</f>
        <v>12251</v>
      </c>
      <c r="K17" s="6">
        <f t="shared" si="3"/>
        <v>12323</v>
      </c>
      <c r="L17" s="5"/>
      <c r="M17" s="5">
        <v>2119</v>
      </c>
      <c r="N17" s="5">
        <v>2163</v>
      </c>
      <c r="O17" s="5">
        <v>2137</v>
      </c>
      <c r="P17" s="5">
        <v>2089</v>
      </c>
      <c r="Q17" s="5">
        <v>2373</v>
      </c>
      <c r="R17" s="5">
        <v>2364</v>
      </c>
      <c r="S17" s="5">
        <v>2404</v>
      </c>
      <c r="T17" s="5">
        <v>2383</v>
      </c>
      <c r="U17" s="5">
        <f>[6]IS!C11</f>
        <v>2652</v>
      </c>
      <c r="V17" s="5">
        <f>[7]IS!C11</f>
        <v>2670</v>
      </c>
      <c r="W17" s="5">
        <f>[8]IS!C11</f>
        <v>2772</v>
      </c>
      <c r="X17" s="6">
        <f t="shared" si="4"/>
        <v>2873</v>
      </c>
      <c r="Y17" s="5">
        <f>[10]IS!C10</f>
        <v>2859</v>
      </c>
      <c r="Z17" s="5">
        <f>[11]IS!C10</f>
        <v>3037</v>
      </c>
      <c r="AA17" s="5">
        <f>[12]IS!C7</f>
        <v>3030</v>
      </c>
      <c r="AB17" s="5">
        <f>[13]Sheet1!D251</f>
        <v>3028</v>
      </c>
      <c r="AC17" s="5">
        <f>[14]IS!C7</f>
        <v>3017</v>
      </c>
      <c r="AD17" s="5">
        <f>[11]IS!B10</f>
        <v>3093</v>
      </c>
      <c r="AE17" s="5">
        <f>[12]IS!B7</f>
        <v>3129</v>
      </c>
      <c r="AF17" s="5">
        <f>[13]Sheet1!C251</f>
        <v>3011</v>
      </c>
      <c r="AG17" s="5">
        <f>[14]IS!B7</f>
        <v>3090</v>
      </c>
    </row>
    <row r="18" spans="1:34" s="9" customFormat="1" x14ac:dyDescent="0.2">
      <c r="A18" s="8" t="s">
        <v>26</v>
      </c>
      <c r="B18" s="21"/>
      <c r="C18" s="5">
        <f>[1]IS!D13</f>
        <v>1039</v>
      </c>
      <c r="D18" s="5">
        <f>[2]IS!D13</f>
        <v>1158</v>
      </c>
      <c r="E18" s="5">
        <f>[3]IS!D13</f>
        <v>1260</v>
      </c>
      <c r="F18" s="5">
        <f>[4]IS!D13</f>
        <v>2051</v>
      </c>
      <c r="G18" s="5">
        <f>[5]IS!D13</f>
        <v>1889</v>
      </c>
      <c r="H18" s="5">
        <f>[9]IS!D9</f>
        <v>1834</v>
      </c>
      <c r="I18" s="5">
        <f>[9]IS!C9</f>
        <v>1959</v>
      </c>
      <c r="J18" s="5">
        <f>[9]IS!B9</f>
        <v>2050</v>
      </c>
      <c r="K18" s="6">
        <f t="shared" si="3"/>
        <v>2142</v>
      </c>
      <c r="L18" s="5"/>
      <c r="M18" s="5">
        <v>485</v>
      </c>
      <c r="N18" s="5">
        <v>514</v>
      </c>
      <c r="O18" s="5">
        <v>529</v>
      </c>
      <c r="P18" s="5">
        <v>523</v>
      </c>
      <c r="Q18" s="5">
        <v>494</v>
      </c>
      <c r="R18" s="5">
        <v>502</v>
      </c>
      <c r="S18" s="5">
        <v>456</v>
      </c>
      <c r="T18" s="5">
        <v>437</v>
      </c>
      <c r="U18" s="5">
        <f>[6]IS!C13</f>
        <v>419</v>
      </c>
      <c r="V18" s="5">
        <f>[7]IS!C13</f>
        <v>453</v>
      </c>
      <c r="W18" s="5">
        <f>[8]IS!C13</f>
        <v>481</v>
      </c>
      <c r="X18" s="6">
        <f t="shared" si="4"/>
        <v>481</v>
      </c>
      <c r="Y18" s="5">
        <f>[10]IS!C12</f>
        <v>492</v>
      </c>
      <c r="Z18" s="5">
        <f>[11]IS!C12</f>
        <v>495</v>
      </c>
      <c r="AA18" s="5">
        <f>[12]IS!C9</f>
        <v>487</v>
      </c>
      <c r="AB18" s="5">
        <f>[13]Sheet1!D256</f>
        <v>484</v>
      </c>
      <c r="AC18" s="5">
        <f>[14]IS!C9</f>
        <v>469</v>
      </c>
      <c r="AD18" s="5">
        <f>[11]IS!B12</f>
        <v>505</v>
      </c>
      <c r="AE18" s="5">
        <f>[12]IS!B9</f>
        <v>526</v>
      </c>
      <c r="AF18" s="5">
        <f>[13]Sheet1!C256</f>
        <v>550</v>
      </c>
      <c r="AG18" s="5">
        <f>[14]IS!B9</f>
        <v>561</v>
      </c>
    </row>
    <row r="19" spans="1:34" x14ac:dyDescent="0.2">
      <c r="A19" s="8" t="s">
        <v>25</v>
      </c>
      <c r="C19" s="5">
        <f>[1]IS!D14</f>
        <v>1194</v>
      </c>
      <c r="D19" s="5">
        <f>[2]IS!D14</f>
        <v>1083</v>
      </c>
      <c r="E19" s="5">
        <f>[3]IS!D14</f>
        <v>1152</v>
      </c>
      <c r="F19" s="5">
        <f>[4]IS!D14</f>
        <v>1727</v>
      </c>
      <c r="G19" s="5">
        <f>[5]IS!D14</f>
        <v>1731</v>
      </c>
      <c r="H19" s="5">
        <f>[9]IS!D10</f>
        <v>1772</v>
      </c>
      <c r="I19" s="5">
        <f>[9]IS!C10</f>
        <v>1806</v>
      </c>
      <c r="J19" s="5">
        <f>[9]IS!B10</f>
        <v>1900</v>
      </c>
      <c r="K19" s="6">
        <f t="shared" si="3"/>
        <v>1942</v>
      </c>
      <c r="L19" s="5"/>
      <c r="M19" s="5">
        <v>424</v>
      </c>
      <c r="N19" s="5">
        <v>441</v>
      </c>
      <c r="O19" s="5">
        <v>431</v>
      </c>
      <c r="P19" s="5">
        <v>430</v>
      </c>
      <c r="Q19" s="5">
        <v>408</v>
      </c>
      <c r="R19" s="5">
        <v>451</v>
      </c>
      <c r="S19" s="5">
        <v>432</v>
      </c>
      <c r="T19" s="5">
        <v>441</v>
      </c>
      <c r="U19" s="5">
        <f>[6]IS!C14</f>
        <v>422</v>
      </c>
      <c r="V19" s="5">
        <f>[7]IS!C14</f>
        <v>458</v>
      </c>
      <c r="W19" s="5">
        <f>[8]IS!C14</f>
        <v>463</v>
      </c>
      <c r="X19" s="6">
        <f t="shared" si="4"/>
        <v>429</v>
      </c>
      <c r="Y19" s="5">
        <f>[10]IS!C13</f>
        <v>440</v>
      </c>
      <c r="Z19" s="5">
        <f>[11]IS!C13</f>
        <v>452</v>
      </c>
      <c r="AA19" s="5">
        <f>[12]IS!C10</f>
        <v>471</v>
      </c>
      <c r="AB19" s="5">
        <f>[13]Sheet1!D257</f>
        <v>443</v>
      </c>
      <c r="AC19" s="5">
        <f>[14]IS!C10</f>
        <v>467</v>
      </c>
      <c r="AD19" s="5">
        <f>[11]IS!B13</f>
        <v>490</v>
      </c>
      <c r="AE19" s="5">
        <f>[12]IS!B10</f>
        <v>497</v>
      </c>
      <c r="AF19" s="5">
        <f>[13]Sheet1!C257</f>
        <v>452</v>
      </c>
      <c r="AG19" s="5">
        <f>[14]IS!B10</f>
        <v>503</v>
      </c>
    </row>
    <row r="20" spans="1:34" x14ac:dyDescent="0.2">
      <c r="A20" s="8" t="s">
        <v>24</v>
      </c>
      <c r="C20" s="5">
        <f>[1]IS!D15</f>
        <v>645</v>
      </c>
      <c r="D20" s="5">
        <f>[2]IS!D15</f>
        <v>553</v>
      </c>
      <c r="E20" s="5">
        <f>[3]IS!D15</f>
        <v>768</v>
      </c>
      <c r="F20" s="5">
        <f>[4]IS!D15</f>
        <v>1250</v>
      </c>
      <c r="G20" s="5">
        <f>[5]IS!D15</f>
        <v>1250</v>
      </c>
      <c r="H20" s="5">
        <f>[9]IS!D11</f>
        <v>1203</v>
      </c>
      <c r="I20" s="5">
        <f>[9]IS!C11</f>
        <v>1197</v>
      </c>
      <c r="J20" s="5">
        <f>[9]IS!B11</f>
        <v>1264</v>
      </c>
      <c r="K20" s="6">
        <f t="shared" si="3"/>
        <v>1287</v>
      </c>
      <c r="L20" s="5"/>
      <c r="M20" s="5">
        <v>320</v>
      </c>
      <c r="N20" s="5">
        <v>312</v>
      </c>
      <c r="O20" s="5">
        <v>306</v>
      </c>
      <c r="P20" s="5">
        <v>312</v>
      </c>
      <c r="Q20" s="5">
        <v>317</v>
      </c>
      <c r="R20" s="5">
        <v>316</v>
      </c>
      <c r="S20" s="5">
        <v>308</v>
      </c>
      <c r="T20" s="5">
        <v>309</v>
      </c>
      <c r="U20" s="5">
        <f>[6]IS!C15</f>
        <v>306</v>
      </c>
      <c r="V20" s="5">
        <f>[7]IS!C15</f>
        <v>302</v>
      </c>
      <c r="W20" s="5">
        <f>[8]IS!C15</f>
        <v>299</v>
      </c>
      <c r="X20" s="6">
        <f t="shared" si="4"/>
        <v>296</v>
      </c>
      <c r="Y20" s="5">
        <f>[10]IS!C14</f>
        <v>295</v>
      </c>
      <c r="Z20" s="5">
        <f>[11]IS!C14</f>
        <v>294</v>
      </c>
      <c r="AA20" s="5">
        <f>[12]IS!C11</f>
        <v>304</v>
      </c>
      <c r="AB20" s="5">
        <f>[13]Sheet1!D259</f>
        <v>305</v>
      </c>
      <c r="AC20" s="5">
        <f>[14]IS!C11</f>
        <v>309</v>
      </c>
      <c r="AD20" s="5">
        <f>[11]IS!B14</f>
        <v>305</v>
      </c>
      <c r="AE20" s="5">
        <f>[12]IS!B11</f>
        <v>312</v>
      </c>
      <c r="AF20" s="5">
        <f>[13]Sheet1!C259</f>
        <v>343</v>
      </c>
      <c r="AG20" s="5">
        <f>[14]IS!B11</f>
        <v>327</v>
      </c>
    </row>
    <row r="21" spans="1:34" x14ac:dyDescent="0.2">
      <c r="A21" s="8" t="s">
        <v>23</v>
      </c>
      <c r="C21" s="5">
        <f>[1]IS!D16</f>
        <v>1102</v>
      </c>
      <c r="D21" s="5">
        <f>[2]IS!D16</f>
        <v>1058</v>
      </c>
      <c r="E21" s="5">
        <f>[3]IS!D16</f>
        <v>1158</v>
      </c>
      <c r="F21" s="5">
        <f>[4]IS!D16</f>
        <v>1544</v>
      </c>
      <c r="G21" s="5">
        <f>[5]IS!D16</f>
        <v>1394</v>
      </c>
      <c r="H21" s="5">
        <f>[9]IS!D12</f>
        <v>1323</v>
      </c>
      <c r="I21" s="5">
        <f>[9]IS!C12</f>
        <v>1477</v>
      </c>
      <c r="J21" s="5">
        <f>[9]IS!B12</f>
        <v>1520</v>
      </c>
      <c r="K21" s="6">
        <f t="shared" si="3"/>
        <v>1533</v>
      </c>
      <c r="L21" s="5"/>
      <c r="M21" s="5">
        <v>401</v>
      </c>
      <c r="N21" s="5">
        <v>402</v>
      </c>
      <c r="O21" s="5">
        <v>393</v>
      </c>
      <c r="P21" s="5">
        <v>348</v>
      </c>
      <c r="Q21" s="5">
        <v>336</v>
      </c>
      <c r="R21" s="5">
        <v>350</v>
      </c>
      <c r="S21" s="5">
        <v>366</v>
      </c>
      <c r="T21" s="5">
        <v>342</v>
      </c>
      <c r="U21" s="5">
        <f>[6]IS!C16</f>
        <v>308</v>
      </c>
      <c r="V21" s="5">
        <f>[7]IS!C16</f>
        <v>334</v>
      </c>
      <c r="W21" s="5">
        <f>[8]IS!C16</f>
        <v>347</v>
      </c>
      <c r="X21" s="6">
        <f t="shared" si="4"/>
        <v>334</v>
      </c>
      <c r="Y21" s="5">
        <f>[10]IS!C15</f>
        <v>318</v>
      </c>
      <c r="Z21" s="5">
        <f>[11]IS!C15</f>
        <v>376</v>
      </c>
      <c r="AA21" s="5">
        <f>[12]IS!C12</f>
        <v>400</v>
      </c>
      <c r="AB21" s="5">
        <f>[13]Sheet1!D260</f>
        <v>383</v>
      </c>
      <c r="AC21" s="5">
        <f>[14]IS!C12</f>
        <v>356</v>
      </c>
      <c r="AD21" s="5">
        <f>[11]IS!B15</f>
        <v>385</v>
      </c>
      <c r="AE21" s="5">
        <f>[12]IS!B12</f>
        <v>395</v>
      </c>
      <c r="AF21" s="5">
        <f>[13]Sheet1!C260</f>
        <v>383</v>
      </c>
      <c r="AG21" s="5">
        <f>[14]IS!B12</f>
        <v>370</v>
      </c>
    </row>
    <row r="22" spans="1:34" x14ac:dyDescent="0.2">
      <c r="A22" s="8" t="s">
        <v>22</v>
      </c>
      <c r="C22" s="5">
        <f>[1]IS!D17</f>
        <v>915</v>
      </c>
      <c r="D22" s="5">
        <f>[2]IS!D17</f>
        <v>845</v>
      </c>
      <c r="E22" s="5">
        <f>[3]IS!D17</f>
        <v>853</v>
      </c>
      <c r="F22" s="5">
        <f>[4]IS!D17</f>
        <v>1295</v>
      </c>
      <c r="G22" s="5">
        <f>[5]IS!D17</f>
        <v>1364</v>
      </c>
      <c r="H22" s="5">
        <f>[9]IS!D13</f>
        <v>1525</v>
      </c>
      <c r="I22" s="5">
        <f>[9]IS!C13</f>
        <v>1702</v>
      </c>
      <c r="J22" s="5">
        <f>[9]IS!B13</f>
        <v>1839</v>
      </c>
      <c r="K22" s="6">
        <f t="shared" si="3"/>
        <v>1874</v>
      </c>
      <c r="L22" s="5"/>
      <c r="M22" s="5">
        <v>307</v>
      </c>
      <c r="N22" s="5">
        <v>319</v>
      </c>
      <c r="O22" s="5">
        <v>334</v>
      </c>
      <c r="P22" s="5">
        <v>334</v>
      </c>
      <c r="Q22" s="5">
        <v>336</v>
      </c>
      <c r="R22" s="5">
        <v>340</v>
      </c>
      <c r="S22" s="5">
        <v>336</v>
      </c>
      <c r="T22" s="5">
        <v>352</v>
      </c>
      <c r="U22" s="5">
        <f>[6]IS!C17</f>
        <v>355</v>
      </c>
      <c r="V22" s="5">
        <f>[7]IS!C17</f>
        <v>374</v>
      </c>
      <c r="W22" s="5">
        <f>[8]IS!C17</f>
        <v>399</v>
      </c>
      <c r="X22" s="6">
        <f t="shared" si="4"/>
        <v>397</v>
      </c>
      <c r="Y22" s="5">
        <f>[10]IS!C16</f>
        <v>405</v>
      </c>
      <c r="Z22" s="5">
        <f>[11]IS!C16</f>
        <v>418</v>
      </c>
      <c r="AA22" s="5">
        <f>[12]IS!C13</f>
        <v>433</v>
      </c>
      <c r="AB22" s="5">
        <f>[13]Sheet1!D261</f>
        <v>447</v>
      </c>
      <c r="AC22" s="5">
        <f>[14]IS!C13</f>
        <v>440</v>
      </c>
      <c r="AD22" s="5">
        <f>[11]IS!B16</f>
        <v>463</v>
      </c>
      <c r="AE22" s="5">
        <f>[12]IS!B13</f>
        <v>473</v>
      </c>
      <c r="AF22" s="5">
        <f>[13]Sheet1!C261</f>
        <v>458</v>
      </c>
      <c r="AG22" s="5">
        <f>[14]IS!B13</f>
        <v>480</v>
      </c>
    </row>
    <row r="23" spans="1:34" x14ac:dyDescent="0.2">
      <c r="A23" s="8" t="s">
        <v>21</v>
      </c>
      <c r="C23" s="5">
        <f>[1]IS!D18</f>
        <v>756</v>
      </c>
      <c r="D23" s="5">
        <f>[2]IS!D18</f>
        <v>386</v>
      </c>
      <c r="E23" s="5">
        <f>[3]IS!D18</f>
        <v>559</v>
      </c>
      <c r="F23" s="5">
        <f>[4]IS!D18</f>
        <v>800</v>
      </c>
      <c r="G23" s="5">
        <f>[5]IS!D18</f>
        <v>1051</v>
      </c>
      <c r="H23" s="5">
        <f>[9]IS!D14</f>
        <v>709</v>
      </c>
      <c r="I23" s="5">
        <f>[9]IS!C14</f>
        <v>712</v>
      </c>
      <c r="J23" s="5">
        <f>[9]IS!B14</f>
        <v>787</v>
      </c>
      <c r="K23" s="6">
        <f t="shared" si="3"/>
        <v>730</v>
      </c>
      <c r="L23" s="5"/>
      <c r="M23" s="5">
        <v>-137</v>
      </c>
      <c r="N23" s="5">
        <v>251</v>
      </c>
      <c r="O23" s="5">
        <v>221</v>
      </c>
      <c r="P23" s="5">
        <v>466</v>
      </c>
      <c r="Q23" s="5">
        <v>303</v>
      </c>
      <c r="R23" s="5">
        <v>144</v>
      </c>
      <c r="S23" s="5">
        <v>163</v>
      </c>
      <c r="T23" s="5">
        <v>441</v>
      </c>
      <c r="U23" s="5">
        <f>[6]IS!C18</f>
        <v>99</v>
      </c>
      <c r="V23" s="5">
        <f>[7]IS!C18</f>
        <v>62</v>
      </c>
      <c r="W23" s="5">
        <f>[8]IS!C18</f>
        <v>289</v>
      </c>
      <c r="X23" s="6">
        <f t="shared" si="4"/>
        <v>259</v>
      </c>
      <c r="Y23" s="5">
        <f>[10]IS!C17</f>
        <v>119</v>
      </c>
      <c r="Z23" s="5">
        <f>[11]IS!C17</f>
        <v>202</v>
      </c>
      <c r="AA23" s="5">
        <f>[12]IS!C14</f>
        <v>112</v>
      </c>
      <c r="AB23" s="5">
        <f>[13]Sheet1!D262</f>
        <v>280</v>
      </c>
      <c r="AC23" s="5">
        <f>[14]IS!C14</f>
        <v>225</v>
      </c>
      <c r="AD23" s="5">
        <f>[11]IS!B17</f>
        <v>152</v>
      </c>
      <c r="AE23" s="5">
        <f>[12]IS!B14</f>
        <v>215</v>
      </c>
      <c r="AF23" s="5">
        <f>[13]Sheet1!C262</f>
        <v>225</v>
      </c>
      <c r="AG23" s="5">
        <f>[14]IS!B14</f>
        <v>138</v>
      </c>
    </row>
    <row r="24" spans="1:34" s="32" customFormat="1" x14ac:dyDescent="0.2">
      <c r="A24" s="33" t="s">
        <v>20</v>
      </c>
      <c r="B24" s="29"/>
      <c r="C24" s="27">
        <f>[1]IS!D19</f>
        <v>2637</v>
      </c>
      <c r="D24" s="27">
        <f>[2]IS!D19</f>
        <v>2674</v>
      </c>
      <c r="E24" s="27">
        <f>[3]IS!D19</f>
        <v>2969</v>
      </c>
      <c r="F24" s="27">
        <f>[4]IS!D19</f>
        <v>4118</v>
      </c>
      <c r="G24" s="27">
        <f>[5]IS!D19</f>
        <v>4374</v>
      </c>
      <c r="H24" s="27">
        <f>[9]IS!D15</f>
        <v>4634</v>
      </c>
      <c r="I24" s="27">
        <f>[9]IS!C15</f>
        <v>4910</v>
      </c>
      <c r="J24" s="27">
        <f>[9]IS!B15</f>
        <v>5088</v>
      </c>
      <c r="K24" s="28">
        <f t="shared" si="3"/>
        <v>5077</v>
      </c>
      <c r="L24" s="27"/>
      <c r="M24" s="27">
        <v>1041</v>
      </c>
      <c r="N24" s="27">
        <v>1067</v>
      </c>
      <c r="O24" s="27">
        <v>1031</v>
      </c>
      <c r="P24" s="27">
        <v>978</v>
      </c>
      <c r="Q24" s="27">
        <v>1038</v>
      </c>
      <c r="R24" s="27">
        <v>1108</v>
      </c>
      <c r="S24" s="27">
        <v>1131</v>
      </c>
      <c r="T24" s="27">
        <v>1097</v>
      </c>
      <c r="U24" s="27">
        <f>[6]IS!C19</f>
        <v>1078</v>
      </c>
      <c r="V24" s="27">
        <f>[7]IS!C19</f>
        <v>1127</v>
      </c>
      <c r="W24" s="27">
        <f>[8]IS!C19</f>
        <v>1182</v>
      </c>
      <c r="X24" s="28">
        <f t="shared" si="4"/>
        <v>1247</v>
      </c>
      <c r="Y24" s="27">
        <f>[10]IS!C18</f>
        <v>1180</v>
      </c>
      <c r="Z24" s="27">
        <f>[11]IS!C18</f>
        <v>1224</v>
      </c>
      <c r="AA24" s="27">
        <f>[12]IS!C15</f>
        <v>1248</v>
      </c>
      <c r="AB24" s="27">
        <f>[13]Sheet1!D263</f>
        <v>1259</v>
      </c>
      <c r="AC24" s="27">
        <f>[14]IS!C15</f>
        <v>1261</v>
      </c>
      <c r="AD24" s="27">
        <f>[11]IS!B18</f>
        <v>1326</v>
      </c>
      <c r="AE24" s="27">
        <f>[12]IS!B15</f>
        <v>1296</v>
      </c>
      <c r="AF24" s="27">
        <f>[13]Sheet1!C263</f>
        <v>1204</v>
      </c>
      <c r="AG24" s="27">
        <f>[14]IS!B15</f>
        <v>1251</v>
      </c>
    </row>
    <row r="25" spans="1:34" s="11" customFormat="1" x14ac:dyDescent="0.2">
      <c r="A25" s="12" t="s">
        <v>19</v>
      </c>
      <c r="B25" s="2"/>
      <c r="C25" s="23">
        <f>[1]IS!D20</f>
        <v>25016</v>
      </c>
      <c r="D25" s="23">
        <f>[2]IS!D20</f>
        <v>24707</v>
      </c>
      <c r="E25" s="23">
        <f>[3]IS!D20</f>
        <v>25344</v>
      </c>
      <c r="F25" s="23">
        <f>[4]IS!D20</f>
        <v>38401</v>
      </c>
      <c r="G25" s="23">
        <f>[5]IS!D20</f>
        <v>34786</v>
      </c>
      <c r="H25" s="23">
        <f>[9]IS!D16</f>
        <v>35082</v>
      </c>
      <c r="I25" s="23">
        <f>[9]IS!C16</f>
        <v>38391</v>
      </c>
      <c r="J25" s="23">
        <f>[9]IS!B16</f>
        <v>41885</v>
      </c>
      <c r="K25" s="24">
        <f t="shared" si="3"/>
        <v>42123</v>
      </c>
      <c r="L25" s="23"/>
      <c r="M25" s="23">
        <v>9265</v>
      </c>
      <c r="N25" s="23">
        <v>9956</v>
      </c>
      <c r="O25" s="23">
        <v>9879</v>
      </c>
      <c r="P25" s="23">
        <v>9300</v>
      </c>
      <c r="Q25" s="23">
        <v>8611</v>
      </c>
      <c r="R25" s="23">
        <v>8906</v>
      </c>
      <c r="S25" s="23">
        <v>8707</v>
      </c>
      <c r="T25" s="23">
        <v>8562</v>
      </c>
      <c r="U25" s="23">
        <f>[6]IS!C20</f>
        <v>8100</v>
      </c>
      <c r="V25" s="23">
        <f>[7]IS!C20</f>
        <v>8612</v>
      </c>
      <c r="W25" s="23">
        <f>[8]IS!C20</f>
        <v>9163</v>
      </c>
      <c r="X25" s="24">
        <f t="shared" si="4"/>
        <v>9207</v>
      </c>
      <c r="Y25" s="23">
        <f>[10]IS!C19</f>
        <v>9083</v>
      </c>
      <c r="Z25" s="23">
        <f>[11]IS!C19</f>
        <v>9628</v>
      </c>
      <c r="AA25" s="23">
        <f>[12]IS!C16</f>
        <v>9709</v>
      </c>
      <c r="AB25" s="23">
        <f>[13]Sheet1!D264</f>
        <v>9973</v>
      </c>
      <c r="AC25" s="23">
        <f>[14]IS!C16</f>
        <v>10005</v>
      </c>
      <c r="AD25" s="23">
        <f>[11]IS!B19</f>
        <v>10615</v>
      </c>
      <c r="AE25" s="23">
        <f>[12]IS!B16</f>
        <v>10910</v>
      </c>
      <c r="AF25" s="23">
        <f>[13]Sheet1!C264</f>
        <v>10389</v>
      </c>
      <c r="AG25" s="23">
        <f>[14]IS!B16</f>
        <v>10209</v>
      </c>
      <c r="AH25" s="31"/>
    </row>
    <row r="26" spans="1:34" s="9" customFormat="1" x14ac:dyDescent="0.2">
      <c r="A26" s="22" t="s">
        <v>6</v>
      </c>
      <c r="B26" s="21"/>
      <c r="C26" s="20">
        <f t="shared" ref="C26:K26" si="6">SUM(C15:C24)-C25</f>
        <v>0</v>
      </c>
      <c r="D26" s="20">
        <f t="shared" si="6"/>
        <v>0</v>
      </c>
      <c r="E26" s="20">
        <f t="shared" si="6"/>
        <v>0</v>
      </c>
      <c r="F26" s="20">
        <f t="shared" si="6"/>
        <v>0</v>
      </c>
      <c r="G26" s="20">
        <f t="shared" si="6"/>
        <v>0</v>
      </c>
      <c r="H26" s="20">
        <f t="shared" si="6"/>
        <v>0</v>
      </c>
      <c r="I26" s="20">
        <f t="shared" si="6"/>
        <v>0</v>
      </c>
      <c r="J26" s="20">
        <f t="shared" si="6"/>
        <v>0</v>
      </c>
      <c r="K26" s="20">
        <f t="shared" si="6"/>
        <v>0</v>
      </c>
      <c r="L26" s="20"/>
      <c r="M26" s="20">
        <f t="shared" ref="M26:AG26" si="7">SUM(M15:M24)-M25</f>
        <v>0</v>
      </c>
      <c r="N26" s="20">
        <f t="shared" si="7"/>
        <v>0</v>
      </c>
      <c r="O26" s="20">
        <f t="shared" si="7"/>
        <v>0</v>
      </c>
      <c r="P26" s="20">
        <f t="shared" si="7"/>
        <v>0</v>
      </c>
      <c r="Q26" s="20">
        <f t="shared" si="7"/>
        <v>0</v>
      </c>
      <c r="R26" s="20">
        <f t="shared" si="7"/>
        <v>0</v>
      </c>
      <c r="S26" s="20">
        <f t="shared" si="7"/>
        <v>0</v>
      </c>
      <c r="T26" s="20">
        <f t="shared" si="7"/>
        <v>0</v>
      </c>
      <c r="U26" s="20">
        <f t="shared" si="7"/>
        <v>0</v>
      </c>
      <c r="V26" s="20">
        <f t="shared" si="7"/>
        <v>0</v>
      </c>
      <c r="W26" s="20">
        <f t="shared" si="7"/>
        <v>0</v>
      </c>
      <c r="X26" s="20">
        <f t="shared" si="7"/>
        <v>0</v>
      </c>
      <c r="Y26" s="20">
        <f t="shared" si="7"/>
        <v>0</v>
      </c>
      <c r="Z26" s="20">
        <f t="shared" si="7"/>
        <v>0</v>
      </c>
      <c r="AA26" s="20">
        <f t="shared" si="7"/>
        <v>0</v>
      </c>
      <c r="AB26" s="20">
        <f t="shared" si="7"/>
        <v>0</v>
      </c>
      <c r="AC26" s="20">
        <f t="shared" si="7"/>
        <v>0</v>
      </c>
      <c r="AD26" s="20">
        <f t="shared" si="7"/>
        <v>0</v>
      </c>
      <c r="AE26" s="20">
        <f t="shared" si="7"/>
        <v>0</v>
      </c>
      <c r="AF26" s="20">
        <f t="shared" si="7"/>
        <v>0</v>
      </c>
      <c r="AG26" s="20">
        <f t="shared" si="7"/>
        <v>0</v>
      </c>
    </row>
    <row r="27" spans="1:34" s="11" customFormat="1" x14ac:dyDescent="0.2">
      <c r="A27" s="12" t="s">
        <v>18</v>
      </c>
      <c r="B27" s="7" t="s">
        <v>17</v>
      </c>
      <c r="C27" s="23">
        <f>[1]IS!D21</f>
        <v>-1037</v>
      </c>
      <c r="D27" s="23">
        <f>[2]IS!D21</f>
        <v>148</v>
      </c>
      <c r="E27" s="23">
        <f>[3]IS!D21</f>
        <v>1399</v>
      </c>
      <c r="F27" s="23">
        <f>[4]IS!D21</f>
        <v>4249</v>
      </c>
      <c r="G27" s="23">
        <f>[5]IS!D21</f>
        <v>6204</v>
      </c>
      <c r="H27" s="23">
        <f>[9]IS!D17</f>
        <v>5060</v>
      </c>
      <c r="I27" s="23">
        <f>[9]IS!C17</f>
        <v>4231</v>
      </c>
      <c r="J27" s="23">
        <f>[9]IS!B17</f>
        <v>2656</v>
      </c>
      <c r="K27" s="24">
        <f>SUM(AD27:AG27)</f>
        <v>2601</v>
      </c>
      <c r="L27" s="23"/>
      <c r="M27" s="23">
        <v>730</v>
      </c>
      <c r="N27" s="23">
        <v>1399</v>
      </c>
      <c r="O27" s="23">
        <v>1260</v>
      </c>
      <c r="P27" s="23">
        <v>860</v>
      </c>
      <c r="Q27" s="23">
        <v>1216</v>
      </c>
      <c r="R27" s="23">
        <v>1921</v>
      </c>
      <c r="S27" s="23">
        <v>1999</v>
      </c>
      <c r="T27" s="23">
        <v>1068</v>
      </c>
      <c r="U27" s="23">
        <f>[6]IS!C21</f>
        <v>1335</v>
      </c>
      <c r="V27" s="23">
        <f>[7]IS!C21</f>
        <v>1751</v>
      </c>
      <c r="W27" s="23">
        <f>[8]IS!C21</f>
        <v>1431</v>
      </c>
      <c r="X27" s="24">
        <f>H27-W27-V27-U27</f>
        <v>543</v>
      </c>
      <c r="Y27" s="23">
        <f>[10]IS!C20</f>
        <v>737</v>
      </c>
      <c r="Z27" s="23">
        <f>[11]IS!C20</f>
        <v>1599</v>
      </c>
      <c r="AA27" s="23">
        <f>[12]IS!C17</f>
        <v>1256</v>
      </c>
      <c r="AB27" s="23">
        <f>[13]Sheet1!D265</f>
        <v>638</v>
      </c>
      <c r="AC27" s="23">
        <f>[14]IS!C17</f>
        <v>396</v>
      </c>
      <c r="AD27" s="23">
        <f>[11]IS!B20</f>
        <v>1028</v>
      </c>
      <c r="AE27" s="23">
        <f>[12]IS!B17</f>
        <v>649</v>
      </c>
      <c r="AF27" s="23">
        <f>[13]Sheet1!C265</f>
        <v>549</v>
      </c>
      <c r="AG27" s="23">
        <f>[14]IS!B17</f>
        <v>375</v>
      </c>
    </row>
    <row r="28" spans="1:34" s="9" customFormat="1" x14ac:dyDescent="0.2">
      <c r="A28" s="22" t="s">
        <v>6</v>
      </c>
      <c r="B28" s="21"/>
      <c r="C28" s="20">
        <f t="shared" ref="C28:K28" si="8">C10-C25-C27</f>
        <v>0</v>
      </c>
      <c r="D28" s="20">
        <f t="shared" si="8"/>
        <v>0</v>
      </c>
      <c r="E28" s="20">
        <f t="shared" si="8"/>
        <v>0</v>
      </c>
      <c r="F28" s="20">
        <f t="shared" si="8"/>
        <v>0</v>
      </c>
      <c r="G28" s="20">
        <f t="shared" si="8"/>
        <v>0</v>
      </c>
      <c r="H28" s="20">
        <f t="shared" si="8"/>
        <v>0</v>
      </c>
      <c r="I28" s="20">
        <f t="shared" si="8"/>
        <v>0</v>
      </c>
      <c r="J28" s="20">
        <f t="shared" si="8"/>
        <v>0</v>
      </c>
      <c r="K28" s="20">
        <f t="shared" si="8"/>
        <v>0</v>
      </c>
      <c r="L28" s="20"/>
      <c r="M28" s="20">
        <f t="shared" ref="M28:AG28" si="9">M10-M25-M27</f>
        <v>0</v>
      </c>
      <c r="N28" s="20">
        <f t="shared" si="9"/>
        <v>0</v>
      </c>
      <c r="O28" s="20">
        <f t="shared" si="9"/>
        <v>0</v>
      </c>
      <c r="P28" s="20">
        <f t="shared" si="9"/>
        <v>0</v>
      </c>
      <c r="Q28" s="20">
        <f t="shared" si="9"/>
        <v>0</v>
      </c>
      <c r="R28" s="20">
        <f t="shared" si="9"/>
        <v>0</v>
      </c>
      <c r="S28" s="20">
        <f t="shared" si="9"/>
        <v>0</v>
      </c>
      <c r="T28" s="20">
        <f t="shared" si="9"/>
        <v>0</v>
      </c>
      <c r="U28" s="20">
        <f t="shared" si="9"/>
        <v>0</v>
      </c>
      <c r="V28" s="20">
        <f t="shared" si="9"/>
        <v>0</v>
      </c>
      <c r="W28" s="20">
        <f t="shared" si="9"/>
        <v>0</v>
      </c>
      <c r="X28" s="20">
        <f t="shared" si="9"/>
        <v>0</v>
      </c>
      <c r="Y28" s="20">
        <f t="shared" si="9"/>
        <v>0</v>
      </c>
      <c r="Z28" s="20">
        <f t="shared" si="9"/>
        <v>0</v>
      </c>
      <c r="AA28" s="20">
        <f t="shared" si="9"/>
        <v>0</v>
      </c>
      <c r="AB28" s="20">
        <f t="shared" si="9"/>
        <v>0</v>
      </c>
      <c r="AC28" s="20">
        <f t="shared" si="9"/>
        <v>0</v>
      </c>
      <c r="AD28" s="20">
        <f t="shared" si="9"/>
        <v>0</v>
      </c>
      <c r="AE28" s="20">
        <f t="shared" si="9"/>
        <v>0</v>
      </c>
      <c r="AF28" s="20">
        <f t="shared" si="9"/>
        <v>0</v>
      </c>
      <c r="AG28" s="20">
        <f t="shared" si="9"/>
        <v>0</v>
      </c>
    </row>
    <row r="29" spans="1:34" x14ac:dyDescent="0.2">
      <c r="A29" s="12" t="s">
        <v>16</v>
      </c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6"/>
      <c r="Y29" s="5"/>
      <c r="Z29" s="5"/>
      <c r="AA29" s="5"/>
      <c r="AB29" s="5"/>
      <c r="AC29" s="5"/>
      <c r="AD29" s="5"/>
      <c r="AE29" s="5"/>
      <c r="AF29" s="5"/>
      <c r="AG29" s="5"/>
    </row>
    <row r="30" spans="1:34" x14ac:dyDescent="0.2">
      <c r="A30" s="8" t="s">
        <v>15</v>
      </c>
      <c r="B30" s="7" t="s">
        <v>14</v>
      </c>
      <c r="C30" s="5">
        <f>[1]IS!D23</f>
        <v>26</v>
      </c>
      <c r="D30" s="5">
        <f>[2]IS!D23</f>
        <v>26</v>
      </c>
      <c r="E30" s="5">
        <f>[3]IS!D23</f>
        <v>20</v>
      </c>
      <c r="F30" s="5">
        <f>[4]IS!D23</f>
        <v>31</v>
      </c>
      <c r="G30" s="5">
        <f>[5]IS!D23</f>
        <v>39</v>
      </c>
      <c r="H30" s="5">
        <f>[9]IS!D19</f>
        <v>63</v>
      </c>
      <c r="I30" s="5">
        <f>[9]IS!C19</f>
        <v>94</v>
      </c>
      <c r="J30" s="5">
        <f>[9]IS!B19</f>
        <v>118</v>
      </c>
      <c r="K30" s="6">
        <f>SUM(AD30:AG30)</f>
        <v>126</v>
      </c>
      <c r="L30" s="5"/>
      <c r="M30" s="5">
        <v>7</v>
      </c>
      <c r="N30" s="5">
        <v>8</v>
      </c>
      <c r="O30" s="5">
        <v>7</v>
      </c>
      <c r="P30" s="5">
        <v>9</v>
      </c>
      <c r="Q30" s="5">
        <v>10</v>
      </c>
      <c r="R30" s="5">
        <v>10</v>
      </c>
      <c r="S30" s="5">
        <v>10</v>
      </c>
      <c r="T30" s="5">
        <v>10</v>
      </c>
      <c r="U30" s="5">
        <f>[6]IS!C23</f>
        <v>13</v>
      </c>
      <c r="V30" s="5">
        <f>[7]IS!C23</f>
        <v>16</v>
      </c>
      <c r="W30" s="5">
        <f>[8]IS!C23</f>
        <v>16</v>
      </c>
      <c r="X30" s="6">
        <f>H30-W30-V30-U30</f>
        <v>18</v>
      </c>
      <c r="Y30" s="5">
        <f>[10]IS!C22</f>
        <v>21</v>
      </c>
      <c r="Z30" s="5">
        <f>[11]IS!C22</f>
        <v>24</v>
      </c>
      <c r="AA30" s="5">
        <f>[12]IS!C19</f>
        <v>25</v>
      </c>
      <c r="AB30" s="5">
        <f>[13]Sheet1!D268</f>
        <v>24</v>
      </c>
      <c r="AC30" s="5">
        <f>[14]IS!C19</f>
        <v>25</v>
      </c>
      <c r="AD30" s="5">
        <f>[11]IS!B22</f>
        <v>30</v>
      </c>
      <c r="AE30" s="5">
        <f>[12]IS!B19</f>
        <v>29</v>
      </c>
      <c r="AF30" s="5">
        <f>[13]Sheet1!C268</f>
        <v>34</v>
      </c>
      <c r="AG30" s="5">
        <f>[14]IS!B19</f>
        <v>33</v>
      </c>
    </row>
    <row r="31" spans="1:34" x14ac:dyDescent="0.2">
      <c r="A31" s="8" t="s">
        <v>13</v>
      </c>
      <c r="B31" s="7" t="s">
        <v>12</v>
      </c>
      <c r="C31" s="5">
        <f>[1]IS!D24</f>
        <v>-811</v>
      </c>
      <c r="D31" s="5">
        <f>[2]IS!D24</f>
        <v>-632</v>
      </c>
      <c r="E31" s="5">
        <f>[3]IS!D24</f>
        <v>-856</v>
      </c>
      <c r="F31" s="5">
        <f>[4]IS!D24</f>
        <v>-887</v>
      </c>
      <c r="G31" s="5">
        <f>[5]IS!D24</f>
        <v>-880</v>
      </c>
      <c r="H31" s="5">
        <f>[9]IS!D20</f>
        <v>-991</v>
      </c>
      <c r="I31" s="5">
        <f>[9]IS!C20</f>
        <v>-1053</v>
      </c>
      <c r="J31" s="5">
        <f>[9]IS!B20</f>
        <v>-1056</v>
      </c>
      <c r="K31" s="6">
        <f>SUM(AD31:AG31)</f>
        <v>-1063</v>
      </c>
      <c r="L31" s="5"/>
      <c r="M31" s="5">
        <v>-243</v>
      </c>
      <c r="N31" s="5">
        <v>-214</v>
      </c>
      <c r="O31" s="5">
        <v>-210</v>
      </c>
      <c r="P31" s="5">
        <v>-220</v>
      </c>
      <c r="Q31" s="5">
        <v>-210</v>
      </c>
      <c r="R31" s="5">
        <v>-223</v>
      </c>
      <c r="S31" s="5">
        <v>-219</v>
      </c>
      <c r="T31" s="5">
        <v>-229</v>
      </c>
      <c r="U31" s="5">
        <f>[6]IS!C24</f>
        <v>-239</v>
      </c>
      <c r="V31" s="5">
        <f>[7]IS!C24</f>
        <v>-249</v>
      </c>
      <c r="W31" s="5">
        <f>[8]IS!C24</f>
        <v>-250</v>
      </c>
      <c r="X31" s="6">
        <f>H31-W31-V31-U31</f>
        <v>-253</v>
      </c>
      <c r="Y31" s="5">
        <f>[10]IS!C23</f>
        <v>-257</v>
      </c>
      <c r="Z31" s="5">
        <f>[11]IS!C23</f>
        <v>-263</v>
      </c>
      <c r="AA31" s="5">
        <f>[12]IS!C20</f>
        <v>-266</v>
      </c>
      <c r="AB31" s="5">
        <f>[13]Sheet1!D269</f>
        <v>-266</v>
      </c>
      <c r="AC31" s="5">
        <f>[14]IS!C20</f>
        <v>-262</v>
      </c>
      <c r="AD31" s="5">
        <f>[11]IS!B23</f>
        <v>-266</v>
      </c>
      <c r="AE31" s="5">
        <f>[12]IS!B20</f>
        <v>-265</v>
      </c>
      <c r="AF31" s="5">
        <f>[13]Sheet1!C269</f>
        <v>-261</v>
      </c>
      <c r="AG31" s="5">
        <f>[14]IS!B20</f>
        <v>-271</v>
      </c>
    </row>
    <row r="32" spans="1:34" s="26" customFormat="1" x14ac:dyDescent="0.2">
      <c r="A32" s="30" t="s">
        <v>11</v>
      </c>
      <c r="B32" s="29"/>
      <c r="C32" s="27">
        <f>[1]IS!D25</f>
        <v>-39</v>
      </c>
      <c r="D32" s="27">
        <f>[2]IS!D25</f>
        <v>221</v>
      </c>
      <c r="E32" s="27">
        <f>[3]IS!D25</f>
        <v>-88</v>
      </c>
      <c r="F32" s="27">
        <f>[4]IS!D25</f>
        <v>-181</v>
      </c>
      <c r="G32" s="27">
        <f>[5]IS!D25</f>
        <v>-747</v>
      </c>
      <c r="H32" s="27">
        <f>[9]IS!D21</f>
        <v>20</v>
      </c>
      <c r="I32" s="27">
        <f>[9]IS!C21</f>
        <v>123</v>
      </c>
      <c r="J32" s="27">
        <f>[9]IS!B21</f>
        <v>166</v>
      </c>
      <c r="K32" s="28">
        <f>SUM(AD32:AG32)</f>
        <v>193</v>
      </c>
      <c r="L32" s="27"/>
      <c r="M32" s="27">
        <v>-1</v>
      </c>
      <c r="N32" s="27">
        <v>11</v>
      </c>
      <c r="O32" s="27">
        <v>-108</v>
      </c>
      <c r="P32" s="27">
        <v>-82</v>
      </c>
      <c r="Q32" s="27">
        <v>-73</v>
      </c>
      <c r="R32" s="27">
        <v>11</v>
      </c>
      <c r="S32" s="27">
        <v>-81</v>
      </c>
      <c r="T32" s="27">
        <v>-605</v>
      </c>
      <c r="U32" s="27">
        <f>[6]IS!C25</f>
        <v>8</v>
      </c>
      <c r="V32" s="27">
        <f>[7]IS!C25</f>
        <v>-25</v>
      </c>
      <c r="W32" s="27">
        <f>[8]IS!C25</f>
        <v>-8</v>
      </c>
      <c r="X32" s="28">
        <f>H32-W32-V32-U32</f>
        <v>45</v>
      </c>
      <c r="Y32" s="27">
        <f>[10]IS!C24</f>
        <v>34</v>
      </c>
      <c r="Z32" s="27">
        <f>[11]IS!C24</f>
        <v>29</v>
      </c>
      <c r="AA32" s="27">
        <f>[12]IS!C21</f>
        <v>48</v>
      </c>
      <c r="AB32" s="27">
        <f>[13]Sheet1!D270</f>
        <v>12</v>
      </c>
      <c r="AC32" s="27">
        <f>[14]IS!C21</f>
        <v>79</v>
      </c>
      <c r="AD32" s="27">
        <f>[11]IS!B24</f>
        <v>-23</v>
      </c>
      <c r="AE32" s="27">
        <f>[12]IS!B21</f>
        <v>43</v>
      </c>
      <c r="AF32" s="27">
        <f>[13]Sheet1!C270</f>
        <v>65</v>
      </c>
      <c r="AG32" s="27">
        <f>[14]IS!B21</f>
        <v>108</v>
      </c>
    </row>
    <row r="33" spans="1:33" s="9" customFormat="1" x14ac:dyDescent="0.2">
      <c r="A33" s="8" t="s">
        <v>10</v>
      </c>
      <c r="B33" s="21"/>
      <c r="C33" s="5">
        <f>[1]IS!D26</f>
        <v>-824</v>
      </c>
      <c r="D33" s="5">
        <f>[2]IS!D26</f>
        <v>-385</v>
      </c>
      <c r="E33" s="5">
        <f>[3]IS!D26</f>
        <v>-924</v>
      </c>
      <c r="F33" s="5">
        <f>[4]IS!D26</f>
        <v>-1037</v>
      </c>
      <c r="G33" s="5">
        <f>[5]IS!D26</f>
        <v>-1588</v>
      </c>
      <c r="H33" s="5">
        <f>[9]IS!D22</f>
        <v>-908</v>
      </c>
      <c r="I33" s="5">
        <f>[9]IS!C22</f>
        <v>-836</v>
      </c>
      <c r="J33" s="5">
        <f>[9]IS!B22</f>
        <v>-772</v>
      </c>
      <c r="K33" s="6">
        <f>SUM(AD33:AG33)</f>
        <v>-744</v>
      </c>
      <c r="L33" s="5"/>
      <c r="M33" s="5">
        <v>-237</v>
      </c>
      <c r="N33" s="5">
        <v>-195</v>
      </c>
      <c r="O33" s="5">
        <v>-311</v>
      </c>
      <c r="P33" s="5">
        <v>-293</v>
      </c>
      <c r="Q33" s="5">
        <v>-273</v>
      </c>
      <c r="R33" s="5">
        <v>-202</v>
      </c>
      <c r="S33" s="5">
        <v>-290</v>
      </c>
      <c r="T33" s="5">
        <v>-824</v>
      </c>
      <c r="U33" s="5">
        <f>[6]IS!C26</f>
        <v>-218</v>
      </c>
      <c r="V33" s="5">
        <f>[7]IS!C26</f>
        <v>-258</v>
      </c>
      <c r="W33" s="5">
        <f>[8]IS!C26</f>
        <v>-242</v>
      </c>
      <c r="X33" s="6">
        <f>H33-W33-V33-U33</f>
        <v>-190</v>
      </c>
      <c r="Y33" s="5">
        <f>[10]IS!C25</f>
        <v>-202</v>
      </c>
      <c r="Z33" s="5">
        <f>[11]IS!C25</f>
        <v>-210</v>
      </c>
      <c r="AA33" s="5">
        <f>[12]IS!C22</f>
        <v>-193</v>
      </c>
      <c r="AB33" s="5">
        <f>[13]Sheet1!D272</f>
        <v>-230</v>
      </c>
      <c r="AC33" s="5">
        <f>[18]Sheet1!E216</f>
        <v>-158</v>
      </c>
      <c r="AD33" s="5">
        <f>[11]IS!B25</f>
        <v>-259</v>
      </c>
      <c r="AE33" s="5">
        <f>[12]IS!B22</f>
        <v>-193</v>
      </c>
      <c r="AF33" s="5">
        <f>[13]Sheet1!C272</f>
        <v>-162</v>
      </c>
      <c r="AG33" s="5">
        <f>[18]Sheet1!C216</f>
        <v>-130</v>
      </c>
    </row>
    <row r="34" spans="1:33" s="9" customFormat="1" x14ac:dyDescent="0.2">
      <c r="A34" s="22" t="s">
        <v>6</v>
      </c>
      <c r="B34" s="21"/>
      <c r="C34" s="20">
        <f t="shared" ref="C34:K34" si="10">SUM(C30:C32)-C33</f>
        <v>0</v>
      </c>
      <c r="D34" s="20">
        <f t="shared" si="10"/>
        <v>0</v>
      </c>
      <c r="E34" s="20">
        <f t="shared" si="10"/>
        <v>0</v>
      </c>
      <c r="F34" s="20">
        <f t="shared" si="10"/>
        <v>0</v>
      </c>
      <c r="G34" s="20">
        <f t="shared" si="10"/>
        <v>0</v>
      </c>
      <c r="H34" s="20">
        <f t="shared" si="10"/>
        <v>0</v>
      </c>
      <c r="I34" s="20">
        <f t="shared" si="10"/>
        <v>0</v>
      </c>
      <c r="J34" s="20">
        <f t="shared" si="10"/>
        <v>0</v>
      </c>
      <c r="K34" s="20">
        <f t="shared" si="10"/>
        <v>0</v>
      </c>
      <c r="L34" s="20"/>
      <c r="M34" s="20">
        <f t="shared" ref="M34:AG34" si="11">SUM(M30:M32)-M33</f>
        <v>0</v>
      </c>
      <c r="N34" s="20">
        <f t="shared" si="11"/>
        <v>0</v>
      </c>
      <c r="O34" s="20">
        <f t="shared" si="11"/>
        <v>0</v>
      </c>
      <c r="P34" s="20">
        <f t="shared" si="11"/>
        <v>0</v>
      </c>
      <c r="Q34" s="20">
        <f t="shared" si="11"/>
        <v>0</v>
      </c>
      <c r="R34" s="20">
        <f t="shared" si="11"/>
        <v>0</v>
      </c>
      <c r="S34" s="20">
        <f t="shared" si="11"/>
        <v>0</v>
      </c>
      <c r="T34" s="20">
        <f t="shared" si="11"/>
        <v>0</v>
      </c>
      <c r="U34" s="20">
        <f t="shared" si="11"/>
        <v>0</v>
      </c>
      <c r="V34" s="20">
        <f t="shared" si="11"/>
        <v>0</v>
      </c>
      <c r="W34" s="20">
        <f t="shared" si="11"/>
        <v>0</v>
      </c>
      <c r="X34" s="20">
        <f t="shared" si="11"/>
        <v>0</v>
      </c>
      <c r="Y34" s="20">
        <f t="shared" si="11"/>
        <v>0</v>
      </c>
      <c r="Z34" s="20">
        <f t="shared" si="11"/>
        <v>0</v>
      </c>
      <c r="AA34" s="20">
        <f t="shared" si="11"/>
        <v>0</v>
      </c>
      <c r="AB34" s="20">
        <f t="shared" si="11"/>
        <v>0</v>
      </c>
      <c r="AC34" s="20">
        <f t="shared" si="11"/>
        <v>0</v>
      </c>
      <c r="AD34" s="20">
        <f t="shared" si="11"/>
        <v>0</v>
      </c>
      <c r="AE34" s="20">
        <f t="shared" si="11"/>
        <v>0</v>
      </c>
      <c r="AF34" s="20">
        <f t="shared" si="11"/>
        <v>0</v>
      </c>
      <c r="AG34" s="20">
        <f t="shared" si="11"/>
        <v>0</v>
      </c>
    </row>
    <row r="35" spans="1:33" s="11" customFormat="1" x14ac:dyDescent="0.2">
      <c r="A35" s="8" t="s">
        <v>9</v>
      </c>
      <c r="B35" s="2"/>
      <c r="C35" s="5">
        <f>[1]IS!D28</f>
        <v>-118</v>
      </c>
      <c r="D35" s="5">
        <f>[2]IS!D28</f>
        <v>-2208</v>
      </c>
      <c r="E35" s="5">
        <f>[3]IS!D28</f>
        <v>-2655</v>
      </c>
      <c r="F35" s="5"/>
      <c r="G35" s="5"/>
      <c r="H35" s="5"/>
      <c r="I35" s="5"/>
      <c r="J35" s="5"/>
      <c r="K35" s="6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6"/>
      <c r="Y35" s="5"/>
      <c r="Z35" s="5"/>
      <c r="AA35" s="5"/>
      <c r="AB35" s="5"/>
      <c r="AC35" s="5"/>
      <c r="AD35" s="5"/>
      <c r="AE35" s="5"/>
      <c r="AF35" s="5"/>
      <c r="AG35" s="5"/>
    </row>
    <row r="36" spans="1:33" s="25" customFormat="1" x14ac:dyDescent="0.2">
      <c r="A36" s="12" t="s">
        <v>8</v>
      </c>
      <c r="B36" s="21"/>
      <c r="C36" s="23">
        <f>[1]IS!D29</f>
        <v>-1979</v>
      </c>
      <c r="D36" s="23">
        <f>[2]IS!D29</f>
        <v>-2445</v>
      </c>
      <c r="E36" s="23">
        <f>[3]IS!D29</f>
        <v>-2180</v>
      </c>
      <c r="F36" s="23">
        <f>[4]IS!D27</f>
        <v>3212</v>
      </c>
      <c r="G36" s="23">
        <f>[5]IS!D27</f>
        <v>4616</v>
      </c>
      <c r="H36" s="23">
        <f>[9]IS!D23</f>
        <v>4152</v>
      </c>
      <c r="I36" s="23">
        <f>[9]IS!C23</f>
        <v>3395</v>
      </c>
      <c r="J36" s="23">
        <f>[9]IS!B23</f>
        <v>1884</v>
      </c>
      <c r="K36" s="24">
        <f>SUM(AD36:AG36)</f>
        <v>1857</v>
      </c>
      <c r="L36" s="23"/>
      <c r="M36" s="23">
        <v>493</v>
      </c>
      <c r="N36" s="23">
        <v>1204</v>
      </c>
      <c r="O36" s="23">
        <v>949</v>
      </c>
      <c r="P36" s="23">
        <v>567</v>
      </c>
      <c r="Q36" s="23">
        <v>943</v>
      </c>
      <c r="R36" s="23">
        <v>1719</v>
      </c>
      <c r="S36" s="23">
        <v>1709</v>
      </c>
      <c r="T36" s="23">
        <v>244</v>
      </c>
      <c r="U36" s="23">
        <f>[6]IS!C27</f>
        <v>1117</v>
      </c>
      <c r="V36" s="23">
        <f>[7]IS!C27</f>
        <v>1493</v>
      </c>
      <c r="W36" s="23">
        <f>[8]IS!C27</f>
        <v>1189</v>
      </c>
      <c r="X36" s="24">
        <f>H36-W36-V36-U36</f>
        <v>353</v>
      </c>
      <c r="Y36" s="23">
        <f>[10]IS!C26</f>
        <v>535</v>
      </c>
      <c r="Z36" s="23">
        <f>[11]IS!C26</f>
        <v>1389</v>
      </c>
      <c r="AA36" s="23">
        <f>[12]IS!C23</f>
        <v>1063</v>
      </c>
      <c r="AB36" s="23">
        <f>[13]Sheet1!D273</f>
        <v>408</v>
      </c>
      <c r="AC36" s="23">
        <f>[14]IS!C23</f>
        <v>238</v>
      </c>
      <c r="AD36" s="23">
        <f>[11]IS!B26</f>
        <v>769</v>
      </c>
      <c r="AE36" s="23">
        <f>[12]IS!B23</f>
        <v>456</v>
      </c>
      <c r="AF36" s="23">
        <f>[13]Sheet1!C273</f>
        <v>387</v>
      </c>
      <c r="AG36" s="23">
        <f>[14]IS!B23</f>
        <v>245</v>
      </c>
    </row>
    <row r="37" spans="1:33" s="9" customFormat="1" x14ac:dyDescent="0.2">
      <c r="A37" s="22" t="s">
        <v>6</v>
      </c>
      <c r="B37" s="21"/>
      <c r="C37" s="20">
        <f t="shared" ref="C37:K37" si="12">C27+C33+C35-C36</f>
        <v>0</v>
      </c>
      <c r="D37" s="20">
        <f t="shared" si="12"/>
        <v>0</v>
      </c>
      <c r="E37" s="20">
        <f t="shared" si="12"/>
        <v>0</v>
      </c>
      <c r="F37" s="20">
        <f t="shared" si="12"/>
        <v>0</v>
      </c>
      <c r="G37" s="20">
        <f t="shared" si="12"/>
        <v>0</v>
      </c>
      <c r="H37" s="20">
        <f t="shared" si="12"/>
        <v>0</v>
      </c>
      <c r="I37" s="20">
        <f t="shared" si="12"/>
        <v>0</v>
      </c>
      <c r="J37" s="20">
        <f t="shared" si="12"/>
        <v>0</v>
      </c>
      <c r="K37" s="20">
        <f t="shared" si="12"/>
        <v>0</v>
      </c>
      <c r="L37" s="20"/>
      <c r="M37" s="20">
        <f t="shared" ref="M37:AG37" si="13">M27+M33+M35-M36</f>
        <v>0</v>
      </c>
      <c r="N37" s="20">
        <f t="shared" si="13"/>
        <v>0</v>
      </c>
      <c r="O37" s="20">
        <f t="shared" si="13"/>
        <v>0</v>
      </c>
      <c r="P37" s="20">
        <f t="shared" si="13"/>
        <v>0</v>
      </c>
      <c r="Q37" s="20">
        <f t="shared" si="13"/>
        <v>0</v>
      </c>
      <c r="R37" s="20">
        <f t="shared" si="13"/>
        <v>0</v>
      </c>
      <c r="S37" s="20">
        <f t="shared" si="13"/>
        <v>0</v>
      </c>
      <c r="T37" s="20">
        <f t="shared" si="13"/>
        <v>0</v>
      </c>
      <c r="U37" s="20">
        <f t="shared" si="13"/>
        <v>0</v>
      </c>
      <c r="V37" s="20">
        <f t="shared" si="13"/>
        <v>0</v>
      </c>
      <c r="W37" s="20">
        <f t="shared" si="13"/>
        <v>0</v>
      </c>
      <c r="X37" s="20">
        <f t="shared" si="13"/>
        <v>0</v>
      </c>
      <c r="Y37" s="20">
        <f t="shared" si="13"/>
        <v>0</v>
      </c>
      <c r="Z37" s="20">
        <f t="shared" si="13"/>
        <v>0</v>
      </c>
      <c r="AA37" s="20">
        <f t="shared" si="13"/>
        <v>0</v>
      </c>
      <c r="AB37" s="20">
        <f t="shared" si="13"/>
        <v>0</v>
      </c>
      <c r="AC37" s="20">
        <f t="shared" si="13"/>
        <v>0</v>
      </c>
      <c r="AD37" s="20">
        <f t="shared" si="13"/>
        <v>0</v>
      </c>
      <c r="AE37" s="20">
        <f t="shared" si="13"/>
        <v>0</v>
      </c>
      <c r="AF37" s="20">
        <f t="shared" si="13"/>
        <v>0</v>
      </c>
      <c r="AG37" s="20">
        <f t="shared" si="13"/>
        <v>0</v>
      </c>
    </row>
    <row r="38" spans="1:33" x14ac:dyDescent="0.2">
      <c r="A38" s="8" t="s">
        <v>509</v>
      </c>
      <c r="C38" s="5">
        <f>[1]IS!D30</f>
        <v>0</v>
      </c>
      <c r="D38" s="5">
        <f>[2]IS!D30</f>
        <v>-569</v>
      </c>
      <c r="E38" s="5">
        <f>[3]IS!D30</f>
        <v>-346</v>
      </c>
      <c r="F38" s="5">
        <f>[4]IS!D28</f>
        <v>330</v>
      </c>
      <c r="G38" s="5">
        <f>[5]IS!D28</f>
        <v>-2994</v>
      </c>
      <c r="H38" s="5">
        <f>[9]IS!D24</f>
        <v>1568</v>
      </c>
      <c r="I38" s="5">
        <f>[9]IS!C24</f>
        <v>2113</v>
      </c>
      <c r="J38" s="5">
        <f>[9]IS!B24</f>
        <v>472</v>
      </c>
      <c r="K38" s="6">
        <f>SUM(AD38:AG38)</f>
        <v>446</v>
      </c>
      <c r="L38" s="5"/>
      <c r="M38" s="5">
        <v>13</v>
      </c>
      <c r="N38" s="5">
        <v>340</v>
      </c>
      <c r="O38" s="5">
        <v>7</v>
      </c>
      <c r="P38" s="5">
        <v>-30</v>
      </c>
      <c r="Q38" s="5">
        <v>11</v>
      </c>
      <c r="R38" s="5">
        <v>15</v>
      </c>
      <c r="S38" s="5">
        <v>16</v>
      </c>
      <c r="T38" s="5">
        <v>-3037</v>
      </c>
      <c r="U38" s="5">
        <f>[6]IS!C28</f>
        <v>417</v>
      </c>
      <c r="V38" s="5">
        <f>[7]IS!C28</f>
        <v>543</v>
      </c>
      <c r="W38" s="5">
        <f>[8]IS!C28</f>
        <v>452</v>
      </c>
      <c r="X38" s="6">
        <f>H38-W38-V38-U38</f>
        <v>156</v>
      </c>
      <c r="Y38" s="5">
        <f>[10]IS!C27</f>
        <v>195</v>
      </c>
      <c r="Z38" s="5">
        <f>[11]IS!C27</f>
        <v>525</v>
      </c>
      <c r="AA38" s="5">
        <f>[12]IS!C24</f>
        <v>402</v>
      </c>
      <c r="AB38" s="5">
        <f>[13]Sheet1!D274</f>
        <v>991</v>
      </c>
      <c r="AC38" s="5">
        <f>[14]IS!C24</f>
        <v>79</v>
      </c>
      <c r="AD38" s="5">
        <f>[11]IS!B27</f>
        <v>203</v>
      </c>
      <c r="AE38" s="5">
        <f>[12]IS!B24</f>
        <v>115</v>
      </c>
      <c r="AF38" s="5">
        <f>[13]Sheet1!C274</f>
        <v>68</v>
      </c>
      <c r="AG38" s="5">
        <f>[14]IS!B24</f>
        <v>60</v>
      </c>
    </row>
    <row r="39" spans="1:33" s="11" customFormat="1" x14ac:dyDescent="0.2">
      <c r="A39" s="12" t="s">
        <v>7</v>
      </c>
      <c r="B39" s="2"/>
      <c r="C39" s="23">
        <f>[1]IS!D31</f>
        <v>-1979</v>
      </c>
      <c r="D39" s="23">
        <f>[2]IS!D31</f>
        <v>-1876</v>
      </c>
      <c r="E39" s="23">
        <f>[3]IS!D31</f>
        <v>-1834</v>
      </c>
      <c r="F39" s="23">
        <f>[4]IS!D29</f>
        <v>2882</v>
      </c>
      <c r="G39" s="23">
        <f>[5]IS!D29</f>
        <v>7610</v>
      </c>
      <c r="H39" s="23">
        <f>[9]IS!D25</f>
        <v>2584</v>
      </c>
      <c r="I39" s="23">
        <f>[9]IS!C25</f>
        <v>1282</v>
      </c>
      <c r="J39" s="23">
        <f>[9]IS!B25</f>
        <v>1412</v>
      </c>
      <c r="K39" s="24">
        <f>SUM(AD39:AG39)</f>
        <v>1411</v>
      </c>
      <c r="L39" s="23"/>
      <c r="M39" s="23">
        <v>480</v>
      </c>
      <c r="N39" s="23">
        <v>864</v>
      </c>
      <c r="O39" s="23">
        <v>942</v>
      </c>
      <c r="P39" s="23">
        <v>597</v>
      </c>
      <c r="Q39" s="23">
        <v>932</v>
      </c>
      <c r="R39" s="23">
        <v>1704</v>
      </c>
      <c r="S39" s="23">
        <v>1693</v>
      </c>
      <c r="T39" s="23">
        <v>3281</v>
      </c>
      <c r="U39" s="23">
        <f>[6]IS!C29</f>
        <v>700</v>
      </c>
      <c r="V39" s="23">
        <f>[7]IS!C29</f>
        <v>950</v>
      </c>
      <c r="W39" s="23">
        <f>[8]IS!C29</f>
        <v>737</v>
      </c>
      <c r="X39" s="24">
        <f>H39-W39-V39-U39</f>
        <v>197</v>
      </c>
      <c r="Y39" s="23">
        <f>[10]IS!C28</f>
        <v>340</v>
      </c>
      <c r="Z39" s="23">
        <f>[11]IS!C28</f>
        <v>864</v>
      </c>
      <c r="AA39" s="23">
        <f>[12]IS!C25</f>
        <v>661</v>
      </c>
      <c r="AB39" s="23">
        <f>[13]Sheet1!D275</f>
        <v>-583</v>
      </c>
      <c r="AC39" s="23">
        <f>[14]IS!C25</f>
        <v>159</v>
      </c>
      <c r="AD39" s="23">
        <f>[11]IS!B28</f>
        <v>566</v>
      </c>
      <c r="AE39" s="23">
        <f>[12]IS!B25</f>
        <v>341</v>
      </c>
      <c r="AF39" s="23">
        <f>[13]Sheet1!C275</f>
        <v>319</v>
      </c>
      <c r="AG39" s="23">
        <f>[14]IS!B25</f>
        <v>185</v>
      </c>
    </row>
    <row r="40" spans="1:33" s="9" customFormat="1" x14ac:dyDescent="0.2">
      <c r="A40" s="22" t="s">
        <v>6</v>
      </c>
      <c r="B40" s="21"/>
      <c r="C40" s="20">
        <f t="shared" ref="C40:K40" si="14">C36-C38-C39</f>
        <v>0</v>
      </c>
      <c r="D40" s="20">
        <f t="shared" si="14"/>
        <v>0</v>
      </c>
      <c r="E40" s="20">
        <f t="shared" si="14"/>
        <v>0</v>
      </c>
      <c r="F40" s="20">
        <f t="shared" si="14"/>
        <v>0</v>
      </c>
      <c r="G40" s="20">
        <f t="shared" si="14"/>
        <v>0</v>
      </c>
      <c r="H40" s="20">
        <f t="shared" si="14"/>
        <v>0</v>
      </c>
      <c r="I40" s="20">
        <f t="shared" si="14"/>
        <v>0</v>
      </c>
      <c r="J40" s="20">
        <f t="shared" si="14"/>
        <v>0</v>
      </c>
      <c r="K40" s="20">
        <f t="shared" si="14"/>
        <v>0</v>
      </c>
      <c r="L40" s="20"/>
      <c r="M40" s="20">
        <f t="shared" ref="M40:AG40" si="15">M36-M38-M39</f>
        <v>0</v>
      </c>
      <c r="N40" s="20">
        <f t="shared" si="15"/>
        <v>0</v>
      </c>
      <c r="O40" s="20">
        <f t="shared" si="15"/>
        <v>0</v>
      </c>
      <c r="P40" s="20">
        <f t="shared" si="15"/>
        <v>0</v>
      </c>
      <c r="Q40" s="20">
        <f t="shared" si="15"/>
        <v>0</v>
      </c>
      <c r="R40" s="20">
        <f t="shared" si="15"/>
        <v>0</v>
      </c>
      <c r="S40" s="20">
        <f t="shared" si="15"/>
        <v>0</v>
      </c>
      <c r="T40" s="20">
        <f t="shared" si="15"/>
        <v>0</v>
      </c>
      <c r="U40" s="20">
        <f t="shared" si="15"/>
        <v>0</v>
      </c>
      <c r="V40" s="20">
        <f t="shared" si="15"/>
        <v>0</v>
      </c>
      <c r="W40" s="20">
        <f t="shared" si="15"/>
        <v>0</v>
      </c>
      <c r="X40" s="20">
        <f t="shared" si="15"/>
        <v>0</v>
      </c>
      <c r="Y40" s="20">
        <f t="shared" si="15"/>
        <v>0</v>
      </c>
      <c r="Z40" s="20">
        <f t="shared" si="15"/>
        <v>0</v>
      </c>
      <c r="AA40" s="20">
        <f t="shared" si="15"/>
        <v>0</v>
      </c>
      <c r="AB40" s="20">
        <f t="shared" si="15"/>
        <v>0</v>
      </c>
      <c r="AC40" s="20">
        <f t="shared" si="15"/>
        <v>0</v>
      </c>
      <c r="AD40" s="20">
        <f t="shared" si="15"/>
        <v>0</v>
      </c>
      <c r="AE40" s="20">
        <f t="shared" si="15"/>
        <v>0</v>
      </c>
      <c r="AF40" s="20">
        <f t="shared" si="15"/>
        <v>0</v>
      </c>
      <c r="AG40" s="20">
        <f t="shared" si="15"/>
        <v>0</v>
      </c>
    </row>
    <row r="41" spans="1:33" x14ac:dyDescent="0.2">
      <c r="A41" s="12" t="s">
        <v>5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6"/>
      <c r="Y41" s="5"/>
      <c r="Z41" s="5"/>
      <c r="AA41" s="5"/>
      <c r="AB41" s="5"/>
      <c r="AC41" s="5"/>
      <c r="AD41" s="5"/>
      <c r="AE41" s="5"/>
      <c r="AF41" s="5"/>
      <c r="AG41" s="5"/>
    </row>
    <row r="42" spans="1:33" s="18" customFormat="1" x14ac:dyDescent="0.2">
      <c r="A42" s="17" t="s">
        <v>1</v>
      </c>
      <c r="B42" s="19" t="s">
        <v>4</v>
      </c>
      <c r="C42" s="14">
        <f>[1]IS!D33</f>
        <v>-15.83</v>
      </c>
      <c r="D42" s="14">
        <f>[2]IS!D33</f>
        <v>-7.52</v>
      </c>
      <c r="E42" s="14">
        <f>[3]IS!D33</f>
        <v>-6.54</v>
      </c>
      <c r="F42" s="14">
        <f>[4]IS!D31</f>
        <v>4.0199999999999996</v>
      </c>
      <c r="G42" s="14">
        <f>[5]IS!D31</f>
        <v>11.39</v>
      </c>
      <c r="H42" s="14">
        <f>[9]IS!D27</f>
        <v>4.68</v>
      </c>
      <c r="I42" s="14">
        <f>[9]IS!C27</f>
        <v>2.62</v>
      </c>
      <c r="J42" s="14">
        <f>[9]IS!B27</f>
        <v>3.04</v>
      </c>
      <c r="K42" s="15">
        <f>SUM(AD42:AG42)</f>
        <v>3.06</v>
      </c>
      <c r="L42" s="14"/>
      <c r="M42" s="14">
        <v>0.66</v>
      </c>
      <c r="N42" s="14">
        <v>1.2</v>
      </c>
      <c r="O42" s="14">
        <v>1.31</v>
      </c>
      <c r="P42" s="14">
        <v>0.84</v>
      </c>
      <c r="Q42" s="14">
        <v>1.34</v>
      </c>
      <c r="R42" s="14">
        <v>2.4700000000000002</v>
      </c>
      <c r="S42" s="14">
        <v>2.56</v>
      </c>
      <c r="T42" s="14">
        <v>5.24</v>
      </c>
      <c r="U42" s="14">
        <f>[6]IS!C31</f>
        <v>1.1499999999999999</v>
      </c>
      <c r="V42" s="14">
        <f>[7]IS!C31</f>
        <v>1.69</v>
      </c>
      <c r="W42" s="14">
        <f>[8]IS!C31</f>
        <v>1.4</v>
      </c>
      <c r="X42" s="15">
        <f>H42-W42-V42-U42</f>
        <v>0.43999999999999995</v>
      </c>
      <c r="Y42" s="14">
        <f>[10]IS!C30</f>
        <v>0.67</v>
      </c>
      <c r="Z42" s="14">
        <f>[11]IS!C30</f>
        <v>1.76</v>
      </c>
      <c r="AA42" s="14">
        <f>[12]IS!C27</f>
        <v>1.36</v>
      </c>
      <c r="AB42" s="14">
        <f>[13]Sheet1!D278</f>
        <v>-1.22</v>
      </c>
      <c r="AC42" s="14">
        <f>[14]IS!C27</f>
        <v>0.34</v>
      </c>
      <c r="AD42" s="14">
        <f>[11]IS!B30</f>
        <v>1.22</v>
      </c>
      <c r="AE42" s="14">
        <f>[12]IS!B27</f>
        <v>0.74</v>
      </c>
      <c r="AF42" s="14">
        <f>[13]Sheet1!C278</f>
        <v>0.69</v>
      </c>
      <c r="AG42" s="14">
        <f>[14]IS!B27</f>
        <v>0.41</v>
      </c>
    </row>
    <row r="43" spans="1:33" s="13" customFormat="1" x14ac:dyDescent="0.2">
      <c r="A43" s="17" t="s">
        <v>0</v>
      </c>
      <c r="B43" s="16" t="s">
        <v>3</v>
      </c>
      <c r="C43" s="14">
        <f>[1]IS!D34</f>
        <v>-15.83</v>
      </c>
      <c r="D43" s="14">
        <f>[2]IS!D34</f>
        <v>-7.52</v>
      </c>
      <c r="E43" s="14">
        <f>[3]IS!D34</f>
        <v>-6.54</v>
      </c>
      <c r="F43" s="14">
        <f>[4]IS!D32</f>
        <v>3.93</v>
      </c>
      <c r="G43" s="14">
        <f>[5]IS!D32</f>
        <v>11.07</v>
      </c>
      <c r="H43" s="14">
        <f>[9]IS!D28</f>
        <v>4.6500000000000004</v>
      </c>
      <c r="I43" s="14">
        <f>[9]IS!C28</f>
        <v>2.61</v>
      </c>
      <c r="J43" s="14">
        <f>[9]IS!B28</f>
        <v>3.03</v>
      </c>
      <c r="K43" s="15">
        <f>SUM(AD43:AG43)</f>
        <v>3.06</v>
      </c>
      <c r="L43" s="14"/>
      <c r="M43" s="14">
        <v>0.65</v>
      </c>
      <c r="N43" s="14">
        <v>1.17</v>
      </c>
      <c r="O43" s="14">
        <v>1.28</v>
      </c>
      <c r="P43" s="14">
        <v>0.82</v>
      </c>
      <c r="Q43" s="14">
        <v>1.3</v>
      </c>
      <c r="R43" s="14">
        <v>2.41</v>
      </c>
      <c r="S43" s="14">
        <v>2.4900000000000002</v>
      </c>
      <c r="T43" s="14">
        <v>5.09</v>
      </c>
      <c r="U43" s="14">
        <f>[6]IS!C32</f>
        <v>1.1399999999999999</v>
      </c>
      <c r="V43" s="14">
        <f>[7]IS!C32</f>
        <v>1.68</v>
      </c>
      <c r="W43" s="14">
        <f>[8]IS!C32</f>
        <v>1.4</v>
      </c>
      <c r="X43" s="15">
        <f>H43-W43-V43-U43</f>
        <v>0.4300000000000006</v>
      </c>
      <c r="Y43" s="14">
        <f>[10]IS!C31</f>
        <v>0.67</v>
      </c>
      <c r="Z43" s="14">
        <f>[11]IS!C31</f>
        <v>1.75</v>
      </c>
      <c r="AA43" s="14">
        <f>[12]IS!C28</f>
        <v>1.36</v>
      </c>
      <c r="AB43" s="14">
        <f>[13]Sheet1!D279</f>
        <v>-1.22</v>
      </c>
      <c r="AC43" s="14">
        <f>[14]IS!C28</f>
        <v>0.34</v>
      </c>
      <c r="AD43" s="14">
        <f>[11]IS!B31</f>
        <v>1.22</v>
      </c>
      <c r="AE43" s="14">
        <f>[12]IS!B28</f>
        <v>0.74</v>
      </c>
      <c r="AF43" s="14">
        <f>[13]Sheet1!C279</f>
        <v>0.69</v>
      </c>
      <c r="AG43" s="14">
        <f>[14]IS!B28</f>
        <v>0.41</v>
      </c>
    </row>
    <row r="44" spans="1:33" s="11" customFormat="1" x14ac:dyDescent="0.2">
      <c r="A44" s="12" t="s">
        <v>2</v>
      </c>
      <c r="B44" s="2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6"/>
      <c r="Y44" s="5"/>
      <c r="Z44" s="5"/>
      <c r="AA44" s="5"/>
      <c r="AB44" s="5"/>
      <c r="AC44" s="5"/>
      <c r="AD44" s="5"/>
      <c r="AE44" s="5"/>
      <c r="AF44" s="5"/>
      <c r="AG44" s="5"/>
    </row>
    <row r="45" spans="1:33" s="9" customFormat="1" x14ac:dyDescent="0.2">
      <c r="A45" s="8" t="s">
        <v>1</v>
      </c>
      <c r="B45" s="10"/>
      <c r="C45" s="5">
        <f>[1]IS!D36/1000</f>
        <v>124.985</v>
      </c>
      <c r="D45" s="5">
        <f>[2]IS!D36/1000</f>
        <v>249.49</v>
      </c>
      <c r="E45" s="5">
        <f>[3]IS!D36/1000</f>
        <v>280.21300000000002</v>
      </c>
      <c r="F45" s="5">
        <f>[4]IS!D34/1000</f>
        <v>717.45600000000002</v>
      </c>
      <c r="G45" s="5">
        <f>[5]IS!D34/1000</f>
        <v>668.39300000000003</v>
      </c>
      <c r="H45" s="5">
        <f>[9]IS!D30/1000</f>
        <v>552.30799999999999</v>
      </c>
      <c r="I45" s="5">
        <f>[9]IS!C30/1000</f>
        <v>489.16399999999999</v>
      </c>
      <c r="J45" s="5">
        <f>[9]IS!B30/1000</f>
        <v>464.23599999999999</v>
      </c>
      <c r="K45" s="6">
        <f>AVERAGE(AD45:AG45)</f>
        <v>459.14974999999998</v>
      </c>
      <c r="L45" s="5"/>
      <c r="M45" s="5">
        <v>723.971</v>
      </c>
      <c r="N45" s="5">
        <v>720.6</v>
      </c>
      <c r="O45" s="5">
        <v>719.06700000000001</v>
      </c>
      <c r="P45" s="5">
        <v>706.18499999999995</v>
      </c>
      <c r="Q45" s="5">
        <v>696.41499999999996</v>
      </c>
      <c r="R45" s="5">
        <v>688.72699999999998</v>
      </c>
      <c r="S45" s="5">
        <v>661.86900000000003</v>
      </c>
      <c r="T45" s="5">
        <v>626.55899999999997</v>
      </c>
      <c r="U45" s="5">
        <f>[6]IS!C34/1000</f>
        <v>606.245</v>
      </c>
      <c r="V45" s="5">
        <f>([7]IS!C34)/1000</f>
        <v>563</v>
      </c>
      <c r="W45" s="5">
        <f>([8]IS!C34)/1000</f>
        <v>525.41499999999996</v>
      </c>
      <c r="X45" s="6">
        <f>H45*4-W45-V45-U45</f>
        <v>514.572</v>
      </c>
      <c r="Y45" s="5">
        <f>([10]IS!C33)/1000</f>
        <v>503.90199999999999</v>
      </c>
      <c r="Z45" s="5">
        <f>([11]IS!C33)/1000</f>
        <v>490.81799999999998</v>
      </c>
      <c r="AA45" s="5">
        <f>([12]IS!C30)/1000</f>
        <v>484.77199999999999</v>
      </c>
      <c r="AB45" s="5">
        <f>[13]Sheet1!D283/1000</f>
        <v>477.16500000000002</v>
      </c>
      <c r="AC45" s="5">
        <f>[14]IS!C30/1000</f>
        <v>472.29700000000003</v>
      </c>
      <c r="AD45" s="5">
        <f>([11]IS!B33)/1000</f>
        <v>463.53300000000002</v>
      </c>
      <c r="AE45" s="5">
        <f>([12]IS!B30)/1000</f>
        <v>460.52600000000001</v>
      </c>
      <c r="AF45" s="5">
        <f>[13]Sheet1!C283/1000</f>
        <v>460.589</v>
      </c>
      <c r="AG45" s="5">
        <f>[14]IS!B30/1000</f>
        <v>451.95100000000002</v>
      </c>
    </row>
    <row r="46" spans="1:33" x14ac:dyDescent="0.2">
      <c r="A46" s="8" t="s">
        <v>0</v>
      </c>
      <c r="B46" s="7"/>
      <c r="C46" s="5">
        <f>[1]IS!D37/1000</f>
        <v>124.985</v>
      </c>
      <c r="D46" s="5">
        <f>[2]IS!D37/1000</f>
        <v>249.49</v>
      </c>
      <c r="E46" s="5">
        <f>[3]IS!D37/1000</f>
        <v>280.21300000000002</v>
      </c>
      <c r="F46" s="5">
        <f>[4]IS!D35/1000</f>
        <v>734.01599999999996</v>
      </c>
      <c r="G46" s="5">
        <f>[5]IS!D35/1000</f>
        <v>687.35500000000002</v>
      </c>
      <c r="H46" s="5">
        <f>[9]IS!D31/1000</f>
        <v>556.09900000000005</v>
      </c>
      <c r="I46" s="5">
        <f>[9]IS!C31/1000</f>
        <v>491.69200000000001</v>
      </c>
      <c r="J46" s="5">
        <f>[9]IS!B31/1000</f>
        <v>465.66</v>
      </c>
      <c r="K46" s="6">
        <f>AVERAGE(AD46:AG46)</f>
        <v>460.36725000000001</v>
      </c>
      <c r="L46" s="5"/>
      <c r="M46" s="5">
        <v>741.33500000000004</v>
      </c>
      <c r="N46" s="5">
        <v>734.76700000000005</v>
      </c>
      <c r="O46" s="5">
        <v>735.19600000000003</v>
      </c>
      <c r="P46" s="5">
        <v>724.76700000000005</v>
      </c>
      <c r="Q46" s="5">
        <v>716.93</v>
      </c>
      <c r="R46" s="5">
        <v>707.61099999999999</v>
      </c>
      <c r="S46" s="5">
        <v>680.73900000000003</v>
      </c>
      <c r="T46" s="5">
        <v>644.14</v>
      </c>
      <c r="U46" s="5">
        <f>[6]IS!C35/1000</f>
        <v>611.48800000000006</v>
      </c>
      <c r="V46" s="5">
        <f>([7]IS!C35)/1000</f>
        <v>566.04</v>
      </c>
      <c r="W46" s="5">
        <f>([8]IS!C35)/1000</f>
        <v>528.51</v>
      </c>
      <c r="X46" s="6">
        <f>H46*4-W46-V46-U46</f>
        <v>518.35800000000017</v>
      </c>
      <c r="Y46" s="5">
        <f>([10]IS!C34)/1000</f>
        <v>507.79700000000003</v>
      </c>
      <c r="Z46" s="5">
        <f>([11]IS!C34)/1000</f>
        <v>492.96499999999997</v>
      </c>
      <c r="AA46" s="5">
        <f>([12]IS!C31)/1000</f>
        <v>486.625</v>
      </c>
      <c r="AB46" s="5">
        <f>[13]Sheet1!D284/1000</f>
        <v>477.16500000000002</v>
      </c>
      <c r="AC46" s="5">
        <f>[14]IS!C31/1000</f>
        <v>474.59800000000001</v>
      </c>
      <c r="AD46" s="5">
        <f>([11]IS!B34)/1000</f>
        <v>464.61799999999999</v>
      </c>
      <c r="AE46" s="5">
        <f>([12]IS!B31)/1000</f>
        <v>461.50700000000001</v>
      </c>
      <c r="AF46" s="5">
        <f>[13]Sheet1!C284/1000</f>
        <v>461.91500000000002</v>
      </c>
      <c r="AG46" s="5">
        <f>[14]IS!B31/1000</f>
        <v>453.42899999999997</v>
      </c>
    </row>
    <row r="48" spans="1:33" x14ac:dyDescent="0.2">
      <c r="E48" s="4"/>
      <c r="F48" s="4"/>
      <c r="G48" s="4"/>
    </row>
    <row r="49" spans="5:12" x14ac:dyDescent="0.2">
      <c r="E49" s="4"/>
      <c r="F49" s="4"/>
      <c r="G49" s="4"/>
    </row>
    <row r="50" spans="5:12" x14ac:dyDescent="0.2">
      <c r="F50" s="4"/>
      <c r="G50" s="4"/>
      <c r="I50" s="4"/>
      <c r="J50" s="4"/>
      <c r="K50" s="4"/>
      <c r="L50" s="4"/>
    </row>
    <row r="66" spans="8:8" x14ac:dyDescent="0.2">
      <c r="H66" s="1">
        <f>CF!G59</f>
        <v>0.4</v>
      </c>
    </row>
  </sheetData>
  <pageMargins left="0.7" right="0.7" top="0.75" bottom="0.75" header="0.3" footer="0.3"/>
  <pageSetup scale="2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70"/>
  <sheetViews>
    <sheetView zoomScaleNormal="10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50.7109375" style="1" customWidth="1"/>
    <col min="2" max="2" width="2" style="45" customWidth="1"/>
    <col min="3" max="5" width="10" style="1" bestFit="1" customWidth="1"/>
    <col min="6" max="6" width="10.42578125" style="1" bestFit="1" customWidth="1"/>
    <col min="7" max="10" width="10" style="1" bestFit="1" customWidth="1"/>
    <col min="11" max="11" width="10" style="1" customWidth="1"/>
    <col min="12" max="12" width="9.140625" style="1" customWidth="1"/>
    <col min="13" max="33" width="10" style="1" customWidth="1"/>
    <col min="34" max="16384" width="9.140625" style="1"/>
  </cols>
  <sheetData>
    <row r="1" spans="1:38" x14ac:dyDescent="0.2">
      <c r="C1" s="43" t="s">
        <v>69</v>
      </c>
      <c r="D1" s="43" t="s">
        <v>68</v>
      </c>
      <c r="E1" s="43" t="s">
        <v>67</v>
      </c>
      <c r="F1" s="43" t="s">
        <v>66</v>
      </c>
      <c r="G1" s="43" t="s">
        <v>65</v>
      </c>
      <c r="H1" s="43" t="s">
        <v>64</v>
      </c>
      <c r="I1" s="43" t="s">
        <v>63</v>
      </c>
      <c r="J1" s="43" t="s">
        <v>62</v>
      </c>
      <c r="K1" s="43" t="s">
        <v>61</v>
      </c>
      <c r="L1" s="44"/>
      <c r="M1" s="43" t="s">
        <v>60</v>
      </c>
      <c r="N1" s="43" t="s">
        <v>59</v>
      </c>
      <c r="O1" s="43" t="s">
        <v>58</v>
      </c>
      <c r="P1" s="43" t="s">
        <v>57</v>
      </c>
      <c r="Q1" s="43" t="s">
        <v>56</v>
      </c>
      <c r="R1" s="43" t="s">
        <v>55</v>
      </c>
      <c r="S1" s="43" t="s">
        <v>54</v>
      </c>
      <c r="T1" s="43" t="s">
        <v>53</v>
      </c>
      <c r="U1" s="43" t="s">
        <v>52</v>
      </c>
      <c r="V1" s="43" t="s">
        <v>51</v>
      </c>
      <c r="W1" s="43" t="s">
        <v>50</v>
      </c>
      <c r="X1" s="43" t="s">
        <v>49</v>
      </c>
      <c r="Y1" s="43" t="s">
        <v>48</v>
      </c>
      <c r="Z1" s="43" t="s">
        <v>47</v>
      </c>
      <c r="AA1" s="43" t="s">
        <v>46</v>
      </c>
      <c r="AB1" s="43" t="s">
        <v>45</v>
      </c>
      <c r="AC1" s="43" t="s">
        <v>44</v>
      </c>
      <c r="AD1" s="43" t="s">
        <v>43</v>
      </c>
      <c r="AE1" s="43" t="s">
        <v>42</v>
      </c>
      <c r="AF1" s="43" t="s">
        <v>41</v>
      </c>
      <c r="AG1" s="43" t="s">
        <v>40</v>
      </c>
    </row>
    <row r="2" spans="1:38" x14ac:dyDescent="0.2">
      <c r="C2" s="41">
        <v>40908</v>
      </c>
      <c r="D2" s="41">
        <v>41274</v>
      </c>
      <c r="E2" s="41">
        <v>41639</v>
      </c>
      <c r="F2" s="41">
        <v>42004</v>
      </c>
      <c r="G2" s="41">
        <v>42369</v>
      </c>
      <c r="H2" s="41">
        <v>42735</v>
      </c>
      <c r="I2" s="41">
        <v>43100</v>
      </c>
      <c r="J2" s="41">
        <v>43465</v>
      </c>
      <c r="K2" s="41"/>
      <c r="L2" s="42"/>
      <c r="M2" s="41">
        <v>41729</v>
      </c>
      <c r="N2" s="41">
        <v>41820</v>
      </c>
      <c r="O2" s="41">
        <v>41912</v>
      </c>
      <c r="P2" s="41">
        <v>42004</v>
      </c>
      <c r="Q2" s="41">
        <v>42094</v>
      </c>
      <c r="R2" s="41">
        <v>42185</v>
      </c>
      <c r="S2" s="41">
        <v>42277</v>
      </c>
      <c r="T2" s="41">
        <v>42369</v>
      </c>
      <c r="U2" s="41">
        <v>42460</v>
      </c>
      <c r="V2" s="41">
        <v>42551</v>
      </c>
      <c r="W2" s="41">
        <v>42643</v>
      </c>
      <c r="X2" s="41">
        <v>42735</v>
      </c>
      <c r="Y2" s="41">
        <v>42825</v>
      </c>
      <c r="Z2" s="41">
        <v>42916</v>
      </c>
      <c r="AA2" s="41">
        <v>43008</v>
      </c>
      <c r="AB2" s="41">
        <v>43100</v>
      </c>
      <c r="AC2" s="41">
        <v>43190</v>
      </c>
      <c r="AD2" s="41">
        <v>43281</v>
      </c>
      <c r="AE2" s="41">
        <v>43373</v>
      </c>
      <c r="AF2" s="41">
        <v>43465</v>
      </c>
      <c r="AG2" s="41">
        <v>43555</v>
      </c>
    </row>
    <row r="3" spans="1:38" s="2" customFormat="1" x14ac:dyDescent="0.2">
      <c r="A3" s="68" t="s">
        <v>39</v>
      </c>
      <c r="B3" s="45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8"/>
    </row>
    <row r="4" spans="1:38" x14ac:dyDescent="0.2">
      <c r="A4" s="12" t="s">
        <v>148</v>
      </c>
      <c r="B4" s="55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</row>
    <row r="5" spans="1:38" x14ac:dyDescent="0.2">
      <c r="A5" s="35" t="s">
        <v>147</v>
      </c>
      <c r="B5" s="52" t="s">
        <v>146</v>
      </c>
      <c r="C5" s="5">
        <f>[19]BS!C4</f>
        <v>283</v>
      </c>
      <c r="D5" s="5">
        <f>[1]BS!C4</f>
        <v>480</v>
      </c>
      <c r="E5" s="5">
        <f>[2]BS!C4</f>
        <v>1140</v>
      </c>
      <c r="F5" s="5">
        <f>[3]BS!C3</f>
        <v>994</v>
      </c>
      <c r="G5" s="5">
        <f>[4]BS!C3</f>
        <v>390</v>
      </c>
      <c r="H5" s="6">
        <f t="shared" ref="H5:H11" si="0">X5</f>
        <v>322</v>
      </c>
      <c r="I5" s="6">
        <f t="shared" ref="I5:I11" si="1">AB5</f>
        <v>295</v>
      </c>
      <c r="J5" s="6">
        <f t="shared" ref="J5:K11" si="2">AF5</f>
        <v>275</v>
      </c>
      <c r="K5" s="6">
        <f t="shared" si="2"/>
        <v>337</v>
      </c>
      <c r="L5" s="54"/>
      <c r="M5" s="5">
        <v>1259</v>
      </c>
      <c r="N5" s="5">
        <v>1210</v>
      </c>
      <c r="O5" s="5">
        <v>1178</v>
      </c>
      <c r="P5" s="5">
        <v>994</v>
      </c>
      <c r="Q5" s="5">
        <v>1048</v>
      </c>
      <c r="R5" s="5">
        <v>952</v>
      </c>
      <c r="S5" s="5">
        <v>1016</v>
      </c>
      <c r="T5" s="5">
        <v>390</v>
      </c>
      <c r="U5" s="5">
        <f>[20]BS!B3</f>
        <v>495</v>
      </c>
      <c r="V5" s="5">
        <f>[21]BS!B3</f>
        <v>446</v>
      </c>
      <c r="W5" s="5">
        <f>[22]BS!B3</f>
        <v>381</v>
      </c>
      <c r="X5" s="5">
        <f>[5]BS!C3</f>
        <v>322</v>
      </c>
      <c r="Y5" s="5">
        <f>[6]BS!B3</f>
        <v>374</v>
      </c>
      <c r="Z5" s="5">
        <f>[7]BS!B3</f>
        <v>386</v>
      </c>
      <c r="AA5" s="5">
        <f>[8]BS!B3</f>
        <v>340</v>
      </c>
      <c r="AB5" s="5">
        <f>[9]BS!C3</f>
        <v>295</v>
      </c>
      <c r="AC5" s="5">
        <f>[10]BS!B3</f>
        <v>297</v>
      </c>
      <c r="AD5" s="5">
        <f>[11]BS!B3</f>
        <v>293</v>
      </c>
      <c r="AE5" s="5">
        <f>[12]BS!B3</f>
        <v>303</v>
      </c>
      <c r="AF5" s="5">
        <f>[14]BS!C3</f>
        <v>275</v>
      </c>
      <c r="AG5" s="5">
        <f>[14]BS!B3</f>
        <v>337</v>
      </c>
      <c r="AH5" s="54"/>
      <c r="AI5" s="54"/>
      <c r="AJ5" s="54"/>
      <c r="AK5" s="54"/>
      <c r="AL5" s="54"/>
    </row>
    <row r="6" spans="1:38" x14ac:dyDescent="0.2">
      <c r="A6" s="8" t="s">
        <v>145</v>
      </c>
      <c r="B6" s="55" t="s">
        <v>144</v>
      </c>
      <c r="C6" s="5">
        <f>[19]BS!C5</f>
        <v>3718</v>
      </c>
      <c r="D6" s="5">
        <f>[1]BS!C5</f>
        <v>3412</v>
      </c>
      <c r="E6" s="5">
        <f>[2]BS!C5</f>
        <v>8111</v>
      </c>
      <c r="F6" s="5">
        <f>[3]BS!C4</f>
        <v>6309</v>
      </c>
      <c r="G6" s="5">
        <f>[4]BS!C4</f>
        <v>5864</v>
      </c>
      <c r="H6" s="6">
        <f t="shared" si="0"/>
        <v>6037</v>
      </c>
      <c r="I6" s="6">
        <f t="shared" si="1"/>
        <v>4771</v>
      </c>
      <c r="J6" s="6">
        <f t="shared" si="2"/>
        <v>4485</v>
      </c>
      <c r="K6" s="6">
        <f t="shared" si="2"/>
        <v>4012</v>
      </c>
      <c r="L6" s="54"/>
      <c r="M6" s="5">
        <v>8405</v>
      </c>
      <c r="N6" s="5">
        <v>8249</v>
      </c>
      <c r="O6" s="5">
        <v>6721</v>
      </c>
      <c r="P6" s="5">
        <v>6309</v>
      </c>
      <c r="Q6" s="5">
        <v>8125</v>
      </c>
      <c r="R6" s="5">
        <v>7967</v>
      </c>
      <c r="S6" s="5">
        <v>7857</v>
      </c>
      <c r="T6" s="5">
        <v>5864</v>
      </c>
      <c r="U6" s="5">
        <f>[20]BS!B4</f>
        <v>6435</v>
      </c>
      <c r="V6" s="5">
        <f>[21]BS!B4</f>
        <v>6672</v>
      </c>
      <c r="W6" s="5">
        <f>[22]BS!B4</f>
        <v>6374</v>
      </c>
      <c r="X6" s="5">
        <f>[5]BS!C4</f>
        <v>6037</v>
      </c>
      <c r="Y6" s="5">
        <f>[6]BS!B4</f>
        <v>6302</v>
      </c>
      <c r="Z6" s="5">
        <f>[7]BS!B4</f>
        <v>6500</v>
      </c>
      <c r="AA6" s="5">
        <f>[8]BS!B4</f>
        <v>5428</v>
      </c>
      <c r="AB6" s="5">
        <f>[9]BS!C4</f>
        <v>4771</v>
      </c>
      <c r="AC6" s="5">
        <f>[10]BS!B4</f>
        <v>4994</v>
      </c>
      <c r="AD6" s="5">
        <f>[11]BS!B4</f>
        <v>4381</v>
      </c>
      <c r="AE6" s="5">
        <f>[12]BS!B4</f>
        <v>4552</v>
      </c>
      <c r="AF6" s="5">
        <f>[14]BS!C4</f>
        <v>4485</v>
      </c>
      <c r="AG6" s="5">
        <f>[14]BS!B4</f>
        <v>4012</v>
      </c>
      <c r="AH6" s="54"/>
      <c r="AI6" s="54"/>
      <c r="AJ6" s="54"/>
      <c r="AK6" s="54"/>
      <c r="AL6" s="54"/>
    </row>
    <row r="7" spans="1:38" x14ac:dyDescent="0.2">
      <c r="A7" s="8" t="s">
        <v>143</v>
      </c>
      <c r="B7" s="55"/>
      <c r="C7" s="5">
        <f>[19]BS!C6</f>
        <v>738</v>
      </c>
      <c r="D7" s="5">
        <f>[1]BS!C6</f>
        <v>850</v>
      </c>
      <c r="E7" s="5">
        <f>[2]BS!C6</f>
        <v>1035</v>
      </c>
      <c r="F7" s="5">
        <f>[3]BS!C5</f>
        <v>774</v>
      </c>
      <c r="G7" s="5">
        <f>[4]BS!C5</f>
        <v>695</v>
      </c>
      <c r="H7" s="6">
        <f t="shared" si="0"/>
        <v>638</v>
      </c>
      <c r="I7" s="6">
        <f t="shared" si="1"/>
        <v>318</v>
      </c>
      <c r="J7" s="6">
        <f t="shared" si="2"/>
        <v>154</v>
      </c>
      <c r="K7" s="6">
        <f t="shared" si="2"/>
        <v>156</v>
      </c>
      <c r="L7" s="54"/>
      <c r="M7" s="5">
        <v>947</v>
      </c>
      <c r="N7" s="5">
        <v>882</v>
      </c>
      <c r="O7" s="5">
        <v>875</v>
      </c>
      <c r="P7" s="5">
        <v>774</v>
      </c>
      <c r="Q7" s="5">
        <v>757</v>
      </c>
      <c r="R7" s="5">
        <v>747</v>
      </c>
      <c r="S7" s="5">
        <v>710</v>
      </c>
      <c r="T7" s="5">
        <v>695</v>
      </c>
      <c r="U7" s="5">
        <f>[20]BS!B5</f>
        <v>691</v>
      </c>
      <c r="V7" s="5">
        <f>[21]BS!B5</f>
        <v>640</v>
      </c>
      <c r="W7" s="5">
        <f>[22]BS!B5</f>
        <v>635</v>
      </c>
      <c r="X7" s="5">
        <f>[5]BS!C5</f>
        <v>638</v>
      </c>
      <c r="Y7" s="5">
        <f>[6]BS!B5</f>
        <v>543</v>
      </c>
      <c r="Z7" s="5">
        <f>[7]BS!B5</f>
        <v>554</v>
      </c>
      <c r="AA7" s="5">
        <f>[8]BS!B5</f>
        <v>393</v>
      </c>
      <c r="AB7" s="5">
        <f>[9]BS!C5</f>
        <v>318</v>
      </c>
      <c r="AC7" s="5">
        <f>[10]BS!B5</f>
        <v>294</v>
      </c>
      <c r="AD7" s="5">
        <f>[11]BS!B5</f>
        <v>183</v>
      </c>
      <c r="AE7" s="5">
        <f>[12]BS!B5</f>
        <v>154</v>
      </c>
      <c r="AF7" s="5">
        <f>[14]BS!C5</f>
        <v>154</v>
      </c>
      <c r="AG7" s="5">
        <f>[14]BS!B5</f>
        <v>156</v>
      </c>
      <c r="AH7" s="54"/>
      <c r="AI7" s="54"/>
      <c r="AJ7" s="54"/>
      <c r="AK7" s="54"/>
      <c r="AL7" s="54"/>
    </row>
    <row r="8" spans="1:38" x14ac:dyDescent="0.2">
      <c r="A8" s="8" t="s">
        <v>142</v>
      </c>
      <c r="B8" s="52" t="s">
        <v>141</v>
      </c>
      <c r="C8" s="5">
        <f>[19]BS!C7</f>
        <v>902</v>
      </c>
      <c r="D8" s="5">
        <f>[1]BS!C7</f>
        <v>1124</v>
      </c>
      <c r="E8" s="5">
        <f>[2]BS!C7</f>
        <v>1560</v>
      </c>
      <c r="F8" s="5">
        <f>[3]BS!C6</f>
        <v>1771</v>
      </c>
      <c r="G8" s="5">
        <f>[4]BS!C6</f>
        <v>1425</v>
      </c>
      <c r="H8" s="6">
        <f t="shared" si="0"/>
        <v>1594</v>
      </c>
      <c r="I8" s="6">
        <f t="shared" si="1"/>
        <v>1752</v>
      </c>
      <c r="J8" s="6">
        <f t="shared" si="2"/>
        <v>1706</v>
      </c>
      <c r="K8" s="6">
        <f t="shared" si="2"/>
        <v>1876</v>
      </c>
      <c r="L8" s="54"/>
      <c r="M8" s="5">
        <v>2008</v>
      </c>
      <c r="N8" s="5">
        <v>1981</v>
      </c>
      <c r="O8" s="5">
        <v>1961</v>
      </c>
      <c r="P8" s="5">
        <v>1771</v>
      </c>
      <c r="Q8" s="5">
        <v>1826</v>
      </c>
      <c r="R8" s="5">
        <v>1892</v>
      </c>
      <c r="S8" s="5">
        <v>1828</v>
      </c>
      <c r="T8" s="5">
        <v>1425</v>
      </c>
      <c r="U8" s="5">
        <f>[20]BS!B6</f>
        <v>1450</v>
      </c>
      <c r="V8" s="5">
        <f>[21]BS!B6</f>
        <v>1593</v>
      </c>
      <c r="W8" s="5">
        <f>[22]BS!B6</f>
        <v>1703</v>
      </c>
      <c r="X8" s="5">
        <f>[5]BS!C6</f>
        <v>1594</v>
      </c>
      <c r="Y8" s="5">
        <f>[6]BS!B6</f>
        <v>1397</v>
      </c>
      <c r="Z8" s="5">
        <f>[7]BS!B6</f>
        <v>1543</v>
      </c>
      <c r="AA8" s="5">
        <f>[8]BS!B6</f>
        <v>1700</v>
      </c>
      <c r="AB8" s="5">
        <f>[9]BS!C6</f>
        <v>1752</v>
      </c>
      <c r="AC8" s="5">
        <f>[10]BS!B6</f>
        <v>1809</v>
      </c>
      <c r="AD8" s="5">
        <f>[11]BS!B6</f>
        <v>1941</v>
      </c>
      <c r="AE8" s="5">
        <f>[12]BS!B6</f>
        <v>2170</v>
      </c>
      <c r="AF8" s="5">
        <f>[14]BS!C6</f>
        <v>1706</v>
      </c>
      <c r="AG8" s="5">
        <f>[14]BS!B6</f>
        <v>1876</v>
      </c>
      <c r="AH8" s="54"/>
      <c r="AI8" s="54"/>
      <c r="AJ8" s="54"/>
      <c r="AK8" s="54"/>
      <c r="AL8" s="54"/>
    </row>
    <row r="9" spans="1:38" x14ac:dyDescent="0.2">
      <c r="A9" s="8" t="s">
        <v>140</v>
      </c>
      <c r="B9" s="55"/>
      <c r="C9" s="5">
        <f>[19]BS!C8</f>
        <v>617</v>
      </c>
      <c r="D9" s="5">
        <f>[1]BS!C8</f>
        <v>580</v>
      </c>
      <c r="E9" s="5">
        <f>[2]BS!C8</f>
        <v>1012</v>
      </c>
      <c r="F9" s="5">
        <f>[3]BS!C7</f>
        <v>1004</v>
      </c>
      <c r="G9" s="5">
        <f>[4]BS!C7</f>
        <v>863</v>
      </c>
      <c r="H9" s="6">
        <f t="shared" si="0"/>
        <v>1094</v>
      </c>
      <c r="I9" s="6">
        <f t="shared" si="1"/>
        <v>1359</v>
      </c>
      <c r="J9" s="6">
        <f t="shared" si="2"/>
        <v>1522</v>
      </c>
      <c r="K9" s="6">
        <f t="shared" si="2"/>
        <v>1666</v>
      </c>
      <c r="L9" s="54"/>
      <c r="M9" s="5">
        <v>1052</v>
      </c>
      <c r="N9" s="5">
        <v>1093</v>
      </c>
      <c r="O9" s="5">
        <v>1182</v>
      </c>
      <c r="P9" s="5">
        <v>1004</v>
      </c>
      <c r="Q9" s="5">
        <v>995</v>
      </c>
      <c r="R9" s="5">
        <v>1069</v>
      </c>
      <c r="S9" s="5">
        <v>1010</v>
      </c>
      <c r="T9" s="5">
        <v>863</v>
      </c>
      <c r="U9" s="5">
        <f>[20]BS!B7</f>
        <v>886</v>
      </c>
      <c r="V9" s="5">
        <f>[21]BS!B7</f>
        <v>999</v>
      </c>
      <c r="W9" s="5">
        <f>[22]BS!B7</f>
        <v>1100</v>
      </c>
      <c r="X9" s="5">
        <f>[5]BS!C7</f>
        <v>1094</v>
      </c>
      <c r="Y9" s="5">
        <f>[6]BS!B7</f>
        <v>1154</v>
      </c>
      <c r="Z9" s="5">
        <f>[7]BS!B7</f>
        <v>1206</v>
      </c>
      <c r="AA9" s="5">
        <f>[8]BS!B7</f>
        <v>1315</v>
      </c>
      <c r="AB9" s="5">
        <f>[9]BS!C7</f>
        <v>1359</v>
      </c>
      <c r="AC9" s="5">
        <f>[10]BS!B7</f>
        <v>1455</v>
      </c>
      <c r="AD9" s="5">
        <f>[11]BS!B7</f>
        <v>1522</v>
      </c>
      <c r="AE9" s="5">
        <f>[12]BS!B7</f>
        <v>1576</v>
      </c>
      <c r="AF9" s="5">
        <f>[14]BS!C7</f>
        <v>1522</v>
      </c>
      <c r="AG9" s="5">
        <f>[14]BS!B7</f>
        <v>1666</v>
      </c>
      <c r="AH9" s="54"/>
      <c r="AI9" s="54"/>
      <c r="AJ9" s="54"/>
      <c r="AK9" s="54"/>
      <c r="AL9" s="54"/>
    </row>
    <row r="10" spans="1:38" s="32" customFormat="1" x14ac:dyDescent="0.2">
      <c r="A10" s="30" t="s">
        <v>139</v>
      </c>
      <c r="B10" s="58"/>
      <c r="C10" s="27">
        <f>[19]BS!C9+[19]BS!C10</f>
        <v>499</v>
      </c>
      <c r="D10" s="27">
        <f>[1]BS!C9</f>
        <v>626</v>
      </c>
      <c r="E10" s="27">
        <f>[2]BS!C9</f>
        <v>1465</v>
      </c>
      <c r="F10" s="27">
        <f>[3]BS!C8</f>
        <v>898</v>
      </c>
      <c r="G10" s="27">
        <f>[4]BS!C8</f>
        <v>748</v>
      </c>
      <c r="H10" s="28">
        <f t="shared" si="0"/>
        <v>639</v>
      </c>
      <c r="I10" s="28">
        <f t="shared" si="1"/>
        <v>651</v>
      </c>
      <c r="J10" s="28">
        <f t="shared" si="2"/>
        <v>495</v>
      </c>
      <c r="K10" s="28">
        <f t="shared" si="2"/>
        <v>607</v>
      </c>
      <c r="L10" s="53"/>
      <c r="M10" s="27">
        <v>1522</v>
      </c>
      <c r="N10" s="27">
        <v>1551</v>
      </c>
      <c r="O10" s="27">
        <v>1533</v>
      </c>
      <c r="P10" s="27">
        <v>898</v>
      </c>
      <c r="Q10" s="27">
        <v>1378</v>
      </c>
      <c r="R10" s="27">
        <v>1482</v>
      </c>
      <c r="S10" s="27">
        <v>1285</v>
      </c>
      <c r="T10" s="27">
        <v>748</v>
      </c>
      <c r="U10" s="27">
        <f>[20]BS!B8</f>
        <v>845</v>
      </c>
      <c r="V10" s="27">
        <f>[21]BS!B8</f>
        <v>834</v>
      </c>
      <c r="W10" s="27">
        <f>[22]BS!B8</f>
        <v>855</v>
      </c>
      <c r="X10" s="27">
        <f>[5]BS!C8</f>
        <v>639</v>
      </c>
      <c r="Y10" s="27">
        <f>[6]BS!B8</f>
        <v>856</v>
      </c>
      <c r="Z10" s="27">
        <f>[7]BS!B8</f>
        <v>827</v>
      </c>
      <c r="AA10" s="27">
        <f>[8]BS!B8</f>
        <v>826</v>
      </c>
      <c r="AB10" s="27">
        <f>[9]BS!C8</f>
        <v>651</v>
      </c>
      <c r="AC10" s="27">
        <f>[10]BS!B8</f>
        <v>824</v>
      </c>
      <c r="AD10" s="27">
        <f>[11]BS!B8</f>
        <v>856</v>
      </c>
      <c r="AE10" s="27">
        <f>[12]BS!B8</f>
        <v>743</v>
      </c>
      <c r="AF10" s="27">
        <f>[14]BS!C8</f>
        <v>495</v>
      </c>
      <c r="AG10" s="27">
        <f>[14]BS!B8</f>
        <v>607</v>
      </c>
      <c r="AH10" s="53"/>
      <c r="AI10" s="53"/>
      <c r="AJ10" s="53"/>
      <c r="AK10" s="53"/>
      <c r="AL10" s="53"/>
    </row>
    <row r="11" spans="1:38" s="11" customFormat="1" x14ac:dyDescent="0.2">
      <c r="A11" s="12" t="s">
        <v>138</v>
      </c>
      <c r="B11" s="52" t="s">
        <v>137</v>
      </c>
      <c r="C11" s="23">
        <f>[19]BS!C11</f>
        <v>6757</v>
      </c>
      <c r="D11" s="23">
        <f>[1]BS!C10</f>
        <v>7072</v>
      </c>
      <c r="E11" s="23">
        <f>[2]BS!C10</f>
        <v>14323</v>
      </c>
      <c r="F11" s="23">
        <f>[3]BS!C9</f>
        <v>11750</v>
      </c>
      <c r="G11" s="23">
        <f>[4]BS!C9</f>
        <v>9985</v>
      </c>
      <c r="H11" s="24">
        <f t="shared" si="0"/>
        <v>10324</v>
      </c>
      <c r="I11" s="24">
        <f t="shared" si="1"/>
        <v>9146</v>
      </c>
      <c r="J11" s="24">
        <f t="shared" si="2"/>
        <v>8637</v>
      </c>
      <c r="K11" s="24">
        <f t="shared" si="2"/>
        <v>8654</v>
      </c>
      <c r="L11" s="37"/>
      <c r="M11" s="23">
        <v>15193</v>
      </c>
      <c r="N11" s="23">
        <v>14966</v>
      </c>
      <c r="O11" s="23">
        <v>13450</v>
      </c>
      <c r="P11" s="23">
        <v>11750</v>
      </c>
      <c r="Q11" s="23">
        <v>14129</v>
      </c>
      <c r="R11" s="23">
        <v>14109</v>
      </c>
      <c r="S11" s="23">
        <v>13706</v>
      </c>
      <c r="T11" s="23">
        <v>9985</v>
      </c>
      <c r="U11" s="23">
        <f>[20]BS!B9</f>
        <v>10802</v>
      </c>
      <c r="V11" s="23">
        <f>[21]BS!B9</f>
        <v>11184</v>
      </c>
      <c r="W11" s="23">
        <f>[22]BS!B9</f>
        <v>11048</v>
      </c>
      <c r="X11" s="23">
        <f>[5]BS!C9</f>
        <v>10324</v>
      </c>
      <c r="Y11" s="23">
        <f>[6]BS!B9</f>
        <v>10626</v>
      </c>
      <c r="Z11" s="23">
        <f>[7]BS!B9</f>
        <v>11016</v>
      </c>
      <c r="AA11" s="23">
        <f>[8]BS!B9</f>
        <v>10002</v>
      </c>
      <c r="AB11" s="23">
        <f>[9]BS!C9</f>
        <v>9146</v>
      </c>
      <c r="AC11" s="23">
        <f>[10]BS!B9</f>
        <v>9673</v>
      </c>
      <c r="AD11" s="23">
        <f>[11]BS!B9</f>
        <v>9176</v>
      </c>
      <c r="AE11" s="23">
        <f>[12]BS!B9</f>
        <v>9498</v>
      </c>
      <c r="AF11" s="23">
        <f>[14]BS!C9</f>
        <v>8637</v>
      </c>
      <c r="AG11" s="23">
        <f>[14]BS!B9</f>
        <v>8654</v>
      </c>
      <c r="AH11" s="37"/>
      <c r="AI11" s="37"/>
      <c r="AJ11" s="37"/>
      <c r="AK11" s="37"/>
      <c r="AL11" s="37"/>
    </row>
    <row r="12" spans="1:38" s="9" customFormat="1" x14ac:dyDescent="0.2">
      <c r="A12" s="22" t="s">
        <v>6</v>
      </c>
      <c r="B12" s="49"/>
      <c r="C12" s="20">
        <f t="shared" ref="C12:K12" si="3">SUM(C5:C10)-C11</f>
        <v>0</v>
      </c>
      <c r="D12" s="20">
        <f t="shared" si="3"/>
        <v>0</v>
      </c>
      <c r="E12" s="20">
        <f t="shared" si="3"/>
        <v>0</v>
      </c>
      <c r="F12" s="20">
        <f t="shared" si="3"/>
        <v>0</v>
      </c>
      <c r="G12" s="20">
        <f t="shared" si="3"/>
        <v>0</v>
      </c>
      <c r="H12" s="20">
        <f t="shared" si="3"/>
        <v>0</v>
      </c>
      <c r="I12" s="20">
        <f t="shared" si="3"/>
        <v>0</v>
      </c>
      <c r="J12" s="20">
        <f t="shared" si="3"/>
        <v>0</v>
      </c>
      <c r="K12" s="20">
        <f t="shared" si="3"/>
        <v>0</v>
      </c>
      <c r="L12" s="20"/>
      <c r="M12" s="20">
        <f t="shared" ref="M12:AG12" si="4">SUM(M5:M10)-M11</f>
        <v>0</v>
      </c>
      <c r="N12" s="20">
        <f t="shared" si="4"/>
        <v>0</v>
      </c>
      <c r="O12" s="20">
        <f t="shared" si="4"/>
        <v>0</v>
      </c>
      <c r="P12" s="20">
        <f t="shared" si="4"/>
        <v>0</v>
      </c>
      <c r="Q12" s="20">
        <f t="shared" si="4"/>
        <v>0</v>
      </c>
      <c r="R12" s="20">
        <f t="shared" si="4"/>
        <v>0</v>
      </c>
      <c r="S12" s="20">
        <f t="shared" si="4"/>
        <v>0</v>
      </c>
      <c r="T12" s="20">
        <f t="shared" si="4"/>
        <v>0</v>
      </c>
      <c r="U12" s="20">
        <f t="shared" si="4"/>
        <v>0</v>
      </c>
      <c r="V12" s="20">
        <f t="shared" si="4"/>
        <v>0</v>
      </c>
      <c r="W12" s="20">
        <f t="shared" si="4"/>
        <v>0</v>
      </c>
      <c r="X12" s="20">
        <f t="shared" si="4"/>
        <v>0</v>
      </c>
      <c r="Y12" s="20">
        <f t="shared" si="4"/>
        <v>0</v>
      </c>
      <c r="Z12" s="20">
        <f t="shared" si="4"/>
        <v>0</v>
      </c>
      <c r="AA12" s="20">
        <f t="shared" si="4"/>
        <v>0</v>
      </c>
      <c r="AB12" s="20">
        <f t="shared" si="4"/>
        <v>0</v>
      </c>
      <c r="AC12" s="20">
        <f t="shared" si="4"/>
        <v>0</v>
      </c>
      <c r="AD12" s="20">
        <f t="shared" si="4"/>
        <v>0</v>
      </c>
      <c r="AE12" s="20">
        <f t="shared" si="4"/>
        <v>0</v>
      </c>
      <c r="AF12" s="20">
        <f t="shared" si="4"/>
        <v>0</v>
      </c>
      <c r="AG12" s="20">
        <f t="shared" si="4"/>
        <v>0</v>
      </c>
      <c r="AH12" s="20"/>
      <c r="AI12" s="20"/>
      <c r="AJ12" s="20"/>
      <c r="AK12" s="20"/>
      <c r="AL12" s="20"/>
    </row>
    <row r="13" spans="1:38" x14ac:dyDescent="0.2">
      <c r="A13" s="12" t="s">
        <v>136</v>
      </c>
      <c r="B13" s="55"/>
      <c r="C13" s="5"/>
      <c r="D13" s="5"/>
      <c r="E13" s="5"/>
      <c r="F13" s="5"/>
      <c r="G13" s="5"/>
      <c r="H13" s="6"/>
      <c r="I13" s="6"/>
      <c r="J13" s="6"/>
      <c r="K13" s="6"/>
      <c r="L13" s="54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4"/>
      <c r="AI13" s="54"/>
      <c r="AJ13" s="54"/>
      <c r="AK13" s="54"/>
      <c r="AL13" s="54"/>
    </row>
    <row r="14" spans="1:38" x14ac:dyDescent="0.2">
      <c r="A14" s="8" t="s">
        <v>135</v>
      </c>
      <c r="B14" s="55"/>
      <c r="C14" s="5">
        <f>[19]BS!C22+[19]BS!C13</f>
        <v>18777</v>
      </c>
      <c r="D14" s="5">
        <f>[1]BS!C12</f>
        <v>18221</v>
      </c>
      <c r="E14" s="5">
        <f>[2]BS!C12</f>
        <v>23730</v>
      </c>
      <c r="F14" s="5">
        <f>[3]BS!C11</f>
        <v>28213</v>
      </c>
      <c r="G14" s="5">
        <f>[4]BS!C11</f>
        <v>33185</v>
      </c>
      <c r="H14" s="6">
        <f t="shared" ref="H14:H19" si="5">X14</f>
        <v>37028</v>
      </c>
      <c r="I14" s="6">
        <f t="shared" ref="I14:I19" si="6">AB14</f>
        <v>40318</v>
      </c>
      <c r="J14" s="6">
        <f t="shared" ref="J14:K19" si="7">AF14</f>
        <v>41499</v>
      </c>
      <c r="K14" s="6">
        <f t="shared" si="7"/>
        <v>42013</v>
      </c>
      <c r="L14" s="54"/>
      <c r="M14" s="5">
        <v>24687</v>
      </c>
      <c r="N14" s="5">
        <v>26113</v>
      </c>
      <c r="O14" s="5">
        <v>27212</v>
      </c>
      <c r="P14" s="5">
        <v>28213</v>
      </c>
      <c r="Q14" s="5">
        <v>29273</v>
      </c>
      <c r="R14" s="5">
        <v>30829</v>
      </c>
      <c r="S14" s="5">
        <v>31872</v>
      </c>
      <c r="T14" s="5">
        <v>33185</v>
      </c>
      <c r="U14" s="5">
        <f>[20]BS!B11</f>
        <v>34407</v>
      </c>
      <c r="V14" s="5">
        <f>[21]BS!B11</f>
        <v>35553</v>
      </c>
      <c r="W14" s="5">
        <f>[22]BS!B11</f>
        <v>36259</v>
      </c>
      <c r="X14" s="5">
        <f>[5]BS!C11</f>
        <v>37028</v>
      </c>
      <c r="Y14" s="5">
        <f>[6]BS!B11</f>
        <v>38352</v>
      </c>
      <c r="Z14" s="5">
        <f>[7]BS!B11</f>
        <v>39329</v>
      </c>
      <c r="AA14" s="5">
        <f>[8]BS!B11</f>
        <v>39545</v>
      </c>
      <c r="AB14" s="5">
        <f>[9]BS!C11</f>
        <v>40318</v>
      </c>
      <c r="AC14" s="5">
        <f>[10]BS!B11</f>
        <v>40662</v>
      </c>
      <c r="AD14" s="5">
        <f>[11]BS!B11</f>
        <v>40854</v>
      </c>
      <c r="AE14" s="5">
        <f>[12]BS!B11</f>
        <v>40983</v>
      </c>
      <c r="AF14" s="5">
        <f>[14]BS!C11</f>
        <v>41499</v>
      </c>
      <c r="AG14" s="5">
        <f>[14]BS!B11</f>
        <v>42013</v>
      </c>
      <c r="AH14" s="54"/>
      <c r="AI14" s="54"/>
      <c r="AJ14" s="54"/>
      <c r="AK14" s="54"/>
      <c r="AL14" s="54"/>
    </row>
    <row r="15" spans="1:38" x14ac:dyDescent="0.2">
      <c r="A15" s="8" t="s">
        <v>134</v>
      </c>
      <c r="B15" s="55"/>
      <c r="C15" s="5">
        <f>[19]BS!C23+[19]BS!C17</f>
        <v>5331</v>
      </c>
      <c r="D15" s="5">
        <f>[1]BS!C13</f>
        <v>5302</v>
      </c>
      <c r="E15" s="5">
        <f>[2]BS!C13</f>
        <v>5585</v>
      </c>
      <c r="F15" s="5">
        <f>[3]BS!C12</f>
        <v>5900</v>
      </c>
      <c r="G15" s="5">
        <f>[4]BS!C12</f>
        <v>6402</v>
      </c>
      <c r="H15" s="6">
        <f t="shared" si="5"/>
        <v>7116</v>
      </c>
      <c r="I15" s="6">
        <f t="shared" si="6"/>
        <v>8267</v>
      </c>
      <c r="J15" s="6">
        <f t="shared" si="7"/>
        <v>8764</v>
      </c>
      <c r="K15" s="6">
        <f t="shared" si="7"/>
        <v>8932</v>
      </c>
      <c r="L15" s="54"/>
      <c r="M15" s="5">
        <v>5663</v>
      </c>
      <c r="N15" s="5">
        <v>5712</v>
      </c>
      <c r="O15" s="5">
        <v>5812</v>
      </c>
      <c r="P15" s="5">
        <v>5900</v>
      </c>
      <c r="Q15" s="5">
        <v>6013</v>
      </c>
      <c r="R15" s="5">
        <v>6132</v>
      </c>
      <c r="S15" s="5">
        <v>6262</v>
      </c>
      <c r="T15" s="5">
        <v>6402</v>
      </c>
      <c r="U15" s="5">
        <f>[20]BS!B12</f>
        <v>6561</v>
      </c>
      <c r="V15" s="5">
        <f>[21]BS!B12</f>
        <v>6726</v>
      </c>
      <c r="W15" s="5">
        <f>[22]BS!B12</f>
        <v>6915</v>
      </c>
      <c r="X15" s="5">
        <f>[5]BS!C12</f>
        <v>7116</v>
      </c>
      <c r="Y15" s="5">
        <f>[6]BS!B12</f>
        <v>7332</v>
      </c>
      <c r="Z15" s="5">
        <f>[7]BS!B12</f>
        <v>7580</v>
      </c>
      <c r="AA15" s="5">
        <f>[8]BS!B12</f>
        <v>7902</v>
      </c>
      <c r="AB15" s="5">
        <f>[9]BS!C12</f>
        <v>8267</v>
      </c>
      <c r="AC15" s="5">
        <f>[10]BS!B12</f>
        <v>8599</v>
      </c>
      <c r="AD15" s="5">
        <f>[11]BS!B12</f>
        <v>8903</v>
      </c>
      <c r="AE15" s="5">
        <f>[12]BS!B12</f>
        <v>9187</v>
      </c>
      <c r="AF15" s="5">
        <f>[14]BS!C12</f>
        <v>8764</v>
      </c>
      <c r="AG15" s="5">
        <f>[14]BS!B12</f>
        <v>8932</v>
      </c>
      <c r="AH15" s="54"/>
      <c r="AI15" s="54"/>
      <c r="AJ15" s="54"/>
      <c r="AK15" s="54"/>
      <c r="AL15" s="54"/>
    </row>
    <row r="16" spans="1:38" s="32" customFormat="1" x14ac:dyDescent="0.2">
      <c r="A16" s="30" t="s">
        <v>133</v>
      </c>
      <c r="B16" s="58"/>
      <c r="C16" s="27">
        <f>[19]BS!C16</f>
        <v>746</v>
      </c>
      <c r="D16" s="27">
        <f>[1]BS!C14</f>
        <v>710</v>
      </c>
      <c r="E16" s="27">
        <f>[2]BS!C14</f>
        <v>1077</v>
      </c>
      <c r="F16" s="27">
        <f>[3]BS!C13</f>
        <v>1230</v>
      </c>
      <c r="G16" s="27">
        <f>[4]BS!C13</f>
        <v>1067</v>
      </c>
      <c r="H16" s="28">
        <f t="shared" si="5"/>
        <v>1209</v>
      </c>
      <c r="I16" s="28">
        <f t="shared" si="6"/>
        <v>1217</v>
      </c>
      <c r="J16" s="28">
        <f t="shared" si="7"/>
        <v>1278</v>
      </c>
      <c r="K16" s="28">
        <f t="shared" si="7"/>
        <v>1211</v>
      </c>
      <c r="L16" s="53"/>
      <c r="M16" s="27">
        <v>1045</v>
      </c>
      <c r="N16" s="27">
        <v>1043</v>
      </c>
      <c r="O16" s="27">
        <v>1172</v>
      </c>
      <c r="P16" s="27">
        <v>1230</v>
      </c>
      <c r="Q16" s="27">
        <v>1265</v>
      </c>
      <c r="R16" s="27">
        <v>1124</v>
      </c>
      <c r="S16" s="27">
        <v>1073</v>
      </c>
      <c r="T16" s="27">
        <v>1067</v>
      </c>
      <c r="U16" s="27">
        <f>[20]BS!B13</f>
        <v>1058</v>
      </c>
      <c r="V16" s="27">
        <f>[21]BS!B13</f>
        <v>1136</v>
      </c>
      <c r="W16" s="27">
        <f>[22]BS!B13</f>
        <v>1149</v>
      </c>
      <c r="X16" s="27">
        <f>[5]BS!C13</f>
        <v>1209</v>
      </c>
      <c r="Y16" s="27">
        <f>[6]BS!B13</f>
        <v>1247</v>
      </c>
      <c r="Z16" s="27">
        <f>[7]BS!B13</f>
        <v>1212</v>
      </c>
      <c r="AA16" s="27">
        <f>[8]BS!B13</f>
        <v>1280</v>
      </c>
      <c r="AB16" s="27">
        <f>[9]BS!C13</f>
        <v>1217</v>
      </c>
      <c r="AC16" s="27">
        <f>[10]BS!B13</f>
        <v>1231</v>
      </c>
      <c r="AD16" s="27">
        <f>[11]BS!B13</f>
        <v>1392</v>
      </c>
      <c r="AE16" s="27">
        <f>[12]BS!B13</f>
        <v>1330</v>
      </c>
      <c r="AF16" s="27">
        <f>[14]BS!C13</f>
        <v>1278</v>
      </c>
      <c r="AG16" s="27">
        <f>[14]BS!B13</f>
        <v>1211</v>
      </c>
      <c r="AH16" s="53"/>
      <c r="AI16" s="53"/>
      <c r="AJ16" s="53"/>
      <c r="AK16" s="53"/>
      <c r="AL16" s="53"/>
    </row>
    <row r="17" spans="1:38" x14ac:dyDescent="0.2">
      <c r="A17" s="8" t="s">
        <v>132</v>
      </c>
      <c r="B17" s="52" t="s">
        <v>131</v>
      </c>
      <c r="C17" s="6">
        <f>SUM(C14:C16)</f>
        <v>24854</v>
      </c>
      <c r="D17" s="5">
        <f>[1]BS!C15</f>
        <v>24233</v>
      </c>
      <c r="E17" s="5">
        <f>[2]BS!C15</f>
        <v>30392</v>
      </c>
      <c r="F17" s="5">
        <f>[3]BS!C14</f>
        <v>35343</v>
      </c>
      <c r="G17" s="5">
        <f>[4]BS!C14</f>
        <v>40654</v>
      </c>
      <c r="H17" s="66">
        <f t="shared" si="5"/>
        <v>45353</v>
      </c>
      <c r="I17" s="66">
        <f t="shared" si="6"/>
        <v>49802</v>
      </c>
      <c r="J17" s="66">
        <f t="shared" si="7"/>
        <v>51541</v>
      </c>
      <c r="K17" s="66">
        <f t="shared" si="7"/>
        <v>52156</v>
      </c>
      <c r="L17" s="65"/>
      <c r="M17" s="5">
        <v>31395</v>
      </c>
      <c r="N17" s="5">
        <v>32868</v>
      </c>
      <c r="O17" s="5">
        <v>34196</v>
      </c>
      <c r="P17" s="5">
        <v>35343</v>
      </c>
      <c r="Q17" s="5">
        <v>36551</v>
      </c>
      <c r="R17" s="5">
        <v>38085</v>
      </c>
      <c r="S17" s="5">
        <v>39207</v>
      </c>
      <c r="T17" s="5">
        <v>40654</v>
      </c>
      <c r="U17" s="5">
        <f>[20]BS!B14</f>
        <v>42026</v>
      </c>
      <c r="V17" s="5">
        <f>[21]BS!B14</f>
        <v>43415</v>
      </c>
      <c r="W17" s="5">
        <f>[22]BS!B14</f>
        <v>44323</v>
      </c>
      <c r="X17" s="5">
        <f>[5]BS!C14</f>
        <v>45353</v>
      </c>
      <c r="Y17" s="5">
        <f>[6]BS!B14</f>
        <v>46931</v>
      </c>
      <c r="Z17" s="5">
        <f>[7]BS!B14</f>
        <v>48121</v>
      </c>
      <c r="AA17" s="5">
        <f>[8]BS!B14</f>
        <v>48727</v>
      </c>
      <c r="AB17" s="5">
        <f>[9]BS!C14</f>
        <v>49802</v>
      </c>
      <c r="AC17" s="5">
        <f>[10]BS!B14</f>
        <v>50492</v>
      </c>
      <c r="AD17" s="5">
        <f>[11]BS!B14</f>
        <v>51149</v>
      </c>
      <c r="AE17" s="5">
        <f>[12]BS!B14</f>
        <v>51500</v>
      </c>
      <c r="AF17" s="5">
        <f>[14]BS!C14</f>
        <v>51541</v>
      </c>
      <c r="AG17" s="5">
        <f>[14]BS!B14</f>
        <v>52156</v>
      </c>
      <c r="AH17" s="65"/>
      <c r="AI17" s="65"/>
      <c r="AJ17" s="65"/>
      <c r="AK17" s="65"/>
      <c r="AL17" s="65"/>
    </row>
    <row r="18" spans="1:38" s="61" customFormat="1" x14ac:dyDescent="0.2">
      <c r="A18" s="30" t="s">
        <v>130</v>
      </c>
      <c r="B18" s="52" t="s">
        <v>129</v>
      </c>
      <c r="C18" s="28">
        <f>C19-C17</f>
        <v>-10548</v>
      </c>
      <c r="D18" s="27">
        <f>[1]BS!C16*-1</f>
        <v>-10831</v>
      </c>
      <c r="E18" s="27">
        <f>[2]BS!C16</f>
        <v>-11133</v>
      </c>
      <c r="F18" s="27">
        <f>[3]BS!C15</f>
        <v>-12259</v>
      </c>
      <c r="G18" s="27">
        <f>[4]BS!C15</f>
        <v>-13144</v>
      </c>
      <c r="H18" s="67">
        <f t="shared" si="5"/>
        <v>-14194</v>
      </c>
      <c r="I18" s="67">
        <f t="shared" si="6"/>
        <v>-15646</v>
      </c>
      <c r="J18" s="67">
        <f t="shared" si="7"/>
        <v>-17443</v>
      </c>
      <c r="K18" s="67">
        <f t="shared" si="7"/>
        <v>-17746</v>
      </c>
      <c r="L18" s="62"/>
      <c r="M18" s="27">
        <v>-11451</v>
      </c>
      <c r="N18" s="27">
        <v>-11632</v>
      </c>
      <c r="O18" s="27">
        <v>-12033</v>
      </c>
      <c r="P18" s="27">
        <v>-12259</v>
      </c>
      <c r="Q18" s="27">
        <v>-12509</v>
      </c>
      <c r="R18" s="27">
        <v>-12797</v>
      </c>
      <c r="S18" s="27">
        <v>-12915</v>
      </c>
      <c r="T18" s="27">
        <v>-13144</v>
      </c>
      <c r="U18" s="27">
        <f>[20]BS!B15</f>
        <v>-13393</v>
      </c>
      <c r="V18" s="27">
        <f>[21]BS!B15</f>
        <v>-13804</v>
      </c>
      <c r="W18" s="27">
        <f>[22]BS!B15</f>
        <v>-14019</v>
      </c>
      <c r="X18" s="27">
        <f>[5]BS!C15</f>
        <v>-14194</v>
      </c>
      <c r="Y18" s="27">
        <f>[6]BS!B15</f>
        <v>-14640</v>
      </c>
      <c r="Z18" s="27">
        <f>[7]BS!B15</f>
        <v>-15128</v>
      </c>
      <c r="AA18" s="27">
        <f>[8]BS!B15</f>
        <v>-15416</v>
      </c>
      <c r="AB18" s="27">
        <f>[9]BS!C15</f>
        <v>-15646</v>
      </c>
      <c r="AC18" s="27">
        <f>[10]BS!B15</f>
        <v>-16159</v>
      </c>
      <c r="AD18" s="27">
        <f>[11]BS!B15</f>
        <v>-16725</v>
      </c>
      <c r="AE18" s="27">
        <f>[12]BS!B15</f>
        <v>-17277</v>
      </c>
      <c r="AF18" s="27">
        <f>[14]BS!C15</f>
        <v>-17443</v>
      </c>
      <c r="AG18" s="27">
        <f>[14]BS!B15</f>
        <v>-17746</v>
      </c>
      <c r="AH18" s="62"/>
      <c r="AI18" s="62"/>
      <c r="AJ18" s="62"/>
      <c r="AK18" s="62"/>
      <c r="AL18" s="62"/>
    </row>
    <row r="19" spans="1:38" s="11" customFormat="1" x14ac:dyDescent="0.2">
      <c r="A19" s="12" t="s">
        <v>128</v>
      </c>
      <c r="B19" s="52" t="s">
        <v>127</v>
      </c>
      <c r="C19" s="23">
        <f>[19]BS!C20+[19]BS!C26</f>
        <v>14306</v>
      </c>
      <c r="D19" s="23">
        <f>[1]BS!C17</f>
        <v>13402</v>
      </c>
      <c r="E19" s="23">
        <f>[2]BS!C17</f>
        <v>19259</v>
      </c>
      <c r="F19" s="23">
        <f>[3]BS!C16</f>
        <v>23084</v>
      </c>
      <c r="G19" s="23">
        <f>[4]BS!C16</f>
        <v>27510</v>
      </c>
      <c r="H19" s="24">
        <f t="shared" si="5"/>
        <v>31159</v>
      </c>
      <c r="I19" s="24">
        <f t="shared" si="6"/>
        <v>34156</v>
      </c>
      <c r="J19" s="24">
        <f t="shared" si="7"/>
        <v>34098</v>
      </c>
      <c r="K19" s="24">
        <f t="shared" si="7"/>
        <v>34410</v>
      </c>
      <c r="L19" s="37"/>
      <c r="M19" s="23">
        <v>19944</v>
      </c>
      <c r="N19" s="23">
        <v>21236</v>
      </c>
      <c r="O19" s="23">
        <v>22163</v>
      </c>
      <c r="P19" s="23">
        <v>23084</v>
      </c>
      <c r="Q19" s="23">
        <v>24042</v>
      </c>
      <c r="R19" s="23">
        <v>25288</v>
      </c>
      <c r="S19" s="23">
        <v>26292</v>
      </c>
      <c r="T19" s="23">
        <v>27510</v>
      </c>
      <c r="U19" s="23">
        <f>[20]BS!B16</f>
        <v>28633</v>
      </c>
      <c r="V19" s="23">
        <f>[21]BS!B16</f>
        <v>29611</v>
      </c>
      <c r="W19" s="23">
        <f>[22]BS!B16</f>
        <v>30304</v>
      </c>
      <c r="X19" s="23">
        <f>[5]BS!C16</f>
        <v>31159</v>
      </c>
      <c r="Y19" s="23">
        <f>[6]BS!B16</f>
        <v>32291</v>
      </c>
      <c r="Z19" s="23">
        <f>[7]BS!B16</f>
        <v>32993</v>
      </c>
      <c r="AA19" s="23">
        <f>[8]BS!B16</f>
        <v>33311</v>
      </c>
      <c r="AB19" s="23">
        <f>[9]BS!C16</f>
        <v>34156</v>
      </c>
      <c r="AC19" s="23">
        <f>[10]BS!B16</f>
        <v>34333</v>
      </c>
      <c r="AD19" s="23">
        <f>[11]BS!B16</f>
        <v>34424</v>
      </c>
      <c r="AE19" s="23">
        <f>[12]BS!B16</f>
        <v>34223</v>
      </c>
      <c r="AF19" s="23">
        <f>[14]BS!C16</f>
        <v>34098</v>
      </c>
      <c r="AG19" s="23">
        <f>[14]BS!B16</f>
        <v>34410</v>
      </c>
      <c r="AH19" s="37"/>
      <c r="AI19" s="37"/>
      <c r="AJ19" s="37"/>
      <c r="AK19" s="37"/>
      <c r="AL19" s="37"/>
    </row>
    <row r="20" spans="1:38" s="9" customFormat="1" x14ac:dyDescent="0.2">
      <c r="A20" s="22" t="s">
        <v>6</v>
      </c>
      <c r="B20" s="49"/>
      <c r="C20" s="20">
        <f t="shared" ref="C20:K20" si="8">SUM(C17:C18)-C19</f>
        <v>0</v>
      </c>
      <c r="D20" s="20">
        <f t="shared" si="8"/>
        <v>0</v>
      </c>
      <c r="E20" s="20">
        <f t="shared" si="8"/>
        <v>0</v>
      </c>
      <c r="F20" s="20">
        <f t="shared" si="8"/>
        <v>0</v>
      </c>
      <c r="G20" s="20">
        <f t="shared" si="8"/>
        <v>0</v>
      </c>
      <c r="H20" s="20">
        <f t="shared" si="8"/>
        <v>0</v>
      </c>
      <c r="I20" s="20">
        <f t="shared" si="8"/>
        <v>0</v>
      </c>
      <c r="J20" s="20">
        <f t="shared" si="8"/>
        <v>0</v>
      </c>
      <c r="K20" s="20">
        <f t="shared" si="8"/>
        <v>0</v>
      </c>
      <c r="L20" s="20"/>
      <c r="M20" s="20">
        <f t="shared" ref="M20:AG20" si="9">SUM(M17:M18)-M19</f>
        <v>0</v>
      </c>
      <c r="N20" s="20">
        <f t="shared" si="9"/>
        <v>0</v>
      </c>
      <c r="O20" s="20">
        <f t="shared" si="9"/>
        <v>0</v>
      </c>
      <c r="P20" s="20">
        <f t="shared" si="9"/>
        <v>0</v>
      </c>
      <c r="Q20" s="20">
        <f t="shared" si="9"/>
        <v>0</v>
      </c>
      <c r="R20" s="20">
        <f t="shared" si="9"/>
        <v>0</v>
      </c>
      <c r="S20" s="20">
        <f t="shared" si="9"/>
        <v>0</v>
      </c>
      <c r="T20" s="20">
        <f t="shared" si="9"/>
        <v>0</v>
      </c>
      <c r="U20" s="20">
        <f t="shared" si="9"/>
        <v>0</v>
      </c>
      <c r="V20" s="20">
        <f t="shared" si="9"/>
        <v>0</v>
      </c>
      <c r="W20" s="20">
        <f t="shared" si="9"/>
        <v>0</v>
      </c>
      <c r="X20" s="20">
        <f t="shared" si="9"/>
        <v>0</v>
      </c>
      <c r="Y20" s="20">
        <f t="shared" si="9"/>
        <v>0</v>
      </c>
      <c r="Z20" s="20">
        <f t="shared" si="9"/>
        <v>0</v>
      </c>
      <c r="AA20" s="20">
        <f t="shared" si="9"/>
        <v>0</v>
      </c>
      <c r="AB20" s="20">
        <f t="shared" si="9"/>
        <v>0</v>
      </c>
      <c r="AC20" s="20">
        <f t="shared" si="9"/>
        <v>0</v>
      </c>
      <c r="AD20" s="20">
        <f t="shared" si="9"/>
        <v>0</v>
      </c>
      <c r="AE20" s="20">
        <f t="shared" si="9"/>
        <v>0</v>
      </c>
      <c r="AF20" s="20">
        <f t="shared" si="9"/>
        <v>0</v>
      </c>
      <c r="AG20" s="20">
        <f t="shared" si="9"/>
        <v>0</v>
      </c>
      <c r="AH20" s="20"/>
      <c r="AI20" s="20"/>
      <c r="AJ20" s="20"/>
      <c r="AK20" s="20"/>
      <c r="AL20" s="20"/>
    </row>
    <row r="21" spans="1:38" x14ac:dyDescent="0.2">
      <c r="A21" s="8" t="s">
        <v>126</v>
      </c>
      <c r="B21" s="55"/>
      <c r="C21" s="5"/>
      <c r="D21" s="5"/>
      <c r="E21" s="5"/>
      <c r="F21" s="5"/>
      <c r="G21" s="5"/>
      <c r="H21" s="66"/>
      <c r="I21" s="66">
        <f>AB21</f>
        <v>0</v>
      </c>
      <c r="J21" s="66">
        <f>AF21</f>
        <v>9151</v>
      </c>
      <c r="K21" s="66">
        <f>AG21</f>
        <v>9124</v>
      </c>
      <c r="L21" s="6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>
        <f>[9]BS!C17</f>
        <v>0</v>
      </c>
      <c r="AC21" s="5"/>
      <c r="AD21" s="5"/>
      <c r="AE21" s="5"/>
      <c r="AF21" s="5">
        <f>[14]BS!C17</f>
        <v>9151</v>
      </c>
      <c r="AG21" s="5">
        <f>[14]BS!B17</f>
        <v>9124</v>
      </c>
      <c r="AH21" s="65"/>
      <c r="AI21" s="65"/>
      <c r="AJ21" s="65"/>
      <c r="AK21" s="65"/>
      <c r="AL21" s="65"/>
    </row>
    <row r="22" spans="1:38" x14ac:dyDescent="0.2">
      <c r="A22" s="12" t="s">
        <v>125</v>
      </c>
      <c r="B22" s="55"/>
      <c r="C22" s="5"/>
      <c r="D22" s="5"/>
      <c r="E22" s="5"/>
      <c r="F22" s="5"/>
      <c r="G22" s="5"/>
      <c r="H22" s="6"/>
      <c r="I22" s="6"/>
      <c r="J22" s="6"/>
      <c r="K22" s="6"/>
      <c r="L22" s="54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4"/>
      <c r="AI22" s="54"/>
      <c r="AJ22" s="54"/>
      <c r="AK22" s="54"/>
      <c r="AL22" s="54"/>
    </row>
    <row r="23" spans="1:38" x14ac:dyDescent="0.2">
      <c r="A23" s="35" t="s">
        <v>124</v>
      </c>
      <c r="B23" s="55"/>
      <c r="C23" s="5"/>
      <c r="D23" s="5"/>
      <c r="E23" s="5">
        <f>[2]BS!C19</f>
        <v>4086</v>
      </c>
      <c r="F23" s="5">
        <f>[3]BS!C18</f>
        <v>4091</v>
      </c>
      <c r="G23" s="5">
        <f>[4]BS!C18</f>
        <v>4091</v>
      </c>
      <c r="H23" s="6">
        <f t="shared" ref="H23:H28" si="10">X23</f>
        <v>4091</v>
      </c>
      <c r="I23" s="6">
        <f t="shared" ref="I23:I28" si="11">AB23</f>
        <v>4091</v>
      </c>
      <c r="J23" s="6">
        <f t="shared" ref="J23:K28" si="12">AF23</f>
        <v>4091</v>
      </c>
      <c r="K23" s="6">
        <f t="shared" si="12"/>
        <v>4091</v>
      </c>
      <c r="L23" s="54"/>
      <c r="M23" s="5">
        <v>4089</v>
      </c>
      <c r="N23" s="5">
        <v>4089</v>
      </c>
      <c r="O23" s="5">
        <v>4089</v>
      </c>
      <c r="P23" s="5">
        <v>4091</v>
      </c>
      <c r="Q23" s="5">
        <v>4091</v>
      </c>
      <c r="R23" s="5">
        <v>4091</v>
      </c>
      <c r="S23" s="5">
        <v>4091</v>
      </c>
      <c r="T23" s="5">
        <v>4091</v>
      </c>
      <c r="U23" s="5">
        <f>[20]BS!B18</f>
        <v>4091</v>
      </c>
      <c r="V23" s="5">
        <f>[21]BS!B18</f>
        <v>4091</v>
      </c>
      <c r="W23" s="5">
        <f>[22]BS!B18</f>
        <v>4091</v>
      </c>
      <c r="X23" s="5">
        <f>[5]BS!C18</f>
        <v>4091</v>
      </c>
      <c r="Y23" s="5">
        <f>[6]BS!B18</f>
        <v>4091</v>
      </c>
      <c r="Z23" s="5">
        <f>[7]BS!B18</f>
        <v>4091</v>
      </c>
      <c r="AA23" s="5">
        <f>[8]BS!B18</f>
        <v>4091</v>
      </c>
      <c r="AB23" s="5">
        <f>[9]BS!C19</f>
        <v>4091</v>
      </c>
      <c r="AC23" s="5">
        <f>[10]BS!B18</f>
        <v>4091</v>
      </c>
      <c r="AD23" s="5">
        <f>[11]BS!B18</f>
        <v>4091</v>
      </c>
      <c r="AE23" s="5">
        <f>[12]BS!B18</f>
        <v>4091</v>
      </c>
      <c r="AF23" s="5">
        <f>[14]BS!C19</f>
        <v>4091</v>
      </c>
      <c r="AG23" s="5">
        <f>[14]BS!B19</f>
        <v>4091</v>
      </c>
      <c r="AH23" s="54"/>
      <c r="AI23" s="54"/>
      <c r="AJ23" s="54"/>
      <c r="AK23" s="54"/>
      <c r="AL23" s="54"/>
    </row>
    <row r="24" spans="1:38" s="32" customFormat="1" x14ac:dyDescent="0.2">
      <c r="A24" s="30" t="s">
        <v>123</v>
      </c>
      <c r="B24" s="58"/>
      <c r="C24" s="27">
        <f>[19]BS!C28+[19]BS!C29</f>
        <v>894</v>
      </c>
      <c r="D24" s="27">
        <f>[1]BS!C20</f>
        <v>869</v>
      </c>
      <c r="E24" s="27">
        <f>[2]BS!C20</f>
        <v>2311</v>
      </c>
      <c r="F24" s="27">
        <f>[3]BS!C19</f>
        <v>2240</v>
      </c>
      <c r="G24" s="27">
        <f>[4]BS!C19</f>
        <v>2249</v>
      </c>
      <c r="H24" s="28">
        <f t="shared" si="10"/>
        <v>2173</v>
      </c>
      <c r="I24" s="28">
        <f t="shared" si="11"/>
        <v>2203</v>
      </c>
      <c r="J24" s="28">
        <f t="shared" si="12"/>
        <v>2137</v>
      </c>
      <c r="K24" s="28">
        <f t="shared" si="12"/>
        <v>2115</v>
      </c>
      <c r="L24" s="53"/>
      <c r="M24" s="27">
        <v>2319</v>
      </c>
      <c r="N24" s="27">
        <v>2330</v>
      </c>
      <c r="O24" s="27">
        <v>2305</v>
      </c>
      <c r="P24" s="27">
        <v>2240</v>
      </c>
      <c r="Q24" s="27">
        <v>2281</v>
      </c>
      <c r="R24" s="27">
        <v>2274</v>
      </c>
      <c r="S24" s="27">
        <v>2261</v>
      </c>
      <c r="T24" s="27">
        <v>2249</v>
      </c>
      <c r="U24" s="27">
        <f>[20]BS!B19</f>
        <v>2236</v>
      </c>
      <c r="V24" s="27">
        <f>[21]BS!B19</f>
        <v>2213</v>
      </c>
      <c r="W24" s="27">
        <f>[22]BS!B19</f>
        <v>2189</v>
      </c>
      <c r="X24" s="27">
        <f>[5]BS!C19</f>
        <v>2173</v>
      </c>
      <c r="Y24" s="27">
        <f>[6]BS!B19</f>
        <v>2236</v>
      </c>
      <c r="Z24" s="27">
        <f>[7]BS!B19</f>
        <v>2224</v>
      </c>
      <c r="AA24" s="27">
        <f>[8]BS!B19</f>
        <v>2214</v>
      </c>
      <c r="AB24" s="27">
        <f>[9]BS!C20</f>
        <v>2203</v>
      </c>
      <c r="AC24" s="27">
        <f>[10]BS!B19</f>
        <v>2193</v>
      </c>
      <c r="AD24" s="27">
        <f>[11]BS!B19</f>
        <v>2157</v>
      </c>
      <c r="AE24" s="27">
        <f>[12]BS!B19</f>
        <v>2147</v>
      </c>
      <c r="AF24" s="27">
        <f>[14]BS!C20</f>
        <v>2137</v>
      </c>
      <c r="AG24" s="27">
        <f>[14]BS!B20</f>
        <v>2115</v>
      </c>
      <c r="AH24" s="53"/>
      <c r="AI24" s="53"/>
      <c r="AJ24" s="53"/>
      <c r="AK24" s="53"/>
      <c r="AL24" s="53"/>
    </row>
    <row r="25" spans="1:38" x14ac:dyDescent="0.2">
      <c r="A25" s="8" t="s">
        <v>122</v>
      </c>
      <c r="B25" s="52" t="s">
        <v>121</v>
      </c>
      <c r="C25" s="6">
        <f>SUM(C23:C24)</f>
        <v>894</v>
      </c>
      <c r="D25" s="6">
        <f>SUM(D23:D24)</f>
        <v>869</v>
      </c>
      <c r="E25" s="6">
        <f>SUM(E23:E24)</f>
        <v>6397</v>
      </c>
      <c r="F25" s="6">
        <f>SUM(F23:F24)</f>
        <v>6331</v>
      </c>
      <c r="G25" s="6">
        <f>SUM(G23:G24)</f>
        <v>6340</v>
      </c>
      <c r="H25" s="6">
        <f t="shared" si="10"/>
        <v>6264</v>
      </c>
      <c r="I25" s="6">
        <f t="shared" si="11"/>
        <v>6294</v>
      </c>
      <c r="J25" s="6">
        <f t="shared" si="12"/>
        <v>6228</v>
      </c>
      <c r="K25" s="6">
        <f t="shared" si="12"/>
        <v>6206</v>
      </c>
      <c r="L25" s="54"/>
      <c r="M25" s="6">
        <f t="shared" ref="M25:AG25" si="13">SUM(M23:M24)</f>
        <v>6408</v>
      </c>
      <c r="N25" s="6">
        <f t="shared" si="13"/>
        <v>6419</v>
      </c>
      <c r="O25" s="6">
        <f t="shared" si="13"/>
        <v>6394</v>
      </c>
      <c r="P25" s="6">
        <f t="shared" si="13"/>
        <v>6331</v>
      </c>
      <c r="Q25" s="6">
        <f t="shared" si="13"/>
        <v>6372</v>
      </c>
      <c r="R25" s="6">
        <f t="shared" si="13"/>
        <v>6365</v>
      </c>
      <c r="S25" s="6">
        <f t="shared" si="13"/>
        <v>6352</v>
      </c>
      <c r="T25" s="6">
        <f t="shared" si="13"/>
        <v>6340</v>
      </c>
      <c r="U25" s="6">
        <f t="shared" si="13"/>
        <v>6327</v>
      </c>
      <c r="V25" s="6">
        <f t="shared" si="13"/>
        <v>6304</v>
      </c>
      <c r="W25" s="6">
        <f t="shared" si="13"/>
        <v>6280</v>
      </c>
      <c r="X25" s="6">
        <f t="shared" si="13"/>
        <v>6264</v>
      </c>
      <c r="Y25" s="6">
        <f t="shared" si="13"/>
        <v>6327</v>
      </c>
      <c r="Z25" s="6">
        <f t="shared" si="13"/>
        <v>6315</v>
      </c>
      <c r="AA25" s="6">
        <f t="shared" si="13"/>
        <v>6305</v>
      </c>
      <c r="AB25" s="6">
        <f t="shared" si="13"/>
        <v>6294</v>
      </c>
      <c r="AC25" s="6">
        <f t="shared" si="13"/>
        <v>6284</v>
      </c>
      <c r="AD25" s="6">
        <f t="shared" si="13"/>
        <v>6248</v>
      </c>
      <c r="AE25" s="6">
        <f t="shared" si="13"/>
        <v>6238</v>
      </c>
      <c r="AF25" s="6">
        <f t="shared" si="13"/>
        <v>6228</v>
      </c>
      <c r="AG25" s="6">
        <f t="shared" si="13"/>
        <v>6206</v>
      </c>
      <c r="AH25" s="54"/>
      <c r="AI25" s="54"/>
      <c r="AJ25" s="54"/>
      <c r="AK25" s="54"/>
      <c r="AL25" s="54"/>
    </row>
    <row r="26" spans="1:38" x14ac:dyDescent="0.2">
      <c r="A26" s="8" t="s">
        <v>120</v>
      </c>
      <c r="B26" s="55"/>
      <c r="C26" s="5"/>
      <c r="D26" s="5"/>
      <c r="E26" s="5"/>
      <c r="F26" s="5"/>
      <c r="G26" s="5">
        <f>[4]BS!C20</f>
        <v>2477</v>
      </c>
      <c r="H26" s="6">
        <f t="shared" si="10"/>
        <v>1498</v>
      </c>
      <c r="I26" s="6">
        <f t="shared" si="11"/>
        <v>1816</v>
      </c>
      <c r="J26" s="6">
        <f t="shared" si="12"/>
        <v>1145</v>
      </c>
      <c r="K26" s="6">
        <f t="shared" si="12"/>
        <v>1007</v>
      </c>
      <c r="L26" s="54"/>
      <c r="M26" s="5"/>
      <c r="N26" s="5"/>
      <c r="O26" s="5"/>
      <c r="P26" s="5"/>
      <c r="Q26" s="5"/>
      <c r="R26" s="5"/>
      <c r="S26" s="5"/>
      <c r="T26" s="5">
        <v>2477</v>
      </c>
      <c r="U26" s="5">
        <f>[20]BS!B20</f>
        <v>2072</v>
      </c>
      <c r="V26" s="5">
        <f>[21]BS!B20</f>
        <v>1965</v>
      </c>
      <c r="W26" s="5">
        <f>[22]BS!B20</f>
        <v>1524</v>
      </c>
      <c r="X26" s="5">
        <f>[5]BS!C20</f>
        <v>1498</v>
      </c>
      <c r="Y26" s="5">
        <f>[6]BS!B20</f>
        <v>1379</v>
      </c>
      <c r="Z26" s="5">
        <f>[7]BS!B20</f>
        <v>905</v>
      </c>
      <c r="AA26" s="5">
        <f>[8]BS!B20</f>
        <v>538</v>
      </c>
      <c r="AB26" s="5">
        <f>[9]BS!C21</f>
        <v>1816</v>
      </c>
      <c r="AC26" s="5">
        <f>[10]BS!B20</f>
        <v>1581</v>
      </c>
      <c r="AD26" s="5">
        <f>[11]BS!B20</f>
        <v>1399</v>
      </c>
      <c r="AE26" s="5">
        <f>[12]BS!B20</f>
        <v>1293</v>
      </c>
      <c r="AF26" s="5">
        <f>[14]BS!C21</f>
        <v>1145</v>
      </c>
      <c r="AG26" s="5">
        <f>[14]BS!B21</f>
        <v>1007</v>
      </c>
      <c r="AH26" s="54"/>
      <c r="AI26" s="54"/>
      <c r="AJ26" s="54"/>
      <c r="AK26" s="54"/>
      <c r="AL26" s="54"/>
    </row>
    <row r="27" spans="1:38" s="32" customFormat="1" x14ac:dyDescent="0.2">
      <c r="A27" s="30" t="s">
        <v>119</v>
      </c>
      <c r="B27" s="58"/>
      <c r="C27" s="27">
        <f>[19]BS!C30</f>
        <v>1891</v>
      </c>
      <c r="D27" s="27">
        <f>[1]BS!C21</f>
        <v>2167</v>
      </c>
      <c r="E27" s="27">
        <f>[2]BS!C21</f>
        <v>2299</v>
      </c>
      <c r="F27" s="27">
        <f>[3]BS!C21</f>
        <v>2060</v>
      </c>
      <c r="G27" s="27">
        <f>[4]BS!C21</f>
        <v>2103</v>
      </c>
      <c r="H27" s="28">
        <f t="shared" si="10"/>
        <v>2029</v>
      </c>
      <c r="I27" s="28">
        <f t="shared" si="11"/>
        <v>1373</v>
      </c>
      <c r="J27" s="28">
        <f t="shared" si="12"/>
        <v>1321</v>
      </c>
      <c r="K27" s="28">
        <f t="shared" si="12"/>
        <v>1386</v>
      </c>
      <c r="L27" s="64"/>
      <c r="M27" s="27">
        <v>2192</v>
      </c>
      <c r="N27" s="27">
        <v>2190</v>
      </c>
      <c r="O27" s="27">
        <v>2166</v>
      </c>
      <c r="P27" s="27">
        <v>2060</v>
      </c>
      <c r="Q27" s="27">
        <v>2211</v>
      </c>
      <c r="R27" s="27">
        <v>2106</v>
      </c>
      <c r="S27" s="27">
        <v>2365</v>
      </c>
      <c r="T27" s="27">
        <v>2103</v>
      </c>
      <c r="U27" s="27">
        <f>[20]BS!B21</f>
        <v>2075</v>
      </c>
      <c r="V27" s="27">
        <f>[21]BS!B21</f>
        <v>1987</v>
      </c>
      <c r="W27" s="27">
        <f>[22]BS!B21</f>
        <v>1952</v>
      </c>
      <c r="X27" s="27">
        <f>[5]BS!C21</f>
        <v>2029</v>
      </c>
      <c r="Y27" s="27">
        <f>[6]BS!B21</f>
        <v>2004</v>
      </c>
      <c r="Z27" s="27">
        <f>[7]BS!B21</f>
        <v>2107</v>
      </c>
      <c r="AA27" s="27">
        <f>[8]BS!B21</f>
        <v>2245</v>
      </c>
      <c r="AB27" s="27">
        <f>[9]BS!C22</f>
        <v>1373</v>
      </c>
      <c r="AC27" s="27">
        <f>[10]BS!B21</f>
        <v>1409</v>
      </c>
      <c r="AD27" s="27">
        <f>[11]BS!B21</f>
        <v>1375</v>
      </c>
      <c r="AE27" s="27">
        <f>[12]BS!B21</f>
        <v>1383</v>
      </c>
      <c r="AF27" s="27">
        <f>[14]BS!C22</f>
        <v>1321</v>
      </c>
      <c r="AG27" s="27">
        <f>[14]BS!B22</f>
        <v>1386</v>
      </c>
      <c r="AH27" s="64"/>
      <c r="AI27" s="64"/>
      <c r="AJ27" s="64"/>
      <c r="AK27" s="64"/>
      <c r="AL27" s="64"/>
    </row>
    <row r="28" spans="1:38" s="61" customFormat="1" x14ac:dyDescent="0.2">
      <c r="A28" s="30" t="s">
        <v>118</v>
      </c>
      <c r="B28" s="63"/>
      <c r="C28" s="27">
        <f>[19]BS!C31</f>
        <v>2785</v>
      </c>
      <c r="D28" s="27">
        <f>[1]BS!C22</f>
        <v>3036</v>
      </c>
      <c r="E28" s="27">
        <f>[2]BS!C22</f>
        <v>8696</v>
      </c>
      <c r="F28" s="27">
        <f>[3]BS!C22</f>
        <v>8391</v>
      </c>
      <c r="G28" s="27">
        <f>[4]BS!C22</f>
        <v>10920</v>
      </c>
      <c r="H28" s="28">
        <f t="shared" si="10"/>
        <v>9791</v>
      </c>
      <c r="I28" s="28">
        <f t="shared" si="11"/>
        <v>9483</v>
      </c>
      <c r="J28" s="28">
        <f t="shared" si="12"/>
        <v>8694</v>
      </c>
      <c r="K28" s="28">
        <f t="shared" si="12"/>
        <v>8599</v>
      </c>
      <c r="L28" s="62"/>
      <c r="M28" s="28">
        <f t="shared" ref="M28:T28" si="14">SUM(M25:M27)</f>
        <v>8600</v>
      </c>
      <c r="N28" s="28">
        <f t="shared" si="14"/>
        <v>8609</v>
      </c>
      <c r="O28" s="28">
        <f t="shared" si="14"/>
        <v>8560</v>
      </c>
      <c r="P28" s="28">
        <f t="shared" si="14"/>
        <v>8391</v>
      </c>
      <c r="Q28" s="28">
        <f t="shared" si="14"/>
        <v>8583</v>
      </c>
      <c r="R28" s="28">
        <f t="shared" si="14"/>
        <v>8471</v>
      </c>
      <c r="S28" s="28">
        <f t="shared" si="14"/>
        <v>8717</v>
      </c>
      <c r="T28" s="28">
        <f t="shared" si="14"/>
        <v>10920</v>
      </c>
      <c r="U28" s="27">
        <f>[20]BS!B22</f>
        <v>10474</v>
      </c>
      <c r="V28" s="27">
        <f>[21]BS!B22</f>
        <v>10256</v>
      </c>
      <c r="W28" s="27">
        <f>[22]BS!B22</f>
        <v>9756</v>
      </c>
      <c r="X28" s="27">
        <f>[5]BS!C22</f>
        <v>9791</v>
      </c>
      <c r="Y28" s="27">
        <f>[6]BS!B22</f>
        <v>9710</v>
      </c>
      <c r="Z28" s="27">
        <f>[7]BS!B22</f>
        <v>9327</v>
      </c>
      <c r="AA28" s="27">
        <f>[8]BS!B22</f>
        <v>9088</v>
      </c>
      <c r="AB28" s="27">
        <f>[9]BS!C23</f>
        <v>9483</v>
      </c>
      <c r="AC28" s="27">
        <f>[10]BS!B22</f>
        <v>9274</v>
      </c>
      <c r="AD28" s="27">
        <f>[11]BS!B22</f>
        <v>9022</v>
      </c>
      <c r="AE28" s="27">
        <f>[12]BS!B22</f>
        <v>8914</v>
      </c>
      <c r="AF28" s="27">
        <f>[14]BS!C23</f>
        <v>8694</v>
      </c>
      <c r="AG28" s="27">
        <f>[14]BS!B23</f>
        <v>8599</v>
      </c>
      <c r="AH28" s="62"/>
      <c r="AI28" s="62"/>
      <c r="AJ28" s="62"/>
      <c r="AK28" s="62"/>
      <c r="AL28" s="62"/>
    </row>
    <row r="29" spans="1:38" s="9" customFormat="1" x14ac:dyDescent="0.2">
      <c r="A29" s="22" t="s">
        <v>6</v>
      </c>
      <c r="B29" s="49"/>
      <c r="C29" s="20">
        <f t="shared" ref="C29:K29" si="15">SUM(C25:C27)-C28</f>
        <v>0</v>
      </c>
      <c r="D29" s="20">
        <f t="shared" si="15"/>
        <v>0</v>
      </c>
      <c r="E29" s="20">
        <f t="shared" si="15"/>
        <v>0</v>
      </c>
      <c r="F29" s="20">
        <f t="shared" si="15"/>
        <v>0</v>
      </c>
      <c r="G29" s="20">
        <f t="shared" si="15"/>
        <v>0</v>
      </c>
      <c r="H29" s="20">
        <f t="shared" si="15"/>
        <v>0</v>
      </c>
      <c r="I29" s="20">
        <f t="shared" si="15"/>
        <v>0</v>
      </c>
      <c r="J29" s="20">
        <f t="shared" si="15"/>
        <v>0</v>
      </c>
      <c r="K29" s="20">
        <f t="shared" si="15"/>
        <v>0</v>
      </c>
      <c r="L29" s="20"/>
      <c r="M29" s="20">
        <f t="shared" ref="M29:AG29" si="16">SUM(M25:M27)-M28</f>
        <v>0</v>
      </c>
      <c r="N29" s="20">
        <f t="shared" si="16"/>
        <v>0</v>
      </c>
      <c r="O29" s="20">
        <f t="shared" si="16"/>
        <v>0</v>
      </c>
      <c r="P29" s="20">
        <f t="shared" si="16"/>
        <v>0</v>
      </c>
      <c r="Q29" s="20">
        <f t="shared" si="16"/>
        <v>0</v>
      </c>
      <c r="R29" s="20">
        <f t="shared" si="16"/>
        <v>0</v>
      </c>
      <c r="S29" s="20">
        <f t="shared" si="16"/>
        <v>0</v>
      </c>
      <c r="T29" s="20">
        <f t="shared" si="16"/>
        <v>0</v>
      </c>
      <c r="U29" s="20">
        <f t="shared" si="16"/>
        <v>0</v>
      </c>
      <c r="V29" s="20">
        <f t="shared" si="16"/>
        <v>0</v>
      </c>
      <c r="W29" s="20">
        <f t="shared" si="16"/>
        <v>0</v>
      </c>
      <c r="X29" s="20">
        <f t="shared" si="16"/>
        <v>0</v>
      </c>
      <c r="Y29" s="20">
        <f t="shared" si="16"/>
        <v>0</v>
      </c>
      <c r="Z29" s="20">
        <f t="shared" si="16"/>
        <v>0</v>
      </c>
      <c r="AA29" s="20">
        <f t="shared" si="16"/>
        <v>0</v>
      </c>
      <c r="AB29" s="20">
        <f t="shared" si="16"/>
        <v>0</v>
      </c>
      <c r="AC29" s="20">
        <f t="shared" si="16"/>
        <v>0</v>
      </c>
      <c r="AD29" s="20">
        <f t="shared" si="16"/>
        <v>0</v>
      </c>
      <c r="AE29" s="20">
        <f t="shared" si="16"/>
        <v>0</v>
      </c>
      <c r="AF29" s="20">
        <f t="shared" si="16"/>
        <v>0</v>
      </c>
      <c r="AG29" s="20">
        <f t="shared" si="16"/>
        <v>0</v>
      </c>
      <c r="AH29" s="20"/>
      <c r="AI29" s="20"/>
      <c r="AJ29" s="20"/>
      <c r="AK29" s="20"/>
      <c r="AL29" s="20"/>
    </row>
    <row r="30" spans="1:38" s="11" customFormat="1" x14ac:dyDescent="0.2">
      <c r="A30" s="12" t="s">
        <v>117</v>
      </c>
      <c r="B30" s="52" t="s">
        <v>116</v>
      </c>
      <c r="C30" s="23">
        <f>[19]BS!C32</f>
        <v>23848</v>
      </c>
      <c r="D30" s="23">
        <f>[1]BS!C23</f>
        <v>23510</v>
      </c>
      <c r="E30" s="23">
        <f>[2]BS!C23</f>
        <v>42278</v>
      </c>
      <c r="F30" s="23">
        <f>[3]BS!C23</f>
        <v>43225</v>
      </c>
      <c r="G30" s="23">
        <f>[4]BS!C23</f>
        <v>48415</v>
      </c>
      <c r="H30" s="24">
        <f>X30</f>
        <v>51274</v>
      </c>
      <c r="I30" s="24">
        <f>AB30</f>
        <v>52785</v>
      </c>
      <c r="J30" s="24">
        <f>AF30</f>
        <v>60580</v>
      </c>
      <c r="K30" s="24">
        <f>AG30</f>
        <v>60787</v>
      </c>
      <c r="L30" s="60"/>
      <c r="M30" s="23">
        <v>43737</v>
      </c>
      <c r="N30" s="23">
        <v>44811</v>
      </c>
      <c r="O30" s="23">
        <v>44173</v>
      </c>
      <c r="P30" s="23">
        <v>43225</v>
      </c>
      <c r="Q30" s="23">
        <v>46754</v>
      </c>
      <c r="R30" s="23">
        <v>47868</v>
      </c>
      <c r="S30" s="23">
        <v>48715</v>
      </c>
      <c r="T30" s="23">
        <v>48415</v>
      </c>
      <c r="U30" s="23">
        <f>[20]BS!B23</f>
        <v>49909</v>
      </c>
      <c r="V30" s="23">
        <f>[21]BS!B23</f>
        <v>51051</v>
      </c>
      <c r="W30" s="23">
        <f>[22]BS!B23</f>
        <v>51108</v>
      </c>
      <c r="X30" s="23">
        <f>[5]BS!C23</f>
        <v>51274</v>
      </c>
      <c r="Y30" s="23">
        <f>[6]BS!B23</f>
        <v>52627</v>
      </c>
      <c r="Z30" s="23">
        <f>[7]BS!B23</f>
        <v>53336</v>
      </c>
      <c r="AA30" s="23">
        <f>[8]BS!B23</f>
        <v>52401</v>
      </c>
      <c r="AB30" s="23">
        <f>[9]BS!C24</f>
        <v>52785</v>
      </c>
      <c r="AC30" s="23">
        <f>[10]BS!B23</f>
        <v>53280</v>
      </c>
      <c r="AD30" s="23">
        <f>[11]BS!B23</f>
        <v>52622</v>
      </c>
      <c r="AE30" s="23">
        <f>[12]BS!B23</f>
        <v>52635</v>
      </c>
      <c r="AF30" s="23">
        <f>[14]BS!C24</f>
        <v>60580</v>
      </c>
      <c r="AG30" s="23">
        <f>[14]BS!B24</f>
        <v>60787</v>
      </c>
      <c r="AH30" s="60"/>
      <c r="AI30" s="60"/>
      <c r="AJ30" s="60"/>
      <c r="AK30" s="60"/>
      <c r="AL30" s="60"/>
    </row>
    <row r="31" spans="1:38" s="9" customFormat="1" x14ac:dyDescent="0.2">
      <c r="A31" s="22" t="s">
        <v>6</v>
      </c>
      <c r="B31" s="49"/>
      <c r="C31" s="20">
        <f t="shared" ref="C31:K31" si="17">SUM(C28,C21,C19,C11)-C30</f>
        <v>0</v>
      </c>
      <c r="D31" s="20">
        <f t="shared" si="17"/>
        <v>0</v>
      </c>
      <c r="E31" s="20">
        <f t="shared" si="17"/>
        <v>0</v>
      </c>
      <c r="F31" s="20">
        <f t="shared" si="17"/>
        <v>0</v>
      </c>
      <c r="G31" s="20">
        <f t="shared" si="17"/>
        <v>0</v>
      </c>
      <c r="H31" s="20">
        <f t="shared" si="17"/>
        <v>0</v>
      </c>
      <c r="I31" s="20">
        <f t="shared" si="17"/>
        <v>0</v>
      </c>
      <c r="J31" s="20">
        <f t="shared" si="17"/>
        <v>0</v>
      </c>
      <c r="K31" s="20">
        <f t="shared" si="17"/>
        <v>0</v>
      </c>
      <c r="L31" s="20"/>
      <c r="M31" s="20">
        <f t="shared" ref="M31:AG31" si="18">SUM(M28,M21,M19,M11)-M30</f>
        <v>0</v>
      </c>
      <c r="N31" s="20">
        <f t="shared" si="18"/>
        <v>0</v>
      </c>
      <c r="O31" s="20">
        <f t="shared" si="18"/>
        <v>0</v>
      </c>
      <c r="P31" s="20">
        <f t="shared" si="18"/>
        <v>0</v>
      </c>
      <c r="Q31" s="20">
        <f t="shared" si="18"/>
        <v>0</v>
      </c>
      <c r="R31" s="20">
        <f t="shared" si="18"/>
        <v>0</v>
      </c>
      <c r="S31" s="20">
        <f t="shared" si="18"/>
        <v>0</v>
      </c>
      <c r="T31" s="20">
        <f t="shared" si="18"/>
        <v>0</v>
      </c>
      <c r="U31" s="20">
        <f t="shared" si="18"/>
        <v>0</v>
      </c>
      <c r="V31" s="20">
        <f t="shared" si="18"/>
        <v>0</v>
      </c>
      <c r="W31" s="20">
        <f t="shared" si="18"/>
        <v>0</v>
      </c>
      <c r="X31" s="20">
        <f t="shared" si="18"/>
        <v>0</v>
      </c>
      <c r="Y31" s="20">
        <f t="shared" si="18"/>
        <v>0</v>
      </c>
      <c r="Z31" s="20">
        <f t="shared" si="18"/>
        <v>0</v>
      </c>
      <c r="AA31" s="20">
        <f t="shared" si="18"/>
        <v>0</v>
      </c>
      <c r="AB31" s="20">
        <f t="shared" si="18"/>
        <v>0</v>
      </c>
      <c r="AC31" s="20">
        <f t="shared" si="18"/>
        <v>0</v>
      </c>
      <c r="AD31" s="20">
        <f t="shared" si="18"/>
        <v>0</v>
      </c>
      <c r="AE31" s="20">
        <f t="shared" si="18"/>
        <v>0</v>
      </c>
      <c r="AF31" s="20">
        <f t="shared" si="18"/>
        <v>0</v>
      </c>
      <c r="AG31" s="20">
        <f t="shared" si="18"/>
        <v>0</v>
      </c>
      <c r="AH31" s="20"/>
      <c r="AI31" s="20"/>
      <c r="AJ31" s="20"/>
      <c r="AK31" s="20"/>
      <c r="AL31" s="20"/>
    </row>
    <row r="32" spans="1:38" x14ac:dyDescent="0.2">
      <c r="A32" s="12" t="s">
        <v>115</v>
      </c>
      <c r="B32" s="55"/>
      <c r="C32" s="5"/>
      <c r="D32" s="5"/>
      <c r="E32" s="5"/>
      <c r="F32" s="5"/>
      <c r="G32" s="5"/>
      <c r="H32" s="5"/>
      <c r="I32" s="5"/>
      <c r="J32" s="5"/>
      <c r="K32" s="5"/>
      <c r="L32" s="54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4"/>
      <c r="AI32" s="54"/>
      <c r="AJ32" s="54"/>
      <c r="AK32" s="54"/>
      <c r="AL32" s="54"/>
    </row>
    <row r="33" spans="1:38" s="9" customFormat="1" x14ac:dyDescent="0.2">
      <c r="A33" s="8" t="s">
        <v>114</v>
      </c>
      <c r="B33" s="49"/>
      <c r="C33" s="5">
        <f>[19]BS!C38</f>
        <v>1518</v>
      </c>
      <c r="D33" s="5">
        <f>[1]BS!C25</f>
        <v>1419</v>
      </c>
      <c r="E33" s="5">
        <f>[2]BS!C25</f>
        <v>1446</v>
      </c>
      <c r="F33" s="5">
        <f>[3]BS!C25</f>
        <v>1677</v>
      </c>
      <c r="G33" s="5">
        <f>[4]BS!C25</f>
        <v>2231</v>
      </c>
      <c r="H33" s="6">
        <f>X33</f>
        <v>1855</v>
      </c>
      <c r="I33" s="6">
        <f t="shared" ref="I33:I40" si="19">AB33</f>
        <v>2554</v>
      </c>
      <c r="J33" s="6">
        <f t="shared" ref="J33:K40" si="20">AF33</f>
        <v>3294</v>
      </c>
      <c r="K33" s="6">
        <f t="shared" si="20"/>
        <v>3370</v>
      </c>
      <c r="L33" s="59"/>
      <c r="M33" s="5">
        <v>1441</v>
      </c>
      <c r="N33" s="5">
        <v>1523</v>
      </c>
      <c r="O33" s="5">
        <v>1439</v>
      </c>
      <c r="P33" s="5">
        <v>1677</v>
      </c>
      <c r="Q33" s="5">
        <v>1284</v>
      </c>
      <c r="R33" s="5">
        <v>1642</v>
      </c>
      <c r="S33" s="5">
        <v>1712</v>
      </c>
      <c r="T33" s="5">
        <v>2231</v>
      </c>
      <c r="U33" s="5">
        <f>[20]BS!B25</f>
        <v>2610</v>
      </c>
      <c r="V33" s="5">
        <f>[21]BS!B25</f>
        <v>1715</v>
      </c>
      <c r="W33" s="5">
        <f>[22]BS!B25</f>
        <v>1798</v>
      </c>
      <c r="X33" s="5">
        <f>[5]BS!C25</f>
        <v>1855</v>
      </c>
      <c r="Y33" s="5">
        <f>[6]BS!B25</f>
        <v>1714</v>
      </c>
      <c r="Z33" s="5">
        <f>[7]BS!B25</f>
        <v>2334</v>
      </c>
      <c r="AA33" s="5">
        <f>[8]BS!B25</f>
        <v>2467</v>
      </c>
      <c r="AB33" s="5">
        <f>[9]BS!C26</f>
        <v>2554</v>
      </c>
      <c r="AC33" s="5">
        <f>[10]BS!B25</f>
        <v>2793</v>
      </c>
      <c r="AD33" s="5">
        <f>[11]BS!B25</f>
        <v>2213</v>
      </c>
      <c r="AE33" s="5">
        <f>[12]BS!B25</f>
        <v>2493</v>
      </c>
      <c r="AF33" s="5">
        <f>[14]BS!C26</f>
        <v>3294</v>
      </c>
      <c r="AG33" s="5">
        <f>[14]BS!B26</f>
        <v>3370</v>
      </c>
      <c r="AH33" s="59"/>
      <c r="AI33" s="59"/>
      <c r="AJ33" s="59"/>
      <c r="AK33" s="59"/>
      <c r="AL33" s="59"/>
    </row>
    <row r="34" spans="1:38" x14ac:dyDescent="0.2">
      <c r="A34" s="8" t="s">
        <v>113</v>
      </c>
      <c r="B34" s="52" t="s">
        <v>112</v>
      </c>
      <c r="C34" s="5">
        <f>[19]BS!C34</f>
        <v>1007</v>
      </c>
      <c r="D34" s="5">
        <f>[1]BS!C26</f>
        <v>975</v>
      </c>
      <c r="E34" s="5">
        <f>[2]BS!C26</f>
        <v>1368</v>
      </c>
      <c r="F34" s="5">
        <f>[3]BS!C26</f>
        <v>1377</v>
      </c>
      <c r="G34" s="5">
        <f>[4]BS!C26</f>
        <v>1563</v>
      </c>
      <c r="H34" s="6">
        <f>X34</f>
        <v>1592</v>
      </c>
      <c r="I34" s="6">
        <f t="shared" si="19"/>
        <v>1688</v>
      </c>
      <c r="J34" s="6">
        <f t="shared" si="20"/>
        <v>1773</v>
      </c>
      <c r="K34" s="6">
        <f t="shared" si="20"/>
        <v>2139</v>
      </c>
      <c r="L34" s="54"/>
      <c r="M34" s="5">
        <v>1646</v>
      </c>
      <c r="N34" s="5">
        <v>1653</v>
      </c>
      <c r="O34" s="5">
        <v>1498</v>
      </c>
      <c r="P34" s="5">
        <v>1377</v>
      </c>
      <c r="Q34" s="5">
        <v>1587</v>
      </c>
      <c r="R34" s="5">
        <v>1683</v>
      </c>
      <c r="S34" s="5">
        <v>1525</v>
      </c>
      <c r="T34" s="5">
        <v>1563</v>
      </c>
      <c r="U34" s="5">
        <f>[20]BS!B26</f>
        <v>1913</v>
      </c>
      <c r="V34" s="5">
        <f>[21]BS!B26</f>
        <v>1944</v>
      </c>
      <c r="W34" s="5">
        <f>[22]BS!B26</f>
        <v>1673</v>
      </c>
      <c r="X34" s="5">
        <f>[5]BS!C26</f>
        <v>1592</v>
      </c>
      <c r="Y34" s="5">
        <f>[6]BS!B26</f>
        <v>1882</v>
      </c>
      <c r="Z34" s="5">
        <f>[7]BS!B26</f>
        <v>1924</v>
      </c>
      <c r="AA34" s="5">
        <f>[8]BS!B26</f>
        <v>1638</v>
      </c>
      <c r="AB34" s="5">
        <f>[9]BS!C27</f>
        <v>1688</v>
      </c>
      <c r="AC34" s="5">
        <f>[10]BS!B26</f>
        <v>1953</v>
      </c>
      <c r="AD34" s="5">
        <f>[11]BS!B26</f>
        <v>2053</v>
      </c>
      <c r="AE34" s="5">
        <f>[12]BS!B26</f>
        <v>1886</v>
      </c>
      <c r="AF34" s="5">
        <f>[14]BS!C27</f>
        <v>1773</v>
      </c>
      <c r="AG34" s="5">
        <f>[14]BS!B27</f>
        <v>2139</v>
      </c>
      <c r="AH34" s="54"/>
      <c r="AI34" s="54"/>
      <c r="AJ34" s="54"/>
      <c r="AK34" s="54"/>
      <c r="AL34" s="54"/>
    </row>
    <row r="35" spans="1:38" x14ac:dyDescent="0.2">
      <c r="A35" s="8" t="s">
        <v>111</v>
      </c>
      <c r="B35" s="55"/>
      <c r="C35" s="5">
        <f>[19]BS!C35</f>
        <v>524</v>
      </c>
      <c r="D35" s="5">
        <f>[1]BS!C27</f>
        <v>666</v>
      </c>
      <c r="E35" s="5">
        <f>[2]BS!C27</f>
        <v>1143</v>
      </c>
      <c r="F35" s="5">
        <f>[3]BS!C27</f>
        <v>1194</v>
      </c>
      <c r="G35" s="5">
        <f>[4]BS!C27</f>
        <v>1205</v>
      </c>
      <c r="H35" s="6">
        <f>X35</f>
        <v>1516</v>
      </c>
      <c r="I35" s="6">
        <f t="shared" si="19"/>
        <v>1672</v>
      </c>
      <c r="J35" s="6">
        <f t="shared" si="20"/>
        <v>1427</v>
      </c>
      <c r="K35" s="6">
        <f t="shared" si="20"/>
        <v>1217</v>
      </c>
      <c r="L35" s="54"/>
      <c r="M35" s="5">
        <v>908</v>
      </c>
      <c r="N35" s="5">
        <v>961</v>
      </c>
      <c r="O35" s="5">
        <v>1054</v>
      </c>
      <c r="P35" s="5">
        <v>1194</v>
      </c>
      <c r="Q35" s="5">
        <v>1009</v>
      </c>
      <c r="R35" s="5">
        <v>1040</v>
      </c>
      <c r="S35" s="5">
        <v>1162</v>
      </c>
      <c r="T35" s="5">
        <v>1205</v>
      </c>
      <c r="U35" s="5">
        <f>[20]BS!B27</f>
        <v>1183</v>
      </c>
      <c r="V35" s="5">
        <f>[21]BS!B27</f>
        <v>1327</v>
      </c>
      <c r="W35" s="5">
        <f>[22]BS!B27</f>
        <v>1365</v>
      </c>
      <c r="X35" s="5">
        <f>[5]BS!C27</f>
        <v>1516</v>
      </c>
      <c r="Y35" s="5">
        <f>[6]BS!B27</f>
        <v>1064</v>
      </c>
      <c r="Z35" s="5">
        <f>[7]BS!B27</f>
        <v>1295</v>
      </c>
      <c r="AA35" s="5">
        <f>[8]BS!B27</f>
        <v>1413</v>
      </c>
      <c r="AB35" s="5">
        <f>[9]BS!C28</f>
        <v>1672</v>
      </c>
      <c r="AC35" s="5">
        <f>[10]BS!B27</f>
        <v>1178</v>
      </c>
      <c r="AD35" s="5">
        <f>[11]BS!B27</f>
        <v>1299</v>
      </c>
      <c r="AE35" s="5">
        <f>[12]BS!B27</f>
        <v>1386</v>
      </c>
      <c r="AF35" s="5">
        <f>[14]BS!C28</f>
        <v>1427</v>
      </c>
      <c r="AG35" s="5">
        <f>[14]BS!B28</f>
        <v>1217</v>
      </c>
      <c r="AH35" s="54"/>
      <c r="AI35" s="54"/>
      <c r="AJ35" s="54"/>
      <c r="AK35" s="54"/>
      <c r="AL35" s="54"/>
    </row>
    <row r="36" spans="1:38" x14ac:dyDescent="0.2">
      <c r="A36" s="8" t="s">
        <v>110</v>
      </c>
      <c r="B36" s="55"/>
      <c r="C36" s="5">
        <f>[19]BS!C37</f>
        <v>4223</v>
      </c>
      <c r="D36" s="5">
        <f>[1]BS!C28</f>
        <v>2813</v>
      </c>
      <c r="E36" s="5">
        <f>[2]BS!C28</f>
        <v>4380</v>
      </c>
      <c r="F36" s="5">
        <f>[3]BS!C28</f>
        <v>4252</v>
      </c>
      <c r="G36" s="5">
        <f>[4]BS!C28</f>
        <v>3747</v>
      </c>
      <c r="H36" s="6">
        <f>X36</f>
        <v>3912</v>
      </c>
      <c r="I36" s="6">
        <f t="shared" si="19"/>
        <v>4042</v>
      </c>
      <c r="J36" s="6">
        <f t="shared" si="20"/>
        <v>4339</v>
      </c>
      <c r="K36" s="6">
        <f t="shared" si="20"/>
        <v>5930</v>
      </c>
      <c r="L36" s="54"/>
      <c r="M36" s="5">
        <v>5686</v>
      </c>
      <c r="N36" s="5">
        <v>5683</v>
      </c>
      <c r="O36" s="5">
        <v>4952</v>
      </c>
      <c r="P36" s="5">
        <v>4252</v>
      </c>
      <c r="Q36" s="5">
        <v>5415</v>
      </c>
      <c r="R36" s="5">
        <v>5664</v>
      </c>
      <c r="S36" s="5">
        <v>4811</v>
      </c>
      <c r="T36" s="5">
        <v>3747</v>
      </c>
      <c r="U36" s="5">
        <f>[20]BS!B28</f>
        <v>4692</v>
      </c>
      <c r="V36" s="5">
        <f>[21]BS!B28</f>
        <v>4984</v>
      </c>
      <c r="W36" s="5">
        <f>[22]BS!B28</f>
        <v>4513</v>
      </c>
      <c r="X36" s="5">
        <f>[5]BS!C28</f>
        <v>3912</v>
      </c>
      <c r="Y36" s="5">
        <f>[6]BS!B28</f>
        <v>5298</v>
      </c>
      <c r="Z36" s="5">
        <f>[7]BS!B28</f>
        <v>5222</v>
      </c>
      <c r="AA36" s="5">
        <f>[8]BS!B28</f>
        <v>4653</v>
      </c>
      <c r="AB36" s="5">
        <f>[13]Sheet1!C674</f>
        <v>4042</v>
      </c>
      <c r="AC36" s="5">
        <f>[10]BS!B28</f>
        <v>5549</v>
      </c>
      <c r="AD36" s="5">
        <f>[11]BS!B28</f>
        <v>5512</v>
      </c>
      <c r="AE36" s="5">
        <f>[12]BS!B46</f>
        <v>5040</v>
      </c>
      <c r="AF36" s="5">
        <f>[18]Sheet1!D483</f>
        <v>4339</v>
      </c>
      <c r="AG36" s="5">
        <f>[18]Sheet1!B483</f>
        <v>5930</v>
      </c>
      <c r="AH36" s="54"/>
      <c r="AI36" s="54"/>
      <c r="AJ36" s="54"/>
      <c r="AK36" s="54"/>
      <c r="AL36" s="54"/>
    </row>
    <row r="37" spans="1:38" x14ac:dyDescent="0.2">
      <c r="A37" s="8" t="s">
        <v>102</v>
      </c>
      <c r="B37" s="55"/>
      <c r="C37" s="5"/>
      <c r="D37" s="5">
        <f>[1]BS!C29</f>
        <v>1711</v>
      </c>
      <c r="E37" s="5">
        <f>[2]BS!C29</f>
        <v>3005</v>
      </c>
      <c r="F37" s="5">
        <f>[3]BS!C29</f>
        <v>2807</v>
      </c>
      <c r="G37" s="5">
        <f>[4]BS!C29</f>
        <v>2525</v>
      </c>
      <c r="H37" s="6">
        <f>X37</f>
        <v>2789</v>
      </c>
      <c r="I37" s="6">
        <f t="shared" si="19"/>
        <v>3121</v>
      </c>
      <c r="J37" s="6">
        <f t="shared" si="20"/>
        <v>3267</v>
      </c>
      <c r="K37" s="6">
        <f t="shared" si="20"/>
        <v>3354</v>
      </c>
      <c r="L37" s="54"/>
      <c r="M37" s="5">
        <v>2951</v>
      </c>
      <c r="N37" s="5">
        <v>2879</v>
      </c>
      <c r="O37" s="5">
        <v>2871</v>
      </c>
      <c r="P37" s="5">
        <v>2807</v>
      </c>
      <c r="Q37" s="5">
        <v>2776</v>
      </c>
      <c r="R37" s="5">
        <v>2745</v>
      </c>
      <c r="S37" s="5">
        <v>2649</v>
      </c>
      <c r="T37" s="5">
        <v>2525</v>
      </c>
      <c r="U37" s="5">
        <f>[20]BS!B29</f>
        <v>2535</v>
      </c>
      <c r="V37" s="5">
        <f>[21]BS!B29</f>
        <v>2511</v>
      </c>
      <c r="W37" s="5">
        <f>[22]BS!B29</f>
        <v>2950</v>
      </c>
      <c r="X37" s="5">
        <f>[5]BS!C29</f>
        <v>2789</v>
      </c>
      <c r="Y37" s="5">
        <f>[6]BS!B29</f>
        <v>3056</v>
      </c>
      <c r="Z37" s="5">
        <f>[7]BS!B29</f>
        <v>3014</v>
      </c>
      <c r="AA37" s="5">
        <f>[8]BS!B29</f>
        <v>2893</v>
      </c>
      <c r="AB37" s="5">
        <f>[13]Sheet1!C675</f>
        <v>3121</v>
      </c>
      <c r="AC37" s="5">
        <f>[10]BS!B29</f>
        <v>3176</v>
      </c>
      <c r="AD37" s="5">
        <f>[11]BS!B29</f>
        <v>3191</v>
      </c>
      <c r="AE37" s="5">
        <f>[12]BS!B49</f>
        <v>3242</v>
      </c>
      <c r="AF37" s="5">
        <f>[18]Sheet1!D484</f>
        <v>3267</v>
      </c>
      <c r="AG37" s="5">
        <f>[18]Sheet1!B484</f>
        <v>3354</v>
      </c>
      <c r="AH37" s="54"/>
      <c r="AI37" s="54"/>
      <c r="AJ37" s="54"/>
      <c r="AK37" s="54"/>
      <c r="AL37" s="54"/>
    </row>
    <row r="38" spans="1:38" x14ac:dyDescent="0.2">
      <c r="A38" s="8" t="s">
        <v>101</v>
      </c>
      <c r="B38" s="55"/>
      <c r="C38" s="5"/>
      <c r="D38" s="5"/>
      <c r="E38" s="5"/>
      <c r="F38" s="5"/>
      <c r="G38" s="5"/>
      <c r="H38" s="6"/>
      <c r="I38" s="6">
        <f t="shared" si="19"/>
        <v>0</v>
      </c>
      <c r="J38" s="6">
        <f t="shared" si="20"/>
        <v>1654</v>
      </c>
      <c r="K38" s="6">
        <f t="shared" si="20"/>
        <v>1629</v>
      </c>
      <c r="L38" s="54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>
        <f>[9]BS!C29</f>
        <v>0</v>
      </c>
      <c r="AC38" s="5"/>
      <c r="AD38" s="5"/>
      <c r="AE38" s="5"/>
      <c r="AF38" s="5">
        <f>[14]BS!C29</f>
        <v>1654</v>
      </c>
      <c r="AG38" s="5">
        <f>[14]BS!B29</f>
        <v>1629</v>
      </c>
      <c r="AH38" s="54"/>
      <c r="AI38" s="54"/>
      <c r="AJ38" s="54"/>
      <c r="AK38" s="54"/>
      <c r="AL38" s="54"/>
    </row>
    <row r="39" spans="1:38" s="32" customFormat="1" x14ac:dyDescent="0.2">
      <c r="A39" s="30" t="s">
        <v>109</v>
      </c>
      <c r="B39" s="58"/>
      <c r="C39" s="27">
        <f>[19]BS!C36</f>
        <v>1358</v>
      </c>
      <c r="D39" s="27">
        <f>[1]BS!C30</f>
        <v>1427</v>
      </c>
      <c r="E39" s="27">
        <f>[2]BS!C30</f>
        <v>2464</v>
      </c>
      <c r="F39" s="27">
        <f>[3]BS!C30</f>
        <v>2097</v>
      </c>
      <c r="G39" s="27">
        <f>[4]BS!C30</f>
        <v>2334</v>
      </c>
      <c r="H39" s="28">
        <f>X39</f>
        <v>2208</v>
      </c>
      <c r="I39" s="28">
        <f t="shared" si="19"/>
        <v>2281</v>
      </c>
      <c r="J39" s="28">
        <f t="shared" si="20"/>
        <v>2342</v>
      </c>
      <c r="K39" s="28">
        <f t="shared" si="20"/>
        <v>2210</v>
      </c>
      <c r="L39" s="53"/>
      <c r="M39" s="27">
        <v>2447</v>
      </c>
      <c r="N39" s="27">
        <v>2389</v>
      </c>
      <c r="O39" s="27">
        <v>2074</v>
      </c>
      <c r="P39" s="27">
        <v>2097</v>
      </c>
      <c r="Q39" s="27">
        <v>2162</v>
      </c>
      <c r="R39" s="27">
        <v>2271</v>
      </c>
      <c r="S39" s="27">
        <v>2302</v>
      </c>
      <c r="T39" s="27">
        <v>2334</v>
      </c>
      <c r="U39" s="27">
        <f>[20]BS!B30</f>
        <v>2344</v>
      </c>
      <c r="V39" s="27">
        <f>[21]BS!B30</f>
        <v>2436</v>
      </c>
      <c r="W39" s="27">
        <f>[22]BS!B30</f>
        <v>2234</v>
      </c>
      <c r="X39" s="27">
        <f>[5]BS!C30</f>
        <v>2208</v>
      </c>
      <c r="Y39" s="27">
        <f>[6]BS!B30</f>
        <v>2272</v>
      </c>
      <c r="Z39" s="27">
        <f>[7]BS!B30</f>
        <v>2323</v>
      </c>
      <c r="AA39" s="27">
        <f>[8]BS!B30</f>
        <v>2243</v>
      </c>
      <c r="AB39" s="27">
        <f>[9]BS!C30</f>
        <v>2281</v>
      </c>
      <c r="AC39" s="27">
        <f>[10]BS!B30</f>
        <v>2359</v>
      </c>
      <c r="AD39" s="27">
        <f>[11]BS!B30</f>
        <v>2401</v>
      </c>
      <c r="AE39" s="27">
        <f>[12]BS!B28</f>
        <v>2301</v>
      </c>
      <c r="AF39" s="27">
        <f>[14]BS!C30</f>
        <v>2342</v>
      </c>
      <c r="AG39" s="27">
        <f>[14]BS!B30</f>
        <v>2210</v>
      </c>
      <c r="AH39" s="53"/>
      <c r="AI39" s="53"/>
      <c r="AJ39" s="53"/>
      <c r="AK39" s="53"/>
      <c r="AL39" s="53"/>
    </row>
    <row r="40" spans="1:38" s="11" customFormat="1" x14ac:dyDescent="0.2">
      <c r="A40" s="12" t="s">
        <v>108</v>
      </c>
      <c r="B40" s="52" t="s">
        <v>107</v>
      </c>
      <c r="C40" s="23">
        <f>[19]BS!C40</f>
        <v>8630</v>
      </c>
      <c r="D40" s="23">
        <f>[1]BS!C31</f>
        <v>9011</v>
      </c>
      <c r="E40" s="23">
        <f>[2]BS!C31</f>
        <v>13806</v>
      </c>
      <c r="F40" s="23">
        <f>[3]BS!C31</f>
        <v>13404</v>
      </c>
      <c r="G40" s="23">
        <f>[4]BS!C31</f>
        <v>13605</v>
      </c>
      <c r="H40" s="24">
        <f>X40</f>
        <v>13872</v>
      </c>
      <c r="I40" s="24">
        <f t="shared" si="19"/>
        <v>15358</v>
      </c>
      <c r="J40" s="24">
        <f t="shared" si="20"/>
        <v>18096</v>
      </c>
      <c r="K40" s="24">
        <f t="shared" si="20"/>
        <v>19849</v>
      </c>
      <c r="L40" s="37"/>
      <c r="M40" s="23">
        <v>15079</v>
      </c>
      <c r="N40" s="23">
        <v>15088</v>
      </c>
      <c r="O40" s="23">
        <v>13888</v>
      </c>
      <c r="P40" s="23">
        <v>13404</v>
      </c>
      <c r="Q40" s="23">
        <v>14233</v>
      </c>
      <c r="R40" s="23">
        <v>15045</v>
      </c>
      <c r="S40" s="23">
        <v>14161</v>
      </c>
      <c r="T40" s="23">
        <v>13605</v>
      </c>
      <c r="U40" s="23">
        <f>[20]BS!B31</f>
        <v>15277</v>
      </c>
      <c r="V40" s="23">
        <f>[21]BS!B31</f>
        <v>14917</v>
      </c>
      <c r="W40" s="23">
        <f>[22]BS!B31</f>
        <v>14533</v>
      </c>
      <c r="X40" s="23">
        <f>[5]BS!C31</f>
        <v>13872</v>
      </c>
      <c r="Y40" s="23">
        <f>[6]BS!B31</f>
        <v>15286</v>
      </c>
      <c r="Z40" s="23">
        <f>[7]BS!B31</f>
        <v>16112</v>
      </c>
      <c r="AA40" s="23">
        <f>[8]BS!B31</f>
        <v>15307</v>
      </c>
      <c r="AB40" s="23">
        <f>[9]BS!C31</f>
        <v>15358</v>
      </c>
      <c r="AC40" s="23">
        <f>[10]BS!B31</f>
        <v>17008</v>
      </c>
      <c r="AD40" s="23">
        <f>[11]BS!B31</f>
        <v>16669</v>
      </c>
      <c r="AE40" s="23">
        <f>[12]BS!B29</f>
        <v>16348</v>
      </c>
      <c r="AF40" s="23">
        <f>[14]BS!C31</f>
        <v>18096</v>
      </c>
      <c r="AG40" s="23">
        <f>[14]BS!B31</f>
        <v>19849</v>
      </c>
      <c r="AH40" s="37"/>
      <c r="AI40" s="37"/>
      <c r="AJ40" s="37"/>
      <c r="AK40" s="37"/>
      <c r="AL40" s="37"/>
    </row>
    <row r="41" spans="1:38" s="9" customFormat="1" x14ac:dyDescent="0.2">
      <c r="A41" s="22" t="s">
        <v>6</v>
      </c>
      <c r="B41" s="49"/>
      <c r="C41" s="20">
        <f t="shared" ref="C41:K41" si="21">SUM(C33:C39)-C40</f>
        <v>0</v>
      </c>
      <c r="D41" s="20">
        <f t="shared" si="21"/>
        <v>0</v>
      </c>
      <c r="E41" s="20">
        <f t="shared" si="21"/>
        <v>0</v>
      </c>
      <c r="F41" s="20">
        <f t="shared" si="21"/>
        <v>0</v>
      </c>
      <c r="G41" s="20">
        <f t="shared" si="21"/>
        <v>0</v>
      </c>
      <c r="H41" s="20">
        <f t="shared" si="21"/>
        <v>0</v>
      </c>
      <c r="I41" s="20">
        <f t="shared" si="21"/>
        <v>0</v>
      </c>
      <c r="J41" s="20">
        <f t="shared" si="21"/>
        <v>0</v>
      </c>
      <c r="K41" s="20">
        <f t="shared" si="21"/>
        <v>0</v>
      </c>
      <c r="L41" s="20"/>
      <c r="M41" s="20">
        <f t="shared" ref="M41:AG41" si="22">SUM(M33:M39)-M40</f>
        <v>0</v>
      </c>
      <c r="N41" s="20">
        <f t="shared" si="22"/>
        <v>0</v>
      </c>
      <c r="O41" s="20">
        <f t="shared" si="22"/>
        <v>0</v>
      </c>
      <c r="P41" s="20">
        <f t="shared" si="22"/>
        <v>0</v>
      </c>
      <c r="Q41" s="20">
        <f t="shared" si="22"/>
        <v>0</v>
      </c>
      <c r="R41" s="20">
        <f t="shared" si="22"/>
        <v>0</v>
      </c>
      <c r="S41" s="20">
        <f t="shared" si="22"/>
        <v>0</v>
      </c>
      <c r="T41" s="20">
        <f t="shared" si="22"/>
        <v>0</v>
      </c>
      <c r="U41" s="20">
        <f t="shared" si="22"/>
        <v>0</v>
      </c>
      <c r="V41" s="20">
        <f t="shared" si="22"/>
        <v>0</v>
      </c>
      <c r="W41" s="20">
        <f t="shared" si="22"/>
        <v>0</v>
      </c>
      <c r="X41" s="20">
        <f t="shared" si="22"/>
        <v>0</v>
      </c>
      <c r="Y41" s="20">
        <f t="shared" si="22"/>
        <v>0</v>
      </c>
      <c r="Z41" s="20">
        <f t="shared" si="22"/>
        <v>0</v>
      </c>
      <c r="AA41" s="20">
        <f t="shared" si="22"/>
        <v>0</v>
      </c>
      <c r="AB41" s="20">
        <f t="shared" si="22"/>
        <v>0</v>
      </c>
      <c r="AC41" s="20">
        <f t="shared" si="22"/>
        <v>0</v>
      </c>
      <c r="AD41" s="20">
        <f t="shared" si="22"/>
        <v>0</v>
      </c>
      <c r="AE41" s="20">
        <f t="shared" si="22"/>
        <v>0</v>
      </c>
      <c r="AF41" s="20">
        <f t="shared" si="22"/>
        <v>0</v>
      </c>
      <c r="AG41" s="20">
        <f t="shared" si="22"/>
        <v>0</v>
      </c>
      <c r="AH41" s="20"/>
      <c r="AI41" s="20"/>
      <c r="AJ41" s="20"/>
      <c r="AK41" s="20"/>
      <c r="AL41" s="20"/>
    </row>
    <row r="42" spans="1:38" s="32" customFormat="1" x14ac:dyDescent="0.2">
      <c r="A42" s="12" t="s">
        <v>106</v>
      </c>
      <c r="B42" s="58"/>
      <c r="C42" s="5"/>
      <c r="D42" s="5"/>
      <c r="E42" s="5"/>
      <c r="F42" s="5"/>
      <c r="G42" s="5"/>
      <c r="H42" s="5"/>
      <c r="I42" s="5"/>
      <c r="J42" s="5"/>
      <c r="K42" s="5"/>
      <c r="L42" s="53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3"/>
      <c r="AI42" s="53"/>
      <c r="AJ42" s="53"/>
      <c r="AK42" s="53"/>
      <c r="AL42" s="53"/>
    </row>
    <row r="43" spans="1:38" s="11" customFormat="1" x14ac:dyDescent="0.2">
      <c r="A43" s="8" t="s">
        <v>105</v>
      </c>
      <c r="B43" s="55"/>
      <c r="C43" s="5">
        <f>[19]BS!C41</f>
        <v>6702</v>
      </c>
      <c r="D43" s="5">
        <f>[1]BS!C33</f>
        <v>7116</v>
      </c>
      <c r="E43" s="5">
        <f>[2]BS!C33</f>
        <v>15353</v>
      </c>
      <c r="F43" s="5">
        <f>[3]BS!C33</f>
        <v>16043</v>
      </c>
      <c r="G43" s="5">
        <f>[4]BS!C33</f>
        <v>18330</v>
      </c>
      <c r="H43" s="6">
        <f>X43</f>
        <v>22489</v>
      </c>
      <c r="I43" s="6">
        <f>AB43</f>
        <v>22511</v>
      </c>
      <c r="J43" s="6">
        <f>AF43</f>
        <v>21179</v>
      </c>
      <c r="K43" s="6">
        <f>AG43</f>
        <v>20660</v>
      </c>
      <c r="L43" s="37"/>
      <c r="M43" s="5">
        <v>15244</v>
      </c>
      <c r="N43" s="5">
        <v>15205</v>
      </c>
      <c r="O43" s="5">
        <v>15651</v>
      </c>
      <c r="P43" s="5">
        <v>16043</v>
      </c>
      <c r="Q43" s="5">
        <v>17638</v>
      </c>
      <c r="R43" s="5">
        <v>17152</v>
      </c>
      <c r="S43" s="5">
        <v>18849</v>
      </c>
      <c r="T43" s="5">
        <v>18330</v>
      </c>
      <c r="U43" s="5">
        <f>[20]BS!B33</f>
        <v>19134</v>
      </c>
      <c r="V43" s="5">
        <f>[21]BS!B33</f>
        <v>21131</v>
      </c>
      <c r="W43" s="5">
        <f>[22]BS!B33</f>
        <v>21545</v>
      </c>
      <c r="X43" s="5">
        <f>[5]BS!C33</f>
        <v>22489</v>
      </c>
      <c r="Y43" s="5">
        <f>[6]BS!B33</f>
        <v>22829</v>
      </c>
      <c r="Z43" s="5">
        <f>[7]BS!B33</f>
        <v>22525</v>
      </c>
      <c r="AA43" s="5">
        <f>[8]BS!B33</f>
        <v>22217</v>
      </c>
      <c r="AB43" s="5">
        <f>[9]BS!C33</f>
        <v>22511</v>
      </c>
      <c r="AC43" s="5">
        <f>[10]BS!B33</f>
        <v>21946</v>
      </c>
      <c r="AD43" s="5">
        <f>[11]BS!B33</f>
        <v>21863</v>
      </c>
      <c r="AE43" s="5">
        <f>[12]BS!B31</f>
        <v>22274</v>
      </c>
      <c r="AF43" s="5">
        <f>[14]BS!C33</f>
        <v>21179</v>
      </c>
      <c r="AG43" s="5">
        <f>[14]BS!B33</f>
        <v>20660</v>
      </c>
      <c r="AH43" s="37"/>
      <c r="AI43" s="37"/>
      <c r="AJ43" s="37"/>
      <c r="AK43" s="37"/>
      <c r="AL43" s="37"/>
    </row>
    <row r="44" spans="1:38" s="9" customFormat="1" x14ac:dyDescent="0.2">
      <c r="A44" s="8" t="s">
        <v>104</v>
      </c>
      <c r="B44" s="49"/>
      <c r="C44" s="5">
        <f>[19]BS!C45</f>
        <v>9204</v>
      </c>
      <c r="D44" s="5">
        <f>[1]BS!C34</f>
        <v>6780</v>
      </c>
      <c r="E44" s="5">
        <f>[2]BS!C34</f>
        <v>5828</v>
      </c>
      <c r="F44" s="5">
        <f>[3]BS!C34</f>
        <v>7562</v>
      </c>
      <c r="G44" s="5">
        <f>[4]BS!C34</f>
        <v>7450</v>
      </c>
      <c r="H44" s="6">
        <f>X44</f>
        <v>7842</v>
      </c>
      <c r="I44" s="6">
        <f>AB44</f>
        <v>7497</v>
      </c>
      <c r="J44" s="6">
        <f>AF44</f>
        <v>6907</v>
      </c>
      <c r="K44" s="6">
        <f>AG44</f>
        <v>6519</v>
      </c>
      <c r="L44" s="59"/>
      <c r="M44" s="5">
        <v>5766</v>
      </c>
      <c r="N44" s="5">
        <v>5704</v>
      </c>
      <c r="O44" s="5">
        <v>4964</v>
      </c>
      <c r="P44" s="5">
        <v>7562</v>
      </c>
      <c r="Q44" s="5">
        <v>7517</v>
      </c>
      <c r="R44" s="5">
        <v>7477</v>
      </c>
      <c r="S44" s="5">
        <v>7433</v>
      </c>
      <c r="T44" s="5">
        <v>7450</v>
      </c>
      <c r="U44" s="5">
        <f>[20]BS!B34</f>
        <v>7440</v>
      </c>
      <c r="V44" s="5">
        <f>[21]BS!B34</f>
        <v>7426</v>
      </c>
      <c r="W44" s="5">
        <f>[22]BS!B34</f>
        <v>7387</v>
      </c>
      <c r="X44" s="5">
        <f>[5]BS!C34</f>
        <v>7842</v>
      </c>
      <c r="Y44" s="5">
        <f>[6]BS!B34</f>
        <v>7808</v>
      </c>
      <c r="Z44" s="5">
        <f>[7]BS!B34</f>
        <v>7500</v>
      </c>
      <c r="AA44" s="5">
        <f>[8]BS!B34</f>
        <v>7467</v>
      </c>
      <c r="AB44" s="5">
        <f>[9]BS!C34</f>
        <v>7497</v>
      </c>
      <c r="AC44" s="5">
        <f>[10]BS!B34</f>
        <v>7259</v>
      </c>
      <c r="AD44" s="5">
        <f>[11]BS!B34</f>
        <v>7118</v>
      </c>
      <c r="AE44" s="5">
        <f>[12]BS!B32</f>
        <v>6898</v>
      </c>
      <c r="AF44" s="5">
        <f>[14]BS!C34</f>
        <v>6907</v>
      </c>
      <c r="AG44" s="5">
        <f>[14]BS!B34</f>
        <v>6519</v>
      </c>
      <c r="AH44" s="59"/>
      <c r="AI44" s="59"/>
      <c r="AJ44" s="59"/>
      <c r="AK44" s="59"/>
      <c r="AL44" s="59"/>
    </row>
    <row r="45" spans="1:38" s="9" customFormat="1" x14ac:dyDescent="0.2">
      <c r="A45" s="8" t="s">
        <v>103</v>
      </c>
      <c r="B45" s="49"/>
      <c r="C45" s="5">
        <f>[19]BS!C44</f>
        <v>110</v>
      </c>
      <c r="D45" s="5">
        <f>[1]BS!C35</f>
        <v>223</v>
      </c>
      <c r="E45" s="5">
        <f>[2]BS!C35</f>
        <v>935</v>
      </c>
      <c r="F45" s="5">
        <f>[3]BS!C35</f>
        <v>829</v>
      </c>
      <c r="G45" s="5">
        <f>[4]BS!C35</f>
        <v>667</v>
      </c>
      <c r="H45" s="6"/>
      <c r="I45" s="6"/>
      <c r="J45" s="6"/>
      <c r="K45" s="6"/>
      <c r="L45" s="59"/>
      <c r="M45" s="5">
        <v>990</v>
      </c>
      <c r="N45" s="5">
        <v>905</v>
      </c>
      <c r="O45" s="5">
        <v>871</v>
      </c>
      <c r="P45" s="5">
        <v>829</v>
      </c>
      <c r="Q45" s="5">
        <v>788</v>
      </c>
      <c r="R45" s="5">
        <v>746</v>
      </c>
      <c r="S45" s="5">
        <v>709</v>
      </c>
      <c r="T45" s="5">
        <v>667</v>
      </c>
      <c r="U45" s="5">
        <f>[20]BS!B35</f>
        <v>625</v>
      </c>
      <c r="V45" s="5">
        <f>[21]BS!B35</f>
        <v>590</v>
      </c>
      <c r="W45" s="5">
        <f>[22]BS!B35</f>
        <v>554</v>
      </c>
      <c r="X45" s="5"/>
      <c r="Y45" s="5">
        <f>[6]BS!B35</f>
        <v>494</v>
      </c>
      <c r="Z45" s="5"/>
      <c r="AA45" s="5"/>
      <c r="AB45" s="5"/>
      <c r="AC45" s="5"/>
      <c r="AD45" s="5"/>
      <c r="AE45" s="5"/>
      <c r="AF45" s="5"/>
      <c r="AG45" s="5"/>
      <c r="AH45" s="59"/>
      <c r="AI45" s="59"/>
      <c r="AJ45" s="59"/>
      <c r="AK45" s="59"/>
      <c r="AL45" s="59"/>
    </row>
    <row r="46" spans="1:38" x14ac:dyDescent="0.2">
      <c r="A46" s="8" t="s">
        <v>102</v>
      </c>
      <c r="B46" s="55"/>
      <c r="C46" s="5"/>
      <c r="D46" s="5"/>
      <c r="E46" s="5"/>
      <c r="F46" s="5"/>
      <c r="G46" s="5"/>
      <c r="H46" s="6"/>
      <c r="I46" s="6">
        <f>AB46</f>
        <v>5701</v>
      </c>
      <c r="J46" s="6">
        <f>AF46</f>
        <v>5272</v>
      </c>
      <c r="K46" s="6">
        <f>AG46</f>
        <v>5214</v>
      </c>
      <c r="L46" s="54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>
        <f>[9]BS!C35</f>
        <v>5701</v>
      </c>
      <c r="AC46" s="5">
        <f>[10]BS!B35</f>
        <v>5610</v>
      </c>
      <c r="AD46" s="5">
        <f>[11]BS!B35</f>
        <v>5484</v>
      </c>
      <c r="AE46" s="5">
        <f>[12]BS!B33</f>
        <v>5317</v>
      </c>
      <c r="AF46" s="5">
        <f>[14]BS!C35</f>
        <v>5272</v>
      </c>
      <c r="AG46" s="5">
        <f>[14]BS!B35</f>
        <v>5214</v>
      </c>
      <c r="AH46" s="54"/>
      <c r="AI46" s="54"/>
      <c r="AJ46" s="54"/>
      <c r="AK46" s="54"/>
      <c r="AL46" s="54"/>
    </row>
    <row r="47" spans="1:38" x14ac:dyDescent="0.2">
      <c r="A47" s="8" t="s">
        <v>101</v>
      </c>
      <c r="B47" s="55"/>
      <c r="C47" s="5"/>
      <c r="D47" s="5"/>
      <c r="E47" s="5"/>
      <c r="F47" s="5"/>
      <c r="G47" s="5"/>
      <c r="H47" s="6"/>
      <c r="I47" s="6">
        <f>AB47</f>
        <v>0</v>
      </c>
      <c r="J47" s="6">
        <f>AF47</f>
        <v>7902</v>
      </c>
      <c r="K47" s="6">
        <f>AG47</f>
        <v>7785</v>
      </c>
      <c r="L47" s="54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>
        <f>[9]BS!C36</f>
        <v>0</v>
      </c>
      <c r="AC47" s="5"/>
      <c r="AD47" s="5"/>
      <c r="AE47" s="5"/>
      <c r="AF47" s="5">
        <f>[14]BS!C36</f>
        <v>7902</v>
      </c>
      <c r="AG47" s="5">
        <f>[14]BS!B36</f>
        <v>7785</v>
      </c>
      <c r="AH47" s="54"/>
      <c r="AI47" s="54"/>
      <c r="AJ47" s="54"/>
      <c r="AK47" s="54"/>
      <c r="AL47" s="54"/>
    </row>
    <row r="48" spans="1:38" x14ac:dyDescent="0.2">
      <c r="A48" s="8" t="s">
        <v>100</v>
      </c>
      <c r="B48" s="55"/>
      <c r="C48" s="5"/>
      <c r="D48" s="5"/>
      <c r="E48" s="5">
        <f>[2]BS!C36</f>
        <v>5928</v>
      </c>
      <c r="F48" s="5">
        <f>[3]BS!C36</f>
        <v>325</v>
      </c>
      <c r="G48" s="5"/>
      <c r="H48" s="6"/>
      <c r="I48" s="6"/>
      <c r="J48" s="6"/>
      <c r="K48" s="6"/>
      <c r="L48" s="54"/>
      <c r="M48" s="5">
        <v>2322</v>
      </c>
      <c r="N48" s="5">
        <v>415</v>
      </c>
      <c r="O48" s="5">
        <v>239</v>
      </c>
      <c r="P48" s="5">
        <v>325</v>
      </c>
      <c r="Q48" s="5">
        <v>275</v>
      </c>
      <c r="R48" s="5">
        <v>208</v>
      </c>
      <c r="S48" s="5">
        <v>177</v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4"/>
      <c r="AI48" s="54"/>
      <c r="AJ48" s="54"/>
      <c r="AK48" s="54"/>
      <c r="AL48" s="54"/>
    </row>
    <row r="49" spans="1:38" s="32" customFormat="1" x14ac:dyDescent="0.2">
      <c r="A49" s="30" t="s">
        <v>99</v>
      </c>
      <c r="B49" s="58"/>
      <c r="C49" s="27">
        <f>[19]BS!C46</f>
        <v>1470</v>
      </c>
      <c r="D49" s="27">
        <f>[1]BS!C37</f>
        <v>1761</v>
      </c>
      <c r="E49" s="27">
        <f>[2]BS!C37</f>
        <v>3159</v>
      </c>
      <c r="F49" s="27">
        <f>[3]BS!C37</f>
        <v>3041</v>
      </c>
      <c r="G49" s="27">
        <f>[4]BS!C36</f>
        <v>2728</v>
      </c>
      <c r="H49" s="28">
        <f>X49</f>
        <v>3286</v>
      </c>
      <c r="I49" s="28">
        <f>AB49</f>
        <v>2498</v>
      </c>
      <c r="J49" s="28">
        <f>AF49</f>
        <v>1393</v>
      </c>
      <c r="K49" s="28">
        <f>AG49</f>
        <v>1396</v>
      </c>
      <c r="L49" s="53"/>
      <c r="M49" s="27">
        <v>3241</v>
      </c>
      <c r="N49" s="27">
        <v>3408</v>
      </c>
      <c r="O49" s="27">
        <v>3589</v>
      </c>
      <c r="P49" s="27">
        <v>3041</v>
      </c>
      <c r="Q49" s="27">
        <v>3539</v>
      </c>
      <c r="R49" s="27">
        <v>3604</v>
      </c>
      <c r="S49" s="27">
        <v>3624</v>
      </c>
      <c r="T49" s="27">
        <v>2728</v>
      </c>
      <c r="U49" s="27">
        <f>[20]BS!B36</f>
        <v>2723</v>
      </c>
      <c r="V49" s="27">
        <f>[21]BS!B36</f>
        <v>2675</v>
      </c>
      <c r="W49" s="27">
        <f>[22]BS!B36</f>
        <v>2698</v>
      </c>
      <c r="X49" s="27">
        <f>[5]BS!C35</f>
        <v>3286</v>
      </c>
      <c r="Y49" s="27">
        <f>[6]BS!B36</f>
        <v>2753</v>
      </c>
      <c r="Z49" s="27">
        <f>[7]BS!B35</f>
        <v>3484</v>
      </c>
      <c r="AA49" s="27">
        <f>[8]BS!B35</f>
        <v>3462</v>
      </c>
      <c r="AB49" s="27">
        <f>[9]BS!C37</f>
        <v>2498</v>
      </c>
      <c r="AC49" s="27">
        <f>[10]BS!B36</f>
        <v>2475</v>
      </c>
      <c r="AD49" s="27">
        <f>[11]BS!B36</f>
        <v>2357</v>
      </c>
      <c r="AE49" s="27">
        <f>[12]BS!B34</f>
        <v>2366</v>
      </c>
      <c r="AF49" s="27">
        <f>[14]BS!C37</f>
        <v>1393</v>
      </c>
      <c r="AG49" s="27">
        <f>[14]BS!B37</f>
        <v>1396</v>
      </c>
      <c r="AH49" s="53"/>
      <c r="AI49" s="53"/>
      <c r="AJ49" s="53"/>
      <c r="AK49" s="53"/>
      <c r="AL49" s="53"/>
    </row>
    <row r="50" spans="1:38" s="11" customFormat="1" x14ac:dyDescent="0.2">
      <c r="A50" s="12" t="s">
        <v>98</v>
      </c>
      <c r="B50" s="55"/>
      <c r="C50" s="24">
        <f>SUM(C43:C49)</f>
        <v>17486</v>
      </c>
      <c r="D50" s="23">
        <f>[1]BS!C38</f>
        <v>15880</v>
      </c>
      <c r="E50" s="23">
        <f>[2]BS!C38</f>
        <v>31203</v>
      </c>
      <c r="F50" s="23">
        <f>[3]BS!C38</f>
        <v>27800</v>
      </c>
      <c r="G50" s="23">
        <f>[4]BS!C37</f>
        <v>29175</v>
      </c>
      <c r="H50" s="24">
        <f>X50</f>
        <v>33617</v>
      </c>
      <c r="I50" s="24">
        <f>AB50</f>
        <v>38207</v>
      </c>
      <c r="J50" s="24">
        <f>AF50</f>
        <v>42653</v>
      </c>
      <c r="K50" s="24">
        <f>AG50</f>
        <v>41574</v>
      </c>
      <c r="L50" s="37"/>
      <c r="M50" s="24">
        <f t="shared" ref="M50:T50" si="23">SUM(M43:M49)</f>
        <v>27563</v>
      </c>
      <c r="N50" s="24">
        <f t="shared" si="23"/>
        <v>25637</v>
      </c>
      <c r="O50" s="24">
        <f t="shared" si="23"/>
        <v>25314</v>
      </c>
      <c r="P50" s="24">
        <f t="shared" si="23"/>
        <v>27800</v>
      </c>
      <c r="Q50" s="24">
        <f t="shared" si="23"/>
        <v>29757</v>
      </c>
      <c r="R50" s="24">
        <f t="shared" si="23"/>
        <v>29187</v>
      </c>
      <c r="S50" s="24">
        <f t="shared" si="23"/>
        <v>30792</v>
      </c>
      <c r="T50" s="24">
        <f t="shared" si="23"/>
        <v>29175</v>
      </c>
      <c r="U50" s="23">
        <f>[20]BS!B37</f>
        <v>29922</v>
      </c>
      <c r="V50" s="23">
        <f>[21]BS!B37</f>
        <v>31822</v>
      </c>
      <c r="W50" s="23">
        <f>[22]BS!B37</f>
        <v>32184</v>
      </c>
      <c r="X50" s="23">
        <f>[5]BS!C36</f>
        <v>33617</v>
      </c>
      <c r="Y50" s="23">
        <f>[6]BS!B37</f>
        <v>33884</v>
      </c>
      <c r="Z50" s="23">
        <f>[7]BS!B36</f>
        <v>33509</v>
      </c>
      <c r="AA50" s="23">
        <f>[8]BS!B36</f>
        <v>33146</v>
      </c>
      <c r="AB50" s="23">
        <f>[9]BS!C38</f>
        <v>38207</v>
      </c>
      <c r="AC50" s="23">
        <f>[10]BS!B37</f>
        <v>37290</v>
      </c>
      <c r="AD50" s="23">
        <f>[11]BS!B37</f>
        <v>36822</v>
      </c>
      <c r="AE50" s="23">
        <f>[12]BS!B35</f>
        <v>36855</v>
      </c>
      <c r="AF50" s="23">
        <f>[14]BS!C38</f>
        <v>42653</v>
      </c>
      <c r="AG50" s="23">
        <f>[14]BS!B38</f>
        <v>41574</v>
      </c>
      <c r="AH50" s="37"/>
      <c r="AI50" s="37"/>
      <c r="AJ50" s="37"/>
      <c r="AK50" s="37"/>
      <c r="AL50" s="37"/>
    </row>
    <row r="51" spans="1:38" s="9" customFormat="1" x14ac:dyDescent="0.2">
      <c r="A51" s="22" t="s">
        <v>6</v>
      </c>
      <c r="B51" s="49"/>
      <c r="C51" s="20">
        <f t="shared" ref="C51:K51" si="24">SUM(C43:C49)-C50</f>
        <v>0</v>
      </c>
      <c r="D51" s="20">
        <f t="shared" si="24"/>
        <v>0</v>
      </c>
      <c r="E51" s="20">
        <f t="shared" si="24"/>
        <v>0</v>
      </c>
      <c r="F51" s="20">
        <f t="shared" si="24"/>
        <v>0</v>
      </c>
      <c r="G51" s="20">
        <f t="shared" si="24"/>
        <v>0</v>
      </c>
      <c r="H51" s="20">
        <f t="shared" si="24"/>
        <v>0</v>
      </c>
      <c r="I51" s="20">
        <f t="shared" si="24"/>
        <v>0</v>
      </c>
      <c r="J51" s="20">
        <f t="shared" si="24"/>
        <v>0</v>
      </c>
      <c r="K51" s="20">
        <f t="shared" si="24"/>
        <v>0</v>
      </c>
      <c r="L51" s="20"/>
      <c r="M51" s="20">
        <f t="shared" ref="M51:AG51" si="25">SUM(M43:M49)-M50</f>
        <v>0</v>
      </c>
      <c r="N51" s="20">
        <f t="shared" si="25"/>
        <v>0</v>
      </c>
      <c r="O51" s="20">
        <f t="shared" si="25"/>
        <v>0</v>
      </c>
      <c r="P51" s="20">
        <f t="shared" si="25"/>
        <v>0</v>
      </c>
      <c r="Q51" s="20">
        <f t="shared" si="25"/>
        <v>0</v>
      </c>
      <c r="R51" s="20">
        <f t="shared" si="25"/>
        <v>0</v>
      </c>
      <c r="S51" s="20">
        <f t="shared" si="25"/>
        <v>0</v>
      </c>
      <c r="T51" s="20">
        <f t="shared" si="25"/>
        <v>0</v>
      </c>
      <c r="U51" s="20">
        <f t="shared" si="25"/>
        <v>0</v>
      </c>
      <c r="V51" s="20">
        <f t="shared" si="25"/>
        <v>0</v>
      </c>
      <c r="W51" s="20">
        <f t="shared" si="25"/>
        <v>0</v>
      </c>
      <c r="X51" s="20">
        <f t="shared" si="25"/>
        <v>0</v>
      </c>
      <c r="Y51" s="20">
        <f t="shared" si="25"/>
        <v>0</v>
      </c>
      <c r="Z51" s="20">
        <f t="shared" si="25"/>
        <v>0</v>
      </c>
      <c r="AA51" s="20">
        <f t="shared" si="25"/>
        <v>0</v>
      </c>
      <c r="AB51" s="20">
        <f t="shared" si="25"/>
        <v>0</v>
      </c>
      <c r="AC51" s="20">
        <f t="shared" si="25"/>
        <v>0</v>
      </c>
      <c r="AD51" s="20">
        <f t="shared" si="25"/>
        <v>0</v>
      </c>
      <c r="AE51" s="20">
        <f t="shared" si="25"/>
        <v>0</v>
      </c>
      <c r="AF51" s="20">
        <f t="shared" si="25"/>
        <v>0</v>
      </c>
      <c r="AG51" s="20">
        <f t="shared" si="25"/>
        <v>0</v>
      </c>
      <c r="AH51" s="20"/>
      <c r="AI51" s="20"/>
      <c r="AJ51" s="20"/>
      <c r="AK51" s="20"/>
      <c r="AL51" s="20"/>
    </row>
    <row r="52" spans="1:38" s="11" customFormat="1" x14ac:dyDescent="0.2">
      <c r="A52" s="57" t="s">
        <v>97</v>
      </c>
      <c r="B52" s="52" t="s">
        <v>96</v>
      </c>
      <c r="C52" s="24">
        <f t="shared" ref="C52:K52" si="26">C50+C40</f>
        <v>26116</v>
      </c>
      <c r="D52" s="24">
        <f t="shared" si="26"/>
        <v>24891</v>
      </c>
      <c r="E52" s="24">
        <f t="shared" si="26"/>
        <v>45009</v>
      </c>
      <c r="F52" s="24">
        <f t="shared" si="26"/>
        <v>41204</v>
      </c>
      <c r="G52" s="24">
        <f t="shared" si="26"/>
        <v>42780</v>
      </c>
      <c r="H52" s="24">
        <f t="shared" si="26"/>
        <v>47489</v>
      </c>
      <c r="I52" s="24">
        <f t="shared" si="26"/>
        <v>53565</v>
      </c>
      <c r="J52" s="24">
        <f t="shared" si="26"/>
        <v>60749</v>
      </c>
      <c r="K52" s="24">
        <f t="shared" si="26"/>
        <v>61423</v>
      </c>
      <c r="L52" s="37"/>
      <c r="M52" s="24">
        <f t="shared" ref="M52:AG52" si="27">M50+M40</f>
        <v>42642</v>
      </c>
      <c r="N52" s="24">
        <f t="shared" si="27"/>
        <v>40725</v>
      </c>
      <c r="O52" s="24">
        <f t="shared" si="27"/>
        <v>39202</v>
      </c>
      <c r="P52" s="24">
        <f t="shared" si="27"/>
        <v>41204</v>
      </c>
      <c r="Q52" s="24">
        <f t="shared" si="27"/>
        <v>43990</v>
      </c>
      <c r="R52" s="24">
        <f t="shared" si="27"/>
        <v>44232</v>
      </c>
      <c r="S52" s="24">
        <f t="shared" si="27"/>
        <v>44953</v>
      </c>
      <c r="T52" s="24">
        <f t="shared" si="27"/>
        <v>42780</v>
      </c>
      <c r="U52" s="24">
        <f t="shared" si="27"/>
        <v>45199</v>
      </c>
      <c r="V52" s="24">
        <f t="shared" si="27"/>
        <v>46739</v>
      </c>
      <c r="W52" s="24">
        <f t="shared" si="27"/>
        <v>46717</v>
      </c>
      <c r="X52" s="24">
        <f t="shared" si="27"/>
        <v>47489</v>
      </c>
      <c r="Y52" s="24">
        <f t="shared" si="27"/>
        <v>49170</v>
      </c>
      <c r="Z52" s="24">
        <f t="shared" si="27"/>
        <v>49621</v>
      </c>
      <c r="AA52" s="24">
        <f t="shared" si="27"/>
        <v>48453</v>
      </c>
      <c r="AB52" s="24">
        <f t="shared" si="27"/>
        <v>53565</v>
      </c>
      <c r="AC52" s="24">
        <f t="shared" si="27"/>
        <v>54298</v>
      </c>
      <c r="AD52" s="24">
        <f t="shared" si="27"/>
        <v>53491</v>
      </c>
      <c r="AE52" s="24">
        <f t="shared" si="27"/>
        <v>53203</v>
      </c>
      <c r="AF52" s="24">
        <f t="shared" si="27"/>
        <v>60749</v>
      </c>
      <c r="AG52" s="24">
        <f t="shared" si="27"/>
        <v>61423</v>
      </c>
      <c r="AH52" s="37"/>
      <c r="AI52" s="37"/>
      <c r="AJ52" s="37"/>
      <c r="AK52" s="37"/>
      <c r="AL52" s="37"/>
    </row>
    <row r="53" spans="1:38" x14ac:dyDescent="0.2">
      <c r="A53" s="8" t="s">
        <v>95</v>
      </c>
      <c r="B53" s="55"/>
      <c r="C53" s="5">
        <f>[19]BS!C48</f>
        <v>4843</v>
      </c>
      <c r="D53" s="5">
        <f>[1]BS!C40</f>
        <v>6606</v>
      </c>
      <c r="E53" s="5"/>
      <c r="F53" s="5"/>
      <c r="G53" s="5"/>
      <c r="H53" s="6"/>
      <c r="I53" s="6"/>
      <c r="J53" s="6"/>
      <c r="K53" s="6"/>
      <c r="L53" s="54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4"/>
      <c r="AI53" s="54"/>
      <c r="AJ53" s="54"/>
      <c r="AK53" s="54"/>
      <c r="AL53" s="54"/>
    </row>
    <row r="54" spans="1:38" x14ac:dyDescent="0.2">
      <c r="A54" s="12" t="s">
        <v>94</v>
      </c>
      <c r="B54" s="55"/>
      <c r="C54" s="5"/>
      <c r="D54" s="5"/>
      <c r="E54" s="5"/>
      <c r="F54" s="5"/>
      <c r="G54" s="5"/>
      <c r="H54" s="6"/>
      <c r="I54" s="6"/>
      <c r="J54" s="6"/>
      <c r="K54" s="6"/>
      <c r="L54" s="54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4"/>
      <c r="AI54" s="54"/>
      <c r="AJ54" s="54"/>
      <c r="AK54" s="54"/>
      <c r="AL54" s="54"/>
    </row>
    <row r="55" spans="1:38" x14ac:dyDescent="0.2">
      <c r="A55" s="8" t="s">
        <v>93</v>
      </c>
      <c r="B55" s="52" t="s">
        <v>92</v>
      </c>
      <c r="C55" s="5">
        <f>[19]BS!C51</f>
        <v>341</v>
      </c>
      <c r="D55" s="5">
        <f>[1]BS!C42</f>
        <v>127</v>
      </c>
      <c r="E55" s="5">
        <f>[2]BS!C41</f>
        <v>5</v>
      </c>
      <c r="F55" s="5">
        <f>[3]BS!C41</f>
        <v>7</v>
      </c>
      <c r="G55" s="5">
        <f>[4]BS!C40</f>
        <v>6</v>
      </c>
      <c r="H55" s="6">
        <f>X55</f>
        <v>5</v>
      </c>
      <c r="I55" s="6">
        <f>AB55</f>
        <v>5</v>
      </c>
      <c r="J55" s="6">
        <f>AF55</f>
        <v>5</v>
      </c>
      <c r="K55" s="6">
        <f>AG55</f>
        <v>5</v>
      </c>
      <c r="L55" s="54"/>
      <c r="M55" s="5">
        <v>6</v>
      </c>
      <c r="N55" s="5">
        <v>7</v>
      </c>
      <c r="O55" s="5">
        <v>7</v>
      </c>
      <c r="P55" s="5">
        <v>7</v>
      </c>
      <c r="Q55" s="5">
        <v>7</v>
      </c>
      <c r="R55" s="5">
        <v>7</v>
      </c>
      <c r="S55" s="5">
        <v>6</v>
      </c>
      <c r="T55" s="5">
        <v>6</v>
      </c>
      <c r="U55" s="5">
        <f>[20]BS!B40</f>
        <v>6</v>
      </c>
      <c r="V55" s="5">
        <f>[21]BS!B40</f>
        <v>5</v>
      </c>
      <c r="W55" s="5">
        <f>[22]BS!B40</f>
        <v>5</v>
      </c>
      <c r="X55" s="5">
        <f>[5]BS!C39</f>
        <v>5</v>
      </c>
      <c r="Y55" s="5">
        <f>[6]BS!B40</f>
        <v>5</v>
      </c>
      <c r="Z55" s="5">
        <f>[7]BS!B39</f>
        <v>5</v>
      </c>
      <c r="AA55" s="5">
        <f>[8]BS!B39</f>
        <v>5</v>
      </c>
      <c r="AB55" s="5">
        <f>[9]BS!C40</f>
        <v>5</v>
      </c>
      <c r="AC55" s="5">
        <f>[10]BS!B40</f>
        <v>5</v>
      </c>
      <c r="AD55" s="5">
        <f>[11]BS!B40</f>
        <v>5</v>
      </c>
      <c r="AE55" s="5">
        <f>[12]BS!B38</f>
        <v>5</v>
      </c>
      <c r="AF55" s="5">
        <f>[14]BS!C41</f>
        <v>5</v>
      </c>
      <c r="AG55" s="5">
        <f>[14]BS!B41</f>
        <v>5</v>
      </c>
      <c r="AH55" s="54"/>
      <c r="AI55" s="54"/>
      <c r="AJ55" s="54"/>
      <c r="AK55" s="54"/>
      <c r="AL55" s="54"/>
    </row>
    <row r="56" spans="1:38" s="56" customFormat="1" x14ac:dyDescent="0.2">
      <c r="A56" s="8" t="s">
        <v>91</v>
      </c>
      <c r="B56" s="52" t="s">
        <v>90</v>
      </c>
      <c r="C56" s="5">
        <f>[19]BS!C52</f>
        <v>4465</v>
      </c>
      <c r="D56" s="5">
        <f>[1]BS!C43</f>
        <v>4695</v>
      </c>
      <c r="E56" s="5">
        <f>[2]BS!C42</f>
        <v>10592</v>
      </c>
      <c r="F56" s="5">
        <f>[3]BS!C42</f>
        <v>15135</v>
      </c>
      <c r="G56" s="5">
        <f>[4]BS!C41</f>
        <v>11591</v>
      </c>
      <c r="H56" s="6">
        <f>X56</f>
        <v>7223</v>
      </c>
      <c r="I56" s="6">
        <f>AB56</f>
        <v>5714</v>
      </c>
      <c r="J56" s="6">
        <f>AF56</f>
        <v>4964</v>
      </c>
      <c r="K56" s="6">
        <f>AG56</f>
        <v>4371</v>
      </c>
      <c r="L56" s="6"/>
      <c r="M56" s="5">
        <v>14040</v>
      </c>
      <c r="N56" s="5">
        <v>15879</v>
      </c>
      <c r="O56" s="5">
        <v>15943</v>
      </c>
      <c r="P56" s="5">
        <v>15135</v>
      </c>
      <c r="Q56" s="5">
        <v>15049</v>
      </c>
      <c r="R56" s="5">
        <v>14319</v>
      </c>
      <c r="S56" s="5">
        <v>12852</v>
      </c>
      <c r="T56" s="5">
        <v>11591</v>
      </c>
      <c r="U56" s="5">
        <f>[20]BS!B41</f>
        <v>10044</v>
      </c>
      <c r="V56" s="5">
        <f>[21]BS!B41</f>
        <v>8351</v>
      </c>
      <c r="W56" s="5">
        <f>[22]BS!B41</f>
        <v>7761</v>
      </c>
      <c r="X56" s="5">
        <f>[5]BS!C40</f>
        <v>7223</v>
      </c>
      <c r="Y56" s="5">
        <f>[6]BS!B41</f>
        <v>6726</v>
      </c>
      <c r="Z56" s="5">
        <f>[7]BS!B40</f>
        <v>6245</v>
      </c>
      <c r="AA56" s="5">
        <f>[8]BS!B40</f>
        <v>5918</v>
      </c>
      <c r="AB56" s="5">
        <f>[9]BS!C41</f>
        <v>5714</v>
      </c>
      <c r="AC56" s="5">
        <f>[10]BS!B41</f>
        <v>5279</v>
      </c>
      <c r="AD56" s="5">
        <f>[11]BS!B41</f>
        <v>4923</v>
      </c>
      <c r="AE56" s="5">
        <f>[12]BS!B39</f>
        <v>4946</v>
      </c>
      <c r="AF56" s="5">
        <f>[14]BS!C42</f>
        <v>4964</v>
      </c>
      <c r="AG56" s="5">
        <f>[14]BS!B42</f>
        <v>4371</v>
      </c>
      <c r="AH56" s="6"/>
      <c r="AI56" s="6"/>
      <c r="AJ56" s="6"/>
      <c r="AK56" s="6"/>
      <c r="AL56" s="6"/>
    </row>
    <row r="57" spans="1:38" s="56" customFormat="1" x14ac:dyDescent="0.2">
      <c r="A57" s="8" t="s">
        <v>89</v>
      </c>
      <c r="B57" s="55"/>
      <c r="C57" s="5">
        <f>[19]BS!C53</f>
        <v>-367</v>
      </c>
      <c r="D57" s="5">
        <f>[1]BS!C44</f>
        <v>-367</v>
      </c>
      <c r="E57" s="5"/>
      <c r="F57" s="5"/>
      <c r="G57" s="5"/>
      <c r="H57" s="6"/>
      <c r="I57" s="6"/>
      <c r="J57" s="6"/>
      <c r="K57" s="6"/>
      <c r="L57" s="6"/>
      <c r="M57" s="5"/>
      <c r="N57" s="5">
        <v>-1</v>
      </c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6"/>
      <c r="AI57" s="6"/>
      <c r="AJ57" s="6"/>
      <c r="AK57" s="6"/>
      <c r="AL57" s="6"/>
    </row>
    <row r="58" spans="1:38" x14ac:dyDescent="0.2">
      <c r="A58" s="8" t="s">
        <v>88</v>
      </c>
      <c r="B58" s="55"/>
      <c r="C58" s="5">
        <f>[19]BS!C54</f>
        <v>-3964</v>
      </c>
      <c r="D58" s="5">
        <f>[1]BS!C45</f>
        <v>-2980</v>
      </c>
      <c r="E58" s="5">
        <f>[2]BS!C43</f>
        <v>-2032</v>
      </c>
      <c r="F58" s="5">
        <f>[3]BS!C43</f>
        <v>-4559</v>
      </c>
      <c r="G58" s="5">
        <f>[4]BS!C42</f>
        <v>-4732</v>
      </c>
      <c r="H58" s="6">
        <f>X58</f>
        <v>-5083</v>
      </c>
      <c r="I58" s="6">
        <f>AB58</f>
        <v>-5154</v>
      </c>
      <c r="J58" s="6">
        <f t="shared" ref="J58:K60" si="28">AF58</f>
        <v>-5896</v>
      </c>
      <c r="K58" s="6">
        <f t="shared" si="28"/>
        <v>-5909</v>
      </c>
      <c r="L58" s="54"/>
      <c r="M58" s="5">
        <v>-2135</v>
      </c>
      <c r="N58" s="5">
        <v>-1846</v>
      </c>
      <c r="O58" s="5">
        <v>-1893</v>
      </c>
      <c r="P58" s="5">
        <v>-4559</v>
      </c>
      <c r="Q58" s="5">
        <v>-4590</v>
      </c>
      <c r="R58" s="5">
        <v>-4620</v>
      </c>
      <c r="S58" s="5">
        <v>-4651</v>
      </c>
      <c r="T58" s="5">
        <v>-4732</v>
      </c>
      <c r="U58" s="5">
        <f>[20]BS!B42</f>
        <v>-4749</v>
      </c>
      <c r="V58" s="5">
        <f>[21]BS!B42</f>
        <v>-4763</v>
      </c>
      <c r="W58" s="5">
        <f>[22]BS!B42</f>
        <v>-4778</v>
      </c>
      <c r="X58" s="5">
        <f>[5]BS!C41</f>
        <v>-5083</v>
      </c>
      <c r="Y58" s="5">
        <f>[6]BS!B42</f>
        <v>-5097</v>
      </c>
      <c r="Z58" s="5">
        <f>[7]BS!B41</f>
        <v>-5112</v>
      </c>
      <c r="AA58" s="5">
        <f>[8]BS!B41</f>
        <v>-5127</v>
      </c>
      <c r="AB58" s="5">
        <f>[9]BS!C42</f>
        <v>-5154</v>
      </c>
      <c r="AC58" s="5">
        <f>[10]BS!B42</f>
        <v>-5172</v>
      </c>
      <c r="AD58" s="5">
        <f>[11]BS!B42</f>
        <v>-5187</v>
      </c>
      <c r="AE58" s="5">
        <f>[12]BS!B40</f>
        <v>-5203</v>
      </c>
      <c r="AF58" s="5">
        <f>[14]BS!C43</f>
        <v>-5896</v>
      </c>
      <c r="AG58" s="5">
        <f>[14]BS!B43</f>
        <v>-5909</v>
      </c>
      <c r="AH58" s="54"/>
      <c r="AI58" s="54"/>
      <c r="AJ58" s="54"/>
      <c r="AK58" s="54"/>
      <c r="AL58" s="54"/>
    </row>
    <row r="59" spans="1:38" s="32" customFormat="1" x14ac:dyDescent="0.2">
      <c r="A59" s="30" t="s">
        <v>87</v>
      </c>
      <c r="B59" s="51" t="s">
        <v>86</v>
      </c>
      <c r="C59" s="27">
        <f>[19]BS!C55</f>
        <v>-7586</v>
      </c>
      <c r="D59" s="27">
        <f>[1]BS!C46</f>
        <v>-9462</v>
      </c>
      <c r="E59" s="27">
        <f>[2]BS!C44</f>
        <v>-11296</v>
      </c>
      <c r="F59" s="27">
        <f>[3]BS!C44</f>
        <v>-8562</v>
      </c>
      <c r="G59" s="27">
        <f>[4]BS!C43</f>
        <v>-1230</v>
      </c>
      <c r="H59" s="28">
        <f>X59</f>
        <v>1640</v>
      </c>
      <c r="I59" s="28">
        <f>AB59</f>
        <v>-1345</v>
      </c>
      <c r="J59" s="28">
        <f t="shared" si="28"/>
        <v>758</v>
      </c>
      <c r="K59" s="28">
        <f t="shared" si="28"/>
        <v>897</v>
      </c>
      <c r="L59" s="53"/>
      <c r="M59" s="27">
        <v>-10816</v>
      </c>
      <c r="N59" s="27">
        <v>-9953</v>
      </c>
      <c r="O59" s="27">
        <v>-9086</v>
      </c>
      <c r="P59" s="27">
        <v>-8562</v>
      </c>
      <c r="Q59" s="27">
        <v>-7702</v>
      </c>
      <c r="R59" s="27">
        <v>-6070</v>
      </c>
      <c r="S59" s="27">
        <v>-4445</v>
      </c>
      <c r="T59" s="27">
        <v>-1230</v>
      </c>
      <c r="U59" s="27">
        <f>[20]BS!B43</f>
        <v>-591</v>
      </c>
      <c r="V59" s="27">
        <f>[21]BS!B43</f>
        <v>719</v>
      </c>
      <c r="W59" s="27">
        <f>[22]BS!B43</f>
        <v>1403</v>
      </c>
      <c r="X59" s="27">
        <f>[5]BS!C42</f>
        <v>1640</v>
      </c>
      <c r="Y59" s="27">
        <f>[6]BS!B43</f>
        <v>1823</v>
      </c>
      <c r="Z59" s="27">
        <f>[7]BS!B42</f>
        <v>2577</v>
      </c>
      <c r="AA59" s="27">
        <f>[8]BS!B42</f>
        <v>3152</v>
      </c>
      <c r="AB59" s="27">
        <f>[9]BS!C43</f>
        <v>-1345</v>
      </c>
      <c r="AC59" s="27">
        <f>[10]BS!B43</f>
        <v>-1130</v>
      </c>
      <c r="AD59" s="27">
        <f>[11]BS!B43</f>
        <v>-610</v>
      </c>
      <c r="AE59" s="27">
        <f>[12]BS!B41</f>
        <v>-316</v>
      </c>
      <c r="AF59" s="27">
        <f>[14]BS!C44</f>
        <v>758</v>
      </c>
      <c r="AG59" s="27">
        <f>[14]BS!B44</f>
        <v>897</v>
      </c>
      <c r="AH59" s="53"/>
      <c r="AI59" s="53"/>
      <c r="AJ59" s="53"/>
      <c r="AK59" s="53"/>
      <c r="AL59" s="53"/>
    </row>
    <row r="60" spans="1:38" s="11" customFormat="1" x14ac:dyDescent="0.2">
      <c r="A60" s="12" t="s">
        <v>85</v>
      </c>
      <c r="B60" s="52" t="s">
        <v>84</v>
      </c>
      <c r="C60" s="23">
        <f>[19]BS!C56</f>
        <v>-7111</v>
      </c>
      <c r="D60" s="23">
        <f>[1]BS!C47</f>
        <v>-7987</v>
      </c>
      <c r="E60" s="23">
        <f>[2]BS!C45</f>
        <v>-2731</v>
      </c>
      <c r="F60" s="23">
        <f>[3]BS!C45</f>
        <v>2021</v>
      </c>
      <c r="G60" s="23">
        <f>[4]BS!C44</f>
        <v>5635</v>
      </c>
      <c r="H60" s="24">
        <f>X60</f>
        <v>3785</v>
      </c>
      <c r="I60" s="24">
        <f>AB60</f>
        <v>-780</v>
      </c>
      <c r="J60" s="24">
        <f t="shared" si="28"/>
        <v>-169</v>
      </c>
      <c r="K60" s="24">
        <f t="shared" si="28"/>
        <v>-636</v>
      </c>
      <c r="L60" s="37"/>
      <c r="M60" s="23">
        <v>1095</v>
      </c>
      <c r="N60" s="23">
        <v>4086</v>
      </c>
      <c r="O60" s="23">
        <v>4971</v>
      </c>
      <c r="P60" s="23">
        <v>2021</v>
      </c>
      <c r="Q60" s="23">
        <v>2764</v>
      </c>
      <c r="R60" s="23">
        <v>3636</v>
      </c>
      <c r="S60" s="23">
        <v>3762</v>
      </c>
      <c r="T60" s="23">
        <v>5635</v>
      </c>
      <c r="U60" s="23">
        <f>[20]BS!B44</f>
        <v>4710</v>
      </c>
      <c r="V60" s="23">
        <f>[21]BS!B44</f>
        <v>4312</v>
      </c>
      <c r="W60" s="23">
        <f>[22]BS!B44</f>
        <v>4391</v>
      </c>
      <c r="X60" s="23">
        <f>[5]BS!C43</f>
        <v>3785</v>
      </c>
      <c r="Y60" s="23">
        <f>[6]BS!B44</f>
        <v>3457</v>
      </c>
      <c r="Z60" s="23">
        <f>[7]BS!B43</f>
        <v>3715</v>
      </c>
      <c r="AA60" s="23">
        <f>[8]BS!B43</f>
        <v>3948</v>
      </c>
      <c r="AB60" s="23">
        <f>[9]BS!C44</f>
        <v>-780</v>
      </c>
      <c r="AC60" s="23">
        <f>[10]BS!B44</f>
        <v>-1018</v>
      </c>
      <c r="AD60" s="23">
        <f>[11]BS!B44</f>
        <v>-869</v>
      </c>
      <c r="AE60" s="23">
        <f>[12]BS!B42</f>
        <v>-568</v>
      </c>
      <c r="AF60" s="23">
        <f>[14]BS!C45</f>
        <v>-169</v>
      </c>
      <c r="AG60" s="23">
        <f>[14]BS!B45</f>
        <v>-636</v>
      </c>
      <c r="AH60" s="37"/>
      <c r="AI60" s="37"/>
      <c r="AJ60" s="37"/>
      <c r="AK60" s="37"/>
      <c r="AL60" s="37"/>
    </row>
    <row r="61" spans="1:38" s="9" customFormat="1" x14ac:dyDescent="0.2">
      <c r="A61" s="22" t="s">
        <v>6</v>
      </c>
      <c r="B61" s="49"/>
      <c r="C61" s="20">
        <f t="shared" ref="C61:K61" si="29">SUM(C55:C59)-C60</f>
        <v>0</v>
      </c>
      <c r="D61" s="20">
        <f t="shared" si="29"/>
        <v>0</v>
      </c>
      <c r="E61" s="20">
        <f t="shared" si="29"/>
        <v>0</v>
      </c>
      <c r="F61" s="20">
        <f t="shared" si="29"/>
        <v>0</v>
      </c>
      <c r="G61" s="20">
        <f t="shared" si="29"/>
        <v>0</v>
      </c>
      <c r="H61" s="20">
        <f t="shared" si="29"/>
        <v>0</v>
      </c>
      <c r="I61" s="20">
        <f t="shared" si="29"/>
        <v>0</v>
      </c>
      <c r="J61" s="20">
        <f t="shared" si="29"/>
        <v>0</v>
      </c>
      <c r="K61" s="20">
        <f t="shared" si="29"/>
        <v>0</v>
      </c>
      <c r="L61" s="20"/>
      <c r="M61" s="20">
        <f t="shared" ref="M61:AG61" si="30">SUM(M55:M59)-M60</f>
        <v>0</v>
      </c>
      <c r="N61" s="20">
        <f t="shared" si="30"/>
        <v>0</v>
      </c>
      <c r="O61" s="20">
        <f t="shared" si="30"/>
        <v>0</v>
      </c>
      <c r="P61" s="20">
        <f t="shared" si="30"/>
        <v>0</v>
      </c>
      <c r="Q61" s="20">
        <f t="shared" si="30"/>
        <v>0</v>
      </c>
      <c r="R61" s="20">
        <f t="shared" si="30"/>
        <v>0</v>
      </c>
      <c r="S61" s="20">
        <f t="shared" si="30"/>
        <v>0</v>
      </c>
      <c r="T61" s="20">
        <f t="shared" si="30"/>
        <v>0</v>
      </c>
      <c r="U61" s="20">
        <f t="shared" si="30"/>
        <v>0</v>
      </c>
      <c r="V61" s="20">
        <f t="shared" si="30"/>
        <v>0</v>
      </c>
      <c r="W61" s="20">
        <f t="shared" si="30"/>
        <v>0</v>
      </c>
      <c r="X61" s="20">
        <f t="shared" si="30"/>
        <v>0</v>
      </c>
      <c r="Y61" s="20">
        <f t="shared" si="30"/>
        <v>0</v>
      </c>
      <c r="Z61" s="20">
        <f t="shared" si="30"/>
        <v>0</v>
      </c>
      <c r="AA61" s="20">
        <f t="shared" si="30"/>
        <v>0</v>
      </c>
      <c r="AB61" s="20">
        <f t="shared" si="30"/>
        <v>0</v>
      </c>
      <c r="AC61" s="20">
        <f t="shared" si="30"/>
        <v>0</v>
      </c>
      <c r="AD61" s="20">
        <f t="shared" si="30"/>
        <v>0</v>
      </c>
      <c r="AE61" s="20">
        <f t="shared" si="30"/>
        <v>0</v>
      </c>
      <c r="AF61" s="20">
        <f t="shared" si="30"/>
        <v>0</v>
      </c>
      <c r="AG61" s="20">
        <f t="shared" si="30"/>
        <v>0</v>
      </c>
      <c r="AH61" s="20"/>
      <c r="AI61" s="20"/>
      <c r="AJ61" s="20"/>
      <c r="AK61" s="20"/>
      <c r="AL61" s="20"/>
    </row>
    <row r="62" spans="1:38" s="26" customFormat="1" x14ac:dyDescent="0.2">
      <c r="A62" s="12" t="s">
        <v>83</v>
      </c>
      <c r="B62" s="51" t="s">
        <v>82</v>
      </c>
      <c r="C62" s="23">
        <f>[19]BS!C57</f>
        <v>23848</v>
      </c>
      <c r="D62" s="23">
        <f>[1]BS!C48</f>
        <v>23510</v>
      </c>
      <c r="E62" s="23">
        <f>[2]BS!C46</f>
        <v>42278</v>
      </c>
      <c r="F62" s="23">
        <f>[3]BS!C46</f>
        <v>43225</v>
      </c>
      <c r="G62" s="23">
        <f>[4]BS!C45</f>
        <v>48415</v>
      </c>
      <c r="H62" s="24">
        <f>X62</f>
        <v>51274</v>
      </c>
      <c r="I62" s="24">
        <f>AB62</f>
        <v>52785</v>
      </c>
      <c r="J62" s="24">
        <f>AF62</f>
        <v>60580</v>
      </c>
      <c r="K62" s="24">
        <f>AG62</f>
        <v>60787</v>
      </c>
      <c r="L62" s="50"/>
      <c r="M62" s="23">
        <v>43737</v>
      </c>
      <c r="N62" s="23">
        <v>44811</v>
      </c>
      <c r="O62" s="23">
        <v>44173</v>
      </c>
      <c r="P62" s="23">
        <v>43225</v>
      </c>
      <c r="Q62" s="23">
        <v>46754</v>
      </c>
      <c r="R62" s="23">
        <v>47868</v>
      </c>
      <c r="S62" s="23">
        <v>48715</v>
      </c>
      <c r="T62" s="23">
        <v>48415</v>
      </c>
      <c r="U62" s="23">
        <f>[20]BS!B45</f>
        <v>49909</v>
      </c>
      <c r="V62" s="23">
        <f>[21]BS!B45</f>
        <v>51051</v>
      </c>
      <c r="W62" s="23">
        <f>[22]BS!B45</f>
        <v>51108</v>
      </c>
      <c r="X62" s="23">
        <f>[5]BS!C44</f>
        <v>51274</v>
      </c>
      <c r="Y62" s="23">
        <f>[6]BS!B45</f>
        <v>52627</v>
      </c>
      <c r="Z62" s="23">
        <f>[7]BS!B44</f>
        <v>53336</v>
      </c>
      <c r="AA62" s="23">
        <f>[8]BS!B44</f>
        <v>52401</v>
      </c>
      <c r="AB62" s="23">
        <f>[9]BS!C45</f>
        <v>52785</v>
      </c>
      <c r="AC62" s="23">
        <f>[10]BS!B45</f>
        <v>53280</v>
      </c>
      <c r="AD62" s="23">
        <f>[11]BS!B45</f>
        <v>52622</v>
      </c>
      <c r="AE62" s="23">
        <f>[12]BS!B43</f>
        <v>52635</v>
      </c>
      <c r="AF62" s="23">
        <f>[14]BS!C46</f>
        <v>60580</v>
      </c>
      <c r="AG62" s="23">
        <f>[14]BS!B46</f>
        <v>60787</v>
      </c>
      <c r="AH62" s="50"/>
      <c r="AI62" s="50"/>
      <c r="AJ62" s="50"/>
      <c r="AK62" s="50"/>
      <c r="AL62" s="50"/>
    </row>
    <row r="63" spans="1:38" s="9" customFormat="1" x14ac:dyDescent="0.2">
      <c r="A63" s="22" t="s">
        <v>6</v>
      </c>
      <c r="B63" s="49"/>
      <c r="C63" s="20">
        <f t="shared" ref="C63:K63" si="31">C52+C60+C53-C62</f>
        <v>0</v>
      </c>
      <c r="D63" s="20">
        <f t="shared" si="31"/>
        <v>0</v>
      </c>
      <c r="E63" s="20">
        <f t="shared" si="31"/>
        <v>0</v>
      </c>
      <c r="F63" s="20">
        <f t="shared" si="31"/>
        <v>0</v>
      </c>
      <c r="G63" s="20">
        <f t="shared" si="31"/>
        <v>0</v>
      </c>
      <c r="H63" s="20">
        <f t="shared" si="31"/>
        <v>0</v>
      </c>
      <c r="I63" s="20">
        <f t="shared" si="31"/>
        <v>0</v>
      </c>
      <c r="J63" s="20">
        <f t="shared" si="31"/>
        <v>0</v>
      </c>
      <c r="K63" s="20">
        <f t="shared" si="31"/>
        <v>0</v>
      </c>
      <c r="L63" s="20"/>
      <c r="M63" s="20">
        <f t="shared" ref="M63:AG63" si="32">M52+M60+M53-M62</f>
        <v>0</v>
      </c>
      <c r="N63" s="20">
        <f t="shared" si="32"/>
        <v>0</v>
      </c>
      <c r="O63" s="20">
        <f t="shared" si="32"/>
        <v>0</v>
      </c>
      <c r="P63" s="20">
        <f t="shared" si="32"/>
        <v>0</v>
      </c>
      <c r="Q63" s="20">
        <f t="shared" si="32"/>
        <v>0</v>
      </c>
      <c r="R63" s="20">
        <f t="shared" si="32"/>
        <v>0</v>
      </c>
      <c r="S63" s="20">
        <f t="shared" si="32"/>
        <v>0</v>
      </c>
      <c r="T63" s="20">
        <f t="shared" si="32"/>
        <v>0</v>
      </c>
      <c r="U63" s="20">
        <f t="shared" si="32"/>
        <v>0</v>
      </c>
      <c r="V63" s="20">
        <f t="shared" si="32"/>
        <v>0</v>
      </c>
      <c r="W63" s="20">
        <f t="shared" si="32"/>
        <v>0</v>
      </c>
      <c r="X63" s="20">
        <f t="shared" si="32"/>
        <v>0</v>
      </c>
      <c r="Y63" s="20">
        <f t="shared" si="32"/>
        <v>0</v>
      </c>
      <c r="Z63" s="20">
        <f t="shared" si="32"/>
        <v>0</v>
      </c>
      <c r="AA63" s="20">
        <f t="shared" si="32"/>
        <v>0</v>
      </c>
      <c r="AB63" s="20">
        <f t="shared" si="32"/>
        <v>0</v>
      </c>
      <c r="AC63" s="20">
        <f t="shared" si="32"/>
        <v>0</v>
      </c>
      <c r="AD63" s="20">
        <f t="shared" si="32"/>
        <v>0</v>
      </c>
      <c r="AE63" s="20">
        <f t="shared" si="32"/>
        <v>0</v>
      </c>
      <c r="AF63" s="20">
        <f t="shared" si="32"/>
        <v>0</v>
      </c>
      <c r="AG63" s="20">
        <f t="shared" si="32"/>
        <v>0</v>
      </c>
      <c r="AH63" s="20"/>
      <c r="AI63" s="20"/>
      <c r="AJ63" s="20"/>
      <c r="AK63" s="20"/>
      <c r="AL63" s="20"/>
    </row>
    <row r="64" spans="1:38" s="9" customFormat="1" x14ac:dyDescent="0.2">
      <c r="A64" s="22" t="s">
        <v>6</v>
      </c>
      <c r="B64" s="49"/>
      <c r="C64" s="20">
        <f t="shared" ref="C64:K64" si="33">C62-C30</f>
        <v>0</v>
      </c>
      <c r="D64" s="20">
        <f t="shared" si="33"/>
        <v>0</v>
      </c>
      <c r="E64" s="20">
        <f t="shared" si="33"/>
        <v>0</v>
      </c>
      <c r="F64" s="20">
        <f t="shared" si="33"/>
        <v>0</v>
      </c>
      <c r="G64" s="20">
        <f t="shared" si="33"/>
        <v>0</v>
      </c>
      <c r="H64" s="20">
        <f t="shared" si="33"/>
        <v>0</v>
      </c>
      <c r="I64" s="20">
        <f t="shared" si="33"/>
        <v>0</v>
      </c>
      <c r="J64" s="20">
        <f t="shared" si="33"/>
        <v>0</v>
      </c>
      <c r="K64" s="20">
        <f t="shared" si="33"/>
        <v>0</v>
      </c>
      <c r="L64" s="20"/>
      <c r="M64" s="20">
        <f t="shared" ref="M64:AG64" si="34">M62-M30</f>
        <v>0</v>
      </c>
      <c r="N64" s="20">
        <f t="shared" si="34"/>
        <v>0</v>
      </c>
      <c r="O64" s="20">
        <f t="shared" si="34"/>
        <v>0</v>
      </c>
      <c r="P64" s="20">
        <f t="shared" si="34"/>
        <v>0</v>
      </c>
      <c r="Q64" s="20">
        <f t="shared" si="34"/>
        <v>0</v>
      </c>
      <c r="R64" s="20">
        <f t="shared" si="34"/>
        <v>0</v>
      </c>
      <c r="S64" s="20">
        <f t="shared" si="34"/>
        <v>0</v>
      </c>
      <c r="T64" s="20">
        <f t="shared" si="34"/>
        <v>0</v>
      </c>
      <c r="U64" s="20">
        <f t="shared" si="34"/>
        <v>0</v>
      </c>
      <c r="V64" s="20">
        <f t="shared" si="34"/>
        <v>0</v>
      </c>
      <c r="W64" s="20">
        <f t="shared" si="34"/>
        <v>0</v>
      </c>
      <c r="X64" s="20">
        <f t="shared" si="34"/>
        <v>0</v>
      </c>
      <c r="Y64" s="20">
        <f t="shared" si="34"/>
        <v>0</v>
      </c>
      <c r="Z64" s="20">
        <f t="shared" si="34"/>
        <v>0</v>
      </c>
      <c r="AA64" s="20">
        <f t="shared" si="34"/>
        <v>0</v>
      </c>
      <c r="AB64" s="20">
        <f t="shared" si="34"/>
        <v>0</v>
      </c>
      <c r="AC64" s="20">
        <f t="shared" si="34"/>
        <v>0</v>
      </c>
      <c r="AD64" s="20">
        <f t="shared" si="34"/>
        <v>0</v>
      </c>
      <c r="AE64" s="20">
        <f t="shared" si="34"/>
        <v>0</v>
      </c>
      <c r="AF64" s="20">
        <f t="shared" si="34"/>
        <v>0</v>
      </c>
      <c r="AG64" s="20">
        <f t="shared" si="34"/>
        <v>0</v>
      </c>
      <c r="AH64" s="20"/>
      <c r="AI64" s="20"/>
      <c r="AJ64" s="20"/>
      <c r="AK64" s="20"/>
      <c r="AL64" s="20"/>
    </row>
    <row r="65" spans="1:33" x14ac:dyDescent="0.2">
      <c r="A65" s="48" t="s">
        <v>81</v>
      </c>
      <c r="B65" s="47" t="s">
        <v>80</v>
      </c>
      <c r="C65" s="46">
        <f t="shared" ref="C65:K65" si="35">C5+C6</f>
        <v>4001</v>
      </c>
      <c r="D65" s="46">
        <f t="shared" si="35"/>
        <v>3892</v>
      </c>
      <c r="E65" s="46">
        <f t="shared" si="35"/>
        <v>9251</v>
      </c>
      <c r="F65" s="46">
        <f t="shared" si="35"/>
        <v>7303</v>
      </c>
      <c r="G65" s="46">
        <f t="shared" si="35"/>
        <v>6254</v>
      </c>
      <c r="H65" s="46">
        <f t="shared" si="35"/>
        <v>6359</v>
      </c>
      <c r="I65" s="46">
        <f t="shared" si="35"/>
        <v>5066</v>
      </c>
      <c r="J65" s="46">
        <f t="shared" si="35"/>
        <v>4760</v>
      </c>
      <c r="K65" s="46">
        <f t="shared" si="35"/>
        <v>4349</v>
      </c>
      <c r="M65" s="46">
        <f t="shared" ref="M65:AG65" si="36">M5+M6</f>
        <v>9664</v>
      </c>
      <c r="N65" s="46">
        <f t="shared" si="36"/>
        <v>9459</v>
      </c>
      <c r="O65" s="46">
        <f t="shared" si="36"/>
        <v>7899</v>
      </c>
      <c r="P65" s="46">
        <f t="shared" si="36"/>
        <v>7303</v>
      </c>
      <c r="Q65" s="46">
        <f t="shared" si="36"/>
        <v>9173</v>
      </c>
      <c r="R65" s="46">
        <f t="shared" si="36"/>
        <v>8919</v>
      </c>
      <c r="S65" s="46">
        <f t="shared" si="36"/>
        <v>8873</v>
      </c>
      <c r="T65" s="46">
        <f t="shared" si="36"/>
        <v>6254</v>
      </c>
      <c r="U65" s="46">
        <f t="shared" si="36"/>
        <v>6930</v>
      </c>
      <c r="V65" s="46">
        <f t="shared" si="36"/>
        <v>7118</v>
      </c>
      <c r="W65" s="46">
        <f t="shared" si="36"/>
        <v>6755</v>
      </c>
      <c r="X65" s="46">
        <f t="shared" si="36"/>
        <v>6359</v>
      </c>
      <c r="Y65" s="46">
        <f t="shared" si="36"/>
        <v>6676</v>
      </c>
      <c r="Z65" s="46">
        <f t="shared" si="36"/>
        <v>6886</v>
      </c>
      <c r="AA65" s="46">
        <f t="shared" si="36"/>
        <v>5768</v>
      </c>
      <c r="AB65" s="46">
        <f t="shared" si="36"/>
        <v>5066</v>
      </c>
      <c r="AC65" s="46">
        <f t="shared" si="36"/>
        <v>5291</v>
      </c>
      <c r="AD65" s="46">
        <f t="shared" si="36"/>
        <v>4674</v>
      </c>
      <c r="AE65" s="46">
        <f t="shared" si="36"/>
        <v>4855</v>
      </c>
      <c r="AF65" s="46">
        <f t="shared" si="36"/>
        <v>4760</v>
      </c>
      <c r="AG65" s="46">
        <f t="shared" si="36"/>
        <v>4349</v>
      </c>
    </row>
    <row r="66" spans="1:33" x14ac:dyDescent="0.2">
      <c r="A66" s="1" t="s">
        <v>79</v>
      </c>
      <c r="B66" s="47" t="s">
        <v>78</v>
      </c>
      <c r="C66" s="46">
        <f t="shared" ref="C66:K66" si="37">C33+C38</f>
        <v>1518</v>
      </c>
      <c r="D66" s="46">
        <f t="shared" si="37"/>
        <v>1419</v>
      </c>
      <c r="E66" s="46">
        <f t="shared" si="37"/>
        <v>1446</v>
      </c>
      <c r="F66" s="46">
        <f t="shared" si="37"/>
        <v>1677</v>
      </c>
      <c r="G66" s="46">
        <f t="shared" si="37"/>
        <v>2231</v>
      </c>
      <c r="H66" s="46">
        <f t="shared" si="37"/>
        <v>1855</v>
      </c>
      <c r="I66" s="46">
        <f t="shared" si="37"/>
        <v>2554</v>
      </c>
      <c r="J66" s="46">
        <f t="shared" si="37"/>
        <v>4948</v>
      </c>
      <c r="K66" s="46">
        <f t="shared" si="37"/>
        <v>4999</v>
      </c>
      <c r="M66" s="46">
        <f t="shared" ref="M66:AG66" si="38">M33+M38</f>
        <v>1441</v>
      </c>
      <c r="N66" s="46">
        <f t="shared" si="38"/>
        <v>1523</v>
      </c>
      <c r="O66" s="46">
        <f t="shared" si="38"/>
        <v>1439</v>
      </c>
      <c r="P66" s="46">
        <f t="shared" si="38"/>
        <v>1677</v>
      </c>
      <c r="Q66" s="46">
        <f t="shared" si="38"/>
        <v>1284</v>
      </c>
      <c r="R66" s="46">
        <f t="shared" si="38"/>
        <v>1642</v>
      </c>
      <c r="S66" s="46">
        <f t="shared" si="38"/>
        <v>1712</v>
      </c>
      <c r="T66" s="46">
        <f t="shared" si="38"/>
        <v>2231</v>
      </c>
      <c r="U66" s="46">
        <f t="shared" si="38"/>
        <v>2610</v>
      </c>
      <c r="V66" s="46">
        <f t="shared" si="38"/>
        <v>1715</v>
      </c>
      <c r="W66" s="46">
        <f t="shared" si="38"/>
        <v>1798</v>
      </c>
      <c r="X66" s="46">
        <f t="shared" si="38"/>
        <v>1855</v>
      </c>
      <c r="Y66" s="46">
        <f t="shared" si="38"/>
        <v>1714</v>
      </c>
      <c r="Z66" s="46">
        <f t="shared" si="38"/>
        <v>2334</v>
      </c>
      <c r="AA66" s="46">
        <f t="shared" si="38"/>
        <v>2467</v>
      </c>
      <c r="AB66" s="46">
        <f t="shared" si="38"/>
        <v>2554</v>
      </c>
      <c r="AC66" s="46">
        <f t="shared" si="38"/>
        <v>2793</v>
      </c>
      <c r="AD66" s="46">
        <f t="shared" si="38"/>
        <v>2213</v>
      </c>
      <c r="AE66" s="46">
        <f t="shared" si="38"/>
        <v>2493</v>
      </c>
      <c r="AF66" s="46">
        <f t="shared" si="38"/>
        <v>4948</v>
      </c>
      <c r="AG66" s="46">
        <f t="shared" si="38"/>
        <v>4999</v>
      </c>
    </row>
    <row r="67" spans="1:33" x14ac:dyDescent="0.2">
      <c r="A67" s="1" t="s">
        <v>77</v>
      </c>
      <c r="B67" s="47" t="s">
        <v>76</v>
      </c>
      <c r="C67" s="46">
        <f t="shared" ref="C67:K67" si="39">C43</f>
        <v>6702</v>
      </c>
      <c r="D67" s="46">
        <f t="shared" si="39"/>
        <v>7116</v>
      </c>
      <c r="E67" s="46">
        <f t="shared" si="39"/>
        <v>15353</v>
      </c>
      <c r="F67" s="46">
        <f t="shared" si="39"/>
        <v>16043</v>
      </c>
      <c r="G67" s="46">
        <f t="shared" si="39"/>
        <v>18330</v>
      </c>
      <c r="H67" s="46">
        <f t="shared" si="39"/>
        <v>22489</v>
      </c>
      <c r="I67" s="46">
        <f t="shared" si="39"/>
        <v>22511</v>
      </c>
      <c r="J67" s="46">
        <f t="shared" si="39"/>
        <v>21179</v>
      </c>
      <c r="K67" s="46">
        <f t="shared" si="39"/>
        <v>20660</v>
      </c>
      <c r="M67" s="46">
        <f t="shared" ref="M67:AG67" si="40">M43</f>
        <v>15244</v>
      </c>
      <c r="N67" s="46">
        <f t="shared" si="40"/>
        <v>15205</v>
      </c>
      <c r="O67" s="46">
        <f t="shared" si="40"/>
        <v>15651</v>
      </c>
      <c r="P67" s="46">
        <f t="shared" si="40"/>
        <v>16043</v>
      </c>
      <c r="Q67" s="46">
        <f t="shared" si="40"/>
        <v>17638</v>
      </c>
      <c r="R67" s="46">
        <f t="shared" si="40"/>
        <v>17152</v>
      </c>
      <c r="S67" s="46">
        <f t="shared" si="40"/>
        <v>18849</v>
      </c>
      <c r="T67" s="46">
        <f t="shared" si="40"/>
        <v>18330</v>
      </c>
      <c r="U67" s="46">
        <f t="shared" si="40"/>
        <v>19134</v>
      </c>
      <c r="V67" s="46">
        <f t="shared" si="40"/>
        <v>21131</v>
      </c>
      <c r="W67" s="46">
        <f t="shared" si="40"/>
        <v>21545</v>
      </c>
      <c r="X67" s="46">
        <f t="shared" si="40"/>
        <v>22489</v>
      </c>
      <c r="Y67" s="46">
        <f t="shared" si="40"/>
        <v>22829</v>
      </c>
      <c r="Z67" s="46">
        <f t="shared" si="40"/>
        <v>22525</v>
      </c>
      <c r="AA67" s="46">
        <f t="shared" si="40"/>
        <v>22217</v>
      </c>
      <c r="AB67" s="46">
        <f t="shared" si="40"/>
        <v>22511</v>
      </c>
      <c r="AC67" s="46">
        <f t="shared" si="40"/>
        <v>21946</v>
      </c>
      <c r="AD67" s="46">
        <f t="shared" si="40"/>
        <v>21863</v>
      </c>
      <c r="AE67" s="46">
        <f t="shared" si="40"/>
        <v>22274</v>
      </c>
      <c r="AF67" s="46">
        <f t="shared" si="40"/>
        <v>21179</v>
      </c>
      <c r="AG67" s="46">
        <f t="shared" si="40"/>
        <v>20660</v>
      </c>
    </row>
    <row r="68" spans="1:33" x14ac:dyDescent="0.2">
      <c r="A68" s="1" t="s">
        <v>75</v>
      </c>
      <c r="B68" s="47" t="s">
        <v>74</v>
      </c>
      <c r="C68" s="46">
        <f t="shared" ref="C68:K68" si="41">C67+C66</f>
        <v>8220</v>
      </c>
      <c r="D68" s="46">
        <f t="shared" si="41"/>
        <v>8535</v>
      </c>
      <c r="E68" s="46">
        <f t="shared" si="41"/>
        <v>16799</v>
      </c>
      <c r="F68" s="46">
        <f t="shared" si="41"/>
        <v>17720</v>
      </c>
      <c r="G68" s="46">
        <f t="shared" si="41"/>
        <v>20561</v>
      </c>
      <c r="H68" s="46">
        <f t="shared" si="41"/>
        <v>24344</v>
      </c>
      <c r="I68" s="46">
        <f t="shared" si="41"/>
        <v>25065</v>
      </c>
      <c r="J68" s="46">
        <f t="shared" si="41"/>
        <v>26127</v>
      </c>
      <c r="K68" s="46">
        <f t="shared" si="41"/>
        <v>25659</v>
      </c>
      <c r="M68" s="46">
        <f t="shared" ref="M68:AG68" si="42">M67+M66</f>
        <v>16685</v>
      </c>
      <c r="N68" s="46">
        <f t="shared" si="42"/>
        <v>16728</v>
      </c>
      <c r="O68" s="46">
        <f t="shared" si="42"/>
        <v>17090</v>
      </c>
      <c r="P68" s="46">
        <f t="shared" si="42"/>
        <v>17720</v>
      </c>
      <c r="Q68" s="46">
        <f t="shared" si="42"/>
        <v>18922</v>
      </c>
      <c r="R68" s="46">
        <f t="shared" si="42"/>
        <v>18794</v>
      </c>
      <c r="S68" s="46">
        <f t="shared" si="42"/>
        <v>20561</v>
      </c>
      <c r="T68" s="46">
        <f t="shared" si="42"/>
        <v>20561</v>
      </c>
      <c r="U68" s="46">
        <f t="shared" si="42"/>
        <v>21744</v>
      </c>
      <c r="V68" s="46">
        <f t="shared" si="42"/>
        <v>22846</v>
      </c>
      <c r="W68" s="46">
        <f t="shared" si="42"/>
        <v>23343</v>
      </c>
      <c r="X68" s="46">
        <f t="shared" si="42"/>
        <v>24344</v>
      </c>
      <c r="Y68" s="46">
        <f t="shared" si="42"/>
        <v>24543</v>
      </c>
      <c r="Z68" s="46">
        <f t="shared" si="42"/>
        <v>24859</v>
      </c>
      <c r="AA68" s="46">
        <f t="shared" si="42"/>
        <v>24684</v>
      </c>
      <c r="AB68" s="46">
        <f t="shared" si="42"/>
        <v>25065</v>
      </c>
      <c r="AC68" s="46">
        <f t="shared" si="42"/>
        <v>24739</v>
      </c>
      <c r="AD68" s="46">
        <f t="shared" si="42"/>
        <v>24076</v>
      </c>
      <c r="AE68" s="46">
        <f t="shared" si="42"/>
        <v>24767</v>
      </c>
      <c r="AF68" s="46">
        <f t="shared" si="42"/>
        <v>26127</v>
      </c>
      <c r="AG68" s="46">
        <f t="shared" si="42"/>
        <v>25659</v>
      </c>
    </row>
    <row r="69" spans="1:33" x14ac:dyDescent="0.2">
      <c r="A69" s="1" t="s">
        <v>73</v>
      </c>
      <c r="B69" s="47" t="s">
        <v>72</v>
      </c>
      <c r="C69" s="46">
        <f t="shared" ref="C69:K69" si="43">C68-C65</f>
        <v>4219</v>
      </c>
      <c r="D69" s="46">
        <f t="shared" si="43"/>
        <v>4643</v>
      </c>
      <c r="E69" s="46">
        <f t="shared" si="43"/>
        <v>7548</v>
      </c>
      <c r="F69" s="46">
        <f t="shared" si="43"/>
        <v>10417</v>
      </c>
      <c r="G69" s="46">
        <f t="shared" si="43"/>
        <v>14307</v>
      </c>
      <c r="H69" s="46">
        <f t="shared" si="43"/>
        <v>17985</v>
      </c>
      <c r="I69" s="46">
        <f t="shared" si="43"/>
        <v>19999</v>
      </c>
      <c r="J69" s="46">
        <f t="shared" si="43"/>
        <v>21367</v>
      </c>
      <c r="K69" s="46">
        <f t="shared" si="43"/>
        <v>21310</v>
      </c>
      <c r="M69" s="46">
        <f t="shared" ref="M69:AG69" si="44">M68-M65</f>
        <v>7021</v>
      </c>
      <c r="N69" s="46">
        <f t="shared" si="44"/>
        <v>7269</v>
      </c>
      <c r="O69" s="46">
        <f t="shared" si="44"/>
        <v>9191</v>
      </c>
      <c r="P69" s="46">
        <f t="shared" si="44"/>
        <v>10417</v>
      </c>
      <c r="Q69" s="46">
        <f t="shared" si="44"/>
        <v>9749</v>
      </c>
      <c r="R69" s="46">
        <f t="shared" si="44"/>
        <v>9875</v>
      </c>
      <c r="S69" s="46">
        <f t="shared" si="44"/>
        <v>11688</v>
      </c>
      <c r="T69" s="46">
        <f t="shared" si="44"/>
        <v>14307</v>
      </c>
      <c r="U69" s="46">
        <f t="shared" si="44"/>
        <v>14814</v>
      </c>
      <c r="V69" s="46">
        <f t="shared" si="44"/>
        <v>15728</v>
      </c>
      <c r="W69" s="46">
        <f t="shared" si="44"/>
        <v>16588</v>
      </c>
      <c r="X69" s="46">
        <f t="shared" si="44"/>
        <v>17985</v>
      </c>
      <c r="Y69" s="46">
        <f t="shared" si="44"/>
        <v>17867</v>
      </c>
      <c r="Z69" s="46">
        <f t="shared" si="44"/>
        <v>17973</v>
      </c>
      <c r="AA69" s="46">
        <f t="shared" si="44"/>
        <v>18916</v>
      </c>
      <c r="AB69" s="46">
        <f t="shared" si="44"/>
        <v>19999</v>
      </c>
      <c r="AC69" s="46">
        <f t="shared" si="44"/>
        <v>19448</v>
      </c>
      <c r="AD69" s="46">
        <f t="shared" si="44"/>
        <v>19402</v>
      </c>
      <c r="AE69" s="46">
        <f t="shared" si="44"/>
        <v>19912</v>
      </c>
      <c r="AF69" s="46">
        <f t="shared" si="44"/>
        <v>21367</v>
      </c>
      <c r="AG69" s="46">
        <f t="shared" si="44"/>
        <v>21310</v>
      </c>
    </row>
    <row r="70" spans="1:33" x14ac:dyDescent="0.2">
      <c r="A70" s="1" t="s">
        <v>71</v>
      </c>
      <c r="B70" s="47" t="s">
        <v>70</v>
      </c>
      <c r="C70" s="46">
        <f t="shared" ref="C70:K70" si="45">C69+C60</f>
        <v>-2892</v>
      </c>
      <c r="D70" s="46">
        <f t="shared" si="45"/>
        <v>-3344</v>
      </c>
      <c r="E70" s="46">
        <f t="shared" si="45"/>
        <v>4817</v>
      </c>
      <c r="F70" s="46">
        <f t="shared" si="45"/>
        <v>12438</v>
      </c>
      <c r="G70" s="46">
        <f t="shared" si="45"/>
        <v>19942</v>
      </c>
      <c r="H70" s="46">
        <f t="shared" si="45"/>
        <v>21770</v>
      </c>
      <c r="I70" s="46">
        <f t="shared" si="45"/>
        <v>19219</v>
      </c>
      <c r="J70" s="46">
        <f t="shared" si="45"/>
        <v>21198</v>
      </c>
      <c r="K70" s="46">
        <f t="shared" si="45"/>
        <v>20674</v>
      </c>
      <c r="M70" s="46">
        <f t="shared" ref="M70:AG70" si="46">M69+M60</f>
        <v>8116</v>
      </c>
      <c r="N70" s="46">
        <f t="shared" si="46"/>
        <v>11355</v>
      </c>
      <c r="O70" s="46">
        <f t="shared" si="46"/>
        <v>14162</v>
      </c>
      <c r="P70" s="46">
        <f t="shared" si="46"/>
        <v>12438</v>
      </c>
      <c r="Q70" s="46">
        <f t="shared" si="46"/>
        <v>12513</v>
      </c>
      <c r="R70" s="46">
        <f t="shared" si="46"/>
        <v>13511</v>
      </c>
      <c r="S70" s="46">
        <f t="shared" si="46"/>
        <v>15450</v>
      </c>
      <c r="T70" s="46">
        <f t="shared" si="46"/>
        <v>19942</v>
      </c>
      <c r="U70" s="46">
        <f t="shared" si="46"/>
        <v>19524</v>
      </c>
      <c r="V70" s="46">
        <f t="shared" si="46"/>
        <v>20040</v>
      </c>
      <c r="W70" s="46">
        <f t="shared" si="46"/>
        <v>20979</v>
      </c>
      <c r="X70" s="46">
        <f t="shared" si="46"/>
        <v>21770</v>
      </c>
      <c r="Y70" s="46">
        <f t="shared" si="46"/>
        <v>21324</v>
      </c>
      <c r="Z70" s="46">
        <f t="shared" si="46"/>
        <v>21688</v>
      </c>
      <c r="AA70" s="46">
        <f t="shared" si="46"/>
        <v>22864</v>
      </c>
      <c r="AB70" s="46">
        <f t="shared" si="46"/>
        <v>19219</v>
      </c>
      <c r="AC70" s="46">
        <f t="shared" si="46"/>
        <v>18430</v>
      </c>
      <c r="AD70" s="46">
        <f t="shared" si="46"/>
        <v>18533</v>
      </c>
      <c r="AE70" s="46">
        <f t="shared" si="46"/>
        <v>19344</v>
      </c>
      <c r="AF70" s="46">
        <f t="shared" si="46"/>
        <v>21198</v>
      </c>
      <c r="AG70" s="46">
        <f t="shared" si="46"/>
        <v>20674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78"/>
  <sheetViews>
    <sheetView zoomScaleNormal="10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50.7109375" style="1" customWidth="1"/>
    <col min="2" max="2" width="1.7109375" style="2" customWidth="1"/>
    <col min="3" max="4" width="10" style="1" bestFit="1" customWidth="1"/>
    <col min="5" max="6" width="10.5703125" style="1" bestFit="1" customWidth="1"/>
    <col min="7" max="7" width="10" style="1" bestFit="1" customWidth="1"/>
    <col min="8" max="8" width="8.85546875" style="1" bestFit="1" customWidth="1"/>
    <col min="9" max="11" width="8.85546875" style="1" customWidth="1"/>
    <col min="12" max="12" width="9.140625" style="1" customWidth="1"/>
    <col min="13" max="22" width="9.42578125" style="1" customWidth="1"/>
    <col min="23" max="23" width="8.85546875" style="1" customWidth="1"/>
    <col min="24" max="24" width="9.140625" style="1" customWidth="1"/>
    <col min="25" max="27" width="9.42578125" style="1" bestFit="1" customWidth="1"/>
    <col min="28" max="28" width="9.140625" style="1"/>
    <col min="29" max="31" width="9.42578125" style="1" bestFit="1" customWidth="1"/>
    <col min="32" max="32" width="9.42578125" style="1" customWidth="1"/>
    <col min="33" max="33" width="9.42578125" style="1" bestFit="1" customWidth="1"/>
    <col min="34" max="16384" width="9.140625" style="1"/>
  </cols>
  <sheetData>
    <row r="1" spans="1:33" x14ac:dyDescent="0.2">
      <c r="C1" s="43" t="s">
        <v>69</v>
      </c>
      <c r="D1" s="43" t="s">
        <v>68</v>
      </c>
      <c r="E1" s="43" t="s">
        <v>67</v>
      </c>
      <c r="F1" s="43" t="s">
        <v>66</v>
      </c>
      <c r="G1" s="43" t="s">
        <v>65</v>
      </c>
      <c r="H1" s="43" t="s">
        <v>64</v>
      </c>
      <c r="I1" s="43" t="s">
        <v>63</v>
      </c>
      <c r="J1" s="43" t="s">
        <v>62</v>
      </c>
      <c r="K1" s="43" t="s">
        <v>61</v>
      </c>
      <c r="L1" s="44"/>
      <c r="M1" s="43" t="s">
        <v>60</v>
      </c>
      <c r="N1" s="43" t="s">
        <v>59</v>
      </c>
      <c r="O1" s="43" t="s">
        <v>58</v>
      </c>
      <c r="P1" s="43" t="s">
        <v>57</v>
      </c>
      <c r="Q1" s="43" t="s">
        <v>56</v>
      </c>
      <c r="R1" s="43" t="s">
        <v>55</v>
      </c>
      <c r="S1" s="43" t="s">
        <v>54</v>
      </c>
      <c r="T1" s="43" t="s">
        <v>53</v>
      </c>
      <c r="U1" s="43" t="s">
        <v>52</v>
      </c>
      <c r="V1" s="43" t="s">
        <v>51</v>
      </c>
      <c r="W1" s="43" t="s">
        <v>50</v>
      </c>
      <c r="X1" s="43" t="s">
        <v>49</v>
      </c>
      <c r="Y1" s="43" t="s">
        <v>48</v>
      </c>
      <c r="Z1" s="43" t="s">
        <v>47</v>
      </c>
      <c r="AA1" s="43" t="s">
        <v>46</v>
      </c>
      <c r="AB1" s="43" t="s">
        <v>45</v>
      </c>
      <c r="AC1" s="43" t="s">
        <v>44</v>
      </c>
      <c r="AD1" s="43" t="s">
        <v>43</v>
      </c>
      <c r="AE1" s="43" t="s">
        <v>42</v>
      </c>
      <c r="AF1" s="43" t="s">
        <v>41</v>
      </c>
      <c r="AG1" s="43" t="s">
        <v>40</v>
      </c>
    </row>
    <row r="2" spans="1:33" x14ac:dyDescent="0.2">
      <c r="C2" s="41">
        <v>40908</v>
      </c>
      <c r="D2" s="41">
        <v>41274</v>
      </c>
      <c r="E2" s="41">
        <v>41639</v>
      </c>
      <c r="F2" s="41">
        <v>42004</v>
      </c>
      <c r="G2" s="41">
        <v>42369</v>
      </c>
      <c r="H2" s="41">
        <v>42735</v>
      </c>
      <c r="I2" s="41">
        <v>43100</v>
      </c>
      <c r="J2" s="41">
        <v>43465</v>
      </c>
      <c r="K2" s="41"/>
      <c r="L2" s="42"/>
      <c r="M2" s="41">
        <v>41729</v>
      </c>
      <c r="N2" s="41">
        <v>41820</v>
      </c>
      <c r="O2" s="41">
        <v>41912</v>
      </c>
      <c r="P2" s="41">
        <v>42004</v>
      </c>
      <c r="Q2" s="41">
        <v>42094</v>
      </c>
      <c r="R2" s="41">
        <v>42185</v>
      </c>
      <c r="S2" s="41">
        <v>42277</v>
      </c>
      <c r="T2" s="41">
        <v>42369</v>
      </c>
      <c r="U2" s="41">
        <v>42460</v>
      </c>
      <c r="V2" s="41">
        <v>42551</v>
      </c>
      <c r="W2" s="41">
        <v>42643</v>
      </c>
      <c r="X2" s="41">
        <v>42735</v>
      </c>
      <c r="Y2" s="41">
        <v>42825</v>
      </c>
      <c r="Z2" s="41">
        <v>42916</v>
      </c>
      <c r="AA2" s="41">
        <v>43008</v>
      </c>
      <c r="AB2" s="41">
        <v>43100</v>
      </c>
      <c r="AC2" s="41">
        <v>43190</v>
      </c>
      <c r="AD2" s="41">
        <v>43281</v>
      </c>
      <c r="AE2" s="41">
        <v>43373</v>
      </c>
      <c r="AF2" s="41">
        <v>43465</v>
      </c>
      <c r="AG2" s="41">
        <v>43555</v>
      </c>
    </row>
    <row r="3" spans="1:33" s="2" customFormat="1" x14ac:dyDescent="0.2">
      <c r="A3" s="68" t="s">
        <v>39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</row>
    <row r="4" spans="1:33" x14ac:dyDescent="0.2">
      <c r="A4" s="12" t="s">
        <v>210</v>
      </c>
      <c r="B4" s="79"/>
    </row>
    <row r="5" spans="1:33" x14ac:dyDescent="0.2">
      <c r="A5" s="8" t="s">
        <v>209</v>
      </c>
      <c r="B5" s="79"/>
      <c r="C5" s="70">
        <f>[1]CF!D4</f>
        <v>-1979</v>
      </c>
      <c r="D5" s="70">
        <f>[2]CF!D4</f>
        <v>-1876</v>
      </c>
      <c r="E5" s="70">
        <f>[3]CF!D4</f>
        <v>-1834</v>
      </c>
      <c r="F5" s="70">
        <f>[4]CF!D4</f>
        <v>2882</v>
      </c>
      <c r="G5" s="70">
        <f>[5]CF!D4</f>
        <v>7610</v>
      </c>
      <c r="H5" s="70">
        <f>[9]CF!E4</f>
        <v>2584</v>
      </c>
      <c r="I5" s="70">
        <f>[9]CF!D4</f>
        <v>1282</v>
      </c>
      <c r="J5" s="70">
        <f>[9]CF!C4</f>
        <v>1412</v>
      </c>
      <c r="K5" s="91"/>
      <c r="L5" s="7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</row>
    <row r="6" spans="1:33" x14ac:dyDescent="0.2">
      <c r="A6" s="12" t="s">
        <v>208</v>
      </c>
      <c r="B6" s="79"/>
      <c r="C6" s="70"/>
      <c r="D6" s="70"/>
      <c r="E6" s="70"/>
      <c r="F6" s="70"/>
      <c r="G6" s="70"/>
      <c r="H6" s="70"/>
      <c r="I6" s="70"/>
      <c r="J6" s="70"/>
      <c r="K6" s="70"/>
      <c r="L6" s="70"/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</row>
    <row r="7" spans="1:33" x14ac:dyDescent="0.2">
      <c r="A7" s="8" t="s">
        <v>22</v>
      </c>
      <c r="B7" s="74" t="s">
        <v>207</v>
      </c>
      <c r="C7" s="70">
        <f>[1]CF!D6</f>
        <v>1086</v>
      </c>
      <c r="D7" s="70">
        <f>[2]CF!D6</f>
        <v>1015</v>
      </c>
      <c r="E7" s="70">
        <f>[3]CF!D6</f>
        <v>1020</v>
      </c>
      <c r="F7" s="70">
        <f>[4]CF!D6</f>
        <v>1513</v>
      </c>
      <c r="G7" s="70">
        <f>[5]CF!D6</f>
        <v>1609</v>
      </c>
      <c r="H7" s="70">
        <f>[9]CF!E6</f>
        <v>1818</v>
      </c>
      <c r="I7" s="70">
        <f>[9]CF!D6</f>
        <v>2017</v>
      </c>
      <c r="J7" s="70">
        <f>[9]CF!C6</f>
        <v>2159</v>
      </c>
      <c r="K7" s="70"/>
      <c r="L7" s="70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90"/>
      <c r="AG7" s="69"/>
    </row>
    <row r="8" spans="1:33" x14ac:dyDescent="0.2">
      <c r="A8" s="8" t="s">
        <v>206</v>
      </c>
      <c r="B8" s="79"/>
      <c r="C8" s="70">
        <f>[1]CF!D10</f>
        <v>-1</v>
      </c>
      <c r="D8" s="70">
        <f>[2]CF!D10</f>
        <v>-569</v>
      </c>
      <c r="E8" s="70">
        <f>[3]CF!D10</f>
        <v>-324</v>
      </c>
      <c r="F8" s="70">
        <f>[4]CF!D10</f>
        <v>346</v>
      </c>
      <c r="G8" s="70">
        <f>[5]CF!D7</f>
        <v>-3014</v>
      </c>
      <c r="H8" s="70">
        <f>[9]CF!E10</f>
        <v>1556</v>
      </c>
      <c r="I8" s="70">
        <f>[9]CF!D10</f>
        <v>2089</v>
      </c>
      <c r="J8" s="70">
        <f>[9]CF!C10</f>
        <v>440</v>
      </c>
      <c r="K8" s="70"/>
      <c r="L8" s="70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</row>
    <row r="9" spans="1:33" x14ac:dyDescent="0.2">
      <c r="A9" s="8" t="s">
        <v>205</v>
      </c>
      <c r="B9" s="79"/>
      <c r="C9" s="70">
        <f>[1]CF!D7</f>
        <v>-11</v>
      </c>
      <c r="D9" s="70">
        <f>[2]CF!D7</f>
        <v>-14</v>
      </c>
      <c r="E9" s="70"/>
      <c r="F9" s="70">
        <f>[4]CF!D7</f>
        <v>-171</v>
      </c>
      <c r="G9" s="70">
        <f>[5]CF!D8</f>
        <v>-122</v>
      </c>
      <c r="H9" s="70">
        <f>[9]CF!E7</f>
        <v>-119</v>
      </c>
      <c r="I9" s="70">
        <f>[9]CF!D7</f>
        <v>-114</v>
      </c>
      <c r="J9" s="70">
        <f>[9]CF!C7</f>
        <v>-92</v>
      </c>
      <c r="K9" s="70"/>
      <c r="L9" s="70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</row>
    <row r="10" spans="1:33" x14ac:dyDescent="0.2">
      <c r="A10" s="8" t="s">
        <v>204</v>
      </c>
      <c r="B10" s="79"/>
      <c r="C10" s="70">
        <f>[1]CF!D8</f>
        <v>725</v>
      </c>
      <c r="D10" s="70">
        <f>[2]CF!D8</f>
        <v>215</v>
      </c>
      <c r="E10" s="70">
        <f>[3]CF!D8</f>
        <v>95</v>
      </c>
      <c r="F10" s="70">
        <f>[4]CF!D8</f>
        <v>52</v>
      </c>
      <c r="G10" s="70">
        <f>[5]CF!D9</f>
        <v>273</v>
      </c>
      <c r="H10" s="70">
        <f>[9]CF!E8</f>
        <v>270</v>
      </c>
      <c r="I10" s="70">
        <f>[9]CF!D8</f>
        <v>272</v>
      </c>
      <c r="J10" s="70">
        <f>[9]CF!C8</f>
        <v>458</v>
      </c>
      <c r="K10" s="70"/>
      <c r="L10" s="70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3" x14ac:dyDescent="0.2">
      <c r="A11" s="8" t="s">
        <v>203</v>
      </c>
      <c r="B11" s="79"/>
      <c r="C11" s="70">
        <f>[1]CF!D9</f>
        <v>180</v>
      </c>
      <c r="D11" s="70">
        <f>[2]CF!D9</f>
        <v>287</v>
      </c>
      <c r="E11" s="70">
        <f>[3]CF!D9</f>
        <v>-154</v>
      </c>
      <c r="F11" s="70">
        <f>[4]CF!D9</f>
        <v>-163</v>
      </c>
      <c r="G11" s="70">
        <f>[5]CF!D10</f>
        <v>-193</v>
      </c>
      <c r="H11" s="70">
        <f>[9]CF!E9</f>
        <v>-68</v>
      </c>
      <c r="I11" s="70">
        <f>[9]CF!D9</f>
        <v>-132</v>
      </c>
      <c r="J11" s="70">
        <f>[9]CF!C9</f>
        <v>-300</v>
      </c>
      <c r="K11" s="70"/>
      <c r="L11" s="70"/>
      <c r="M11" s="69"/>
      <c r="N11" s="6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</row>
    <row r="12" spans="1:33" x14ac:dyDescent="0.2">
      <c r="A12" s="8" t="s">
        <v>202</v>
      </c>
      <c r="B12" s="79" t="s">
        <v>201</v>
      </c>
      <c r="C12" s="70">
        <f>[1]CF!D11</f>
        <v>40</v>
      </c>
      <c r="D12" s="70">
        <f>[2]CF!D11</f>
        <v>29</v>
      </c>
      <c r="E12" s="70">
        <f>[3]CF!D11</f>
        <v>39</v>
      </c>
      <c r="F12" s="70">
        <f>[4]CF!D11</f>
        <v>304</v>
      </c>
      <c r="G12" s="70">
        <f>[5]CF!D11</f>
        <v>284</v>
      </c>
      <c r="H12" s="70">
        <f>[9]CF!E11</f>
        <v>100</v>
      </c>
      <c r="I12" s="70">
        <f>[9]CF!D11</f>
        <v>90</v>
      </c>
      <c r="J12" s="70">
        <f>[9]CF!C11</f>
        <v>86</v>
      </c>
      <c r="K12" s="70"/>
      <c r="L12" s="70"/>
      <c r="M12" s="69"/>
      <c r="N12" s="6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</row>
    <row r="13" spans="1:33" x14ac:dyDescent="0.2">
      <c r="A13" s="8" t="s">
        <v>200</v>
      </c>
      <c r="B13" s="79"/>
      <c r="C13" s="70">
        <f>[1]CF!D12</f>
        <v>118</v>
      </c>
      <c r="D13" s="70">
        <f>[2]CF!D12</f>
        <v>2066</v>
      </c>
      <c r="E13" s="70">
        <f>[3]CF!D12</f>
        <v>2112</v>
      </c>
      <c r="F13" s="70"/>
      <c r="G13" s="70"/>
      <c r="H13" s="70"/>
      <c r="I13" s="70"/>
      <c r="J13" s="70"/>
      <c r="K13" s="70"/>
      <c r="L13" s="70"/>
      <c r="M13" s="69"/>
      <c r="N13" s="6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</row>
    <row r="14" spans="1:33" x14ac:dyDescent="0.2">
      <c r="A14" s="8" t="s">
        <v>199</v>
      </c>
      <c r="B14" s="79"/>
      <c r="C14" s="70">
        <f>[1]CF!D13</f>
        <v>0</v>
      </c>
      <c r="D14" s="70"/>
      <c r="E14" s="70">
        <f>[3]CF!D13</f>
        <v>181</v>
      </c>
      <c r="F14" s="70"/>
      <c r="G14" s="70"/>
      <c r="H14" s="70"/>
      <c r="I14" s="70"/>
      <c r="J14" s="70"/>
      <c r="K14" s="70"/>
      <c r="L14" s="70"/>
      <c r="M14" s="69"/>
      <c r="N14" s="6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</row>
    <row r="15" spans="1:33" x14ac:dyDescent="0.2">
      <c r="A15" s="8" t="s">
        <v>198</v>
      </c>
      <c r="B15" s="79"/>
      <c r="C15" s="70">
        <f>[1]CF!D14</f>
        <v>87</v>
      </c>
      <c r="D15" s="70">
        <f>[2]CF!D14</f>
        <v>22</v>
      </c>
      <c r="E15" s="70">
        <f>[3]CF!D14</f>
        <v>-76</v>
      </c>
      <c r="F15" s="70">
        <f>[4]CF!D12</f>
        <v>3</v>
      </c>
      <c r="G15" s="70">
        <f>[5]CF!D12</f>
        <v>-12</v>
      </c>
      <c r="H15" s="70">
        <f>[9]CF!E12</f>
        <v>-18</v>
      </c>
      <c r="I15" s="70">
        <f>[9]CF!D12</f>
        <v>-39</v>
      </c>
      <c r="J15" s="70">
        <f>[9]CF!C12</f>
        <v>-64</v>
      </c>
      <c r="K15" s="73"/>
      <c r="L15" s="70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</row>
    <row r="16" spans="1:33" x14ac:dyDescent="0.2">
      <c r="A16" s="12" t="s">
        <v>197</v>
      </c>
      <c r="B16" s="79"/>
      <c r="C16" s="70"/>
      <c r="D16" s="70"/>
      <c r="E16" s="70"/>
      <c r="F16" s="70"/>
      <c r="G16" s="70"/>
      <c r="H16" s="70"/>
      <c r="I16" s="70"/>
      <c r="J16" s="70"/>
      <c r="K16" s="73"/>
      <c r="L16" s="70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</row>
    <row r="17" spans="1:33" x14ac:dyDescent="0.2">
      <c r="A17" s="8" t="s">
        <v>196</v>
      </c>
      <c r="B17" s="79"/>
      <c r="C17" s="70">
        <f>[1]CF!D16</f>
        <v>-164</v>
      </c>
      <c r="D17" s="70">
        <f>[2]CF!D16</f>
        <v>-222</v>
      </c>
      <c r="E17" s="70">
        <f>[3]CF!D16</f>
        <v>-93</v>
      </c>
      <c r="F17" s="70">
        <f>[4]CF!D14</f>
        <v>-160</v>
      </c>
      <c r="G17" s="70">
        <f>[5]CF!D14</f>
        <v>352</v>
      </c>
      <c r="H17" s="70">
        <f>[9]CF!E14</f>
        <v>-160</v>
      </c>
      <c r="I17" s="70">
        <f>[9]CF!D14</f>
        <v>-190</v>
      </c>
      <c r="J17" s="70">
        <f>[9]CF!C14</f>
        <v>222</v>
      </c>
      <c r="K17" s="73"/>
      <c r="L17" s="70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</row>
    <row r="18" spans="1:33" x14ac:dyDescent="0.2">
      <c r="A18" s="8" t="s">
        <v>195</v>
      </c>
      <c r="B18" s="79"/>
      <c r="C18" s="70">
        <f>[1]CF!D17</f>
        <v>-146</v>
      </c>
      <c r="D18" s="70">
        <f>[2]CF!D17</f>
        <v>-133</v>
      </c>
      <c r="E18" s="70">
        <f>[3]CF!D17</f>
        <v>-29</v>
      </c>
      <c r="F18" s="70">
        <f>[4]CF!D15</f>
        <v>-168</v>
      </c>
      <c r="G18" s="70">
        <f>[5]CF!D15</f>
        <v>-27</v>
      </c>
      <c r="H18" s="70">
        <f>[9]CF!E15</f>
        <v>-184</v>
      </c>
      <c r="I18" s="70">
        <f>[9]CF!D15</f>
        <v>-433</v>
      </c>
      <c r="J18" s="70">
        <f>[9]CF!C15</f>
        <v>-390</v>
      </c>
      <c r="K18" s="73"/>
      <c r="L18" s="70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</row>
    <row r="19" spans="1:33" x14ac:dyDescent="0.2">
      <c r="A19" s="8" t="s">
        <v>194</v>
      </c>
      <c r="B19" s="79"/>
      <c r="C19" s="70">
        <f>[1]CF!D18</f>
        <v>-73</v>
      </c>
      <c r="D19" s="70">
        <f>[2]CF!D18</f>
        <v>-1</v>
      </c>
      <c r="E19" s="70">
        <f>[3]CF!D18</f>
        <v>1</v>
      </c>
      <c r="F19" s="70"/>
      <c r="G19" s="70"/>
      <c r="H19" s="70"/>
      <c r="I19" s="70"/>
      <c r="J19" s="70"/>
      <c r="K19" s="73"/>
      <c r="L19" s="70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</row>
    <row r="20" spans="1:33" x14ac:dyDescent="0.2">
      <c r="A20" s="8" t="s">
        <v>193</v>
      </c>
      <c r="B20" s="79"/>
      <c r="C20" s="70">
        <f>[1]CF!D19</f>
        <v>189</v>
      </c>
      <c r="D20" s="70">
        <f>[2]CF!D19</f>
        <v>449</v>
      </c>
      <c r="E20" s="70">
        <f>[3]CF!D19</f>
        <v>71</v>
      </c>
      <c r="F20" s="70">
        <f>[4]CF!D16</f>
        <v>110</v>
      </c>
      <c r="G20" s="70">
        <f>[5]CF!D16</f>
        <v>173</v>
      </c>
      <c r="H20" s="70">
        <f>[9]CF!E16</f>
        <v>307</v>
      </c>
      <c r="I20" s="70">
        <f>[9]CF!D16</f>
        <v>299</v>
      </c>
      <c r="J20" s="70">
        <f>[9]CF!C16</f>
        <v>-147</v>
      </c>
      <c r="K20" s="73"/>
      <c r="L20" s="70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</row>
    <row r="21" spans="1:33" x14ac:dyDescent="0.2">
      <c r="A21" s="8" t="s">
        <v>192</v>
      </c>
      <c r="B21" s="79"/>
      <c r="C21" s="70">
        <f>[1]CF!D20</f>
        <v>374</v>
      </c>
      <c r="D21" s="70">
        <f>[2]CF!D20</f>
        <v>161</v>
      </c>
      <c r="E21" s="70">
        <f>[3]CF!D20</f>
        <v>150</v>
      </c>
      <c r="F21" s="70">
        <f>[4]CF!D17</f>
        <v>-97</v>
      </c>
      <c r="G21" s="70">
        <f>[5]CF!D17</f>
        <v>-505</v>
      </c>
      <c r="H21" s="70">
        <f>[23]Sheet1!F4054</f>
        <v>158</v>
      </c>
      <c r="I21" s="70">
        <f>[23]Sheet1!D4054</f>
        <v>65</v>
      </c>
      <c r="J21" s="70">
        <f>[23]Sheet1!C4054</f>
        <v>297</v>
      </c>
      <c r="K21" s="73"/>
      <c r="L21" s="70"/>
      <c r="M21" s="69"/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</row>
    <row r="22" spans="1:33" x14ac:dyDescent="0.2">
      <c r="A22" s="8" t="s">
        <v>191</v>
      </c>
      <c r="B22" s="79"/>
      <c r="C22" s="70">
        <f>[1]CF!D21</f>
        <v>193</v>
      </c>
      <c r="D22" s="70">
        <f>[2]CF!D21</f>
        <v>140</v>
      </c>
      <c r="E22" s="70">
        <f>[3]CF!D21</f>
        <v>38</v>
      </c>
      <c r="F22" s="70">
        <f>[4]CF!D18</f>
        <v>-229</v>
      </c>
      <c r="G22" s="70">
        <f>[5]CF!D18</f>
        <v>-295</v>
      </c>
      <c r="H22" s="70">
        <f>[23]Sheet1!F4055</f>
        <v>417</v>
      </c>
      <c r="I22" s="70">
        <f>[23]Sheet1!D4055</f>
        <v>-308</v>
      </c>
      <c r="J22" s="70">
        <f>[23]Sheet1!C4055</f>
        <v>-283</v>
      </c>
      <c r="K22" s="73"/>
      <c r="L22" s="70"/>
      <c r="M22" s="69"/>
      <c r="N22" s="6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</row>
    <row r="23" spans="1:33" x14ac:dyDescent="0.2">
      <c r="A23" s="8" t="s">
        <v>190</v>
      </c>
      <c r="B23" s="79"/>
      <c r="C23" s="70">
        <f>[1]CF!D22</f>
        <v>125</v>
      </c>
      <c r="D23" s="70">
        <f>[2]CF!D22</f>
        <v>-277</v>
      </c>
      <c r="E23" s="70">
        <f>[3]CF!D22</f>
        <v>-494</v>
      </c>
      <c r="F23" s="70">
        <f>[4]CF!D19</f>
        <v>-810</v>
      </c>
      <c r="G23" s="70">
        <f>[5]CF!D19</f>
        <v>-6</v>
      </c>
      <c r="H23" s="70">
        <f>[9]CF!E17</f>
        <v>-32</v>
      </c>
      <c r="I23" s="70">
        <f>[9]CF!D17</f>
        <v>-286</v>
      </c>
      <c r="J23" s="70">
        <f>[9]CF!C17</f>
        <v>-475</v>
      </c>
      <c r="K23" s="73"/>
      <c r="L23" s="70"/>
      <c r="M23" s="69"/>
      <c r="N23" s="6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</row>
    <row r="24" spans="1:33" s="32" customFormat="1" x14ac:dyDescent="0.2">
      <c r="A24" s="30" t="s">
        <v>189</v>
      </c>
      <c r="B24" s="79"/>
      <c r="C24" s="86"/>
      <c r="D24" s="86">
        <f>[2]CF!D23</f>
        <v>-7</v>
      </c>
      <c r="E24" s="86">
        <f>[3]CF!D23</f>
        <v>-28</v>
      </c>
      <c r="F24" s="86">
        <f>[4]CF!D20</f>
        <v>-332</v>
      </c>
      <c r="G24" s="86">
        <f>[5]CF!D20</f>
        <v>122</v>
      </c>
      <c r="H24" s="86">
        <f>[9]CF!E18</f>
        <v>-105</v>
      </c>
      <c r="I24" s="86">
        <f>[9]CF!D18</f>
        <v>132</v>
      </c>
      <c r="J24" s="86">
        <f>[9]CF!C18</f>
        <v>210</v>
      </c>
      <c r="K24" s="87"/>
      <c r="L24" s="86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1:33" s="32" customFormat="1" x14ac:dyDescent="0.2">
      <c r="A25" s="30" t="s">
        <v>188</v>
      </c>
      <c r="B25" s="79" t="s">
        <v>187</v>
      </c>
      <c r="C25" s="87">
        <f t="shared" ref="C25:J25" si="0">SUM(C17:C24)</f>
        <v>498</v>
      </c>
      <c r="D25" s="87">
        <f t="shared" si="0"/>
        <v>110</v>
      </c>
      <c r="E25" s="87">
        <f t="shared" si="0"/>
        <v>-384</v>
      </c>
      <c r="F25" s="87">
        <f t="shared" si="0"/>
        <v>-1686</v>
      </c>
      <c r="G25" s="87">
        <f t="shared" si="0"/>
        <v>-186</v>
      </c>
      <c r="H25" s="87">
        <f t="shared" si="0"/>
        <v>401</v>
      </c>
      <c r="I25" s="87">
        <f t="shared" si="0"/>
        <v>-721</v>
      </c>
      <c r="J25" s="87">
        <f t="shared" si="0"/>
        <v>-566</v>
      </c>
      <c r="K25" s="87"/>
      <c r="L25" s="86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</row>
    <row r="26" spans="1:33" s="11" customFormat="1" x14ac:dyDescent="0.2">
      <c r="A26" s="12" t="s">
        <v>186</v>
      </c>
      <c r="B26" s="74" t="s">
        <v>185</v>
      </c>
      <c r="C26" s="82">
        <f>[1]CF!D23</f>
        <v>743</v>
      </c>
      <c r="D26" s="82">
        <f>[2]CF!D24</f>
        <v>1285</v>
      </c>
      <c r="E26" s="82">
        <f>[3]CF!D24</f>
        <v>675</v>
      </c>
      <c r="F26" s="82">
        <f>[4]CF!D21</f>
        <v>3080</v>
      </c>
      <c r="G26" s="82">
        <f>[5]CF!D21</f>
        <v>6249</v>
      </c>
      <c r="H26" s="82">
        <f>[9]CF!E19</f>
        <v>6524</v>
      </c>
      <c r="I26" s="82">
        <f>[9]CF!D19</f>
        <v>4744</v>
      </c>
      <c r="J26" s="82">
        <f>[9]CF!C19</f>
        <v>3533</v>
      </c>
      <c r="K26" s="83">
        <f>SUM(AD26:AG26)</f>
        <v>3384</v>
      </c>
      <c r="L26" s="82"/>
      <c r="M26" s="80">
        <v>1256</v>
      </c>
      <c r="N26" s="80">
        <v>1381</v>
      </c>
      <c r="O26" s="80">
        <v>-361</v>
      </c>
      <c r="P26" s="80">
        <v>804</v>
      </c>
      <c r="Q26" s="80">
        <v>2494</v>
      </c>
      <c r="R26" s="80">
        <v>2347</v>
      </c>
      <c r="S26" s="80">
        <v>1180</v>
      </c>
      <c r="T26" s="80">
        <v>228</v>
      </c>
      <c r="U26" s="80">
        <f>[6]CF!C3</f>
        <v>2620</v>
      </c>
      <c r="V26" s="80">
        <f>[7]CF!C3-U26</f>
        <v>2213</v>
      </c>
      <c r="W26" s="80">
        <f>[8]CF!C3-V26-U26</f>
        <v>1064</v>
      </c>
      <c r="X26" s="81">
        <f>H26-U26-V26-W26</f>
        <v>627</v>
      </c>
      <c r="Y26" s="80">
        <f>[10]CF!D3</f>
        <v>2250</v>
      </c>
      <c r="Z26" s="80">
        <f>[11]CF!D3-Y26</f>
        <v>1688</v>
      </c>
      <c r="AA26" s="80">
        <f>[12]CF!D3-Z26-Y26</f>
        <v>369</v>
      </c>
      <c r="AB26" s="81">
        <f>I26-Y26-Z26-AA26</f>
        <v>437</v>
      </c>
      <c r="AC26" s="80">
        <f>[14]CF!D3</f>
        <v>1800</v>
      </c>
      <c r="AD26" s="80">
        <f>[11]CF!C3-AC26</f>
        <v>1083</v>
      </c>
      <c r="AE26" s="80">
        <f>[12]CF!C3-AD26-AC26</f>
        <v>-79</v>
      </c>
      <c r="AF26" s="81">
        <f>J26-AC26-AD26-AE26</f>
        <v>729</v>
      </c>
      <c r="AG26" s="80">
        <f>[14]CF!C3</f>
        <v>1651</v>
      </c>
    </row>
    <row r="27" spans="1:33" s="9" customFormat="1" x14ac:dyDescent="0.2">
      <c r="A27" s="22" t="s">
        <v>6</v>
      </c>
      <c r="B27" s="77"/>
      <c r="C27" s="76">
        <f t="shared" ref="C27:J27" si="1">SUM(C17:C24,C7:C15,C5)-C26</f>
        <v>0</v>
      </c>
      <c r="D27" s="76">
        <f t="shared" si="1"/>
        <v>0</v>
      </c>
      <c r="E27" s="76">
        <f t="shared" si="1"/>
        <v>0</v>
      </c>
      <c r="F27" s="76">
        <f t="shared" si="1"/>
        <v>0</v>
      </c>
      <c r="G27" s="76">
        <f t="shared" si="1"/>
        <v>0</v>
      </c>
      <c r="H27" s="76">
        <f t="shared" si="1"/>
        <v>0</v>
      </c>
      <c r="I27" s="76">
        <f t="shared" si="1"/>
        <v>0</v>
      </c>
      <c r="J27" s="76">
        <f t="shared" si="1"/>
        <v>0</v>
      </c>
      <c r="K27" s="76"/>
      <c r="L27" s="76"/>
    </row>
    <row r="28" spans="1:33" s="9" customFormat="1" x14ac:dyDescent="0.2">
      <c r="A28" s="12" t="s">
        <v>184</v>
      </c>
      <c r="B28" s="77"/>
      <c r="C28" s="70" t="str">
        <f>[1]CF!D24</f>
        <v>'</v>
      </c>
      <c r="D28" s="70"/>
      <c r="E28" s="70"/>
      <c r="F28" s="70"/>
      <c r="G28" s="70"/>
      <c r="H28" s="70"/>
      <c r="I28" s="70"/>
      <c r="J28" s="70"/>
      <c r="K28" s="73"/>
      <c r="L28" s="70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</row>
    <row r="29" spans="1:33" x14ac:dyDescent="0.2">
      <c r="A29" s="8" t="s">
        <v>183</v>
      </c>
      <c r="B29" s="74" t="s">
        <v>182</v>
      </c>
      <c r="C29" s="70">
        <f>[1]CF!D25</f>
        <v>-1610</v>
      </c>
      <c r="D29" s="70">
        <f>[2]CF!D26</f>
        <v>-1888</v>
      </c>
      <c r="E29" s="70">
        <f>[3]CF!D26</f>
        <v>-3114</v>
      </c>
      <c r="F29" s="70">
        <f>[4]CF!D23</f>
        <v>-5311</v>
      </c>
      <c r="G29" s="70">
        <f>[5]CF!D23</f>
        <v>-6151</v>
      </c>
      <c r="H29" s="70">
        <f>[9]CF!E21</f>
        <v>-5731</v>
      </c>
      <c r="I29" s="70">
        <f>[9]CF!D21</f>
        <v>-5971</v>
      </c>
      <c r="J29" s="70">
        <f>[9]CF!C21</f>
        <v>-3745</v>
      </c>
      <c r="K29" s="73">
        <f>SUM(AD29:AG29)</f>
        <v>-4271</v>
      </c>
      <c r="L29" s="70"/>
      <c r="M29" s="69">
        <v>-1047</v>
      </c>
      <c r="N29" s="69">
        <v>-1631</v>
      </c>
      <c r="O29" s="69">
        <v>-1328</v>
      </c>
      <c r="P29" s="69">
        <v>-1305</v>
      </c>
      <c r="Q29" s="69">
        <v>-1409</v>
      </c>
      <c r="R29" s="69">
        <v>-1730</v>
      </c>
      <c r="S29" s="69">
        <v>-1482</v>
      </c>
      <c r="T29" s="69">
        <v>-1530</v>
      </c>
      <c r="U29" s="69">
        <f>[6]CF!C5</f>
        <v>-1557</v>
      </c>
      <c r="V29" s="69">
        <f>[7]CF!C5-U29</f>
        <v>-1506</v>
      </c>
      <c r="W29" s="69">
        <f>[8]CF!C5-V29-U29</f>
        <v>-1208</v>
      </c>
      <c r="X29" s="78">
        <f>H29-U29-V29-W29</f>
        <v>-1460</v>
      </c>
      <c r="Y29" s="69">
        <f>[10]CF!D5</f>
        <v>-1714</v>
      </c>
      <c r="Z29" s="69">
        <f>[11]CF!D5-Y29</f>
        <v>-1480</v>
      </c>
      <c r="AA29" s="69">
        <f>[12]CF!D5-Z29-Y29</f>
        <v>-1369</v>
      </c>
      <c r="AB29" s="78">
        <f>I29-Y29-Z29-AA29</f>
        <v>-1408</v>
      </c>
      <c r="AC29" s="69">
        <f>[14]CF!D5</f>
        <v>-779</v>
      </c>
      <c r="AD29" s="69">
        <f>[11]CF!C5-AC29</f>
        <v>-952</v>
      </c>
      <c r="AE29" s="69">
        <f>[12]CF!C5-AD29-AC29</f>
        <v>-1005</v>
      </c>
      <c r="AF29" s="78">
        <f>J29-AC29-AD29-AE29</f>
        <v>-1009</v>
      </c>
      <c r="AG29" s="69">
        <f>[14]CF!C5</f>
        <v>-1305</v>
      </c>
    </row>
    <row r="30" spans="1:33" x14ac:dyDescent="0.2">
      <c r="A30" s="8" t="s">
        <v>181</v>
      </c>
      <c r="B30" s="79"/>
      <c r="C30" s="70"/>
      <c r="D30" s="70"/>
      <c r="E30" s="70">
        <f>[3]CF!D27</f>
        <v>206</v>
      </c>
      <c r="F30" s="70"/>
      <c r="G30" s="70"/>
      <c r="H30" s="70"/>
      <c r="I30" s="70"/>
      <c r="J30" s="70"/>
      <c r="K30" s="73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8"/>
      <c r="Y30" s="70"/>
      <c r="Z30" s="70"/>
      <c r="AA30" s="70"/>
      <c r="AB30" s="78"/>
      <c r="AC30" s="70"/>
      <c r="AD30" s="70"/>
      <c r="AE30" s="70"/>
      <c r="AF30" s="78"/>
      <c r="AG30" s="70"/>
    </row>
    <row r="31" spans="1:33" x14ac:dyDescent="0.2">
      <c r="A31" s="8" t="s">
        <v>180</v>
      </c>
      <c r="B31" s="79"/>
      <c r="C31" s="70"/>
      <c r="D31" s="70"/>
      <c r="E31" s="70"/>
      <c r="F31" s="70"/>
      <c r="G31" s="70">
        <f>[5]CF!D24</f>
        <v>35</v>
      </c>
      <c r="H31" s="70">
        <f>[9]CF!E22</f>
        <v>125</v>
      </c>
      <c r="I31" s="70">
        <f>[9]CF!D22</f>
        <v>947</v>
      </c>
      <c r="J31" s="70">
        <f>[9]CF!C22</f>
        <v>1207</v>
      </c>
      <c r="K31" s="73">
        <f>SUM(AD31:AG31)</f>
        <v>1544</v>
      </c>
      <c r="L31" s="70"/>
      <c r="M31" s="69">
        <v>3</v>
      </c>
      <c r="N31" s="69">
        <v>6</v>
      </c>
      <c r="O31" s="69">
        <v>15</v>
      </c>
      <c r="P31" s="69">
        <v>9</v>
      </c>
      <c r="Q31" s="69"/>
      <c r="R31" s="69">
        <v>22</v>
      </c>
      <c r="S31" s="69">
        <v>1</v>
      </c>
      <c r="T31" s="69">
        <v>12</v>
      </c>
      <c r="U31" s="69">
        <f>[6]CF!C9</f>
        <v>4</v>
      </c>
      <c r="V31" s="69">
        <f>[7]CF!C9-U31</f>
        <v>28</v>
      </c>
      <c r="W31" s="69">
        <f>[8]CF!C10-V31-U31</f>
        <v>28</v>
      </c>
      <c r="X31" s="78">
        <f>H31-U31-V31-W31</f>
        <v>65</v>
      </c>
      <c r="Y31" s="69">
        <f>[10]CF!D6</f>
        <v>32</v>
      </c>
      <c r="Z31" s="69">
        <f>[11]CF!D6-Y31</f>
        <v>281</v>
      </c>
      <c r="AA31" s="69">
        <f>[12]CF!D6-Z31-Y31</f>
        <v>518</v>
      </c>
      <c r="AB31" s="78">
        <f>I31-Y31-Z31-AA31</f>
        <v>116</v>
      </c>
      <c r="AC31" s="69">
        <f>[14]CF!D6</f>
        <v>22</v>
      </c>
      <c r="AD31" s="69">
        <f>[11]CF!C6-AC31</f>
        <v>236</v>
      </c>
      <c r="AE31" s="69">
        <f>[12]CF!C6-AD31-AC31</f>
        <v>602</v>
      </c>
      <c r="AF31" s="78">
        <f>J31-AC31-AD31-AE31</f>
        <v>347</v>
      </c>
      <c r="AG31" s="69">
        <f>[14]CF!C6</f>
        <v>359</v>
      </c>
    </row>
    <row r="32" spans="1:33" x14ac:dyDescent="0.2">
      <c r="A32" s="8" t="s">
        <v>179</v>
      </c>
      <c r="B32" s="79"/>
      <c r="C32" s="70">
        <f>[1]CF!D27</f>
        <v>-2918</v>
      </c>
      <c r="D32" s="70">
        <f>[2]CF!D28</f>
        <v>-1078</v>
      </c>
      <c r="E32" s="70">
        <f>[3]CF!D28</f>
        <v>-3342</v>
      </c>
      <c r="F32" s="70">
        <f>[4]CF!D24</f>
        <v>-5380</v>
      </c>
      <c r="G32" s="70">
        <f>[5]CF!D25</f>
        <v>-8126</v>
      </c>
      <c r="H32" s="70">
        <f>[9]CF!E23</f>
        <v>-6241</v>
      </c>
      <c r="I32" s="70">
        <f>[9]CF!D23</f>
        <v>-4633</v>
      </c>
      <c r="J32" s="70">
        <f>[9]CF!C23</f>
        <v>-3412</v>
      </c>
      <c r="K32" s="73">
        <f>SUM(AD32:AG32)</f>
        <v>-2730</v>
      </c>
      <c r="L32" s="70"/>
      <c r="M32" s="69">
        <v>-1176</v>
      </c>
      <c r="N32" s="69">
        <v>-685</v>
      </c>
      <c r="O32" s="69">
        <v>-1742</v>
      </c>
      <c r="P32" s="69">
        <v>-1777</v>
      </c>
      <c r="Q32" s="69">
        <v>-3474</v>
      </c>
      <c r="R32" s="69">
        <v>-1619</v>
      </c>
      <c r="S32" s="69">
        <v>-2624</v>
      </c>
      <c r="T32" s="69">
        <v>-409</v>
      </c>
      <c r="U32" s="69">
        <f>[6]CF!C6</f>
        <v>-1715</v>
      </c>
      <c r="V32" s="69">
        <f>[7]CF!C6-U32</f>
        <v>-1890</v>
      </c>
      <c r="W32" s="69">
        <f>[8]CF!C6-V32-U32</f>
        <v>-1473</v>
      </c>
      <c r="X32" s="78">
        <f>H32-U32-V32-W32</f>
        <v>-1163</v>
      </c>
      <c r="Y32" s="69">
        <f>[10]CF!D7</f>
        <v>-1922</v>
      </c>
      <c r="Z32" s="69">
        <f>[11]CF!D7-Y32</f>
        <v>-1907</v>
      </c>
      <c r="AA32" s="69">
        <f>[12]CF!D7-Z32-Y32</f>
        <v>-264</v>
      </c>
      <c r="AB32" s="78">
        <f>I32-Y32-Z32-AA32</f>
        <v>-540</v>
      </c>
      <c r="AC32" s="69">
        <f>[14]CF!D7</f>
        <v>-1252</v>
      </c>
      <c r="AD32" s="69">
        <f>[11]CF!C7-AC32</f>
        <v>68</v>
      </c>
      <c r="AE32" s="69">
        <f>[12]CF!C7-AD32-AC32</f>
        <v>-1406</v>
      </c>
      <c r="AF32" s="78">
        <f>J32-AC32-AD32-AE32</f>
        <v>-822</v>
      </c>
      <c r="AG32" s="69">
        <f>[14]CF!C7</f>
        <v>-570</v>
      </c>
    </row>
    <row r="33" spans="1:33" x14ac:dyDescent="0.2">
      <c r="A33" s="8" t="s">
        <v>178</v>
      </c>
      <c r="B33" s="79"/>
      <c r="C33" s="70">
        <f>[1]CF!D28</f>
        <v>3528</v>
      </c>
      <c r="D33" s="70">
        <f>[2]CF!D29</f>
        <v>1384</v>
      </c>
      <c r="E33" s="70">
        <f>[3]CF!D29</f>
        <v>2161</v>
      </c>
      <c r="F33" s="70">
        <f>[4]CF!D25</f>
        <v>7179</v>
      </c>
      <c r="G33" s="70">
        <f>[5]CF!D26</f>
        <v>8517</v>
      </c>
      <c r="H33" s="70">
        <f>[9]CF!E24</f>
        <v>6092</v>
      </c>
      <c r="I33" s="70">
        <f>[9]CF!D24</f>
        <v>5915</v>
      </c>
      <c r="J33" s="70">
        <f>[9]CF!C24</f>
        <v>3705</v>
      </c>
      <c r="K33" s="73">
        <f>SUM(AD33:AG33)</f>
        <v>3727</v>
      </c>
      <c r="L33" s="70"/>
      <c r="M33" s="69">
        <v>882</v>
      </c>
      <c r="N33" s="69">
        <v>841</v>
      </c>
      <c r="O33" s="69">
        <v>3270</v>
      </c>
      <c r="P33" s="69">
        <v>2186</v>
      </c>
      <c r="Q33" s="69">
        <v>1660</v>
      </c>
      <c r="R33" s="69">
        <v>1776</v>
      </c>
      <c r="S33" s="69">
        <v>2731</v>
      </c>
      <c r="T33" s="69">
        <v>2350</v>
      </c>
      <c r="U33" s="69">
        <f>[6]CF!C7</f>
        <v>1150</v>
      </c>
      <c r="V33" s="69">
        <f>[7]CF!C7-U33</f>
        <v>1660</v>
      </c>
      <c r="W33" s="69">
        <f>[8]CF!C7-V33-U33</f>
        <v>1777</v>
      </c>
      <c r="X33" s="78">
        <f>H33-U33-V33-W33</f>
        <v>1505</v>
      </c>
      <c r="Y33" s="69">
        <f>[10]CF!D8</f>
        <v>1660</v>
      </c>
      <c r="Z33" s="69">
        <f>[11]CF!D8-Y33</f>
        <v>1713</v>
      </c>
      <c r="AA33" s="69">
        <f>[12]CF!D8-Z33-Y33</f>
        <v>1341</v>
      </c>
      <c r="AB33" s="78">
        <f>I33-Y33-Z33-AA33</f>
        <v>1201</v>
      </c>
      <c r="AC33" s="69">
        <f>[14]CF!D8</f>
        <v>1029</v>
      </c>
      <c r="AD33" s="69">
        <f>[11]CF!C8-AC33</f>
        <v>550</v>
      </c>
      <c r="AE33" s="69">
        <f>[12]CF!C8-AD33-AC33</f>
        <v>1237</v>
      </c>
      <c r="AF33" s="78">
        <f>J33-AC33-AD33-AE33</f>
        <v>889</v>
      </c>
      <c r="AG33" s="69">
        <f>[14]CF!C8</f>
        <v>1051</v>
      </c>
    </row>
    <row r="34" spans="1:33" x14ac:dyDescent="0.2">
      <c r="A34" s="8" t="s">
        <v>177</v>
      </c>
      <c r="B34" s="79"/>
      <c r="C34" s="70">
        <f>[1]CF!D29</f>
        <v>-288</v>
      </c>
      <c r="D34" s="70">
        <f>[2]CF!D30</f>
        <v>-112</v>
      </c>
      <c r="E34" s="70">
        <f>[3]CF!D30</f>
        <v>147</v>
      </c>
      <c r="F34" s="70">
        <f>[4]CF!D26</f>
        <v>261</v>
      </c>
      <c r="G34" s="70">
        <f>[5]CF!D27</f>
        <v>79</v>
      </c>
      <c r="H34" s="70">
        <f>[9]CF!E26</f>
        <v>53</v>
      </c>
      <c r="I34" s="70">
        <f>[9]CF!D26</f>
        <v>309</v>
      </c>
      <c r="J34" s="70">
        <f>[9]CF!C26</f>
        <v>72</v>
      </c>
      <c r="K34" s="73">
        <f>SUM(AD34:AG34)</f>
        <v>47</v>
      </c>
      <c r="L34" s="70"/>
      <c r="M34" s="69">
        <v>88</v>
      </c>
      <c r="N34" s="69">
        <v>65</v>
      </c>
      <c r="O34" s="69">
        <v>7</v>
      </c>
      <c r="P34" s="69">
        <v>101</v>
      </c>
      <c r="Q34" s="69">
        <v>17</v>
      </c>
      <c r="R34" s="69">
        <v>10</v>
      </c>
      <c r="S34" s="69">
        <v>37</v>
      </c>
      <c r="T34" s="69">
        <v>15</v>
      </c>
      <c r="U34" s="69">
        <f>[6]CF!C8</f>
        <v>4</v>
      </c>
      <c r="V34" s="69">
        <f>[7]CF!C8-U34</f>
        <v>51</v>
      </c>
      <c r="W34" s="69">
        <f>[8]CF!C9-V34-U34</f>
        <v>5</v>
      </c>
      <c r="X34" s="78">
        <f>H34-U34-V34-W34</f>
        <v>-7</v>
      </c>
      <c r="Y34" s="69">
        <f>[10]CF!D9</f>
        <v>74</v>
      </c>
      <c r="Z34" s="69">
        <f>[11]CF!D9-Y34</f>
        <v>-1</v>
      </c>
      <c r="AA34" s="69">
        <f>[12]CF!D9-Z34-Y34</f>
        <v>162</v>
      </c>
      <c r="AB34" s="78">
        <f>I34-Y34-Z34-AA34</f>
        <v>74</v>
      </c>
      <c r="AC34" s="69">
        <f>[14]CF!D9</f>
        <v>24</v>
      </c>
      <c r="AD34" s="69">
        <f>[11]CF!C9-AC34</f>
        <v>19</v>
      </c>
      <c r="AE34" s="69">
        <f>[12]CF!C9-AD34-AC34</f>
        <v>29</v>
      </c>
      <c r="AF34" s="78">
        <f>J34-AC34-AD34-AE34</f>
        <v>0</v>
      </c>
      <c r="AG34" s="69">
        <f>[14]CF!C9</f>
        <v>-1</v>
      </c>
    </row>
    <row r="35" spans="1:33" x14ac:dyDescent="0.2">
      <c r="A35" s="8" t="s">
        <v>176</v>
      </c>
      <c r="B35" s="79"/>
      <c r="C35" s="70"/>
      <c r="D35" s="70"/>
      <c r="E35" s="70"/>
      <c r="F35" s="70">
        <f>[4]CF!D27</f>
        <v>307</v>
      </c>
      <c r="G35" s="70"/>
      <c r="H35" s="70"/>
      <c r="I35" s="70"/>
      <c r="J35" s="70"/>
      <c r="K35" s="73"/>
      <c r="L35" s="70"/>
      <c r="M35" s="70">
        <v>307</v>
      </c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8"/>
      <c r="Y35" s="70"/>
      <c r="Z35" s="70"/>
      <c r="AA35" s="70"/>
      <c r="AB35" s="78"/>
      <c r="AC35" s="70"/>
      <c r="AD35" s="70"/>
      <c r="AE35" s="70"/>
      <c r="AF35" s="78"/>
      <c r="AG35" s="70"/>
    </row>
    <row r="36" spans="1:33" x14ac:dyDescent="0.2">
      <c r="A36" s="8" t="s">
        <v>175</v>
      </c>
      <c r="B36" s="79"/>
      <c r="C36" s="70"/>
      <c r="D36" s="70"/>
      <c r="E36" s="70"/>
      <c r="F36" s="70"/>
      <c r="G36" s="70">
        <f>[5]CF!D28</f>
        <v>0</v>
      </c>
      <c r="H36" s="70">
        <f>[9]CF!E27</f>
        <v>0</v>
      </c>
      <c r="I36" s="70">
        <f>[9]CF!D27</f>
        <v>-203</v>
      </c>
      <c r="J36" s="70">
        <f>[9]CF!C27</f>
        <v>0</v>
      </c>
      <c r="K36" s="73"/>
      <c r="L36" s="70"/>
      <c r="M36" s="69"/>
      <c r="N36" s="69"/>
      <c r="O36" s="69"/>
      <c r="P36" s="69"/>
      <c r="Q36" s="69"/>
      <c r="R36" s="69"/>
      <c r="S36" s="69"/>
      <c r="T36" s="69"/>
      <c r="U36" s="69"/>
      <c r="V36" s="69"/>
      <c r="W36" s="69"/>
      <c r="X36" s="89"/>
      <c r="Y36" s="69"/>
      <c r="Z36" s="69"/>
      <c r="AA36" s="69">
        <f>[12]CF!D10-Z36-Y36</f>
        <v>-203</v>
      </c>
      <c r="AB36" s="78"/>
      <c r="AC36" s="69"/>
      <c r="AD36" s="69"/>
      <c r="AE36" s="69">
        <f>[12]CF!C10-AD36-AC36</f>
        <v>0</v>
      </c>
      <c r="AF36" s="78"/>
      <c r="AG36" s="69"/>
    </row>
    <row r="37" spans="1:33" x14ac:dyDescent="0.2">
      <c r="A37" s="8" t="s">
        <v>174</v>
      </c>
      <c r="B37" s="79"/>
      <c r="C37" s="70"/>
      <c r="D37" s="70"/>
      <c r="E37" s="70"/>
      <c r="F37" s="70"/>
      <c r="G37" s="70">
        <f>[5]CF!D29</f>
        <v>52</v>
      </c>
      <c r="H37" s="70">
        <f>[9]CF!E25</f>
        <v>0</v>
      </c>
      <c r="I37" s="70">
        <f>[9]CF!D25</f>
        <v>0</v>
      </c>
      <c r="J37" s="70">
        <f>[9]CF!C25</f>
        <v>207</v>
      </c>
      <c r="K37" s="73">
        <f>SUM(AD37:AG37)</f>
        <v>207</v>
      </c>
      <c r="L37" s="70"/>
      <c r="M37" s="70"/>
      <c r="N37" s="70"/>
      <c r="O37" s="70"/>
      <c r="P37" s="70"/>
      <c r="Q37" s="70">
        <v>4</v>
      </c>
      <c r="R37" s="70">
        <v>48</v>
      </c>
      <c r="S37" s="70"/>
      <c r="T37" s="70"/>
      <c r="U37" s="70"/>
      <c r="V37" s="70"/>
      <c r="W37" s="70"/>
      <c r="X37" s="89"/>
      <c r="Y37" s="70"/>
      <c r="Z37" s="70"/>
      <c r="AA37" s="70"/>
      <c r="AB37" s="78"/>
      <c r="AC37" s="70"/>
      <c r="AD37" s="70"/>
      <c r="AE37" s="70"/>
      <c r="AF37" s="78">
        <f>J37-AC37-AD37-AE37</f>
        <v>207</v>
      </c>
      <c r="AG37" s="70"/>
    </row>
    <row r="38" spans="1:33" x14ac:dyDescent="0.2">
      <c r="A38" s="8" t="s">
        <v>173</v>
      </c>
      <c r="B38" s="79"/>
      <c r="C38" s="70">
        <f>[1]CF!D30</f>
        <v>-4</v>
      </c>
      <c r="D38" s="70">
        <f>[2]CF!D32</f>
        <v>123</v>
      </c>
      <c r="E38" s="70">
        <f>[3]CF!D33</f>
        <v>128</v>
      </c>
      <c r="F38" s="70">
        <f>[4]CF!D29</f>
        <v>33</v>
      </c>
      <c r="G38" s="70"/>
      <c r="H38" s="70"/>
      <c r="I38" s="70"/>
      <c r="J38" s="70"/>
      <c r="K38" s="73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89"/>
      <c r="Y38" s="70"/>
      <c r="Z38" s="70"/>
      <c r="AA38" s="70"/>
      <c r="AB38" s="78"/>
      <c r="AC38" s="70"/>
      <c r="AD38" s="70"/>
      <c r="AE38" s="70"/>
      <c r="AF38" s="78"/>
      <c r="AG38" s="70"/>
    </row>
    <row r="39" spans="1:33" s="32" customFormat="1" x14ac:dyDescent="0.2">
      <c r="A39" s="30" t="s">
        <v>172</v>
      </c>
      <c r="B39" s="79"/>
      <c r="C39" s="86"/>
      <c r="D39" s="86"/>
      <c r="E39" s="86"/>
      <c r="F39" s="86"/>
      <c r="G39" s="86"/>
      <c r="H39" s="86">
        <f>[9]CF!E28</f>
        <v>0</v>
      </c>
      <c r="I39" s="86">
        <f>[9]CF!D28</f>
        <v>0</v>
      </c>
      <c r="J39" s="86">
        <f>[9]CF!C28</f>
        <v>-7</v>
      </c>
      <c r="K39" s="87">
        <f>SUM(AD39:AG39)</f>
        <v>-21</v>
      </c>
      <c r="L39" s="86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8"/>
      <c r="Y39" s="84"/>
      <c r="Z39" s="84"/>
      <c r="AA39" s="84">
        <f>[12]CF!D11-Z39-Y39</f>
        <v>0</v>
      </c>
      <c r="AB39" s="85"/>
      <c r="AC39" s="84">
        <f>[14]CF!D10</f>
        <v>0</v>
      </c>
      <c r="AD39" s="84"/>
      <c r="AE39" s="84">
        <f>[12]CF!C11-AD39-AC39</f>
        <v>-5</v>
      </c>
      <c r="AF39" s="85">
        <f>J39-AC39-AD39-AE39</f>
        <v>-2</v>
      </c>
      <c r="AG39" s="84">
        <f>[14]CF!C10</f>
        <v>-14</v>
      </c>
    </row>
    <row r="40" spans="1:33" s="11" customFormat="1" x14ac:dyDescent="0.2">
      <c r="A40" s="12" t="s">
        <v>171</v>
      </c>
      <c r="B40" s="74" t="s">
        <v>170</v>
      </c>
      <c r="C40" s="82">
        <f>[1]CF!D31</f>
        <v>-1292</v>
      </c>
      <c r="D40" s="82">
        <f>[2]CF!D33</f>
        <v>-1571</v>
      </c>
      <c r="E40" s="82">
        <f>[3]CF!D34</f>
        <v>-3814</v>
      </c>
      <c r="F40" s="82">
        <f>[4]CF!D31</f>
        <v>-2911</v>
      </c>
      <c r="G40" s="82">
        <f>[5]CF!D30</f>
        <v>-5594</v>
      </c>
      <c r="H40" s="82">
        <f>[9]CF!E29</f>
        <v>-5702</v>
      </c>
      <c r="I40" s="82">
        <f>[9]CF!D29</f>
        <v>-3636</v>
      </c>
      <c r="J40" s="82">
        <f>[9]CF!C29</f>
        <v>-1973</v>
      </c>
      <c r="K40" s="83">
        <f>SUM(AD40:AG40)</f>
        <v>-1497</v>
      </c>
      <c r="L40" s="82"/>
      <c r="M40" s="80">
        <v>-943</v>
      </c>
      <c r="N40" s="80">
        <v>-1404</v>
      </c>
      <c r="O40" s="80">
        <v>222</v>
      </c>
      <c r="P40" s="80">
        <v>-786</v>
      </c>
      <c r="Q40" s="80">
        <v>-3202</v>
      </c>
      <c r="R40" s="80">
        <v>-1493</v>
      </c>
      <c r="S40" s="80">
        <v>-1337</v>
      </c>
      <c r="T40" s="80">
        <v>438</v>
      </c>
      <c r="U40" s="80">
        <f>[6]CF!C10</f>
        <v>-2114</v>
      </c>
      <c r="V40" s="80">
        <f>[7]CF!C10-U40</f>
        <v>-1657</v>
      </c>
      <c r="W40" s="80">
        <f>[8]CF!C11-V40-U40</f>
        <v>-871</v>
      </c>
      <c r="X40" s="81">
        <f>H40-U40-V40-W40</f>
        <v>-1060</v>
      </c>
      <c r="Y40" s="80">
        <f>[10]CF!D10</f>
        <v>-1870</v>
      </c>
      <c r="Z40" s="80">
        <f>[11]CF!D10-Y40</f>
        <v>-1394</v>
      </c>
      <c r="AA40" s="80">
        <f>[12]CF!D12-Z40-Y40</f>
        <v>185</v>
      </c>
      <c r="AB40" s="81">
        <f>I40-Y40-Z40-AA40</f>
        <v>-557</v>
      </c>
      <c r="AC40" s="80">
        <f>[14]CF!D11</f>
        <v>-956</v>
      </c>
      <c r="AD40" s="80">
        <f>[11]CF!C10-AC40</f>
        <v>-79</v>
      </c>
      <c r="AE40" s="80">
        <f>[12]CF!C12-AD40-AC40</f>
        <v>-548</v>
      </c>
      <c r="AF40" s="81">
        <f>J40-AC40-AD40-AE40</f>
        <v>-390</v>
      </c>
      <c r="AG40" s="80">
        <f>[14]CF!C11</f>
        <v>-480</v>
      </c>
    </row>
    <row r="41" spans="1:33" s="9" customFormat="1" x14ac:dyDescent="0.2">
      <c r="A41" s="22" t="s">
        <v>6</v>
      </c>
      <c r="B41" s="77"/>
      <c r="C41" s="9">
        <f t="shared" ref="C41:K41" si="2">SUM(C29:C39)-C40</f>
        <v>0</v>
      </c>
      <c r="D41" s="9">
        <f t="shared" si="2"/>
        <v>0</v>
      </c>
      <c r="E41" s="9">
        <f t="shared" si="2"/>
        <v>0</v>
      </c>
      <c r="F41" s="9">
        <f t="shared" si="2"/>
        <v>0</v>
      </c>
      <c r="G41" s="9">
        <f t="shared" si="2"/>
        <v>0</v>
      </c>
      <c r="H41" s="9">
        <f t="shared" si="2"/>
        <v>0</v>
      </c>
      <c r="I41" s="9">
        <f t="shared" si="2"/>
        <v>0</v>
      </c>
      <c r="J41" s="9">
        <f t="shared" si="2"/>
        <v>0</v>
      </c>
      <c r="K41" s="9">
        <f t="shared" si="2"/>
        <v>0</v>
      </c>
      <c r="L41" s="76"/>
      <c r="M41" s="9">
        <f t="shared" ref="M41:AG41" si="3">SUM(M29:M39)-M40</f>
        <v>0</v>
      </c>
      <c r="N41" s="9">
        <f t="shared" si="3"/>
        <v>0</v>
      </c>
      <c r="O41" s="9">
        <f t="shared" si="3"/>
        <v>0</v>
      </c>
      <c r="P41" s="9">
        <f t="shared" si="3"/>
        <v>0</v>
      </c>
      <c r="Q41" s="9">
        <f t="shared" si="3"/>
        <v>0</v>
      </c>
      <c r="R41" s="9">
        <f t="shared" si="3"/>
        <v>0</v>
      </c>
      <c r="S41" s="9">
        <f t="shared" si="3"/>
        <v>0</v>
      </c>
      <c r="T41" s="9">
        <f t="shared" si="3"/>
        <v>0</v>
      </c>
      <c r="U41" s="9">
        <f t="shared" si="3"/>
        <v>0</v>
      </c>
      <c r="V41" s="9">
        <f t="shared" si="3"/>
        <v>0</v>
      </c>
      <c r="W41" s="9">
        <f t="shared" si="3"/>
        <v>0</v>
      </c>
      <c r="X41" s="9">
        <f t="shared" si="3"/>
        <v>0</v>
      </c>
      <c r="Y41" s="9">
        <f t="shared" si="3"/>
        <v>0</v>
      </c>
      <c r="Z41" s="9">
        <f t="shared" si="3"/>
        <v>0</v>
      </c>
      <c r="AA41" s="9">
        <f t="shared" si="3"/>
        <v>0</v>
      </c>
      <c r="AB41" s="9">
        <f t="shared" si="3"/>
        <v>0</v>
      </c>
      <c r="AC41" s="9">
        <f t="shared" si="3"/>
        <v>0</v>
      </c>
      <c r="AD41" s="9">
        <f t="shared" si="3"/>
        <v>0</v>
      </c>
      <c r="AE41" s="9">
        <f t="shared" si="3"/>
        <v>0</v>
      </c>
      <c r="AF41" s="9">
        <f t="shared" si="3"/>
        <v>0</v>
      </c>
      <c r="AG41" s="9">
        <f t="shared" si="3"/>
        <v>0</v>
      </c>
    </row>
    <row r="42" spans="1:33" x14ac:dyDescent="0.2">
      <c r="A42" s="12" t="s">
        <v>169</v>
      </c>
      <c r="B42" s="79"/>
      <c r="C42" s="70"/>
      <c r="D42" s="70"/>
      <c r="E42" s="70"/>
      <c r="F42" s="70"/>
      <c r="G42" s="70"/>
      <c r="H42" s="70"/>
      <c r="I42" s="70"/>
      <c r="J42" s="70"/>
      <c r="K42" s="73"/>
      <c r="L42" s="70"/>
      <c r="M42" s="69"/>
      <c r="N42" s="69"/>
      <c r="O42" s="69"/>
      <c r="P42" s="69"/>
      <c r="Q42" s="69"/>
      <c r="R42" s="69"/>
      <c r="S42" s="69"/>
      <c r="T42" s="69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</row>
    <row r="43" spans="1:33" x14ac:dyDescent="0.2">
      <c r="A43" s="8" t="s">
        <v>168</v>
      </c>
      <c r="B43" s="79"/>
      <c r="C43" s="70">
        <f>[1]CF!D34</f>
        <v>2569</v>
      </c>
      <c r="D43" s="70">
        <f>[2]CF!D36</f>
        <v>268</v>
      </c>
      <c r="E43" s="70">
        <f>[3]CF!D37</f>
        <v>5134</v>
      </c>
      <c r="F43" s="70">
        <f>[4]CF!D34</f>
        <v>3302</v>
      </c>
      <c r="G43" s="70">
        <f>[5]CF!D32</f>
        <v>5009</v>
      </c>
      <c r="H43" s="70">
        <f>[9]CF!E31</f>
        <v>7701</v>
      </c>
      <c r="I43" s="70">
        <f>[9]CF!D31</f>
        <v>3058</v>
      </c>
      <c r="J43" s="70">
        <f>[9]CF!C31</f>
        <v>2354</v>
      </c>
      <c r="K43" s="73">
        <f>SUM(AD43:AG43)</f>
        <v>2518</v>
      </c>
      <c r="L43" s="70"/>
      <c r="M43" s="69">
        <v>224</v>
      </c>
      <c r="N43" s="69">
        <v>310</v>
      </c>
      <c r="O43" s="69">
        <v>1873</v>
      </c>
      <c r="P43" s="69">
        <v>895</v>
      </c>
      <c r="Q43" s="69">
        <v>1766</v>
      </c>
      <c r="R43" s="69">
        <v>230</v>
      </c>
      <c r="S43" s="69">
        <v>2467</v>
      </c>
      <c r="T43" s="69">
        <v>546</v>
      </c>
      <c r="U43" s="69">
        <f>[6]CF!C13</f>
        <v>1500</v>
      </c>
      <c r="V43" s="69">
        <f>[7]CF!C12-U43</f>
        <v>3022</v>
      </c>
      <c r="W43" s="69">
        <f>[8]CF!C13-V43-U43</f>
        <v>870</v>
      </c>
      <c r="X43" s="78">
        <f>H43-U43-V43-W43</f>
        <v>2309</v>
      </c>
      <c r="Y43" s="69">
        <f>[10]CF!D12</f>
        <v>899</v>
      </c>
      <c r="Z43" s="69">
        <f>[11]CF!D12-Y43</f>
        <v>726</v>
      </c>
      <c r="AA43" s="69">
        <f>[12]CF!D14-Z43-Y43</f>
        <v>535</v>
      </c>
      <c r="AB43" s="78">
        <f>I43-Y43-Z43-AA43</f>
        <v>898</v>
      </c>
      <c r="AC43" s="69">
        <f>[14]CF!D13</f>
        <v>236</v>
      </c>
      <c r="AD43" s="69">
        <f>[11]CF!C12-AC43</f>
        <v>656</v>
      </c>
      <c r="AE43" s="69">
        <f>[12]CF!C14-AD43-AC43</f>
        <v>1257</v>
      </c>
      <c r="AF43" s="78">
        <f>J43-AC43-AD43-AE43</f>
        <v>205</v>
      </c>
      <c r="AG43" s="69">
        <f>[14]CF!C13</f>
        <v>400</v>
      </c>
    </row>
    <row r="44" spans="1:33" x14ac:dyDescent="0.2">
      <c r="A44" s="8" t="s">
        <v>167</v>
      </c>
      <c r="B44" s="79"/>
      <c r="C44" s="70">
        <f>[1]CF!D33</f>
        <v>-2545</v>
      </c>
      <c r="D44" s="70">
        <f>[2]CF!D35</f>
        <v>-1288</v>
      </c>
      <c r="E44" s="70">
        <f>[3]CF!D36</f>
        <v>-2926</v>
      </c>
      <c r="F44" s="70">
        <f>[4]CF!D33</f>
        <v>-3132</v>
      </c>
      <c r="G44" s="70">
        <f>[5]CF!D33</f>
        <v>-2153</v>
      </c>
      <c r="H44" s="70">
        <f>[9]CF!E32</f>
        <v>-3827</v>
      </c>
      <c r="I44" s="70">
        <f>[9]CF!D32</f>
        <v>-2332</v>
      </c>
      <c r="J44" s="70">
        <f>[9]CF!C32</f>
        <v>-2941</v>
      </c>
      <c r="K44" s="73">
        <f>SUM(AD44:AG44)</f>
        <v>-3222</v>
      </c>
      <c r="L44" s="70"/>
      <c r="M44" s="69">
        <v>-501</v>
      </c>
      <c r="N44" s="69">
        <v>-644</v>
      </c>
      <c r="O44" s="69">
        <v>-1635</v>
      </c>
      <c r="P44" s="69">
        <v>-352</v>
      </c>
      <c r="Q44" s="69">
        <v>-746</v>
      </c>
      <c r="R44" s="69">
        <v>-361</v>
      </c>
      <c r="S44" s="69">
        <v>-714</v>
      </c>
      <c r="T44" s="69">
        <v>-332</v>
      </c>
      <c r="U44" s="69">
        <f>[6]CF!C12</f>
        <v>-310</v>
      </c>
      <c r="V44" s="69">
        <f>[7]CF!C13-U44</f>
        <v>-1853</v>
      </c>
      <c r="W44" s="69">
        <f>[8]CF!C14-V44-U44</f>
        <v>-371</v>
      </c>
      <c r="X44" s="78">
        <f>H44-U44-V44-W44</f>
        <v>-1293</v>
      </c>
      <c r="Y44" s="69">
        <f>[10]CF!D13</f>
        <v>-686</v>
      </c>
      <c r="Z44" s="69">
        <f>[11]CF!D13-Y44</f>
        <v>-415</v>
      </c>
      <c r="AA44" s="69">
        <f>[12]CF!D15-Z44-Y44</f>
        <v>-712</v>
      </c>
      <c r="AB44" s="78">
        <f>I44-Y44-Z44-AA44</f>
        <v>-519</v>
      </c>
      <c r="AC44" s="69">
        <f>[14]CF!D14</f>
        <v>-568</v>
      </c>
      <c r="AD44" s="69">
        <f>[11]CF!C13-AC44</f>
        <v>-1317</v>
      </c>
      <c r="AE44" s="69">
        <f>[12]CF!C15-AD44-AC44</f>
        <v>-557</v>
      </c>
      <c r="AF44" s="78">
        <f>J44-AC44-AD44-AE44</f>
        <v>-499</v>
      </c>
      <c r="AG44" s="69">
        <f>[14]CF!C14</f>
        <v>-849</v>
      </c>
    </row>
    <row r="45" spans="1:33" x14ac:dyDescent="0.2">
      <c r="A45" s="8" t="s">
        <v>166</v>
      </c>
      <c r="B45" s="79"/>
      <c r="C45" s="70">
        <f>[1]CF!D35</f>
        <v>-63</v>
      </c>
      <c r="D45" s="70">
        <f>[2]CF!D37</f>
        <v>-6</v>
      </c>
      <c r="E45" s="70">
        <f>[3]CF!D38</f>
        <v>-120</v>
      </c>
      <c r="F45" s="70">
        <f>[4]CF!D35</f>
        <v>-106</v>
      </c>
      <c r="G45" s="70">
        <f>[5]CF!D34</f>
        <v>-87</v>
      </c>
      <c r="H45" s="70">
        <f>[9]CF!E33</f>
        <v>-77</v>
      </c>
      <c r="I45" s="70">
        <f>[9]CF!D33</f>
        <v>-85</v>
      </c>
      <c r="J45" s="70">
        <f>[9]CF!C33</f>
        <v>-59</v>
      </c>
      <c r="K45" s="73">
        <f>SUM(AD45:AG45)</f>
        <v>-64</v>
      </c>
      <c r="L45" s="70"/>
      <c r="M45" s="69">
        <v>-7</v>
      </c>
      <c r="N45" s="69"/>
      <c r="O45" s="69">
        <v>-61</v>
      </c>
      <c r="P45" s="69">
        <v>-38</v>
      </c>
      <c r="Q45" s="69">
        <v>-25</v>
      </c>
      <c r="R45" s="69">
        <v>-15</v>
      </c>
      <c r="S45" s="69">
        <v>-29</v>
      </c>
      <c r="T45" s="69">
        <v>-18</v>
      </c>
      <c r="U45" s="69">
        <f>[6]CF!C14</f>
        <v>-20</v>
      </c>
      <c r="V45" s="69">
        <f>[7]CF!C14-U45</f>
        <v>-67</v>
      </c>
      <c r="W45" s="69">
        <f>[8]CF!C15-V45-U45</f>
        <v>48</v>
      </c>
      <c r="X45" s="78">
        <f>H45-U45-V45-W45</f>
        <v>-38</v>
      </c>
      <c r="Y45" s="69">
        <f>[10]CF!D14</f>
        <v>-31</v>
      </c>
      <c r="Z45" s="69">
        <f>[11]CF!D14-Y45</f>
        <v>-8</v>
      </c>
      <c r="AA45" s="69">
        <f>[12]CF!D16-Z45-Y45</f>
        <v>-27</v>
      </c>
      <c r="AB45" s="78">
        <f>I45-Y45-Z45-AA45</f>
        <v>-19</v>
      </c>
      <c r="AC45" s="69">
        <f>[14]CF!D15</f>
        <v>-1</v>
      </c>
      <c r="AD45" s="69">
        <f>[11]CF!C14-AC45</f>
        <v>-27</v>
      </c>
      <c r="AE45" s="69">
        <f>[12]CF!C16-AD45-AC45</f>
        <v>-20</v>
      </c>
      <c r="AF45" s="78">
        <f>J45-AC45-AD45-AE45</f>
        <v>-11</v>
      </c>
      <c r="AG45" s="69">
        <f>[14]CF!C15</f>
        <v>-6</v>
      </c>
    </row>
    <row r="46" spans="1:33" x14ac:dyDescent="0.2">
      <c r="A46" s="8" t="s">
        <v>165</v>
      </c>
      <c r="B46" s="79"/>
      <c r="C46" s="70">
        <f>[1]CF!D36</f>
        <v>703</v>
      </c>
      <c r="D46" s="70">
        <f>[2]CF!D38</f>
        <v>1509</v>
      </c>
      <c r="E46" s="70">
        <f>[3]CF!D39</f>
        <v>1700</v>
      </c>
      <c r="F46" s="70">
        <f>[4]CF!D36</f>
        <v>811</v>
      </c>
      <c r="G46" s="70"/>
      <c r="H46" s="70"/>
      <c r="I46" s="70"/>
      <c r="J46" s="70"/>
      <c r="K46" s="73"/>
      <c r="L46" s="70"/>
      <c r="M46" s="70">
        <v>165</v>
      </c>
      <c r="N46" s="70">
        <v>246</v>
      </c>
      <c r="O46" s="70">
        <v>120</v>
      </c>
      <c r="P46" s="70">
        <v>280</v>
      </c>
      <c r="Q46" s="70"/>
      <c r="R46" s="70"/>
      <c r="S46" s="70">
        <v>43</v>
      </c>
      <c r="T46" s="70"/>
      <c r="U46" s="70"/>
      <c r="V46" s="70"/>
      <c r="W46" s="70"/>
      <c r="X46" s="78"/>
      <c r="Y46" s="70"/>
      <c r="Z46" s="70"/>
      <c r="AA46" s="70"/>
      <c r="AB46" s="78"/>
      <c r="AC46" s="70"/>
      <c r="AD46" s="70"/>
      <c r="AE46" s="70"/>
      <c r="AF46" s="78"/>
      <c r="AG46" s="70"/>
    </row>
    <row r="47" spans="1:33" x14ac:dyDescent="0.2">
      <c r="A47" s="8" t="s">
        <v>164</v>
      </c>
      <c r="B47" s="79" t="s">
        <v>163</v>
      </c>
      <c r="C47" s="70"/>
      <c r="D47" s="70"/>
      <c r="E47" s="70"/>
      <c r="F47" s="70">
        <f>[4]CF!D37</f>
        <v>10</v>
      </c>
      <c r="G47" s="70"/>
      <c r="H47" s="70"/>
      <c r="I47" s="70"/>
      <c r="J47" s="70"/>
      <c r="K47" s="73"/>
      <c r="L47" s="70"/>
      <c r="M47" s="70">
        <v>9</v>
      </c>
      <c r="N47" s="70"/>
      <c r="O47" s="70"/>
      <c r="P47" s="70">
        <v>1</v>
      </c>
      <c r="Q47" s="70"/>
      <c r="R47" s="70"/>
      <c r="S47" s="70"/>
      <c r="T47" s="70"/>
      <c r="U47" s="70"/>
      <c r="V47" s="70"/>
      <c r="W47" s="70"/>
      <c r="X47" s="78"/>
      <c r="Y47" s="70"/>
      <c r="Z47" s="70"/>
      <c r="AA47" s="70"/>
      <c r="AB47" s="78"/>
      <c r="AC47" s="70"/>
      <c r="AD47" s="70"/>
      <c r="AE47" s="70"/>
      <c r="AF47" s="78"/>
      <c r="AG47" s="70"/>
    </row>
    <row r="48" spans="1:33" x14ac:dyDescent="0.2">
      <c r="A48" s="8" t="s">
        <v>162</v>
      </c>
      <c r="B48" s="79" t="s">
        <v>161</v>
      </c>
      <c r="C48" s="70"/>
      <c r="D48" s="70"/>
      <c r="E48" s="70"/>
      <c r="F48" s="70">
        <f>[4]CF!D38</f>
        <v>-1062</v>
      </c>
      <c r="G48" s="70">
        <f>[5]CF!D35</f>
        <v>-3846</v>
      </c>
      <c r="H48" s="70">
        <f>[9]CF!E34</f>
        <v>-4500</v>
      </c>
      <c r="I48" s="70">
        <f>[9]CF!D34</f>
        <v>-1615</v>
      </c>
      <c r="J48" s="70">
        <f>[9]CF!C34</f>
        <v>-837</v>
      </c>
      <c r="K48" s="73">
        <f>SUM(AD48:AG48)</f>
        <v>-984</v>
      </c>
      <c r="L48" s="70"/>
      <c r="M48" s="69">
        <v>-84</v>
      </c>
      <c r="N48" s="69">
        <v>56</v>
      </c>
      <c r="O48" s="69">
        <v>-127</v>
      </c>
      <c r="P48" s="69">
        <v>-907</v>
      </c>
      <c r="Q48" s="69">
        <v>-181</v>
      </c>
      <c r="R48" s="69">
        <v>-750</v>
      </c>
      <c r="S48" s="69">
        <v>-1480</v>
      </c>
      <c r="T48" s="69">
        <v>-1435</v>
      </c>
      <c r="U48" s="69">
        <f>[6]CF!C15</f>
        <v>-1525</v>
      </c>
      <c r="V48" s="69">
        <f>[7]CF!C15-U48</f>
        <v>-1711</v>
      </c>
      <c r="W48" s="69">
        <f>[8]CF!C16-V48-U48</f>
        <v>-695</v>
      </c>
      <c r="X48" s="78">
        <f>H48-U48-V48-W48</f>
        <v>-569</v>
      </c>
      <c r="Y48" s="69">
        <f>[10]CF!D15</f>
        <v>-484</v>
      </c>
      <c r="Z48" s="69">
        <f>[11]CF!D15-Y48</f>
        <v>-529</v>
      </c>
      <c r="AA48" s="69">
        <f>[12]CF!D17-Z48-Y48</f>
        <v>-359</v>
      </c>
      <c r="AB48" s="78">
        <f>I48-Y48-Z48-AA48</f>
        <v>-243</v>
      </c>
      <c r="AC48" s="69">
        <f>[14]CF!D16</f>
        <v>-461</v>
      </c>
      <c r="AD48" s="69">
        <f>[11]CF!C15-AC48</f>
        <v>-376</v>
      </c>
      <c r="AE48" s="69">
        <f>[12]CF!C17-AD48-AC48</f>
        <v>0</v>
      </c>
      <c r="AF48" s="78">
        <f>J48-AC48-AD48-AE48</f>
        <v>0</v>
      </c>
      <c r="AG48" s="69">
        <f>[14]CF!C16</f>
        <v>-608</v>
      </c>
    </row>
    <row r="49" spans="1:33" x14ac:dyDescent="0.2">
      <c r="A49" s="8" t="s">
        <v>160</v>
      </c>
      <c r="B49" s="79"/>
      <c r="C49" s="70"/>
      <c r="D49" s="70"/>
      <c r="E49" s="70"/>
      <c r="F49" s="70">
        <f>[4]CF!D39</f>
        <v>-144</v>
      </c>
      <c r="G49" s="70">
        <f>[5]CF!D36</f>
        <v>-278</v>
      </c>
      <c r="H49" s="70">
        <f>[9]CF!E35</f>
        <v>-224</v>
      </c>
      <c r="I49" s="70">
        <f>[9]CF!D35</f>
        <v>-198</v>
      </c>
      <c r="J49" s="70">
        <f>[9]CF!C35</f>
        <v>-186</v>
      </c>
      <c r="K49" s="73">
        <f>SUM(AD49:AG49)</f>
        <v>-184</v>
      </c>
      <c r="L49" s="70"/>
      <c r="M49" s="69"/>
      <c r="N49" s="69"/>
      <c r="O49" s="69">
        <v>-72</v>
      </c>
      <c r="P49" s="69">
        <v>-72</v>
      </c>
      <c r="Q49" s="69">
        <v>-70</v>
      </c>
      <c r="R49" s="69">
        <v>-70</v>
      </c>
      <c r="S49" s="69">
        <v>-66</v>
      </c>
      <c r="T49" s="69">
        <v>-72</v>
      </c>
      <c r="U49" s="69">
        <f>[6]CF!C16</f>
        <v>-61</v>
      </c>
      <c r="V49" s="69">
        <f>[7]CF!C16-U49</f>
        <v>-58</v>
      </c>
      <c r="W49" s="69">
        <f>[8]CF!C17-V49-U49</f>
        <v>-53</v>
      </c>
      <c r="X49" s="78">
        <f>H49-U49-V49-W49</f>
        <v>-52</v>
      </c>
      <c r="Y49" s="69">
        <f>[10]CF!D16</f>
        <v>-51</v>
      </c>
      <c r="Z49" s="69">
        <f>[11]CF!D16-Y49</f>
        <v>-51</v>
      </c>
      <c r="AA49" s="69">
        <f>[12]CF!D18-Z49-Y49</f>
        <v>-48</v>
      </c>
      <c r="AB49" s="78">
        <f>I49-Y49-Z49-AA49</f>
        <v>-48</v>
      </c>
      <c r="AC49" s="69">
        <f>[14]CF!D17</f>
        <v>-48</v>
      </c>
      <c r="AD49" s="69">
        <f>[11]CF!C16-AC49</f>
        <v>-46</v>
      </c>
      <c r="AE49" s="69">
        <f>[12]CF!C18-AD49-AC49</f>
        <v>-46</v>
      </c>
      <c r="AF49" s="78">
        <f>J49-AC49-AD49-AE49</f>
        <v>-46</v>
      </c>
      <c r="AG49" s="69">
        <f>[14]CF!C17</f>
        <v>-46</v>
      </c>
    </row>
    <row r="50" spans="1:33" s="32" customFormat="1" x14ac:dyDescent="0.2">
      <c r="A50" s="30" t="s">
        <v>159</v>
      </c>
      <c r="B50" s="79"/>
      <c r="C50" s="86">
        <f>[1]CF!D37</f>
        <v>0</v>
      </c>
      <c r="D50" s="86"/>
      <c r="E50" s="86">
        <f>[3]CF!D43</f>
        <v>11</v>
      </c>
      <c r="F50" s="86">
        <f>[4]CF!D40</f>
        <v>6</v>
      </c>
      <c r="G50" s="86">
        <f>[5]CF!D37</f>
        <v>96</v>
      </c>
      <c r="H50" s="86">
        <f>[9]CF!E36</f>
        <v>33</v>
      </c>
      <c r="I50" s="86">
        <f>[9]CF!D36</f>
        <v>27</v>
      </c>
      <c r="J50" s="86">
        <f>[9]CF!C36</f>
        <v>-3</v>
      </c>
      <c r="K50" s="87">
        <f>SUM(AD50:AG50)</f>
        <v>-3</v>
      </c>
      <c r="L50" s="86"/>
      <c r="M50" s="84"/>
      <c r="N50" s="84">
        <v>6</v>
      </c>
      <c r="O50" s="84">
        <v>9</v>
      </c>
      <c r="P50" s="84">
        <v>-9</v>
      </c>
      <c r="Q50" s="84">
        <v>18</v>
      </c>
      <c r="R50" s="84">
        <v>16</v>
      </c>
      <c r="S50" s="84"/>
      <c r="T50" s="84">
        <v>19</v>
      </c>
      <c r="U50" s="84">
        <f>[6]CF!C17</f>
        <v>15</v>
      </c>
      <c r="V50" s="84">
        <f>[7]CF!C17-U50</f>
        <v>62</v>
      </c>
      <c r="W50" s="84">
        <f>[8]CF!C18-V50-U50</f>
        <v>-57</v>
      </c>
      <c r="X50" s="85">
        <f>H50-U50-V50-W50</f>
        <v>13</v>
      </c>
      <c r="Y50" s="84">
        <f>[10]CF!D17</f>
        <v>4</v>
      </c>
      <c r="Z50" s="84">
        <f>[11]CF!D17-Y50</f>
        <v>5</v>
      </c>
      <c r="AA50" s="84">
        <f>[12]CF!D19-Z50-Y50</f>
        <v>12</v>
      </c>
      <c r="AB50" s="85">
        <f>I50-Y50-Z50-AA50</f>
        <v>6</v>
      </c>
      <c r="AC50" s="84"/>
      <c r="AD50" s="84">
        <f>[11]CF!C17-AC50</f>
        <v>11</v>
      </c>
      <c r="AE50" s="84">
        <f>[12]CF!C19-AD50-AC50</f>
        <v>2</v>
      </c>
      <c r="AF50" s="85">
        <f>J50-AC50-AD50-AE50</f>
        <v>-16</v>
      </c>
      <c r="AG50" s="84"/>
    </row>
    <row r="51" spans="1:33" s="11" customFormat="1" x14ac:dyDescent="0.2">
      <c r="A51" s="12" t="s">
        <v>158</v>
      </c>
      <c r="B51" s="74" t="s">
        <v>157</v>
      </c>
      <c r="C51" s="82">
        <f>[1]CF!D38</f>
        <v>664</v>
      </c>
      <c r="D51" s="82">
        <f>[2]CF!D43</f>
        <v>483</v>
      </c>
      <c r="E51" s="82">
        <f>[3]CF!D44</f>
        <v>3799</v>
      </c>
      <c r="F51" s="82">
        <f>[4]CF!D41</f>
        <v>-315</v>
      </c>
      <c r="G51" s="82">
        <f>[5]CF!D38</f>
        <v>-1259</v>
      </c>
      <c r="H51" s="82">
        <f>[9]CF!E37</f>
        <v>-894</v>
      </c>
      <c r="I51" s="82">
        <f>[9]CF!D37</f>
        <v>-1145</v>
      </c>
      <c r="J51" s="82">
        <f>[9]CF!C37</f>
        <v>-1672</v>
      </c>
      <c r="K51" s="83">
        <f>SUM(AD51:AG51)</f>
        <v>-1939</v>
      </c>
      <c r="L51" s="82"/>
      <c r="M51" s="80">
        <v>-194</v>
      </c>
      <c r="N51" s="80">
        <v>-26</v>
      </c>
      <c r="O51" s="80">
        <v>107</v>
      </c>
      <c r="P51" s="80">
        <v>-202</v>
      </c>
      <c r="Q51" s="80">
        <v>762</v>
      </c>
      <c r="R51" s="80">
        <v>-950</v>
      </c>
      <c r="S51" s="80">
        <v>221</v>
      </c>
      <c r="T51" s="80">
        <v>-1292</v>
      </c>
      <c r="U51" s="80">
        <f>[6]CF!C18</f>
        <v>-401</v>
      </c>
      <c r="V51" s="80">
        <f>[7]CF!C18-U51</f>
        <v>-605</v>
      </c>
      <c r="W51" s="80">
        <f>[8]CF!C19-V51-U51</f>
        <v>-258</v>
      </c>
      <c r="X51" s="81">
        <f>H51-U51-V51-W51</f>
        <v>370</v>
      </c>
      <c r="Y51" s="80">
        <f>[10]CF!D18</f>
        <v>-349</v>
      </c>
      <c r="Z51" s="80">
        <f>[11]CF!D18-Y51</f>
        <v>-272</v>
      </c>
      <c r="AA51" s="80">
        <f>[12]CF!D20-Z51-Y51</f>
        <v>-599</v>
      </c>
      <c r="AB51" s="81">
        <f>I51-Y51-Z51-AA51</f>
        <v>75</v>
      </c>
      <c r="AC51" s="80">
        <f>[14]CF!D18</f>
        <v>-842</v>
      </c>
      <c r="AD51" s="80">
        <f>[11]CF!C18-AC51</f>
        <v>-1099</v>
      </c>
      <c r="AE51" s="80">
        <f>[12]CF!C20-AD51-AC51</f>
        <v>636</v>
      </c>
      <c r="AF51" s="81">
        <f>J51-AC51-AD51-AE51</f>
        <v>-367</v>
      </c>
      <c r="AG51" s="80">
        <f>[14]CF!C18</f>
        <v>-1109</v>
      </c>
    </row>
    <row r="52" spans="1:33" s="9" customFormat="1" x14ac:dyDescent="0.2">
      <c r="A52" s="22" t="s">
        <v>6</v>
      </c>
      <c r="B52" s="77"/>
      <c r="C52" s="9">
        <f t="shared" ref="C52:K52" si="4">SUM(C43:C50)-C51</f>
        <v>0</v>
      </c>
      <c r="D52" s="9">
        <f t="shared" si="4"/>
        <v>0</v>
      </c>
      <c r="E52" s="9">
        <f t="shared" si="4"/>
        <v>0</v>
      </c>
      <c r="F52" s="9">
        <f t="shared" si="4"/>
        <v>0</v>
      </c>
      <c r="G52" s="9">
        <f t="shared" si="4"/>
        <v>0</v>
      </c>
      <c r="H52" s="9">
        <f t="shared" si="4"/>
        <v>0</v>
      </c>
      <c r="I52" s="9">
        <f t="shared" si="4"/>
        <v>0</v>
      </c>
      <c r="J52" s="9">
        <f t="shared" si="4"/>
        <v>0</v>
      </c>
      <c r="K52" s="9">
        <f t="shared" si="4"/>
        <v>0</v>
      </c>
      <c r="L52" s="76"/>
      <c r="M52" s="9">
        <f t="shared" ref="M52:AG52" si="5">SUM(M43:M50)-M51</f>
        <v>0</v>
      </c>
      <c r="N52" s="9">
        <f t="shared" si="5"/>
        <v>0</v>
      </c>
      <c r="O52" s="9">
        <f t="shared" si="5"/>
        <v>0</v>
      </c>
      <c r="P52" s="9">
        <f t="shared" si="5"/>
        <v>0</v>
      </c>
      <c r="Q52" s="9">
        <f t="shared" si="5"/>
        <v>0</v>
      </c>
      <c r="R52" s="9">
        <f t="shared" si="5"/>
        <v>0</v>
      </c>
      <c r="S52" s="9">
        <f t="shared" si="5"/>
        <v>0</v>
      </c>
      <c r="T52" s="9">
        <f t="shared" si="5"/>
        <v>0</v>
      </c>
      <c r="U52" s="9">
        <f t="shared" si="5"/>
        <v>0</v>
      </c>
      <c r="V52" s="9">
        <f t="shared" si="5"/>
        <v>0</v>
      </c>
      <c r="W52" s="9">
        <f t="shared" si="5"/>
        <v>0</v>
      </c>
      <c r="X52" s="9">
        <f t="shared" si="5"/>
        <v>0</v>
      </c>
      <c r="Y52" s="9">
        <f t="shared" si="5"/>
        <v>0</v>
      </c>
      <c r="Z52" s="9">
        <f t="shared" si="5"/>
        <v>0</v>
      </c>
      <c r="AA52" s="9">
        <f t="shared" si="5"/>
        <v>0</v>
      </c>
      <c r="AB52" s="9">
        <f t="shared" si="5"/>
        <v>0</v>
      </c>
      <c r="AC52" s="9">
        <f t="shared" si="5"/>
        <v>0</v>
      </c>
      <c r="AD52" s="9">
        <f t="shared" si="5"/>
        <v>0</v>
      </c>
      <c r="AE52" s="9">
        <f t="shared" si="5"/>
        <v>0</v>
      </c>
      <c r="AF52" s="9">
        <f t="shared" si="5"/>
        <v>0</v>
      </c>
      <c r="AG52" s="9">
        <f t="shared" si="5"/>
        <v>0</v>
      </c>
    </row>
    <row r="53" spans="1:33" x14ac:dyDescent="0.2">
      <c r="A53" s="8" t="s">
        <v>156</v>
      </c>
      <c r="B53" s="79" t="s">
        <v>155</v>
      </c>
      <c r="C53" s="70">
        <f>[1]CF!D39</f>
        <v>115</v>
      </c>
      <c r="D53" s="70">
        <f>[2]CF!D44</f>
        <v>197</v>
      </c>
      <c r="E53" s="70">
        <f>[3]CF!D45</f>
        <v>660</v>
      </c>
      <c r="F53" s="70">
        <f>[4]CF!D42</f>
        <v>-146</v>
      </c>
      <c r="G53" s="70">
        <f>[5]CF!D39</f>
        <v>-604</v>
      </c>
      <c r="H53" s="70">
        <f>[9]CF!E38</f>
        <v>-72</v>
      </c>
      <c r="I53" s="70">
        <f>[9]CF!D38</f>
        <v>-37</v>
      </c>
      <c r="J53" s="70">
        <f>[9]CF!C38</f>
        <v>-112</v>
      </c>
      <c r="K53" s="73">
        <f>SUM(AD53:AG53)</f>
        <v>-52</v>
      </c>
      <c r="L53" s="70"/>
      <c r="M53" s="69">
        <v>119</v>
      </c>
      <c r="N53" s="69">
        <v>-49</v>
      </c>
      <c r="O53" s="69">
        <v>-32</v>
      </c>
      <c r="P53" s="69">
        <v>-184</v>
      </c>
      <c r="Q53" s="69">
        <v>54</v>
      </c>
      <c r="R53" s="69">
        <v>-96</v>
      </c>
      <c r="S53" s="69">
        <v>64</v>
      </c>
      <c r="T53" s="69">
        <v>-626</v>
      </c>
      <c r="U53" s="69">
        <f>[6]CF!C19</f>
        <v>105</v>
      </c>
      <c r="V53" s="69">
        <f>[7]CF!C19-U53</f>
        <v>-49</v>
      </c>
      <c r="W53" s="69">
        <f>[8]CF!C20-V53-U53</f>
        <v>-65</v>
      </c>
      <c r="X53" s="78">
        <f>H53-U53-V53-W53</f>
        <v>-63</v>
      </c>
      <c r="Y53" s="69">
        <f>[10]CF!D19</f>
        <v>31</v>
      </c>
      <c r="Z53" s="69">
        <f>[11]CF!D19-Y53</f>
        <v>22</v>
      </c>
      <c r="AA53" s="69">
        <f>[12]CF!D21-Z53-Y53</f>
        <v>-45</v>
      </c>
      <c r="AB53" s="78">
        <f>I53-Y53-Z53-AA53</f>
        <v>-45</v>
      </c>
      <c r="AC53" s="69">
        <f>[14]CF!D19</f>
        <v>2</v>
      </c>
      <c r="AD53" s="69">
        <f>[11]CF!C19-AC53</f>
        <v>-95</v>
      </c>
      <c r="AE53" s="69">
        <f>[12]CF!C21-AD53-AC53</f>
        <v>9</v>
      </c>
      <c r="AF53" s="78">
        <f>J53-AC53-AD53-AE53</f>
        <v>-28</v>
      </c>
      <c r="AG53" s="69">
        <f>[14]CF!C19</f>
        <v>62</v>
      </c>
    </row>
    <row r="54" spans="1:33" s="9" customFormat="1" x14ac:dyDescent="0.2">
      <c r="A54" s="22" t="s">
        <v>6</v>
      </c>
      <c r="B54" s="77"/>
      <c r="C54" s="9">
        <f t="shared" ref="C54:I54" si="6">C26+C40+C51-C53</f>
        <v>0</v>
      </c>
      <c r="D54" s="9">
        <f t="shared" si="6"/>
        <v>0</v>
      </c>
      <c r="E54" s="9">
        <f t="shared" si="6"/>
        <v>0</v>
      </c>
      <c r="F54" s="9">
        <f t="shared" si="6"/>
        <v>0</v>
      </c>
      <c r="G54" s="9">
        <f t="shared" si="6"/>
        <v>0</v>
      </c>
      <c r="H54" s="9">
        <f t="shared" si="6"/>
        <v>0</v>
      </c>
      <c r="I54" s="9">
        <f t="shared" si="6"/>
        <v>0</v>
      </c>
      <c r="J54" s="76"/>
      <c r="K54" s="9">
        <f>K26+K40+K51-K53</f>
        <v>0</v>
      </c>
      <c r="L54" s="76"/>
      <c r="M54" s="9">
        <f t="shared" ref="M54:AG54" si="7">M26+M40+M51-M53</f>
        <v>0</v>
      </c>
      <c r="N54" s="9">
        <f t="shared" si="7"/>
        <v>0</v>
      </c>
      <c r="O54" s="9">
        <f t="shared" si="7"/>
        <v>0</v>
      </c>
      <c r="P54" s="9">
        <f t="shared" si="7"/>
        <v>0</v>
      </c>
      <c r="Q54" s="9">
        <f t="shared" si="7"/>
        <v>0</v>
      </c>
      <c r="R54" s="9">
        <f t="shared" si="7"/>
        <v>0</v>
      </c>
      <c r="S54" s="9">
        <f t="shared" si="7"/>
        <v>0</v>
      </c>
      <c r="T54" s="9">
        <f t="shared" si="7"/>
        <v>0</v>
      </c>
      <c r="U54" s="9">
        <f t="shared" si="7"/>
        <v>0</v>
      </c>
      <c r="V54" s="9">
        <f t="shared" si="7"/>
        <v>0</v>
      </c>
      <c r="W54" s="9">
        <f t="shared" si="7"/>
        <v>0</v>
      </c>
      <c r="X54" s="9">
        <f t="shared" si="7"/>
        <v>0</v>
      </c>
      <c r="Y54" s="9">
        <f t="shared" si="7"/>
        <v>0</v>
      </c>
      <c r="Z54" s="9">
        <f t="shared" si="7"/>
        <v>0</v>
      </c>
      <c r="AA54" s="9">
        <f t="shared" si="7"/>
        <v>0</v>
      </c>
      <c r="AB54" s="9">
        <f t="shared" si="7"/>
        <v>0</v>
      </c>
      <c r="AC54" s="9">
        <f t="shared" si="7"/>
        <v>0</v>
      </c>
      <c r="AD54" s="9">
        <f t="shared" si="7"/>
        <v>0</v>
      </c>
      <c r="AE54" s="9">
        <f t="shared" si="7"/>
        <v>0</v>
      </c>
      <c r="AF54" s="9">
        <f t="shared" si="7"/>
        <v>0</v>
      </c>
      <c r="AG54" s="9">
        <f t="shared" si="7"/>
        <v>0</v>
      </c>
    </row>
    <row r="55" spans="1:33" x14ac:dyDescent="0.2">
      <c r="A55" s="8" t="s">
        <v>154</v>
      </c>
      <c r="B55" s="79"/>
      <c r="C55" s="70">
        <f>[1]CF!D40</f>
        <v>168</v>
      </c>
      <c r="D55" s="78">
        <f t="shared" ref="D55:J55" si="8">C56</f>
        <v>283</v>
      </c>
      <c r="E55" s="78">
        <f t="shared" si="8"/>
        <v>480</v>
      </c>
      <c r="F55" s="78">
        <f t="shared" si="8"/>
        <v>1140</v>
      </c>
      <c r="G55" s="78">
        <f t="shared" si="8"/>
        <v>994</v>
      </c>
      <c r="H55" s="78">
        <f t="shared" si="8"/>
        <v>390</v>
      </c>
      <c r="I55" s="78">
        <f t="shared" si="8"/>
        <v>435</v>
      </c>
      <c r="J55" s="78">
        <f t="shared" si="8"/>
        <v>398</v>
      </c>
      <c r="K55" s="73">
        <f>K56-K53</f>
        <v>400</v>
      </c>
      <c r="L55" s="70"/>
      <c r="M55" s="78">
        <f>E56</f>
        <v>1140</v>
      </c>
      <c r="N55" s="78">
        <f t="shared" ref="N55:AG55" si="9">M56</f>
        <v>1259</v>
      </c>
      <c r="O55" s="78">
        <f t="shared" si="9"/>
        <v>1210</v>
      </c>
      <c r="P55" s="78">
        <f t="shared" si="9"/>
        <v>1178</v>
      </c>
      <c r="Q55" s="78">
        <f t="shared" si="9"/>
        <v>994</v>
      </c>
      <c r="R55" s="78">
        <f t="shared" si="9"/>
        <v>1048</v>
      </c>
      <c r="S55" s="78">
        <f t="shared" si="9"/>
        <v>952</v>
      </c>
      <c r="T55" s="78">
        <f t="shared" si="9"/>
        <v>1016</v>
      </c>
      <c r="U55" s="78">
        <f t="shared" si="9"/>
        <v>390</v>
      </c>
      <c r="V55" s="78">
        <f t="shared" si="9"/>
        <v>495</v>
      </c>
      <c r="W55" s="78">
        <f t="shared" si="9"/>
        <v>446</v>
      </c>
      <c r="X55" s="78">
        <f t="shared" si="9"/>
        <v>381</v>
      </c>
      <c r="Y55" s="78">
        <f t="shared" si="9"/>
        <v>435</v>
      </c>
      <c r="Z55" s="78">
        <f t="shared" si="9"/>
        <v>467</v>
      </c>
      <c r="AA55" s="78">
        <f t="shared" si="9"/>
        <v>489</v>
      </c>
      <c r="AB55" s="78">
        <f t="shared" si="9"/>
        <v>444</v>
      </c>
      <c r="AC55" s="78">
        <f t="shared" si="9"/>
        <v>398</v>
      </c>
      <c r="AD55" s="78">
        <f t="shared" si="9"/>
        <v>400</v>
      </c>
      <c r="AE55" s="78">
        <f t="shared" si="9"/>
        <v>305</v>
      </c>
      <c r="AF55" s="78">
        <f t="shared" si="9"/>
        <v>314</v>
      </c>
      <c r="AG55" s="78">
        <f t="shared" si="9"/>
        <v>286</v>
      </c>
    </row>
    <row r="56" spans="1:33" x14ac:dyDescent="0.2">
      <c r="A56" s="8" t="s">
        <v>153</v>
      </c>
      <c r="B56" s="79"/>
      <c r="C56" s="70">
        <f>[1]CF!D41</f>
        <v>283</v>
      </c>
      <c r="D56" s="70">
        <f>[2]CF!D46</f>
        <v>480</v>
      </c>
      <c r="E56" s="70">
        <f>[3]CF!D47</f>
        <v>1140</v>
      </c>
      <c r="F56" s="70">
        <f>[4]CF!D44</f>
        <v>994</v>
      </c>
      <c r="G56" s="70">
        <f>[5]CF!D41</f>
        <v>390</v>
      </c>
      <c r="H56" s="70">
        <f>[9]CF!E40</f>
        <v>435</v>
      </c>
      <c r="I56" s="70">
        <f>[9]CF!D40</f>
        <v>398</v>
      </c>
      <c r="J56" s="70">
        <f>[9]CF!C40</f>
        <v>286</v>
      </c>
      <c r="K56" s="73">
        <f>AG56</f>
        <v>348</v>
      </c>
      <c r="L56" s="70"/>
      <c r="M56" s="69">
        <v>1259</v>
      </c>
      <c r="N56" s="69">
        <v>1210</v>
      </c>
      <c r="O56" s="69">
        <v>1178</v>
      </c>
      <c r="P56" s="69">
        <v>994</v>
      </c>
      <c r="Q56" s="69">
        <v>1048</v>
      </c>
      <c r="R56" s="69">
        <v>952</v>
      </c>
      <c r="S56" s="69">
        <v>1016</v>
      </c>
      <c r="T56" s="69">
        <v>390</v>
      </c>
      <c r="U56" s="69">
        <f>[6]CF!C21</f>
        <v>495</v>
      </c>
      <c r="V56" s="69">
        <f>[7]CF!C21</f>
        <v>446</v>
      </c>
      <c r="W56" s="69">
        <f>[8]CF!C22</f>
        <v>381</v>
      </c>
      <c r="X56" s="78">
        <f>H56</f>
        <v>435</v>
      </c>
      <c r="Y56" s="69">
        <f>[10]CF!D21</f>
        <v>467</v>
      </c>
      <c r="Z56" s="69">
        <f>[11]CF!D21</f>
        <v>489</v>
      </c>
      <c r="AA56" s="69">
        <f>[12]CF!D23</f>
        <v>444</v>
      </c>
      <c r="AB56" s="78">
        <f>I56</f>
        <v>398</v>
      </c>
      <c r="AC56" s="69">
        <f>[14]CF!D21</f>
        <v>400</v>
      </c>
      <c r="AD56" s="69">
        <f>[11]CF!C21</f>
        <v>305</v>
      </c>
      <c r="AE56" s="69">
        <f>[12]CF!C23</f>
        <v>314</v>
      </c>
      <c r="AF56" s="78">
        <f>J56</f>
        <v>286</v>
      </c>
      <c r="AG56" s="69">
        <f>[14]CF!C21</f>
        <v>348</v>
      </c>
    </row>
    <row r="57" spans="1:33" s="9" customFormat="1" x14ac:dyDescent="0.2">
      <c r="A57" s="22" t="s">
        <v>6</v>
      </c>
      <c r="B57" s="77"/>
      <c r="C57" s="9">
        <f t="shared" ref="C57:K57" si="10">C53+C55-C56</f>
        <v>0</v>
      </c>
      <c r="D57" s="9">
        <f t="shared" si="10"/>
        <v>0</v>
      </c>
      <c r="E57" s="9">
        <f t="shared" si="10"/>
        <v>0</v>
      </c>
      <c r="F57" s="9">
        <f t="shared" si="10"/>
        <v>0</v>
      </c>
      <c r="G57" s="9">
        <f t="shared" si="10"/>
        <v>0</v>
      </c>
      <c r="H57" s="9">
        <f t="shared" si="10"/>
        <v>-117</v>
      </c>
      <c r="I57" s="9">
        <f t="shared" si="10"/>
        <v>0</v>
      </c>
      <c r="J57" s="9">
        <f t="shared" si="10"/>
        <v>0</v>
      </c>
      <c r="K57" s="9">
        <f t="shared" si="10"/>
        <v>0</v>
      </c>
      <c r="L57" s="76"/>
      <c r="M57" s="9">
        <f t="shared" ref="M57:AG57" si="11">M53+M55-M56</f>
        <v>0</v>
      </c>
      <c r="N57" s="9">
        <f t="shared" si="11"/>
        <v>0</v>
      </c>
      <c r="O57" s="9">
        <f t="shared" si="11"/>
        <v>0</v>
      </c>
      <c r="P57" s="9">
        <f t="shared" si="11"/>
        <v>0</v>
      </c>
      <c r="Q57" s="9">
        <f t="shared" si="11"/>
        <v>0</v>
      </c>
      <c r="R57" s="9">
        <f t="shared" si="11"/>
        <v>0</v>
      </c>
      <c r="S57" s="9">
        <f t="shared" si="11"/>
        <v>0</v>
      </c>
      <c r="T57" s="9">
        <f t="shared" si="11"/>
        <v>0</v>
      </c>
      <c r="U57" s="9">
        <f t="shared" si="11"/>
        <v>0</v>
      </c>
      <c r="V57" s="9">
        <f t="shared" si="11"/>
        <v>0</v>
      </c>
      <c r="W57" s="9">
        <f t="shared" si="11"/>
        <v>0</v>
      </c>
      <c r="X57" s="9">
        <f t="shared" si="11"/>
        <v>-117</v>
      </c>
      <c r="Y57" s="9">
        <f t="shared" si="11"/>
        <v>-1</v>
      </c>
      <c r="Z57" s="9">
        <f t="shared" si="11"/>
        <v>0</v>
      </c>
      <c r="AA57" s="9">
        <f t="shared" si="11"/>
        <v>0</v>
      </c>
      <c r="AB57" s="9">
        <f t="shared" si="11"/>
        <v>1</v>
      </c>
      <c r="AC57" s="9">
        <f t="shared" si="11"/>
        <v>0</v>
      </c>
      <c r="AD57" s="9">
        <f t="shared" si="11"/>
        <v>0</v>
      </c>
      <c r="AE57" s="9">
        <f t="shared" si="11"/>
        <v>0</v>
      </c>
      <c r="AF57" s="9">
        <f t="shared" si="11"/>
        <v>0</v>
      </c>
      <c r="AG57" s="9">
        <f t="shared" si="11"/>
        <v>0</v>
      </c>
    </row>
    <row r="58" spans="1:33" s="56" customFormat="1" x14ac:dyDescent="0.2">
      <c r="A58" s="75" t="s">
        <v>152</v>
      </c>
      <c r="B58" s="74" t="s">
        <v>151</v>
      </c>
      <c r="C58" s="73">
        <f t="shared" ref="C58:K58" si="12">C26+C29</f>
        <v>-867</v>
      </c>
      <c r="D58" s="73">
        <f t="shared" si="12"/>
        <v>-603</v>
      </c>
      <c r="E58" s="73">
        <f t="shared" si="12"/>
        <v>-2439</v>
      </c>
      <c r="F58" s="73">
        <f t="shared" si="12"/>
        <v>-2231</v>
      </c>
      <c r="G58" s="73">
        <f t="shared" si="12"/>
        <v>98</v>
      </c>
      <c r="H58" s="73">
        <f t="shared" si="12"/>
        <v>793</v>
      </c>
      <c r="I58" s="73">
        <f t="shared" si="12"/>
        <v>-1227</v>
      </c>
      <c r="J58" s="73">
        <f t="shared" si="12"/>
        <v>-212</v>
      </c>
      <c r="K58" s="73">
        <f t="shared" si="12"/>
        <v>-887</v>
      </c>
      <c r="L58" s="73"/>
      <c r="M58" s="73">
        <f t="shared" ref="M58:AG58" si="13">M26+M29</f>
        <v>209</v>
      </c>
      <c r="N58" s="73">
        <f t="shared" si="13"/>
        <v>-250</v>
      </c>
      <c r="O58" s="73">
        <f t="shared" si="13"/>
        <v>-1689</v>
      </c>
      <c r="P58" s="73">
        <f t="shared" si="13"/>
        <v>-501</v>
      </c>
      <c r="Q58" s="73">
        <f t="shared" si="13"/>
        <v>1085</v>
      </c>
      <c r="R58" s="73">
        <f t="shared" si="13"/>
        <v>617</v>
      </c>
      <c r="S58" s="73">
        <f t="shared" si="13"/>
        <v>-302</v>
      </c>
      <c r="T58" s="73">
        <f t="shared" si="13"/>
        <v>-1302</v>
      </c>
      <c r="U58" s="73">
        <f t="shared" si="13"/>
        <v>1063</v>
      </c>
      <c r="V58" s="73">
        <f t="shared" si="13"/>
        <v>707</v>
      </c>
      <c r="W58" s="73">
        <f t="shared" si="13"/>
        <v>-144</v>
      </c>
      <c r="X58" s="73">
        <f t="shared" si="13"/>
        <v>-833</v>
      </c>
      <c r="Y58" s="73">
        <f t="shared" si="13"/>
        <v>536</v>
      </c>
      <c r="Z58" s="73">
        <f t="shared" si="13"/>
        <v>208</v>
      </c>
      <c r="AA58" s="73">
        <f t="shared" si="13"/>
        <v>-1000</v>
      </c>
      <c r="AB58" s="73">
        <f t="shared" si="13"/>
        <v>-971</v>
      </c>
      <c r="AC58" s="73">
        <f t="shared" si="13"/>
        <v>1021</v>
      </c>
      <c r="AD58" s="73">
        <f t="shared" si="13"/>
        <v>131</v>
      </c>
      <c r="AE58" s="73">
        <f t="shared" si="13"/>
        <v>-1084</v>
      </c>
      <c r="AF58" s="73">
        <f t="shared" si="13"/>
        <v>-280</v>
      </c>
      <c r="AG58" s="73">
        <f t="shared" si="13"/>
        <v>346</v>
      </c>
    </row>
    <row r="59" spans="1:33" s="71" customFormat="1" x14ac:dyDescent="0.2">
      <c r="A59" s="72" t="s">
        <v>150</v>
      </c>
      <c r="B59" s="19" t="s">
        <v>149</v>
      </c>
      <c r="C59" s="15">
        <f>-C49/IS!C46</f>
        <v>0</v>
      </c>
      <c r="D59" s="15">
        <f>-D49/IS!D46</f>
        <v>0</v>
      </c>
      <c r="E59" s="15">
        <f>-E49/IS!E46</f>
        <v>0</v>
      </c>
      <c r="F59" s="14">
        <f>[4]IS!D36</f>
        <v>0.2</v>
      </c>
      <c r="G59" s="14">
        <f>[5]IS!D36</f>
        <v>0.4</v>
      </c>
      <c r="H59" s="14">
        <f>[9]IS!D32</f>
        <v>0.4</v>
      </c>
      <c r="I59" s="14">
        <f>[9]IS!C32</f>
        <v>0.4</v>
      </c>
      <c r="J59" s="14">
        <f>[9]IS!B32</f>
        <v>0.4</v>
      </c>
      <c r="K59" s="15">
        <f>SUM(AD59:AG59)</f>
        <v>0.4</v>
      </c>
      <c r="L59" s="14"/>
      <c r="M59" s="15">
        <f>-M49/IS!M46</f>
        <v>0</v>
      </c>
      <c r="N59" s="15">
        <f>-N49/IS!N46</f>
        <v>0</v>
      </c>
      <c r="O59" s="15">
        <f>-O49/IS!O46</f>
        <v>9.7933068188619091E-2</v>
      </c>
      <c r="P59" s="15">
        <f>-P49/IS!P46</f>
        <v>9.934227137824983E-2</v>
      </c>
      <c r="Q59" s="15">
        <f>-Q49/IS!Q46</f>
        <v>9.7638542117082561E-2</v>
      </c>
      <c r="R59" s="15">
        <f>-R49/IS!R46</f>
        <v>9.8924409032646474E-2</v>
      </c>
      <c r="S59" s="15">
        <f>-S49/IS!S46</f>
        <v>9.6953457933216691E-2</v>
      </c>
      <c r="T59" s="15">
        <f>-T49/IS!T46</f>
        <v>0.11177694290061167</v>
      </c>
      <c r="U59" s="14">
        <f>[6]IS!C36</f>
        <v>0.1</v>
      </c>
      <c r="V59" s="14">
        <f>[7]IS!C36</f>
        <v>0.1</v>
      </c>
      <c r="W59" s="14">
        <f>[8]IS!C36</f>
        <v>0.1</v>
      </c>
      <c r="X59" s="15">
        <f>H59-W59-V59-U59</f>
        <v>0.10000000000000003</v>
      </c>
      <c r="Y59" s="14">
        <f>[10]IS!C35</f>
        <v>0.1</v>
      </c>
      <c r="Z59" s="14">
        <f>[11]IS!C35</f>
        <v>0.1</v>
      </c>
      <c r="AA59" s="14">
        <f>[12]IS!C32</f>
        <v>0.1</v>
      </c>
      <c r="AB59" s="14">
        <v>0.1</v>
      </c>
      <c r="AC59" s="14">
        <f>'[14]Share Repurchase Programs and_3'!D4</f>
        <v>0.1</v>
      </c>
      <c r="AD59" s="14">
        <f>[11]IS!B35</f>
        <v>0.1</v>
      </c>
      <c r="AE59" s="14">
        <f>[12]IS!B32</f>
        <v>0.1</v>
      </c>
      <c r="AF59" s="14">
        <v>0.1</v>
      </c>
      <c r="AG59" s="14">
        <f>'[14]Share Repurchase Programs and_3'!C4</f>
        <v>0.1</v>
      </c>
    </row>
    <row r="60" spans="1:33" x14ac:dyDescent="0.2"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69"/>
      <c r="N60" s="69"/>
      <c r="O60" s="69"/>
      <c r="P60" s="69"/>
      <c r="Q60" s="69"/>
      <c r="R60" s="69"/>
      <c r="S60" s="69"/>
      <c r="T60" s="69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G60" s="69"/>
    </row>
    <row r="61" spans="1:33" x14ac:dyDescent="0.2"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69"/>
      <c r="N61" s="69"/>
      <c r="O61" s="69"/>
      <c r="P61" s="69"/>
      <c r="Q61" s="69"/>
      <c r="R61" s="69"/>
      <c r="S61" s="69"/>
      <c r="T61" s="69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G61" s="69"/>
    </row>
    <row r="62" spans="1:33" x14ac:dyDescent="0.2"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69"/>
      <c r="N62" s="69"/>
      <c r="O62" s="69"/>
      <c r="P62" s="69"/>
      <c r="Q62" s="69"/>
      <c r="R62" s="69"/>
      <c r="S62" s="69"/>
      <c r="T62" s="69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G62" s="69"/>
    </row>
    <row r="63" spans="1:33" x14ac:dyDescent="0.2"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69"/>
      <c r="N63" s="69"/>
      <c r="O63" s="69"/>
      <c r="P63" s="69"/>
      <c r="Q63" s="69"/>
      <c r="R63" s="69"/>
      <c r="S63" s="69"/>
      <c r="T63" s="69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G63" s="69"/>
    </row>
    <row r="64" spans="1:33" x14ac:dyDescent="0.2"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69"/>
      <c r="N64" s="69"/>
      <c r="O64" s="69"/>
      <c r="P64" s="69"/>
      <c r="Q64" s="69"/>
      <c r="R64" s="69"/>
      <c r="S64" s="69"/>
      <c r="T64" s="69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G64" s="69"/>
    </row>
    <row r="65" spans="3:33" x14ac:dyDescent="0.2"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69"/>
      <c r="N65" s="69"/>
      <c r="O65" s="69"/>
      <c r="P65" s="69"/>
      <c r="Q65" s="69"/>
      <c r="R65" s="69"/>
      <c r="S65" s="69"/>
      <c r="T65" s="69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G65" s="69"/>
    </row>
    <row r="66" spans="3:33" x14ac:dyDescent="0.2"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69"/>
      <c r="N66" s="69"/>
      <c r="O66" s="69"/>
      <c r="P66" s="69"/>
      <c r="Q66" s="69"/>
      <c r="R66" s="69"/>
      <c r="S66" s="69"/>
      <c r="T66" s="69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G66" s="69"/>
    </row>
    <row r="67" spans="3:33" x14ac:dyDescent="0.2"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69"/>
      <c r="N67" s="69"/>
      <c r="O67" s="69"/>
      <c r="P67" s="69"/>
      <c r="Q67" s="69"/>
      <c r="R67" s="69"/>
      <c r="S67" s="69"/>
      <c r="T67" s="69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G67" s="69"/>
    </row>
    <row r="68" spans="3:33" x14ac:dyDescent="0.2"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69"/>
      <c r="N68" s="69"/>
      <c r="O68" s="69"/>
      <c r="P68" s="69"/>
      <c r="Q68" s="69"/>
      <c r="R68" s="69"/>
      <c r="S68" s="69"/>
      <c r="T68" s="69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G68" s="69"/>
    </row>
    <row r="69" spans="3:33" x14ac:dyDescent="0.2"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69"/>
      <c r="N69" s="69"/>
      <c r="O69" s="69"/>
      <c r="P69" s="69"/>
      <c r="Q69" s="69"/>
      <c r="R69" s="69"/>
      <c r="S69" s="69"/>
      <c r="T69" s="69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G69" s="69"/>
    </row>
    <row r="70" spans="3:33" x14ac:dyDescent="0.2"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69"/>
      <c r="N70" s="69"/>
      <c r="O70" s="69"/>
      <c r="P70" s="69"/>
      <c r="Q70" s="69"/>
      <c r="R70" s="69"/>
      <c r="S70" s="69"/>
      <c r="T70" s="69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G70" s="69"/>
    </row>
    <row r="71" spans="3:33" x14ac:dyDescent="0.2"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69"/>
      <c r="N71" s="69"/>
      <c r="O71" s="69"/>
      <c r="P71" s="69"/>
      <c r="Q71" s="69"/>
      <c r="R71" s="69"/>
      <c r="S71" s="69"/>
      <c r="T71" s="69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G71" s="69"/>
    </row>
    <row r="72" spans="3:33" x14ac:dyDescent="0.2"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69"/>
      <c r="N72" s="69"/>
      <c r="O72" s="69"/>
      <c r="P72" s="69"/>
      <c r="Q72" s="69"/>
      <c r="R72" s="69"/>
      <c r="S72" s="69"/>
      <c r="T72" s="69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G72" s="69"/>
    </row>
    <row r="73" spans="3:33" x14ac:dyDescent="0.2"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69"/>
      <c r="N73" s="69"/>
      <c r="O73" s="69"/>
      <c r="P73" s="69"/>
      <c r="Q73" s="69"/>
      <c r="R73" s="69"/>
      <c r="S73" s="69"/>
      <c r="T73" s="69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G73" s="69"/>
    </row>
    <row r="74" spans="3:33" x14ac:dyDescent="0.2"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69"/>
      <c r="N74" s="69"/>
      <c r="O74" s="69"/>
      <c r="P74" s="69"/>
      <c r="Q74" s="69"/>
      <c r="R74" s="69"/>
      <c r="S74" s="69"/>
      <c r="T74" s="69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G74" s="69"/>
    </row>
    <row r="75" spans="3:33" x14ac:dyDescent="0.2"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69"/>
      <c r="N75" s="69"/>
      <c r="O75" s="69"/>
      <c r="P75" s="69"/>
      <c r="Q75" s="69"/>
      <c r="R75" s="69"/>
      <c r="S75" s="69"/>
      <c r="T75" s="69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G75" s="69"/>
    </row>
    <row r="76" spans="3:33" x14ac:dyDescent="0.2"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69"/>
      <c r="N76" s="69"/>
      <c r="O76" s="69"/>
      <c r="P76" s="69"/>
      <c r="Q76" s="69"/>
      <c r="R76" s="69"/>
      <c r="S76" s="69"/>
      <c r="T76" s="69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G76" s="69"/>
    </row>
    <row r="77" spans="3:33" x14ac:dyDescent="0.2"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69"/>
      <c r="N77" s="69"/>
      <c r="O77" s="69"/>
      <c r="P77" s="69"/>
      <c r="Q77" s="69"/>
      <c r="R77" s="69"/>
      <c r="S77" s="69"/>
      <c r="T77" s="69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G77" s="69"/>
    </row>
    <row r="78" spans="3:33" x14ac:dyDescent="0.2"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69"/>
      <c r="N78" s="69"/>
      <c r="O78" s="69"/>
      <c r="P78" s="69"/>
      <c r="Q78" s="69"/>
      <c r="R78" s="69"/>
      <c r="S78" s="69"/>
      <c r="T78" s="69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G78" s="69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20"/>
  <sheetViews>
    <sheetView zoomScale="90" zoomScaleNormal="9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2.75" x14ac:dyDescent="0.2"/>
  <cols>
    <col min="1" max="1" width="50.7109375" style="92" customWidth="1"/>
    <col min="2" max="2" width="2.140625" style="93" customWidth="1"/>
    <col min="3" max="6" width="9.28515625" style="92" bestFit="1" customWidth="1"/>
    <col min="7" max="7" width="10" style="92" bestFit="1" customWidth="1"/>
    <col min="8" max="10" width="9.28515625" style="92" bestFit="1" customWidth="1"/>
    <col min="11" max="11" width="9.28515625" style="92" customWidth="1"/>
    <col min="12" max="12" width="9.140625" style="92"/>
    <col min="13" max="13" width="8.28515625" style="92" customWidth="1"/>
    <col min="14" max="16" width="9.28515625" style="92" bestFit="1" customWidth="1"/>
    <col min="17" max="17" width="8.28515625" style="92" customWidth="1"/>
    <col min="18" max="19" width="9.28515625" style="92" bestFit="1" customWidth="1"/>
    <col min="20" max="20" width="8.28515625" style="92" customWidth="1"/>
    <col min="21" max="21" width="8.7109375" style="92" bestFit="1" customWidth="1"/>
    <col min="22" max="22" width="9.28515625" style="92" customWidth="1"/>
    <col min="23" max="23" width="9.28515625" style="92" bestFit="1" customWidth="1"/>
    <col min="24" max="25" width="8.7109375" style="92" bestFit="1" customWidth="1"/>
    <col min="26" max="26" width="9.28515625" style="92" customWidth="1"/>
    <col min="27" max="29" width="9.28515625" style="92" bestFit="1" customWidth="1"/>
    <col min="30" max="30" width="9.28515625" style="92" customWidth="1"/>
    <col min="31" max="33" width="9.28515625" style="92" bestFit="1" customWidth="1"/>
    <col min="34" max="16384" width="9.140625" style="92"/>
  </cols>
  <sheetData>
    <row r="1" spans="1:33" x14ac:dyDescent="0.2">
      <c r="C1" s="43" t="s">
        <v>69</v>
      </c>
      <c r="D1" s="43" t="s">
        <v>68</v>
      </c>
      <c r="E1" s="43" t="s">
        <v>67</v>
      </c>
      <c r="F1" s="43" t="s">
        <v>66</v>
      </c>
      <c r="G1" s="43" t="s">
        <v>65</v>
      </c>
      <c r="H1" s="43" t="s">
        <v>64</v>
      </c>
      <c r="I1" s="43" t="s">
        <v>63</v>
      </c>
      <c r="J1" s="43" t="s">
        <v>62</v>
      </c>
      <c r="K1" s="43" t="s">
        <v>61</v>
      </c>
      <c r="L1" s="44"/>
      <c r="M1" s="118" t="s">
        <v>60</v>
      </c>
      <c r="N1" s="118" t="s">
        <v>59</v>
      </c>
      <c r="O1" s="118" t="s">
        <v>58</v>
      </c>
      <c r="P1" s="118" t="s">
        <v>57</v>
      </c>
      <c r="Q1" s="118" t="s">
        <v>56</v>
      </c>
      <c r="R1" s="118" t="s">
        <v>55</v>
      </c>
      <c r="S1" s="118" t="s">
        <v>54</v>
      </c>
      <c r="T1" s="118" t="s">
        <v>53</v>
      </c>
      <c r="U1" s="43" t="s">
        <v>52</v>
      </c>
      <c r="V1" s="43" t="s">
        <v>51</v>
      </c>
      <c r="W1" s="43" t="s">
        <v>50</v>
      </c>
      <c r="X1" s="43" t="s">
        <v>49</v>
      </c>
      <c r="Y1" s="43" t="s">
        <v>48</v>
      </c>
      <c r="Z1" s="43" t="s">
        <v>47</v>
      </c>
      <c r="AA1" s="43" t="s">
        <v>46</v>
      </c>
      <c r="AB1" s="43" t="s">
        <v>45</v>
      </c>
      <c r="AC1" s="43" t="s">
        <v>44</v>
      </c>
      <c r="AD1" s="43" t="s">
        <v>43</v>
      </c>
      <c r="AE1" s="43" t="s">
        <v>42</v>
      </c>
      <c r="AF1" s="43" t="s">
        <v>41</v>
      </c>
      <c r="AG1" s="43" t="s">
        <v>40</v>
      </c>
    </row>
    <row r="2" spans="1:33" x14ac:dyDescent="0.2">
      <c r="C2" s="41">
        <v>40908</v>
      </c>
      <c r="D2" s="41">
        <v>41274</v>
      </c>
      <c r="E2" s="41">
        <v>41639</v>
      </c>
      <c r="F2" s="41">
        <v>42004</v>
      </c>
      <c r="G2" s="41">
        <v>42369</v>
      </c>
      <c r="H2" s="41">
        <v>42735</v>
      </c>
      <c r="I2" s="41">
        <v>43100</v>
      </c>
      <c r="J2" s="41">
        <v>43465</v>
      </c>
      <c r="K2" s="41"/>
      <c r="L2" s="42"/>
      <c r="M2" s="117">
        <v>41729</v>
      </c>
      <c r="N2" s="117">
        <v>41820</v>
      </c>
      <c r="O2" s="117">
        <v>41912</v>
      </c>
      <c r="P2" s="117">
        <v>42004</v>
      </c>
      <c r="Q2" s="117">
        <v>42094</v>
      </c>
      <c r="R2" s="117">
        <v>42185</v>
      </c>
      <c r="S2" s="117">
        <v>42277</v>
      </c>
      <c r="T2" s="117">
        <v>42369</v>
      </c>
      <c r="U2" s="41">
        <v>42460</v>
      </c>
      <c r="V2" s="41">
        <v>42551</v>
      </c>
      <c r="W2" s="41">
        <v>42643</v>
      </c>
      <c r="X2" s="41">
        <v>42735</v>
      </c>
      <c r="Y2" s="41">
        <v>42825</v>
      </c>
      <c r="Z2" s="41">
        <v>42916</v>
      </c>
      <c r="AA2" s="41">
        <v>43008</v>
      </c>
      <c r="AB2" s="41">
        <v>43100</v>
      </c>
      <c r="AC2" s="41">
        <v>43190</v>
      </c>
      <c r="AD2" s="41">
        <v>43281</v>
      </c>
      <c r="AE2" s="41">
        <v>43373</v>
      </c>
      <c r="AF2" s="41">
        <v>43465</v>
      </c>
      <c r="AG2" s="41">
        <v>43555</v>
      </c>
    </row>
    <row r="3" spans="1:33" s="93" customFormat="1" x14ac:dyDescent="0.2">
      <c r="A3" s="116" t="s">
        <v>39</v>
      </c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</row>
    <row r="4" spans="1:33" s="109" customFormat="1" x14ac:dyDescent="0.2">
      <c r="A4" s="57" t="s">
        <v>33</v>
      </c>
      <c r="B4" s="112" t="s">
        <v>225</v>
      </c>
      <c r="C4" s="110"/>
      <c r="D4" s="110">
        <f>[24]Sheet1!Q745</f>
        <v>38620</v>
      </c>
      <c r="E4" s="110">
        <f>[16]Sheet1!F793</f>
        <v>40388</v>
      </c>
      <c r="F4" s="110">
        <f>[25]Sheet1!F422</f>
        <v>42650</v>
      </c>
      <c r="G4" s="110">
        <f>[26]Sheet1!I63</f>
        <v>40990</v>
      </c>
      <c r="H4" s="110">
        <f>[27]Sheet1!I40</f>
        <v>40180</v>
      </c>
      <c r="I4" s="110">
        <f>[13]Sheet1!I40</f>
        <v>42622</v>
      </c>
      <c r="J4" s="110">
        <f>[13]Sheet1!H40</f>
        <v>44541</v>
      </c>
      <c r="K4" s="111">
        <f>SUM(AD4:AG4)</f>
        <v>44724</v>
      </c>
      <c r="L4" s="110"/>
      <c r="M4" s="110">
        <f>[28]Sheet1!C488</f>
        <v>9995</v>
      </c>
      <c r="N4" s="110">
        <f>[29]Sheet1!C595</f>
        <v>11355</v>
      </c>
      <c r="O4" s="110">
        <f>[30]Sheet1!C571</f>
        <v>11139</v>
      </c>
      <c r="P4" s="110">
        <f>[25]Sheet1!C422</f>
        <v>10160</v>
      </c>
      <c r="Q4" s="110">
        <f>[31]Sheet1!C509</f>
        <v>9827</v>
      </c>
      <c r="R4" s="110">
        <f>[32]Sheet1!E44</f>
        <v>10827</v>
      </c>
      <c r="S4" s="110">
        <f>[33]Sheet1!E44</f>
        <v>10706</v>
      </c>
      <c r="T4" s="110">
        <f>[26]Sheet1!E63</f>
        <v>9630</v>
      </c>
      <c r="U4" s="110">
        <f>[34]Sheet1!E55</f>
        <v>9435</v>
      </c>
      <c r="V4" s="110">
        <f>[35]Sheet1!E23</f>
        <v>10363</v>
      </c>
      <c r="W4" s="110">
        <f>'[36]AAL 3Q17 PR'!E38</f>
        <v>10594</v>
      </c>
      <c r="X4" s="110">
        <f>[27]Sheet1!E40</f>
        <v>9789</v>
      </c>
      <c r="Y4" s="110">
        <f>[37]Sheet1!E27</f>
        <v>9820</v>
      </c>
      <c r="Z4" s="110">
        <f>[38]Sheet1!E38</f>
        <v>11227</v>
      </c>
      <c r="AA4" s="110">
        <f>[39]Sheet1!E34</f>
        <v>10965</v>
      </c>
      <c r="AB4" s="110">
        <f>[13]Sheet1!E40</f>
        <v>10611</v>
      </c>
      <c r="AC4" s="110">
        <f>[18]Sheet1!E383</f>
        <v>10401</v>
      </c>
      <c r="AD4" s="110">
        <f>[38]Sheet1!D38</f>
        <v>11643</v>
      </c>
      <c r="AE4" s="110">
        <f>[39]Sheet1!D34</f>
        <v>11559</v>
      </c>
      <c r="AF4" s="110">
        <f>[13]Sheet1!D40</f>
        <v>10938</v>
      </c>
      <c r="AG4" s="110">
        <f>[18]Sheet1!C383</f>
        <v>10584</v>
      </c>
    </row>
    <row r="5" spans="1:33" x14ac:dyDescent="0.2">
      <c r="A5" s="35" t="s">
        <v>19</v>
      </c>
      <c r="C5" s="114"/>
      <c r="D5" s="114">
        <f>[24]Sheet1!J1398</f>
        <v>37198</v>
      </c>
      <c r="E5" s="114">
        <f>[16]Sheet1!E890</f>
        <v>37147</v>
      </c>
      <c r="F5" s="114">
        <f>[25]Sheet1!H516</f>
        <v>37577</v>
      </c>
      <c r="G5" s="114">
        <f>[26]Sheet1!I65</f>
        <v>33706</v>
      </c>
      <c r="H5" s="114">
        <f>[27]Sheet1!I44</f>
        <v>34173</v>
      </c>
      <c r="I5" s="114">
        <f>[13]Sheet1!I44</f>
        <v>37657</v>
      </c>
      <c r="J5" s="114">
        <f>[13]Sheet1!H44</f>
        <v>41092</v>
      </c>
      <c r="K5" s="113">
        <f>SUM(AD5:AG5)</f>
        <v>41386</v>
      </c>
      <c r="L5" s="114"/>
      <c r="M5" s="114">
        <f>[28]Sheet1!C597</f>
        <v>9398</v>
      </c>
      <c r="N5" s="114">
        <f>[29]Sheet1!C829</f>
        <v>9703</v>
      </c>
      <c r="O5" s="114">
        <f>[30]Sheet1!C799</f>
        <v>9656</v>
      </c>
      <c r="P5" s="114">
        <f>[25]Sheet1!D516</f>
        <v>8818</v>
      </c>
      <c r="Q5" s="114">
        <f>[31]Sheet1!C672</f>
        <v>8301</v>
      </c>
      <c r="R5" s="114">
        <f>[32]Sheet1!E45</f>
        <v>8752</v>
      </c>
      <c r="S5" s="114">
        <f>[33]Sheet1!E45</f>
        <v>8542</v>
      </c>
      <c r="T5" s="114">
        <f>[26]Sheet1!E65</f>
        <v>8112</v>
      </c>
      <c r="U5" s="114">
        <f>[34]Sheet1!E56</f>
        <v>7996</v>
      </c>
      <c r="V5" s="114">
        <f>[35]Sheet1!E24</f>
        <v>8547</v>
      </c>
      <c r="W5" s="114">
        <f>'[36]AAL 3Q17 PR'!E39</f>
        <v>8869</v>
      </c>
      <c r="X5" s="114">
        <f>[27]Sheet1!E44</f>
        <v>8761</v>
      </c>
      <c r="Y5" s="114">
        <f>[37]Sheet1!E28</f>
        <v>8962</v>
      </c>
      <c r="Z5" s="114">
        <f>[38]Sheet1!E39</f>
        <v>9425</v>
      </c>
      <c r="AA5" s="114">
        <f>[39]Sheet1!E35</f>
        <v>9602</v>
      </c>
      <c r="AB5" s="114">
        <f>[13]Sheet1!E44</f>
        <v>9670</v>
      </c>
      <c r="AC5" s="114">
        <f>[18]Sheet1!E416</f>
        <v>9780</v>
      </c>
      <c r="AD5" s="114">
        <f>[38]Sheet1!D39</f>
        <v>10463</v>
      </c>
      <c r="AE5" s="114">
        <f>[39]Sheet1!D35</f>
        <v>10693</v>
      </c>
      <c r="AF5" s="114">
        <f>[13]Sheet1!D44</f>
        <v>10159</v>
      </c>
      <c r="AG5" s="114">
        <f>[18]Sheet1!C416</f>
        <v>10071</v>
      </c>
    </row>
    <row r="6" spans="1:33" s="109" customFormat="1" x14ac:dyDescent="0.2">
      <c r="A6" s="57" t="s">
        <v>18</v>
      </c>
      <c r="B6" s="112" t="s">
        <v>224</v>
      </c>
      <c r="C6" s="110"/>
      <c r="D6" s="110">
        <f>[24]Sheet1!I1336</f>
        <v>1422</v>
      </c>
      <c r="E6" s="110">
        <f>[16]Sheet1!F825</f>
        <v>3241</v>
      </c>
      <c r="F6" s="110">
        <f>[25]Sheet1!I456</f>
        <v>5073</v>
      </c>
      <c r="G6" s="110">
        <f>[26]Sheet1!I66</f>
        <v>7284</v>
      </c>
      <c r="H6" s="110">
        <f>[27]Sheet1!I47</f>
        <v>6007</v>
      </c>
      <c r="I6" s="110">
        <f>[13]Sheet1!I47</f>
        <v>4965</v>
      </c>
      <c r="J6" s="110">
        <f>[13]Sheet1!H47</f>
        <v>3449</v>
      </c>
      <c r="K6" s="111">
        <f>SUM(AD6:AG6)</f>
        <v>3338</v>
      </c>
      <c r="L6" s="110"/>
      <c r="M6" s="110">
        <f>[28]Sheet1!C531</f>
        <v>597</v>
      </c>
      <c r="N6" s="110">
        <f>[29]Sheet1!C686</f>
        <v>1652</v>
      </c>
      <c r="O6" s="110">
        <f>[30]Sheet1!C650</f>
        <v>1483</v>
      </c>
      <c r="P6" s="110">
        <f>[25]Sheet1!D456</f>
        <v>1342</v>
      </c>
      <c r="Q6" s="110">
        <f>[31]Sheet1!C591</f>
        <v>1526</v>
      </c>
      <c r="R6" s="110">
        <f>[32]Sheet1!E46</f>
        <v>2075</v>
      </c>
      <c r="S6" s="110">
        <f>[33]Sheet1!E46</f>
        <v>2164</v>
      </c>
      <c r="T6" s="110">
        <f>[26]Sheet1!E66</f>
        <v>1518</v>
      </c>
      <c r="U6" s="110">
        <f>[34]Sheet1!E57</f>
        <v>1439</v>
      </c>
      <c r="V6" s="110">
        <f>[35]Sheet1!E25</f>
        <v>1816</v>
      </c>
      <c r="W6" s="110">
        <f>'[36]AAL 3Q17 PR'!E40</f>
        <v>1725</v>
      </c>
      <c r="X6" s="110">
        <f>[27]Sheet1!E47</f>
        <v>1028</v>
      </c>
      <c r="Y6" s="110">
        <f>[37]Sheet1!E29</f>
        <v>858</v>
      </c>
      <c r="Z6" s="110">
        <f>[38]Sheet1!E40</f>
        <v>1802</v>
      </c>
      <c r="AA6" s="110">
        <f>[39]Sheet1!E36</f>
        <v>1363</v>
      </c>
      <c r="AB6" s="110">
        <f>[13]Sheet1!E47</f>
        <v>941</v>
      </c>
      <c r="AC6" s="110">
        <f>[18]Sheet1!E411</f>
        <v>621</v>
      </c>
      <c r="AD6" s="110">
        <f>[38]Sheet1!D40</f>
        <v>1180</v>
      </c>
      <c r="AE6" s="110">
        <f>[39]Sheet1!D36</f>
        <v>866</v>
      </c>
      <c r="AF6" s="110">
        <f>[13]Sheet1!D47</f>
        <v>779</v>
      </c>
      <c r="AG6" s="110">
        <f>[18]Sheet1!C411</f>
        <v>513</v>
      </c>
    </row>
    <row r="7" spans="1:33" s="106" customFormat="1" x14ac:dyDescent="0.2">
      <c r="A7" s="22" t="s">
        <v>6</v>
      </c>
      <c r="B7" s="108"/>
      <c r="C7" s="107"/>
      <c r="D7" s="107">
        <f t="shared" ref="D7:K7" si="0">D4-D5-D6</f>
        <v>0</v>
      </c>
      <c r="E7" s="107">
        <f t="shared" si="0"/>
        <v>0</v>
      </c>
      <c r="F7" s="107">
        <f t="shared" si="0"/>
        <v>0</v>
      </c>
      <c r="G7" s="107">
        <f t="shared" si="0"/>
        <v>0</v>
      </c>
      <c r="H7" s="107">
        <f t="shared" si="0"/>
        <v>0</v>
      </c>
      <c r="I7" s="107">
        <f t="shared" si="0"/>
        <v>0</v>
      </c>
      <c r="J7" s="107">
        <f t="shared" si="0"/>
        <v>0</v>
      </c>
      <c r="K7" s="107">
        <f t="shared" si="0"/>
        <v>0</v>
      </c>
      <c r="L7" s="107"/>
      <c r="M7" s="107">
        <f t="shared" ref="M7:AG7" si="1">M4-M5-M6</f>
        <v>0</v>
      </c>
      <c r="N7" s="107">
        <f t="shared" si="1"/>
        <v>0</v>
      </c>
      <c r="O7" s="107">
        <f t="shared" si="1"/>
        <v>0</v>
      </c>
      <c r="P7" s="107">
        <f t="shared" si="1"/>
        <v>0</v>
      </c>
      <c r="Q7" s="107">
        <f t="shared" si="1"/>
        <v>0</v>
      </c>
      <c r="R7" s="107">
        <f t="shared" si="1"/>
        <v>0</v>
      </c>
      <c r="S7" s="107">
        <f t="shared" si="1"/>
        <v>0</v>
      </c>
      <c r="T7" s="107">
        <f t="shared" si="1"/>
        <v>0</v>
      </c>
      <c r="U7" s="107">
        <f t="shared" si="1"/>
        <v>0</v>
      </c>
      <c r="V7" s="107">
        <f t="shared" si="1"/>
        <v>0</v>
      </c>
      <c r="W7" s="107">
        <f t="shared" si="1"/>
        <v>0</v>
      </c>
      <c r="X7" s="107">
        <f t="shared" si="1"/>
        <v>0</v>
      </c>
      <c r="Y7" s="107">
        <f t="shared" si="1"/>
        <v>0</v>
      </c>
      <c r="Z7" s="107">
        <f t="shared" si="1"/>
        <v>0</v>
      </c>
      <c r="AA7" s="107">
        <f t="shared" si="1"/>
        <v>0</v>
      </c>
      <c r="AB7" s="107">
        <f t="shared" si="1"/>
        <v>0</v>
      </c>
      <c r="AC7" s="107">
        <f t="shared" si="1"/>
        <v>0</v>
      </c>
      <c r="AD7" s="107">
        <f t="shared" si="1"/>
        <v>0</v>
      </c>
      <c r="AE7" s="107">
        <f t="shared" si="1"/>
        <v>0</v>
      </c>
      <c r="AF7" s="107">
        <f t="shared" si="1"/>
        <v>0</v>
      </c>
      <c r="AG7" s="107">
        <f t="shared" si="1"/>
        <v>0</v>
      </c>
    </row>
    <row r="8" spans="1:33" s="115" customFormat="1" x14ac:dyDescent="0.2">
      <c r="A8" s="57" t="s">
        <v>223</v>
      </c>
      <c r="B8" s="108" t="s">
        <v>222</v>
      </c>
      <c r="C8" s="111"/>
      <c r="D8" s="111">
        <f>D6+CF!D7</f>
        <v>2437</v>
      </c>
      <c r="E8" s="111">
        <f>E6+CF!E7</f>
        <v>4261</v>
      </c>
      <c r="F8" s="111">
        <f>F6+CF!F7</f>
        <v>6586</v>
      </c>
      <c r="G8" s="111">
        <f>G6+CF!G7</f>
        <v>8893</v>
      </c>
      <c r="H8" s="111">
        <f>H6+CF!H7</f>
        <v>7825</v>
      </c>
      <c r="I8" s="111">
        <f>I6+CF!I7</f>
        <v>6982</v>
      </c>
      <c r="J8" s="111">
        <f>J6+CF!J7</f>
        <v>5608</v>
      </c>
      <c r="K8" s="111">
        <f>K6+CF!K7</f>
        <v>3338</v>
      </c>
      <c r="L8" s="110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</row>
    <row r="9" spans="1:33" s="106" customFormat="1" x14ac:dyDescent="0.2">
      <c r="A9" s="35" t="s">
        <v>10</v>
      </c>
      <c r="B9" s="108"/>
      <c r="C9" s="113"/>
      <c r="D9" s="113">
        <f t="shared" ref="D9:J9" si="2">D10-D6</f>
        <v>-887</v>
      </c>
      <c r="E9" s="113">
        <f t="shared" si="2"/>
        <v>-1046</v>
      </c>
      <c r="F9" s="113">
        <f t="shared" si="2"/>
        <v>-905</v>
      </c>
      <c r="G9" s="113">
        <f t="shared" si="2"/>
        <v>-994</v>
      </c>
      <c r="H9" s="113">
        <f t="shared" si="2"/>
        <v>-936</v>
      </c>
      <c r="I9" s="113">
        <f t="shared" si="2"/>
        <v>-814</v>
      </c>
      <c r="J9" s="113">
        <f t="shared" si="2"/>
        <v>-659</v>
      </c>
      <c r="K9" s="113">
        <f>SUM(AD9:AG9)</f>
        <v>-701</v>
      </c>
      <c r="L9" s="114"/>
      <c r="M9" s="113">
        <f t="shared" ref="M9:AG9" si="3">M10-M6</f>
        <v>-190</v>
      </c>
      <c r="N9" s="113">
        <f t="shared" si="3"/>
        <v>-193</v>
      </c>
      <c r="O9" s="113">
        <f t="shared" si="3"/>
        <v>-261</v>
      </c>
      <c r="P9" s="113">
        <f t="shared" si="3"/>
        <v>-262</v>
      </c>
      <c r="Q9" s="113">
        <f t="shared" si="3"/>
        <v>-281</v>
      </c>
      <c r="R9" s="113">
        <f t="shared" si="3"/>
        <v>-213</v>
      </c>
      <c r="S9" s="113">
        <f t="shared" si="3"/>
        <v>-269</v>
      </c>
      <c r="T9" s="113">
        <f t="shared" si="3"/>
        <v>-232</v>
      </c>
      <c r="U9" s="113">
        <f t="shared" si="3"/>
        <v>-218</v>
      </c>
      <c r="V9" s="113">
        <f t="shared" si="3"/>
        <v>-222</v>
      </c>
      <c r="W9" s="113">
        <f t="shared" si="3"/>
        <v>-242</v>
      </c>
      <c r="X9" s="113">
        <f t="shared" si="3"/>
        <v>-255</v>
      </c>
      <c r="Y9" s="113">
        <f t="shared" si="3"/>
        <v>-197</v>
      </c>
      <c r="Z9" s="113">
        <f t="shared" si="3"/>
        <v>-208</v>
      </c>
      <c r="AA9" s="113">
        <f t="shared" si="3"/>
        <v>-190</v>
      </c>
      <c r="AB9" s="113">
        <f t="shared" si="3"/>
        <v>-219</v>
      </c>
      <c r="AC9" s="113">
        <f t="shared" si="3"/>
        <v>-158</v>
      </c>
      <c r="AD9" s="113">
        <f t="shared" si="3"/>
        <v>-179</v>
      </c>
      <c r="AE9" s="113">
        <f t="shared" si="3"/>
        <v>-178</v>
      </c>
      <c r="AF9" s="113">
        <f t="shared" si="3"/>
        <v>-145</v>
      </c>
      <c r="AG9" s="113">
        <f t="shared" si="3"/>
        <v>-199</v>
      </c>
    </row>
    <row r="10" spans="1:33" s="115" customFormat="1" x14ac:dyDescent="0.2">
      <c r="A10" s="57" t="s">
        <v>8</v>
      </c>
      <c r="B10" s="108" t="s">
        <v>221</v>
      </c>
      <c r="C10" s="110"/>
      <c r="D10" s="110">
        <f>[24]Sheet1!M1061</f>
        <v>535</v>
      </c>
      <c r="E10" s="110">
        <f>[16]Sheet1!F785</f>
        <v>2195</v>
      </c>
      <c r="F10" s="110">
        <f>[25]Sheet1!F419</f>
        <v>4168</v>
      </c>
      <c r="G10" s="110">
        <f>[26]Sheet1!I67</f>
        <v>6290</v>
      </c>
      <c r="H10" s="110">
        <f>[27]Sheet1!P51</f>
        <v>5071</v>
      </c>
      <c r="I10" s="110">
        <f>[13]Sheet1!I50</f>
        <v>4151</v>
      </c>
      <c r="J10" s="110">
        <f>[13]Sheet1!H50</f>
        <v>2790</v>
      </c>
      <c r="K10" s="111">
        <f>SUM(AD10:AG10)</f>
        <v>2637</v>
      </c>
      <c r="L10" s="110"/>
      <c r="M10" s="110">
        <f>[28]Sheet1!C477</f>
        <v>407</v>
      </c>
      <c r="N10" s="110">
        <f>[29]Sheet1!C574</f>
        <v>1459</v>
      </c>
      <c r="O10" s="110">
        <f>[30]Sheet1!C559</f>
        <v>1222</v>
      </c>
      <c r="P10" s="110">
        <f>[25]Sheet1!C419</f>
        <v>1080</v>
      </c>
      <c r="Q10" s="110">
        <f>[31]Sheet1!C503</f>
        <v>1245</v>
      </c>
      <c r="R10" s="110">
        <f>[32]Sheet1!E47</f>
        <v>1862</v>
      </c>
      <c r="S10" s="110">
        <f>[33]Sheet1!E47</f>
        <v>1895</v>
      </c>
      <c r="T10" s="110">
        <f>[26]Sheet1!E67</f>
        <v>1286</v>
      </c>
      <c r="U10" s="110">
        <f>[34]Sheet1!E58</f>
        <v>1221</v>
      </c>
      <c r="V10" s="110">
        <f>[35]Sheet1!E26</f>
        <v>1594</v>
      </c>
      <c r="W10" s="110">
        <f>'[36]AAL 3Q17 PR'!E41</f>
        <v>1483</v>
      </c>
      <c r="X10" s="110">
        <f>[27]Sheet1!H51</f>
        <v>773</v>
      </c>
      <c r="Y10" s="110">
        <f>[37]Sheet1!E30</f>
        <v>661</v>
      </c>
      <c r="Z10" s="110">
        <f>[38]Sheet1!E41</f>
        <v>1594</v>
      </c>
      <c r="AA10" s="110">
        <f>[39]Sheet1!E37</f>
        <v>1173</v>
      </c>
      <c r="AB10" s="110">
        <f>[13]Sheet1!E50</f>
        <v>722</v>
      </c>
      <c r="AC10" s="110">
        <f>[18]Sheet1!E386</f>
        <v>463</v>
      </c>
      <c r="AD10" s="110">
        <f>[38]Sheet1!D41</f>
        <v>1001</v>
      </c>
      <c r="AE10" s="110">
        <f>[39]Sheet1!D37</f>
        <v>688</v>
      </c>
      <c r="AF10" s="110">
        <f>[13]Sheet1!D50</f>
        <v>634</v>
      </c>
      <c r="AG10" s="110">
        <f>[18]Sheet1!C386</f>
        <v>314</v>
      </c>
    </row>
    <row r="11" spans="1:33" s="106" customFormat="1" x14ac:dyDescent="0.2">
      <c r="A11" s="22" t="s">
        <v>6</v>
      </c>
      <c r="B11" s="108"/>
      <c r="C11" s="107"/>
      <c r="D11" s="107">
        <f t="shared" ref="D11:K11" si="4">D6+D9-D10</f>
        <v>0</v>
      </c>
      <c r="E11" s="107">
        <f t="shared" si="4"/>
        <v>0</v>
      </c>
      <c r="F11" s="107">
        <f t="shared" si="4"/>
        <v>0</v>
      </c>
      <c r="G11" s="107">
        <f t="shared" si="4"/>
        <v>0</v>
      </c>
      <c r="H11" s="107">
        <f t="shared" si="4"/>
        <v>0</v>
      </c>
      <c r="I11" s="107">
        <f t="shared" si="4"/>
        <v>0</v>
      </c>
      <c r="J11" s="107">
        <f t="shared" si="4"/>
        <v>0</v>
      </c>
      <c r="K11" s="107">
        <f t="shared" si="4"/>
        <v>0</v>
      </c>
      <c r="L11" s="107"/>
      <c r="M11" s="107">
        <f t="shared" ref="M11:AG11" si="5">M6+M9-M10</f>
        <v>0</v>
      </c>
      <c r="N11" s="107">
        <f t="shared" si="5"/>
        <v>0</v>
      </c>
      <c r="O11" s="107">
        <f t="shared" si="5"/>
        <v>0</v>
      </c>
      <c r="P11" s="107">
        <f t="shared" si="5"/>
        <v>0</v>
      </c>
      <c r="Q11" s="107">
        <f t="shared" si="5"/>
        <v>0</v>
      </c>
      <c r="R11" s="107">
        <f t="shared" si="5"/>
        <v>0</v>
      </c>
      <c r="S11" s="107">
        <f t="shared" si="5"/>
        <v>0</v>
      </c>
      <c r="T11" s="107">
        <f t="shared" si="5"/>
        <v>0</v>
      </c>
      <c r="U11" s="107">
        <f t="shared" si="5"/>
        <v>0</v>
      </c>
      <c r="V11" s="107">
        <f t="shared" si="5"/>
        <v>0</v>
      </c>
      <c r="W11" s="107">
        <f t="shared" si="5"/>
        <v>0</v>
      </c>
      <c r="X11" s="107">
        <f t="shared" si="5"/>
        <v>0</v>
      </c>
      <c r="Y11" s="107">
        <f t="shared" si="5"/>
        <v>0</v>
      </c>
      <c r="Z11" s="107">
        <f t="shared" si="5"/>
        <v>0</v>
      </c>
      <c r="AA11" s="107">
        <f t="shared" si="5"/>
        <v>0</v>
      </c>
      <c r="AB11" s="107">
        <f t="shared" si="5"/>
        <v>0</v>
      </c>
      <c r="AC11" s="107">
        <f t="shared" si="5"/>
        <v>0</v>
      </c>
      <c r="AD11" s="107">
        <f t="shared" si="5"/>
        <v>0</v>
      </c>
      <c r="AE11" s="107">
        <f t="shared" si="5"/>
        <v>0</v>
      </c>
      <c r="AF11" s="107">
        <f t="shared" si="5"/>
        <v>0</v>
      </c>
      <c r="AG11" s="107">
        <f t="shared" si="5"/>
        <v>0</v>
      </c>
    </row>
    <row r="12" spans="1:33" x14ac:dyDescent="0.2">
      <c r="A12" s="8" t="s">
        <v>509</v>
      </c>
      <c r="B12" s="112" t="s">
        <v>220</v>
      </c>
      <c r="C12" s="113"/>
      <c r="D12" s="113">
        <f t="shared" ref="D12:J12" si="6">D10-D14</f>
        <v>128</v>
      </c>
      <c r="E12" s="113">
        <f t="shared" si="6"/>
        <v>246</v>
      </c>
      <c r="F12" s="113">
        <f t="shared" si="6"/>
        <v>-16</v>
      </c>
      <c r="G12" s="113">
        <f t="shared" si="6"/>
        <v>21</v>
      </c>
      <c r="H12" s="113">
        <f t="shared" si="6"/>
        <v>1898</v>
      </c>
      <c r="I12" s="113">
        <f t="shared" si="6"/>
        <v>1559</v>
      </c>
      <c r="J12" s="113">
        <f t="shared" si="6"/>
        <v>673</v>
      </c>
      <c r="K12" s="113">
        <f>SUM(AD12:AG12)</f>
        <v>639</v>
      </c>
      <c r="L12" s="114"/>
      <c r="M12" s="113">
        <f t="shared" ref="M12:AG12" si="7">M10-M14</f>
        <v>5</v>
      </c>
      <c r="N12" s="113">
        <f t="shared" si="7"/>
        <v>3</v>
      </c>
      <c r="O12" s="113">
        <f t="shared" si="7"/>
        <v>-1</v>
      </c>
      <c r="P12" s="113">
        <f t="shared" si="7"/>
        <v>-24</v>
      </c>
      <c r="Q12" s="113">
        <f t="shared" si="7"/>
        <v>2</v>
      </c>
      <c r="R12" s="113">
        <f t="shared" si="7"/>
        <v>8</v>
      </c>
      <c r="S12" s="113">
        <f t="shared" si="7"/>
        <v>10</v>
      </c>
      <c r="T12" s="113">
        <f t="shared" si="7"/>
        <v>0</v>
      </c>
      <c r="U12" s="113">
        <f t="shared" si="7"/>
        <v>456</v>
      </c>
      <c r="V12" s="113">
        <f t="shared" si="7"/>
        <v>593</v>
      </c>
      <c r="W12" s="113">
        <f t="shared" si="7"/>
        <v>550</v>
      </c>
      <c r="X12" s="113">
        <f t="shared" si="7"/>
        <v>298</v>
      </c>
      <c r="Y12" s="113">
        <f t="shared" si="7"/>
        <v>247</v>
      </c>
      <c r="Z12" s="113">
        <f t="shared" si="7"/>
        <v>589</v>
      </c>
      <c r="AA12" s="113">
        <f t="shared" si="7"/>
        <v>444</v>
      </c>
      <c r="AB12" s="113">
        <f t="shared" si="7"/>
        <v>278</v>
      </c>
      <c r="AC12" s="113">
        <f t="shared" si="7"/>
        <v>110</v>
      </c>
      <c r="AD12" s="113">
        <f t="shared" si="7"/>
        <v>244</v>
      </c>
      <c r="AE12" s="113">
        <f t="shared" si="7"/>
        <v>165</v>
      </c>
      <c r="AF12" s="113">
        <f t="shared" si="7"/>
        <v>153</v>
      </c>
      <c r="AG12" s="113">
        <f t="shared" si="7"/>
        <v>77</v>
      </c>
    </row>
    <row r="13" spans="1:33" s="97" customFormat="1" x14ac:dyDescent="0.2">
      <c r="A13" s="101" t="s">
        <v>219</v>
      </c>
      <c r="B13" s="100" t="s">
        <v>218</v>
      </c>
      <c r="C13" s="98"/>
      <c r="D13" s="98">
        <f t="shared" ref="D13:K13" si="8">D12/D10</f>
        <v>0.23925233644859814</v>
      </c>
      <c r="E13" s="98">
        <f t="shared" si="8"/>
        <v>0.11207289293849658</v>
      </c>
      <c r="F13" s="98">
        <f t="shared" si="8"/>
        <v>-3.838771593090211E-3</v>
      </c>
      <c r="G13" s="98">
        <f t="shared" si="8"/>
        <v>3.3386327503974562E-3</v>
      </c>
      <c r="H13" s="98">
        <f t="shared" si="8"/>
        <v>0.37428515085781899</v>
      </c>
      <c r="I13" s="98">
        <f t="shared" si="8"/>
        <v>0.37557215128884608</v>
      </c>
      <c r="J13" s="98">
        <f t="shared" si="8"/>
        <v>0.24121863799283155</v>
      </c>
      <c r="K13" s="98">
        <f t="shared" si="8"/>
        <v>0.24232081911262798</v>
      </c>
      <c r="L13" s="99"/>
      <c r="M13" s="98">
        <f t="shared" ref="M13:AG13" si="9">M12/M10</f>
        <v>1.2285012285012284E-2</v>
      </c>
      <c r="N13" s="98">
        <f t="shared" si="9"/>
        <v>2.0562028786840301E-3</v>
      </c>
      <c r="O13" s="98">
        <f t="shared" si="9"/>
        <v>-8.1833060556464816E-4</v>
      </c>
      <c r="P13" s="98">
        <f t="shared" si="9"/>
        <v>-2.2222222222222223E-2</v>
      </c>
      <c r="Q13" s="98">
        <f t="shared" si="9"/>
        <v>1.606425702811245E-3</v>
      </c>
      <c r="R13" s="98">
        <f t="shared" si="9"/>
        <v>4.296455424274973E-3</v>
      </c>
      <c r="S13" s="98">
        <f t="shared" si="9"/>
        <v>5.2770448548812663E-3</v>
      </c>
      <c r="T13" s="98">
        <f t="shared" si="9"/>
        <v>0</v>
      </c>
      <c r="U13" s="98">
        <f t="shared" si="9"/>
        <v>0.37346437346437344</v>
      </c>
      <c r="V13" s="98">
        <f t="shared" si="9"/>
        <v>0.37202007528230868</v>
      </c>
      <c r="W13" s="98">
        <f t="shared" si="9"/>
        <v>0.37086985839514497</v>
      </c>
      <c r="X13" s="98">
        <f t="shared" si="9"/>
        <v>0.38551099611901679</v>
      </c>
      <c r="Y13" s="98">
        <f t="shared" si="9"/>
        <v>0.37367624810892586</v>
      </c>
      <c r="Z13" s="98">
        <f t="shared" si="9"/>
        <v>0.36951066499372648</v>
      </c>
      <c r="AA13" s="98">
        <f t="shared" si="9"/>
        <v>0.37851662404092073</v>
      </c>
      <c r="AB13" s="98">
        <f t="shared" si="9"/>
        <v>0.38504155124653738</v>
      </c>
      <c r="AC13" s="98">
        <f t="shared" si="9"/>
        <v>0.23758099352051837</v>
      </c>
      <c r="AD13" s="98">
        <f t="shared" si="9"/>
        <v>0.24375624375624375</v>
      </c>
      <c r="AE13" s="98">
        <f t="shared" si="9"/>
        <v>0.23982558139534885</v>
      </c>
      <c r="AF13" s="98">
        <f t="shared" si="9"/>
        <v>0.24132492113564669</v>
      </c>
      <c r="AG13" s="98">
        <f t="shared" si="9"/>
        <v>0.24522292993630573</v>
      </c>
    </row>
    <row r="14" spans="1:33" s="109" customFormat="1" x14ac:dyDescent="0.2">
      <c r="A14" s="57" t="s">
        <v>7</v>
      </c>
      <c r="B14" s="112" t="s">
        <v>217</v>
      </c>
      <c r="C14" s="110"/>
      <c r="D14" s="110">
        <f>[24]Sheet1!I1302</f>
        <v>407</v>
      </c>
      <c r="E14" s="110">
        <f>[16]Sheet1!F807</f>
        <v>1949</v>
      </c>
      <c r="F14" s="110">
        <f>[25]Sheet1!I436</f>
        <v>4184</v>
      </c>
      <c r="G14" s="110">
        <f>[26]Sheet1!I69</f>
        <v>6269</v>
      </c>
      <c r="H14" s="110">
        <f>[27]Sheet1!I56</f>
        <v>3173</v>
      </c>
      <c r="I14" s="110">
        <f>[13]Sheet1!I57</f>
        <v>2592</v>
      </c>
      <c r="J14" s="110">
        <f>[13]Sheet1!H57</f>
        <v>2117</v>
      </c>
      <c r="K14" s="111">
        <f>SUM(AD14:AG14)</f>
        <v>1998</v>
      </c>
      <c r="L14" s="110"/>
      <c r="M14" s="110">
        <f>[28]Sheet1!C500</f>
        <v>402</v>
      </c>
      <c r="N14" s="110">
        <f>[29]Sheet1!C621</f>
        <v>1456</v>
      </c>
      <c r="O14" s="110">
        <f>[30]Sheet1!C598</f>
        <v>1223</v>
      </c>
      <c r="P14" s="110">
        <f>[25]Sheet1!D436</f>
        <v>1104</v>
      </c>
      <c r="Q14" s="110">
        <f>[31]Sheet1!C536</f>
        <v>1243</v>
      </c>
      <c r="R14" s="110">
        <f>[32]Sheet1!E49</f>
        <v>1854</v>
      </c>
      <c r="S14" s="110">
        <f>[33]Sheet1!E49</f>
        <v>1885</v>
      </c>
      <c r="T14" s="110">
        <f>[26]Sheet1!E69</f>
        <v>1286</v>
      </c>
      <c r="U14" s="110">
        <f>[34]Sheet1!E60</f>
        <v>765</v>
      </c>
      <c r="V14" s="110">
        <f>[35]Sheet1!E28</f>
        <v>1001</v>
      </c>
      <c r="W14" s="110">
        <f>'[36]AAL 3Q17 PR'!E43</f>
        <v>933</v>
      </c>
      <c r="X14" s="110">
        <f>[27]Sheet1!E56</f>
        <v>475</v>
      </c>
      <c r="Y14" s="110">
        <f>[37]Sheet1!E32</f>
        <v>414</v>
      </c>
      <c r="Z14" s="110">
        <f>[38]Sheet1!E43</f>
        <v>1005</v>
      </c>
      <c r="AA14" s="110">
        <f>[39]Sheet1!E39</f>
        <v>729</v>
      </c>
      <c r="AB14" s="110">
        <f>[13]Sheet1!E57</f>
        <v>444</v>
      </c>
      <c r="AC14" s="110">
        <f>[18]Sheet1!E397</f>
        <v>353</v>
      </c>
      <c r="AD14" s="110">
        <f>[38]Sheet1!D43</f>
        <v>757</v>
      </c>
      <c r="AE14" s="110">
        <f>[39]Sheet1!D39</f>
        <v>523</v>
      </c>
      <c r="AF14" s="110">
        <f>[13]Sheet1!D57</f>
        <v>481</v>
      </c>
      <c r="AG14" s="110">
        <f>[18]Sheet1!C397</f>
        <v>237</v>
      </c>
    </row>
    <row r="15" spans="1:33" s="106" customFormat="1" x14ac:dyDescent="0.2">
      <c r="A15" s="22" t="s">
        <v>6</v>
      </c>
      <c r="B15" s="108"/>
      <c r="C15" s="107"/>
      <c r="D15" s="107">
        <f t="shared" ref="D15:K15" si="10">D10-D12-D14</f>
        <v>0</v>
      </c>
      <c r="E15" s="107">
        <f t="shared" si="10"/>
        <v>0</v>
      </c>
      <c r="F15" s="107">
        <f t="shared" si="10"/>
        <v>0</v>
      </c>
      <c r="G15" s="107">
        <f t="shared" si="10"/>
        <v>0</v>
      </c>
      <c r="H15" s="107">
        <f t="shared" si="10"/>
        <v>0</v>
      </c>
      <c r="I15" s="107">
        <f t="shared" si="10"/>
        <v>0</v>
      </c>
      <c r="J15" s="107">
        <f t="shared" si="10"/>
        <v>0</v>
      </c>
      <c r="K15" s="107">
        <f t="shared" si="10"/>
        <v>0</v>
      </c>
      <c r="L15" s="107"/>
      <c r="M15" s="107">
        <f t="shared" ref="M15:AG15" si="11">M10-M12-M14</f>
        <v>0</v>
      </c>
      <c r="N15" s="107">
        <f t="shared" si="11"/>
        <v>0</v>
      </c>
      <c r="O15" s="107">
        <f t="shared" si="11"/>
        <v>0</v>
      </c>
      <c r="P15" s="107">
        <f t="shared" si="11"/>
        <v>0</v>
      </c>
      <c r="Q15" s="107">
        <f t="shared" si="11"/>
        <v>0</v>
      </c>
      <c r="R15" s="107">
        <f t="shared" si="11"/>
        <v>0</v>
      </c>
      <c r="S15" s="107">
        <f t="shared" si="11"/>
        <v>0</v>
      </c>
      <c r="T15" s="107">
        <f t="shared" si="11"/>
        <v>0</v>
      </c>
      <c r="U15" s="107">
        <f t="shared" si="11"/>
        <v>0</v>
      </c>
      <c r="V15" s="107">
        <f t="shared" si="11"/>
        <v>0</v>
      </c>
      <c r="W15" s="107">
        <f t="shared" si="11"/>
        <v>0</v>
      </c>
      <c r="X15" s="107">
        <f t="shared" si="11"/>
        <v>0</v>
      </c>
      <c r="Y15" s="107">
        <f t="shared" si="11"/>
        <v>0</v>
      </c>
      <c r="Z15" s="107">
        <f t="shared" si="11"/>
        <v>0</v>
      </c>
      <c r="AA15" s="107">
        <f t="shared" si="11"/>
        <v>0</v>
      </c>
      <c r="AB15" s="107">
        <f t="shared" si="11"/>
        <v>0</v>
      </c>
      <c r="AC15" s="107">
        <f t="shared" si="11"/>
        <v>0</v>
      </c>
      <c r="AD15" s="107">
        <f t="shared" si="11"/>
        <v>0</v>
      </c>
      <c r="AE15" s="107">
        <f t="shared" si="11"/>
        <v>0</v>
      </c>
      <c r="AF15" s="107">
        <f t="shared" si="11"/>
        <v>0</v>
      </c>
      <c r="AG15" s="107">
        <f t="shared" si="11"/>
        <v>0</v>
      </c>
    </row>
    <row r="16" spans="1:33" s="102" customFormat="1" x14ac:dyDescent="0.2">
      <c r="A16" s="17" t="s">
        <v>216</v>
      </c>
      <c r="B16" s="105" t="s">
        <v>215</v>
      </c>
      <c r="C16" s="104"/>
      <c r="D16" s="104">
        <f>D14/D18</f>
        <v>1.6313279089342259</v>
      </c>
      <c r="E16" s="104">
        <f>E14/E18</f>
        <v>6.955423195925956</v>
      </c>
      <c r="F16" s="103">
        <f>[25]Sheet1!I449</f>
        <v>5.7</v>
      </c>
      <c r="G16" s="103">
        <f>[26]Sheet1!I70</f>
        <v>9.1199999999999992</v>
      </c>
      <c r="H16" s="103">
        <f>[27]Sheet1!I58</f>
        <v>5.71</v>
      </c>
      <c r="I16" s="103">
        <f>[13]Sheet1!I61</f>
        <v>5.27</v>
      </c>
      <c r="J16" s="103">
        <f>[13]Sheet1!H61</f>
        <v>4.55</v>
      </c>
      <c r="K16" s="104">
        <f>SUM(AD16:AG16)</f>
        <v>4.32</v>
      </c>
      <c r="L16" s="103"/>
      <c r="M16" s="103">
        <f>[28]Sheet1!C517</f>
        <v>0.54</v>
      </c>
      <c r="N16" s="103">
        <f>[29]Sheet1!C659</f>
        <v>1.98</v>
      </c>
      <c r="O16" s="103">
        <f>[30]Sheet1!C632</f>
        <v>1.66</v>
      </c>
      <c r="P16" s="103">
        <f>[25]Sheet1!D449</f>
        <v>1.52</v>
      </c>
      <c r="Q16" s="103">
        <f>[31]Sheet1!C554</f>
        <v>1.73</v>
      </c>
      <c r="R16" s="103">
        <f>[32]Sheet1!E52</f>
        <v>2.62</v>
      </c>
      <c r="S16" s="103">
        <f>[33]Sheet1!F53</f>
        <v>2.77</v>
      </c>
      <c r="T16" s="103">
        <f>[26]Sheet1!F74</f>
        <v>2</v>
      </c>
      <c r="U16" s="103">
        <f>[34]Sheet1!E61</f>
        <v>1.25</v>
      </c>
      <c r="V16" s="103">
        <f>[35]Sheet1!E29</f>
        <v>1.77</v>
      </c>
      <c r="W16" s="103">
        <f>'[36]AAL 3Q17 PR'!E44</f>
        <v>1.76</v>
      </c>
      <c r="X16" s="103">
        <f>[27]Sheet1!E58</f>
        <v>0.92</v>
      </c>
      <c r="Y16" s="103">
        <f>[37]Sheet1!E33</f>
        <v>0.82</v>
      </c>
      <c r="Z16" s="103">
        <f>[38]Sheet1!E45</f>
        <v>2.04</v>
      </c>
      <c r="AA16" s="103">
        <f>[39]Sheet1!E40</f>
        <v>1.5</v>
      </c>
      <c r="AB16" s="103">
        <f>[13]Sheet1!E61</f>
        <v>0.93</v>
      </c>
      <c r="AC16" s="103">
        <f>[18]Sheet1!E403</f>
        <v>0.74</v>
      </c>
      <c r="AD16" s="103">
        <f>[38]Sheet1!D45</f>
        <v>1.63</v>
      </c>
      <c r="AE16" s="103">
        <f>[39]Sheet1!D40</f>
        <v>1.1299999999999999</v>
      </c>
      <c r="AF16" s="103">
        <f>[13]Sheet1!D61</f>
        <v>1.04</v>
      </c>
      <c r="AG16" s="103">
        <f>[18]Sheet1!C403</f>
        <v>0.52</v>
      </c>
    </row>
    <row r="17" spans="1:33" s="97" customFormat="1" x14ac:dyDescent="0.2">
      <c r="A17" s="101" t="s">
        <v>214</v>
      </c>
      <c r="B17" s="100" t="s">
        <v>213</v>
      </c>
      <c r="C17" s="98"/>
      <c r="D17" s="98"/>
      <c r="E17" s="98">
        <f t="shared" ref="E17:J17" si="12">E16/D16-1</f>
        <v>3.2636573296107292</v>
      </c>
      <c r="F17" s="98">
        <f t="shared" si="12"/>
        <v>-0.18049558748075933</v>
      </c>
      <c r="G17" s="98">
        <f t="shared" si="12"/>
        <v>0.59999999999999987</v>
      </c>
      <c r="H17" s="98">
        <f t="shared" si="12"/>
        <v>-0.37390350877192979</v>
      </c>
      <c r="I17" s="98">
        <f t="shared" si="12"/>
        <v>-7.705779334500884E-2</v>
      </c>
      <c r="J17" s="98">
        <f t="shared" si="12"/>
        <v>-0.13662239089184058</v>
      </c>
      <c r="K17" s="98">
        <f>K16/SUM(AC16:AF16)-1</f>
        <v>-4.8458149779735615E-2</v>
      </c>
      <c r="L17" s="99"/>
      <c r="M17" s="98"/>
      <c r="N17" s="98"/>
      <c r="O17" s="98"/>
      <c r="P17" s="98"/>
      <c r="Q17" s="98">
        <f t="shared" ref="Q17:AG17" si="13">Q16/M16-1</f>
        <v>2.2037037037037033</v>
      </c>
      <c r="R17" s="98">
        <f t="shared" si="13"/>
        <v>0.32323232323232332</v>
      </c>
      <c r="S17" s="98">
        <f t="shared" si="13"/>
        <v>0.66867469879518082</v>
      </c>
      <c r="T17" s="98">
        <f t="shared" si="13"/>
        <v>0.31578947368421062</v>
      </c>
      <c r="U17" s="98">
        <f t="shared" si="13"/>
        <v>-0.2774566473988439</v>
      </c>
      <c r="V17" s="98">
        <f t="shared" si="13"/>
        <v>-0.32442748091603058</v>
      </c>
      <c r="W17" s="98">
        <f t="shared" si="13"/>
        <v>-0.36462093862815881</v>
      </c>
      <c r="X17" s="98">
        <f t="shared" si="13"/>
        <v>-0.54</v>
      </c>
      <c r="Y17" s="98">
        <f t="shared" si="13"/>
        <v>-0.34400000000000008</v>
      </c>
      <c r="Z17" s="98">
        <f t="shared" si="13"/>
        <v>0.15254237288135597</v>
      </c>
      <c r="AA17" s="98">
        <f t="shared" si="13"/>
        <v>-0.14772727272727271</v>
      </c>
      <c r="AB17" s="98">
        <f t="shared" si="13"/>
        <v>1.0869565217391353E-2</v>
      </c>
      <c r="AC17" s="98">
        <f t="shared" si="13"/>
        <v>-9.7560975609756073E-2</v>
      </c>
      <c r="AD17" s="98">
        <f t="shared" si="13"/>
        <v>-0.20098039215686281</v>
      </c>
      <c r="AE17" s="98">
        <f t="shared" si="13"/>
        <v>-0.2466666666666667</v>
      </c>
      <c r="AF17" s="98">
        <f t="shared" si="13"/>
        <v>0.11827956989247301</v>
      </c>
      <c r="AG17" s="98">
        <f t="shared" si="13"/>
        <v>-0.29729729729729726</v>
      </c>
    </row>
    <row r="18" spans="1:33" s="95" customFormat="1" x14ac:dyDescent="0.2">
      <c r="A18" s="95" t="s">
        <v>212</v>
      </c>
      <c r="B18" s="96" t="s">
        <v>211</v>
      </c>
      <c r="D18" s="95">
        <f>IS!D46</f>
        <v>249.49</v>
      </c>
      <c r="E18" s="95">
        <f>IS!E46</f>
        <v>280.21300000000002</v>
      </c>
      <c r="F18" s="95">
        <f>IS!F46</f>
        <v>734.01599999999996</v>
      </c>
      <c r="G18" s="95">
        <f>IS!G46</f>
        <v>687.35500000000002</v>
      </c>
      <c r="H18" s="95">
        <f>IS!H46</f>
        <v>556.09900000000005</v>
      </c>
      <c r="I18" s="95">
        <f>IS!I46</f>
        <v>491.69200000000001</v>
      </c>
      <c r="J18" s="95">
        <f>IS!J46</f>
        <v>465.66</v>
      </c>
      <c r="K18" s="95">
        <f>IS!K46</f>
        <v>460.36725000000001</v>
      </c>
      <c r="M18" s="95">
        <f>IS!M46</f>
        <v>741.33500000000004</v>
      </c>
      <c r="N18" s="95">
        <f>IS!N46</f>
        <v>734.76700000000005</v>
      </c>
      <c r="O18" s="95">
        <f>IS!O46</f>
        <v>735.19600000000003</v>
      </c>
      <c r="P18" s="95">
        <f>IS!P46</f>
        <v>724.76700000000005</v>
      </c>
      <c r="Q18" s="95">
        <f>IS!Q46</f>
        <v>716.93</v>
      </c>
      <c r="R18" s="95">
        <f>IS!R46</f>
        <v>707.61099999999999</v>
      </c>
      <c r="S18" s="95">
        <f>IS!S46</f>
        <v>680.73900000000003</v>
      </c>
      <c r="T18" s="95">
        <f>IS!T46</f>
        <v>644.14</v>
      </c>
      <c r="U18" s="95">
        <f>IS!U46</f>
        <v>611.48800000000006</v>
      </c>
      <c r="V18" s="95">
        <f>IS!V46</f>
        <v>566.04</v>
      </c>
      <c r="W18" s="95">
        <f>IS!W46</f>
        <v>528.51</v>
      </c>
      <c r="X18" s="95">
        <f>IS!X46</f>
        <v>518.35800000000017</v>
      </c>
      <c r="Y18" s="95">
        <f>IS!Y46</f>
        <v>507.79700000000003</v>
      </c>
      <c r="Z18" s="95">
        <f>IS!Z46</f>
        <v>492.96499999999997</v>
      </c>
      <c r="AA18" s="95">
        <f>IS!AA46</f>
        <v>486.625</v>
      </c>
      <c r="AB18" s="95">
        <f>IS!AB46</f>
        <v>477.16500000000002</v>
      </c>
      <c r="AC18" s="95">
        <f>IS!AC46</f>
        <v>474.59800000000001</v>
      </c>
      <c r="AD18" s="95">
        <f>IS!AD46</f>
        <v>464.61799999999999</v>
      </c>
      <c r="AE18" s="95">
        <f>IS!AE46</f>
        <v>461.50700000000001</v>
      </c>
      <c r="AF18" s="95">
        <f>IS!AF46</f>
        <v>461.91500000000002</v>
      </c>
      <c r="AG18" s="95">
        <f>IS!AG46</f>
        <v>453.42899999999997</v>
      </c>
    </row>
    <row r="19" spans="1:33" x14ac:dyDescent="0.2">
      <c r="A19" s="3"/>
      <c r="E19" s="94"/>
      <c r="F19" s="94"/>
      <c r="G19" s="94"/>
    </row>
    <row r="20" spans="1:33" x14ac:dyDescent="0.2">
      <c r="F20" s="94"/>
      <c r="G20" s="94"/>
      <c r="I20" s="94"/>
      <c r="J20" s="94"/>
      <c r="K20" s="94"/>
      <c r="L20" s="9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78"/>
  <sheetViews>
    <sheetView zoomScale="90" zoomScaleNormal="9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50.7109375" style="119" customWidth="1"/>
    <col min="2" max="2" width="2.85546875" style="120" bestFit="1" customWidth="1"/>
    <col min="3" max="10" width="10.42578125" style="119" customWidth="1"/>
    <col min="11" max="11" width="9.140625" style="119" customWidth="1"/>
    <col min="12" max="30" width="10.42578125" style="119" customWidth="1"/>
    <col min="31" max="32" width="10.42578125" style="119" bestFit="1" customWidth="1"/>
    <col min="33" max="33" width="9.140625" style="119"/>
    <col min="34" max="35" width="10.42578125" style="119" bestFit="1" customWidth="1"/>
    <col min="36" max="16384" width="9.140625" style="119"/>
  </cols>
  <sheetData>
    <row r="1" spans="1:33" x14ac:dyDescent="0.25">
      <c r="C1" s="140" t="s">
        <v>69</v>
      </c>
      <c r="D1" s="140" t="s">
        <v>68</v>
      </c>
      <c r="E1" s="140" t="s">
        <v>67</v>
      </c>
      <c r="F1" s="140" t="s">
        <v>66</v>
      </c>
      <c r="G1" s="140" t="s">
        <v>65</v>
      </c>
      <c r="H1" s="140" t="s">
        <v>64</v>
      </c>
      <c r="I1" s="140" t="s">
        <v>63</v>
      </c>
      <c r="J1" s="140" t="s">
        <v>62</v>
      </c>
      <c r="K1" s="141"/>
      <c r="L1" s="118" t="s">
        <v>60</v>
      </c>
      <c r="M1" s="118" t="s">
        <v>59</v>
      </c>
      <c r="N1" s="118" t="s">
        <v>58</v>
      </c>
      <c r="O1" s="118" t="s">
        <v>57</v>
      </c>
      <c r="P1" s="118" t="s">
        <v>56</v>
      </c>
      <c r="Q1" s="118" t="s">
        <v>55</v>
      </c>
      <c r="R1" s="118" t="s">
        <v>54</v>
      </c>
      <c r="S1" s="118" t="s">
        <v>53</v>
      </c>
      <c r="T1" s="140" t="s">
        <v>52</v>
      </c>
      <c r="U1" s="140" t="s">
        <v>51</v>
      </c>
      <c r="V1" s="140" t="s">
        <v>50</v>
      </c>
      <c r="W1" s="140" t="s">
        <v>49</v>
      </c>
      <c r="X1" s="140" t="s">
        <v>48</v>
      </c>
      <c r="Y1" s="140" t="s">
        <v>47</v>
      </c>
      <c r="Z1" s="140" t="s">
        <v>46</v>
      </c>
      <c r="AA1" s="140" t="s">
        <v>45</v>
      </c>
      <c r="AB1" s="140" t="s">
        <v>44</v>
      </c>
      <c r="AC1" s="140" t="s">
        <v>43</v>
      </c>
      <c r="AD1" s="140" t="s">
        <v>42</v>
      </c>
      <c r="AE1" s="140" t="s">
        <v>41</v>
      </c>
      <c r="AF1" s="140" t="s">
        <v>40</v>
      </c>
    </row>
    <row r="2" spans="1:33" x14ac:dyDescent="0.25">
      <c r="C2" s="139">
        <v>40908</v>
      </c>
      <c r="D2" s="139">
        <v>41274</v>
      </c>
      <c r="E2" s="139">
        <v>41639</v>
      </c>
      <c r="F2" s="139">
        <v>42004</v>
      </c>
      <c r="G2" s="139">
        <v>42369</v>
      </c>
      <c r="H2" s="139">
        <v>42735</v>
      </c>
      <c r="I2" s="139">
        <v>43100</v>
      </c>
      <c r="J2" s="139">
        <v>43465</v>
      </c>
      <c r="K2" s="135"/>
      <c r="L2" s="117">
        <v>41729</v>
      </c>
      <c r="M2" s="117">
        <v>41820</v>
      </c>
      <c r="N2" s="117">
        <v>41912</v>
      </c>
      <c r="O2" s="117">
        <v>42004</v>
      </c>
      <c r="P2" s="117">
        <v>42094</v>
      </c>
      <c r="Q2" s="117">
        <v>42185</v>
      </c>
      <c r="R2" s="117">
        <v>42277</v>
      </c>
      <c r="S2" s="117">
        <v>42369</v>
      </c>
      <c r="T2" s="139">
        <v>42460</v>
      </c>
      <c r="U2" s="139">
        <v>42551</v>
      </c>
      <c r="V2" s="139">
        <v>42643</v>
      </c>
      <c r="W2" s="139">
        <v>42735</v>
      </c>
      <c r="X2" s="139">
        <v>42825</v>
      </c>
      <c r="Y2" s="139">
        <v>42916</v>
      </c>
      <c r="Z2" s="139">
        <v>43008</v>
      </c>
      <c r="AA2" s="139">
        <v>43100</v>
      </c>
      <c r="AB2" s="139">
        <v>43190</v>
      </c>
      <c r="AC2" s="139">
        <v>43281</v>
      </c>
      <c r="AD2" s="139">
        <v>43373</v>
      </c>
      <c r="AE2" s="139">
        <v>43465</v>
      </c>
      <c r="AF2" s="139">
        <v>43555</v>
      </c>
    </row>
    <row r="3" spans="1:33" s="136" customFormat="1" x14ac:dyDescent="0.25">
      <c r="A3" s="138" t="s">
        <v>39</v>
      </c>
      <c r="B3" s="138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</row>
    <row r="4" spans="1:33" s="134" customFormat="1" x14ac:dyDescent="0.25">
      <c r="A4" s="133" t="s">
        <v>255</v>
      </c>
      <c r="B4" s="120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  <c r="AF4" s="135"/>
    </row>
    <row r="5" spans="1:33" s="134" customFormat="1" x14ac:dyDescent="0.25">
      <c r="A5" s="133" t="s">
        <v>254</v>
      </c>
      <c r="B5" s="120"/>
      <c r="C5" s="135"/>
      <c r="D5" s="135"/>
      <c r="E5" s="135"/>
      <c r="F5" s="135"/>
      <c r="G5" s="135"/>
      <c r="H5" s="135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</row>
    <row r="6" spans="1:33" x14ac:dyDescent="0.25">
      <c r="A6" s="123" t="s">
        <v>231</v>
      </c>
      <c r="C6" s="122"/>
      <c r="D6" s="122">
        <f>[24]Sheet1!J892</f>
        <v>188841</v>
      </c>
      <c r="E6" s="122">
        <f>[16]Sheet1!G651</f>
        <v>194026</v>
      </c>
      <c r="F6" s="122">
        <f>[25]Sheet1!G293</f>
        <v>195651</v>
      </c>
      <c r="G6" s="122">
        <f>[26]Sheet1!G358</f>
        <v>199467</v>
      </c>
      <c r="H6" s="122">
        <f>[27]Sheet1!G305</f>
        <v>199014</v>
      </c>
      <c r="I6" s="122">
        <f>[13]Sheet1!G305</f>
        <v>201351</v>
      </c>
      <c r="J6" s="122">
        <f>[13]Sheet1!F305</f>
        <v>205451</v>
      </c>
      <c r="K6" s="122"/>
      <c r="L6" s="122">
        <f>[28]Sheet1!C332</f>
        <v>45828</v>
      </c>
      <c r="M6" s="122">
        <f>[29]Sheet1!D397</f>
        <v>51407</v>
      </c>
      <c r="N6" s="122">
        <f>[30]Sheet1!D383</f>
        <v>51895</v>
      </c>
      <c r="O6" s="122">
        <f>[25]Sheet1!C293</f>
        <v>46522</v>
      </c>
      <c r="P6" s="122">
        <f>[31]Sheet1!D359</f>
        <v>44849</v>
      </c>
      <c r="Q6" s="122">
        <f>[32]Sheet1!C380</f>
        <v>51632</v>
      </c>
      <c r="R6" s="122">
        <f>[33]Sheet1!C317</f>
        <v>54667</v>
      </c>
      <c r="S6" s="122">
        <f>[26]Sheet1!C358</f>
        <v>48319</v>
      </c>
      <c r="T6" s="122">
        <f>[34]Sheet1!C271</f>
        <v>46220</v>
      </c>
      <c r="U6" s="122">
        <f>[35]Sheet1!D203</f>
        <v>51927</v>
      </c>
      <c r="V6" s="122">
        <f>'[36]AAL 3Q17 PR'!C289</f>
        <v>53472</v>
      </c>
      <c r="W6" s="122">
        <f>[27]Sheet1!C305</f>
        <v>47395</v>
      </c>
      <c r="X6" s="122">
        <f>[37]Sheet1!E239</f>
        <v>45211</v>
      </c>
      <c r="Y6" s="122">
        <f>[38]Sheet1!C287</f>
        <v>53177</v>
      </c>
      <c r="Z6" s="122">
        <f>[39]Sheet1!C275</f>
        <v>54012</v>
      </c>
      <c r="AA6" s="122">
        <f>[13]Sheet1!C305</f>
        <v>48951</v>
      </c>
      <c r="AB6" s="122">
        <f>[18]Sheet1!C240</f>
        <v>47007</v>
      </c>
      <c r="AC6" s="122">
        <f>[38]Sheet1!B287</f>
        <v>54118</v>
      </c>
      <c r="AD6" s="122">
        <f>[39]Sheet1!B275</f>
        <v>55182</v>
      </c>
      <c r="AE6" s="122">
        <f>[13]Sheet1!B305</f>
        <v>49143</v>
      </c>
      <c r="AF6" s="122">
        <f>[18]Sheet1!B240</f>
        <v>48481</v>
      </c>
    </row>
    <row r="7" spans="1:33" x14ac:dyDescent="0.25">
      <c r="A7" s="123" t="s">
        <v>230</v>
      </c>
      <c r="C7" s="122"/>
      <c r="D7" s="122">
        <f>[24]Sheet1!J893</f>
        <v>226839</v>
      </c>
      <c r="E7" s="122">
        <f>[16]Sheet1!G652</f>
        <v>231873</v>
      </c>
      <c r="F7" s="122">
        <f>[25]Sheet1!G294</f>
        <v>237522</v>
      </c>
      <c r="G7" s="122">
        <f>[26]Sheet1!G359</f>
        <v>239375</v>
      </c>
      <c r="H7" s="122">
        <f>[27]Sheet1!G306</f>
        <v>241734</v>
      </c>
      <c r="I7" s="122">
        <f>[13]Sheet1!G307</f>
        <v>243806</v>
      </c>
      <c r="J7" s="122">
        <f>[13]Sheet1!F307</f>
        <v>248562</v>
      </c>
      <c r="K7" s="122"/>
      <c r="L7" s="122">
        <f>[28]Sheet1!C333</f>
        <v>56831</v>
      </c>
      <c r="M7" s="122">
        <f>[29]Sheet1!D398</f>
        <v>60999</v>
      </c>
      <c r="N7" s="122">
        <f>[30]Sheet1!D384</f>
        <v>61851</v>
      </c>
      <c r="O7" s="122">
        <f>[25]Sheet1!C294</f>
        <v>57840</v>
      </c>
      <c r="P7" s="122">
        <f>[31]Sheet1!D360</f>
        <v>55854</v>
      </c>
      <c r="Q7" s="122">
        <f>[32]Sheet1!C382</f>
        <v>61920</v>
      </c>
      <c r="R7" s="122">
        <f>[33]Sheet1!C318</f>
        <v>63459</v>
      </c>
      <c r="S7" s="122">
        <f>[26]Sheet1!C359</f>
        <v>58143</v>
      </c>
      <c r="T7" s="122">
        <f>[34]Sheet1!C272</f>
        <v>57564</v>
      </c>
      <c r="U7" s="122">
        <f>[35]Sheet1!D204</f>
        <v>62670</v>
      </c>
      <c r="V7" s="122">
        <f>'[36]AAL 3Q17 PR'!C290</f>
        <v>63751</v>
      </c>
      <c r="W7" s="122">
        <f>[27]Sheet1!C306</f>
        <v>57749</v>
      </c>
      <c r="X7" s="122">
        <f>[37]Sheet1!E240</f>
        <v>56564</v>
      </c>
      <c r="Y7" s="122">
        <f>[38]Sheet1!C290</f>
        <v>63520</v>
      </c>
      <c r="Z7" s="122">
        <f>[39]Sheet1!C277</f>
        <v>64582</v>
      </c>
      <c r="AA7" s="122">
        <f>[13]Sheet1!C307</f>
        <v>59140</v>
      </c>
      <c r="AB7" s="122">
        <f>[18]Sheet1!C241</f>
        <v>57963</v>
      </c>
      <c r="AC7" s="122">
        <f>[38]Sheet1!B290</f>
        <v>64452</v>
      </c>
      <c r="AD7" s="122">
        <f>[39]Sheet1!B277</f>
        <v>66295</v>
      </c>
      <c r="AE7" s="122">
        <f>[13]Sheet1!B307</f>
        <v>59852</v>
      </c>
      <c r="AF7" s="122">
        <f>[18]Sheet1!B241</f>
        <v>58323</v>
      </c>
    </row>
    <row r="8" spans="1:33" x14ac:dyDescent="0.25">
      <c r="A8" s="123" t="s">
        <v>229</v>
      </c>
      <c r="C8" s="125"/>
      <c r="D8" s="125">
        <f>[24]Sheet1!J894/100</f>
        <v>0.83200000000000007</v>
      </c>
      <c r="E8" s="125">
        <f>[16]Sheet1!G653/100</f>
        <v>0.83700000000000008</v>
      </c>
      <c r="F8" s="125">
        <f>[25]Sheet1!G295/100</f>
        <v>0.82400000000000007</v>
      </c>
      <c r="G8" s="125">
        <f>[26]Sheet1!G360/100</f>
        <v>0.83299999999999996</v>
      </c>
      <c r="H8" s="125">
        <f>[27]Sheet1!G307/100</f>
        <v>0.82299999999999995</v>
      </c>
      <c r="I8" s="125">
        <f>[13]Sheet1!G308/100</f>
        <v>0.82599999999999996</v>
      </c>
      <c r="J8" s="125">
        <f>[13]Sheet1!F308/100</f>
        <v>0.82700000000000007</v>
      </c>
      <c r="K8" s="122"/>
      <c r="L8" s="125">
        <f>[28]Sheet1!C334/100</f>
        <v>0.80599999999999994</v>
      </c>
      <c r="M8" s="125">
        <f>[29]Sheet1!D399/100</f>
        <v>0.84299999999999997</v>
      </c>
      <c r="N8" s="125">
        <f>[30]Sheet1!D385/100</f>
        <v>0.83900000000000008</v>
      </c>
      <c r="O8" s="125">
        <f>[25]Sheet1!C295/100</f>
        <v>0.80400000000000005</v>
      </c>
      <c r="P8" s="125">
        <f>[31]Sheet1!D361/100</f>
        <v>0.80299999999999994</v>
      </c>
      <c r="Q8" s="125">
        <f>[32]Sheet1!C384/100</f>
        <v>0.83400000000000007</v>
      </c>
      <c r="R8" s="125">
        <f>[33]Sheet1!C319/100</f>
        <v>0.86099999999999999</v>
      </c>
      <c r="S8" s="125">
        <f>[26]Sheet1!C360/100</f>
        <v>0.83099999999999996</v>
      </c>
      <c r="T8" s="125">
        <f>[34]Sheet1!C273/100</f>
        <v>0.80299999999999994</v>
      </c>
      <c r="U8" s="125">
        <f>[35]Sheet1!D205/100</f>
        <v>0.82900000000000007</v>
      </c>
      <c r="V8" s="125">
        <f>'[36]AAL 3Q17 PR'!C291/100</f>
        <v>0.83900000000000008</v>
      </c>
      <c r="W8" s="125">
        <f>[27]Sheet1!C307/100</f>
        <v>0.82099999999999995</v>
      </c>
      <c r="X8" s="125">
        <f>[37]Sheet1!E241/100</f>
        <v>0.79900000000000004</v>
      </c>
      <c r="Y8" s="125">
        <f>[38]Sheet1!C292/100</f>
        <v>0.83700000000000008</v>
      </c>
      <c r="Z8" s="125">
        <f>[39]Sheet1!C279/100</f>
        <v>0.83599999999999997</v>
      </c>
      <c r="AA8" s="125">
        <f>[13]Sheet1!C308/100</f>
        <v>0.82799999999999996</v>
      </c>
      <c r="AB8" s="125">
        <f>[18]Sheet1!C242/100</f>
        <v>0.81099999999999994</v>
      </c>
      <c r="AC8" s="125">
        <f>[38]Sheet1!B292/100</f>
        <v>0.84</v>
      </c>
      <c r="AD8" s="125">
        <f>[39]Sheet1!B279/100</f>
        <v>0.83200000000000007</v>
      </c>
      <c r="AE8" s="125">
        <f>[13]Sheet1!B308/100</f>
        <v>0.82099999999999995</v>
      </c>
      <c r="AF8" s="125">
        <f>[18]Sheet1!B242/100</f>
        <v>0.83099999999999996</v>
      </c>
    </row>
    <row r="9" spans="1:33" x14ac:dyDescent="0.25">
      <c r="A9" s="123" t="s">
        <v>245</v>
      </c>
      <c r="C9" s="122"/>
      <c r="D9" s="122">
        <f>[24]Sheet1!J897</f>
        <v>140742</v>
      </c>
      <c r="E9" s="122">
        <f>[16]Sheet1!G656</f>
        <v>143747</v>
      </c>
      <c r="F9" s="122">
        <f>[25]Sheet1!G298</f>
        <v>145574</v>
      </c>
      <c r="G9" s="122">
        <f>[26]Sheet1!G368</f>
        <v>146814</v>
      </c>
      <c r="H9" s="122">
        <f>[27]Sheet1!G310</f>
        <v>144530</v>
      </c>
      <c r="I9" s="122">
        <f>[13]Sheet1!G310</f>
        <v>144922</v>
      </c>
      <c r="J9" s="122">
        <f>[13]Sheet1!F310</f>
        <v>148228</v>
      </c>
      <c r="K9" s="122"/>
      <c r="L9" s="122">
        <f>[28]Sheet1!C337</f>
        <v>34843</v>
      </c>
      <c r="M9" s="122">
        <f>[29]Sheet1!C409</f>
        <v>37910</v>
      </c>
      <c r="N9" s="122">
        <f>[30]Sheet1!C395</f>
        <v>37516</v>
      </c>
      <c r="O9" s="122">
        <f>[25]Sheet1!C298</f>
        <v>35305</v>
      </c>
      <c r="P9" s="122">
        <f>[31]Sheet1!D364</f>
        <v>33951</v>
      </c>
      <c r="Q9" s="122">
        <f>[32]Sheet1!C391</f>
        <v>37823</v>
      </c>
      <c r="R9" s="122">
        <f>[33]Sheet1!C322</f>
        <v>38909</v>
      </c>
      <c r="S9" s="122">
        <f>[26]Sheet1!C368</f>
        <v>36131</v>
      </c>
      <c r="T9" s="122">
        <f>[34]Sheet1!C276</f>
        <v>34547</v>
      </c>
      <c r="U9" s="122">
        <f>[35]Sheet1!C215</f>
        <v>37699</v>
      </c>
      <c r="V9" s="122">
        <f>'[36]AAL 3Q17 PR'!C294</f>
        <v>37584</v>
      </c>
      <c r="W9" s="122">
        <f>[27]Sheet1!C310</f>
        <v>34700</v>
      </c>
      <c r="X9" s="122">
        <f>[37]Sheet1!E243</f>
        <v>33755</v>
      </c>
      <c r="Y9" s="122">
        <f>[38]Sheet1!C294</f>
        <v>37767</v>
      </c>
      <c r="Z9" s="122">
        <f>[39]Sheet1!C281</f>
        <v>37365</v>
      </c>
      <c r="AA9" s="122">
        <f>[13]Sheet1!C310</f>
        <v>36035</v>
      </c>
      <c r="AB9" s="122">
        <f>[18]Sheet1!C243</f>
        <v>34840</v>
      </c>
      <c r="AC9" s="122">
        <f>[38]Sheet1!B294</f>
        <v>38574</v>
      </c>
      <c r="AD9" s="122">
        <f>[39]Sheet1!B281</f>
        <v>38233</v>
      </c>
      <c r="AE9" s="122">
        <f>[13]Sheet1!B310</f>
        <v>36581</v>
      </c>
      <c r="AF9" s="122">
        <f>[18]Sheet1!B243</f>
        <v>36546</v>
      </c>
    </row>
    <row r="10" spans="1:33" x14ac:dyDescent="0.25">
      <c r="A10" s="123" t="s">
        <v>253</v>
      </c>
      <c r="C10" s="122"/>
      <c r="D10" s="122">
        <f>[24]Sheet1!J898</f>
        <v>1113</v>
      </c>
      <c r="E10" s="122">
        <f>[16]Sheet1!G657</f>
        <v>1140</v>
      </c>
      <c r="F10" s="122">
        <f>[25]Sheet1!G299</f>
        <v>1144</v>
      </c>
      <c r="G10" s="122">
        <f>[26]Sheet1!G369</f>
        <v>1114</v>
      </c>
      <c r="H10" s="122">
        <f>[27]Sheet1!G311</f>
        <v>1102</v>
      </c>
      <c r="I10" s="122">
        <f>[13]Sheet1!G311</f>
        <v>1081</v>
      </c>
      <c r="J10" s="122">
        <f>[13]Sheet1!F311</f>
        <v>1098</v>
      </c>
      <c r="K10" s="122"/>
      <c r="L10" s="122">
        <f>[28]Sheet1!C338</f>
        <v>279</v>
      </c>
      <c r="M10" s="122">
        <f>[29]Sheet1!C410</f>
        <v>292</v>
      </c>
      <c r="N10" s="122">
        <f>[30]Sheet1!C396</f>
        <v>291</v>
      </c>
      <c r="O10" s="122">
        <f>[25]Sheet1!C299</f>
        <v>282</v>
      </c>
      <c r="P10" s="122">
        <f>[31]Sheet1!D365</f>
        <v>269</v>
      </c>
      <c r="Q10" s="122">
        <f>[32]Sheet1!C392</f>
        <v>285</v>
      </c>
      <c r="R10" s="122">
        <f>[33]Sheet1!C323</f>
        <v>286</v>
      </c>
      <c r="S10" s="122">
        <f>[26]Sheet1!C369</f>
        <v>274</v>
      </c>
      <c r="T10" s="122">
        <f>[34]Sheet1!C277</f>
        <v>272</v>
      </c>
      <c r="U10" s="122">
        <f>[35]Sheet1!C216</f>
        <v>283</v>
      </c>
      <c r="V10" s="122">
        <f>'[36]AAL 3Q17 PR'!C295</f>
        <v>282</v>
      </c>
      <c r="W10" s="122">
        <f>[27]Sheet1!C311</f>
        <v>265</v>
      </c>
      <c r="X10" s="122">
        <f>[37]Sheet1!E244</f>
        <v>262</v>
      </c>
      <c r="Y10" s="122">
        <f>[38]Sheet1!C295</f>
        <v>278</v>
      </c>
      <c r="Z10" s="122">
        <f>[39]Sheet1!C282</f>
        <v>275</v>
      </c>
      <c r="AA10" s="122">
        <f>[13]Sheet1!C311</f>
        <v>265</v>
      </c>
      <c r="AB10" s="122">
        <f>[18]Sheet1!C244</f>
        <v>263</v>
      </c>
      <c r="AC10" s="122">
        <f>[38]Sheet1!B295</f>
        <v>280</v>
      </c>
      <c r="AD10" s="122">
        <f>[39]Sheet1!B282</f>
        <v>282</v>
      </c>
      <c r="AE10" s="122">
        <f>[13]Sheet1!B311</f>
        <v>273</v>
      </c>
      <c r="AF10" s="122">
        <f>[18]Sheet1!B244</f>
        <v>271</v>
      </c>
    </row>
    <row r="11" spans="1:33" x14ac:dyDescent="0.25">
      <c r="A11" s="123" t="s">
        <v>244</v>
      </c>
      <c r="C11" s="122"/>
      <c r="D11" s="122">
        <f>[24]Sheet1!J899</f>
        <v>954</v>
      </c>
      <c r="E11" s="122">
        <f>[16]Sheet1!G658</f>
        <v>970</v>
      </c>
      <c r="F11" s="122">
        <f>[25]Sheet1!G300</f>
        <v>983</v>
      </c>
      <c r="G11" s="122">
        <f>[26]Sheet1!G370</f>
        <v>946</v>
      </c>
      <c r="H11" s="122">
        <f>[27]Sheet1!G312</f>
        <v>930</v>
      </c>
      <c r="I11" s="122">
        <f>[13]Sheet1!G312</f>
        <v>948</v>
      </c>
      <c r="J11" s="122">
        <f>[13]Sheet1!F312</f>
        <v>956</v>
      </c>
      <c r="K11" s="122"/>
      <c r="L11" s="122">
        <f>[28]Sheet1!C339</f>
        <v>977</v>
      </c>
      <c r="M11" s="122">
        <f>[29]Sheet1!C411</f>
        <v>984</v>
      </c>
      <c r="N11" s="122">
        <f>[30]Sheet1!C397</f>
        <v>978</v>
      </c>
      <c r="O11" s="122">
        <f>[25]Sheet1!C300</f>
        <v>983</v>
      </c>
      <c r="P11" s="122">
        <f>[31]Sheet1!D366</f>
        <v>973</v>
      </c>
      <c r="Q11" s="122">
        <f>[32]Sheet1!C393</f>
        <v>963</v>
      </c>
      <c r="R11" s="122">
        <f>[33]Sheet1!C324</f>
        <v>943</v>
      </c>
      <c r="S11" s="122">
        <f>[26]Sheet1!C370</f>
        <v>946</v>
      </c>
      <c r="T11" s="122">
        <f>[34]Sheet1!C278</f>
        <v>942</v>
      </c>
      <c r="U11" s="122">
        <f>[35]Sheet1!C217</f>
        <v>947</v>
      </c>
      <c r="V11" s="122">
        <f>'[36]AAL 3Q17 PR'!C296</f>
        <v>922</v>
      </c>
      <c r="W11" s="122">
        <f>[27]Sheet1!C312</f>
        <v>930</v>
      </c>
      <c r="X11" s="122">
        <f>[37]Sheet1!E245</f>
        <v>944</v>
      </c>
      <c r="Y11" s="122">
        <f>[38]Sheet1!C296</f>
        <v>956</v>
      </c>
      <c r="Z11" s="122">
        <f>[39]Sheet1!C283</f>
        <v>947</v>
      </c>
      <c r="AA11" s="122">
        <f>[13]Sheet1!C312</f>
        <v>948</v>
      </c>
      <c r="AB11" s="122">
        <f>[18]Sheet1!C245</f>
        <v>952</v>
      </c>
      <c r="AC11" s="122">
        <f>[38]Sheet1!B296</f>
        <v>955</v>
      </c>
      <c r="AD11" s="122">
        <f>[39]Sheet1!B283</f>
        <v>949</v>
      </c>
      <c r="AE11" s="122">
        <f>[13]Sheet1!B312</f>
        <v>956</v>
      </c>
      <c r="AF11" s="122">
        <f>[18]Sheet1!B245</f>
        <v>962</v>
      </c>
    </row>
    <row r="12" spans="1:33" x14ac:dyDescent="0.25">
      <c r="A12" s="123" t="s">
        <v>252</v>
      </c>
      <c r="C12" s="122"/>
      <c r="D12" s="122">
        <f>[24]Sheet1!J900</f>
        <v>3350</v>
      </c>
      <c r="E12" s="122">
        <f>[16]Sheet1!G659</f>
        <v>3454</v>
      </c>
      <c r="F12" s="122">
        <f>[25]Sheet1!G301</f>
        <v>3514</v>
      </c>
      <c r="G12" s="122">
        <f>[26]Sheet1!G371</f>
        <v>3494</v>
      </c>
      <c r="H12" s="122">
        <f>[27]Sheet1!G313</f>
        <v>3477</v>
      </c>
      <c r="I12" s="122">
        <f>[13]Sheet1!G313</f>
        <v>3441</v>
      </c>
      <c r="J12" s="122">
        <f>[13]Sheet1!F313</f>
        <v>3493</v>
      </c>
      <c r="K12" s="122"/>
      <c r="L12" s="122">
        <f>[28]Sheet1!C340</f>
        <v>853</v>
      </c>
      <c r="M12" s="122">
        <f>[29]Sheet1!C412</f>
        <v>901</v>
      </c>
      <c r="N12" s="122">
        <f>[30]Sheet1!C398</f>
        <v>901</v>
      </c>
      <c r="O12" s="122">
        <f>[25]Sheet1!C301</f>
        <v>858</v>
      </c>
      <c r="P12" s="122">
        <f>[31]Sheet1!D367</f>
        <v>833</v>
      </c>
      <c r="Q12" s="122">
        <f>[32]Sheet1!C394</f>
        <v>903</v>
      </c>
      <c r="R12" s="122">
        <f>[33]Sheet1!C325</f>
        <v>908</v>
      </c>
      <c r="S12" s="122">
        <f>[26]Sheet1!C371</f>
        <v>850</v>
      </c>
      <c r="T12" s="122">
        <f>[34]Sheet1!C284</f>
        <v>845</v>
      </c>
      <c r="U12" s="122">
        <f>[35]Sheet1!C218</f>
        <v>901</v>
      </c>
      <c r="V12" s="122">
        <f>'[36]AAL 3Q17 PR'!C297</f>
        <v>905</v>
      </c>
      <c r="W12" s="122">
        <f>[27]Sheet1!C313</f>
        <v>827</v>
      </c>
      <c r="X12" s="122">
        <f>[37]Sheet1!E246</f>
        <v>819</v>
      </c>
      <c r="Y12" s="122">
        <f>[38]Sheet1!C297</f>
        <v>896</v>
      </c>
      <c r="Z12" s="122">
        <f>[39]Sheet1!C284</f>
        <v>893</v>
      </c>
      <c r="AA12" s="122">
        <f>[13]Sheet1!C313</f>
        <v>833</v>
      </c>
      <c r="AB12" s="122">
        <f>[18]Sheet1!C246</f>
        <v>831</v>
      </c>
      <c r="AC12" s="122">
        <f>[38]Sheet1!B297</f>
        <v>900</v>
      </c>
      <c r="AD12" s="122">
        <f>[39]Sheet1!B284</f>
        <v>916</v>
      </c>
      <c r="AE12" s="122">
        <f>[13]Sheet1!B313</f>
        <v>846</v>
      </c>
      <c r="AF12" s="122">
        <f>[18]Sheet1!B246</f>
        <v>835</v>
      </c>
    </row>
    <row r="13" spans="1:33" x14ac:dyDescent="0.25">
      <c r="A13" s="123" t="s">
        <v>251</v>
      </c>
      <c r="C13" s="122"/>
      <c r="D13" s="122">
        <f>[24]Sheet1!J901</f>
        <v>1183</v>
      </c>
      <c r="E13" s="122">
        <f>[16]Sheet1!G660</f>
        <v>1190</v>
      </c>
      <c r="F13" s="122">
        <f>[25]Sheet1!G302</f>
        <v>1205</v>
      </c>
      <c r="G13" s="122">
        <f>[26]Sheet1!G372</f>
        <v>1226</v>
      </c>
      <c r="H13" s="122">
        <f>[27]Sheet1!G314</f>
        <v>1230</v>
      </c>
      <c r="I13" s="122">
        <f>[13]Sheet1!G314</f>
        <v>1240</v>
      </c>
      <c r="J13" s="122">
        <f>[13]Sheet1!F314</f>
        <v>1236</v>
      </c>
      <c r="K13" s="122"/>
      <c r="L13" s="122">
        <f>[28]Sheet1!C341</f>
        <v>1189</v>
      </c>
      <c r="M13" s="122">
        <f>[29]Sheet1!C413</f>
        <v>1215</v>
      </c>
      <c r="N13" s="122">
        <f>[30]Sheet1!C399</f>
        <v>1229</v>
      </c>
      <c r="O13" s="122">
        <f>[25]Sheet1!C302</f>
        <v>1187</v>
      </c>
      <c r="P13" s="122">
        <f>[31]Sheet1!D368</f>
        <v>1195</v>
      </c>
      <c r="Q13" s="122">
        <f>[32]Sheet1!C396</f>
        <v>1236</v>
      </c>
      <c r="R13" s="122">
        <f>[33]Sheet1!C326</f>
        <v>1259</v>
      </c>
      <c r="S13" s="122">
        <f>[26]Sheet1!C372</f>
        <v>1209</v>
      </c>
      <c r="T13" s="122">
        <f>[34]Sheet1!C285</f>
        <v>1205</v>
      </c>
      <c r="U13" s="122">
        <f>[35]Sheet1!C219</f>
        <v>1241</v>
      </c>
      <c r="V13" s="122">
        <f>'[36]AAL 3Q17 PR'!C298</f>
        <v>1258</v>
      </c>
      <c r="W13" s="122">
        <f>[27]Sheet1!C314</f>
        <v>1215</v>
      </c>
      <c r="X13" s="122">
        <f>[37]Sheet1!E247</f>
        <v>1201</v>
      </c>
      <c r="Y13" s="122">
        <f>[38]Sheet1!C298</f>
        <v>1254</v>
      </c>
      <c r="Z13" s="122">
        <f>[39]Sheet1!C286</f>
        <v>1278</v>
      </c>
      <c r="AA13" s="122">
        <f>[13]Sheet1!C314</f>
        <v>1226</v>
      </c>
      <c r="AB13" s="122">
        <f>[18]Sheet1!C247</f>
        <v>1217</v>
      </c>
      <c r="AC13" s="122">
        <f>[38]Sheet1!B298</f>
        <v>1254</v>
      </c>
      <c r="AD13" s="122">
        <f>[39]Sheet1!B286</f>
        <v>1272</v>
      </c>
      <c r="AE13" s="122">
        <f>[13]Sheet1!B314</f>
        <v>1198</v>
      </c>
      <c r="AF13" s="122">
        <f>[18]Sheet1!B247</f>
        <v>1178</v>
      </c>
    </row>
    <row r="14" spans="1:33" x14ac:dyDescent="0.25">
      <c r="A14" s="123" t="s">
        <v>243</v>
      </c>
      <c r="C14" s="122"/>
      <c r="D14" s="122">
        <f>[24]Sheet1!J902</f>
        <v>3512</v>
      </c>
      <c r="E14" s="122">
        <f>[16]Sheet1!G661</f>
        <v>3608</v>
      </c>
      <c r="F14" s="122">
        <f>[25]Sheet1!G303</f>
        <v>3644</v>
      </c>
      <c r="G14" s="122">
        <f>[26]Sheet1!G373</f>
        <v>3611</v>
      </c>
      <c r="H14" s="122">
        <f>[27]Sheet1!G315</f>
        <v>3596</v>
      </c>
      <c r="I14" s="122">
        <f>[13]Sheet1!G316</f>
        <v>3579</v>
      </c>
      <c r="J14" s="122">
        <f>[13]Sheet1!F316</f>
        <v>3644</v>
      </c>
      <c r="K14" s="122"/>
      <c r="L14" s="122">
        <f>[28]Sheet1!C342</f>
        <v>874</v>
      </c>
      <c r="M14" s="122">
        <f>[29]Sheet1!C414</f>
        <v>937</v>
      </c>
      <c r="N14" s="122">
        <f>[30]Sheet1!C400</f>
        <v>952</v>
      </c>
      <c r="O14" s="122">
        <f>[25]Sheet1!C303</f>
        <v>881</v>
      </c>
      <c r="P14" s="122">
        <f>[31]Sheet1!D369</f>
        <v>846</v>
      </c>
      <c r="Q14" s="122">
        <f>[32]Sheet1!C398</f>
        <v>936</v>
      </c>
      <c r="R14" s="122">
        <f>[33]Sheet1!C327</f>
        <v>954</v>
      </c>
      <c r="S14" s="122">
        <f>[26]Sheet1!C373</f>
        <v>875</v>
      </c>
      <c r="T14" s="122">
        <f>[34]Sheet1!C286</f>
        <v>855</v>
      </c>
      <c r="U14" s="122">
        <f>[35]Sheet1!C220</f>
        <v>931</v>
      </c>
      <c r="V14" s="122">
        <f>'[36]AAL 3Q17 PR'!C304</f>
        <v>953</v>
      </c>
      <c r="W14" s="122">
        <f>[27]Sheet1!C315</f>
        <v>857</v>
      </c>
      <c r="X14" s="122">
        <f>[37]Sheet1!E248</f>
        <v>831</v>
      </c>
      <c r="Y14" s="122">
        <f>[38]Sheet1!C300</f>
        <v>934</v>
      </c>
      <c r="Z14" s="122">
        <f>[39]Sheet1!C288</f>
        <v>947</v>
      </c>
      <c r="AA14" s="122">
        <f>[13]Sheet1!C316</f>
        <v>866</v>
      </c>
      <c r="AB14" s="122">
        <f>[18]Sheet1!C248</f>
        <v>845</v>
      </c>
      <c r="AC14" s="122">
        <f>[38]Sheet1!B300</f>
        <v>944</v>
      </c>
      <c r="AD14" s="122">
        <f>[39]Sheet1!B288</f>
        <v>978</v>
      </c>
      <c r="AE14" s="122">
        <f>[13]Sheet1!B316</f>
        <v>877</v>
      </c>
      <c r="AF14" s="122">
        <f>[18]Sheet1!B248</f>
        <v>853</v>
      </c>
    </row>
    <row r="15" spans="1:33" s="127" customFormat="1" x14ac:dyDescent="0.25">
      <c r="A15" s="130" t="s">
        <v>242</v>
      </c>
      <c r="B15" s="129"/>
      <c r="C15" s="128"/>
      <c r="D15" s="128">
        <f>[24]Sheet1!J903</f>
        <v>3.19</v>
      </c>
      <c r="E15" s="128">
        <f>[16]Sheet1!G662</f>
        <v>3.08</v>
      </c>
      <c r="F15" s="128">
        <f>[25]Sheet1!G304</f>
        <v>2.91</v>
      </c>
      <c r="G15" s="128">
        <f>[26]Sheet1!G375</f>
        <v>1.72</v>
      </c>
      <c r="H15" s="128">
        <f>[27]Sheet1!G316</f>
        <v>1.41</v>
      </c>
      <c r="I15" s="128">
        <f>[13]Sheet1!G319</f>
        <v>1.71</v>
      </c>
      <c r="J15" s="128">
        <f>[13]Sheet1!F319</f>
        <v>2.21</v>
      </c>
      <c r="K15" s="128"/>
      <c r="L15" s="128">
        <f>[28]Sheet1!C343</f>
        <v>3.1</v>
      </c>
      <c r="M15" s="128">
        <f>[29]Sheet1!C416</f>
        <v>3.02</v>
      </c>
      <c r="N15" s="128">
        <f>[30]Sheet1!C402</f>
        <v>2.97</v>
      </c>
      <c r="O15" s="128">
        <f>[25]Sheet1!C304</f>
        <v>2.52</v>
      </c>
      <c r="P15" s="128">
        <f>[31]Sheet1!D370</f>
        <v>1.83</v>
      </c>
      <c r="Q15" s="128">
        <f>[32]Sheet1!C401</f>
        <v>1.9</v>
      </c>
      <c r="R15" s="128">
        <f>[33]Sheet1!C328</f>
        <v>1.67</v>
      </c>
      <c r="S15" s="128">
        <f>[26]Sheet1!C375</f>
        <v>1.5</v>
      </c>
      <c r="T15" s="128">
        <f>[34]Sheet1!C287</f>
        <v>1.2</v>
      </c>
      <c r="U15" s="128">
        <f>[35]Sheet1!C221</f>
        <v>1.41</v>
      </c>
      <c r="V15" s="128">
        <f>'[36]AAL 3Q17 PR'!C306</f>
        <v>1.46</v>
      </c>
      <c r="W15" s="128">
        <f>[27]Sheet1!C316</f>
        <v>1.56</v>
      </c>
      <c r="X15" s="128">
        <f>[37]Sheet1!E249</f>
        <v>1.69</v>
      </c>
      <c r="Y15" s="128">
        <f>[38]Sheet1!C303</f>
        <v>1.62</v>
      </c>
      <c r="Z15" s="128">
        <f>[39]Sheet1!C291</f>
        <v>1.66</v>
      </c>
      <c r="AA15" s="128">
        <f>[13]Sheet1!C319</f>
        <v>1.9</v>
      </c>
      <c r="AB15" s="128">
        <f>[18]Sheet1!C249</f>
        <v>2.09</v>
      </c>
      <c r="AC15" s="128">
        <f>[38]Sheet1!B303</f>
        <v>2.23</v>
      </c>
      <c r="AD15" s="128">
        <f>[39]Sheet1!B291</f>
        <v>2.2799999999999998</v>
      </c>
      <c r="AE15" s="128">
        <f>[13]Sheet1!B319</f>
        <v>2.23</v>
      </c>
      <c r="AF15" s="128">
        <f>[18]Sheet1!B249</f>
        <v>2.02</v>
      </c>
      <c r="AG15" s="119"/>
    </row>
    <row r="16" spans="1:33" x14ac:dyDescent="0.25">
      <c r="A16" s="123" t="s">
        <v>241</v>
      </c>
      <c r="C16" s="122"/>
      <c r="D16" s="122">
        <f>[24]Sheet1!J904</f>
        <v>95786</v>
      </c>
      <c r="E16" s="122">
        <f>[16]Sheet1!G663</f>
        <v>91500</v>
      </c>
      <c r="F16" s="122">
        <f>[25]Sheet1!G305</f>
        <v>94400</v>
      </c>
      <c r="G16" s="122">
        <f>[26]Sheet1!G377</f>
        <v>98900</v>
      </c>
      <c r="H16" s="122">
        <f>[27]Sheet1!G317</f>
        <v>101500</v>
      </c>
      <c r="I16" s="122">
        <f>[13]Sheet1!G321</f>
        <v>103100</v>
      </c>
      <c r="J16" s="122">
        <f>[13]Sheet1!F321</f>
        <v>102900</v>
      </c>
      <c r="K16" s="122"/>
      <c r="L16" s="122">
        <f>[28]Sheet1!C344</f>
        <v>93400</v>
      </c>
      <c r="M16" s="122">
        <f>[29]Sheet1!C417</f>
        <v>94100</v>
      </c>
      <c r="N16" s="122">
        <f>[30]Sheet1!C403</f>
        <v>93400</v>
      </c>
      <c r="O16" s="122">
        <f>[25]Sheet1!C305</f>
        <v>94400</v>
      </c>
      <c r="P16" s="122">
        <f>[31]Sheet1!D371</f>
        <v>97500</v>
      </c>
      <c r="Q16" s="122">
        <f>[32]Sheet1!C404</f>
        <v>100700</v>
      </c>
      <c r="R16" s="122">
        <f>[33]Sheet1!C329</f>
        <v>99700</v>
      </c>
      <c r="S16" s="122">
        <f>[26]Sheet1!C377</f>
        <v>98900</v>
      </c>
      <c r="T16" s="122">
        <f>[34]Sheet1!C288</f>
        <v>100200</v>
      </c>
      <c r="U16" s="122">
        <f>[35]Sheet1!C222</f>
        <v>103100</v>
      </c>
      <c r="V16" s="122">
        <f>'[36]AAL 3Q17 PR'!C308</f>
        <v>101200</v>
      </c>
      <c r="W16" s="122">
        <f>[27]Sheet1!C317</f>
        <v>101500</v>
      </c>
      <c r="X16" s="122">
        <f>[37]Sheet1!E250</f>
        <v>102900</v>
      </c>
      <c r="Y16" s="122">
        <f>[38]Sheet1!C305</f>
        <v>106100</v>
      </c>
      <c r="Z16" s="122">
        <f>[39]Sheet1!C293</f>
        <v>105000</v>
      </c>
      <c r="AA16" s="122">
        <f>[13]Sheet1!C321</f>
        <v>103100</v>
      </c>
      <c r="AB16" s="122">
        <f>[18]Sheet1!C250</f>
        <v>104400</v>
      </c>
      <c r="AC16" s="122">
        <f>[38]Sheet1!B305</f>
        <v>106600</v>
      </c>
      <c r="AD16" s="122">
        <f>[39]Sheet1!B293</f>
        <v>105100</v>
      </c>
      <c r="AE16" s="122">
        <f>[13]Sheet1!B321</f>
        <v>102900</v>
      </c>
      <c r="AF16" s="122">
        <f>[18]Sheet1!B250</f>
        <v>103500</v>
      </c>
    </row>
    <row r="17" spans="1:33" x14ac:dyDescent="0.25">
      <c r="A17" s="133" t="s">
        <v>250</v>
      </c>
      <c r="C17" s="122"/>
      <c r="D17" s="122"/>
      <c r="E17" s="122"/>
      <c r="F17" s="122"/>
      <c r="G17" s="122"/>
      <c r="H17" s="122"/>
      <c r="I17" s="122"/>
      <c r="J17" s="122"/>
      <c r="K17" s="122"/>
      <c r="L17" s="122"/>
      <c r="M17" s="122"/>
      <c r="N17" s="122"/>
      <c r="O17" s="122"/>
      <c r="P17" s="122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</row>
    <row r="18" spans="1:33" x14ac:dyDescent="0.25">
      <c r="A18" s="123" t="s">
        <v>231</v>
      </c>
      <c r="C18" s="122"/>
      <c r="D18" s="122">
        <f>[24]Sheet1!J911</f>
        <v>21097</v>
      </c>
      <c r="E18" s="122">
        <f>[16]Sheet1!G668</f>
        <v>21515</v>
      </c>
      <c r="F18" s="122">
        <f>[25]Sheet1!G316</f>
        <v>22219</v>
      </c>
      <c r="G18" s="122">
        <f>[26]Sheet1!G386</f>
        <v>23543</v>
      </c>
      <c r="H18" s="122">
        <f>[27]Sheet1!G322</f>
        <v>24463</v>
      </c>
      <c r="I18" s="122">
        <f>[13]Sheet1!G325</f>
        <v>24995</v>
      </c>
      <c r="J18" s="122">
        <f>[13]Sheet1!F325</f>
        <v>25709</v>
      </c>
      <c r="K18" s="122"/>
      <c r="L18" s="122">
        <f>[28]Sheet1!C354</f>
        <v>5058</v>
      </c>
      <c r="M18" s="122">
        <f>[29]Sheet1!D425</f>
        <v>5787</v>
      </c>
      <c r="N18" s="122">
        <f>[30]Sheet1!D411</f>
        <v>5755</v>
      </c>
      <c r="O18" s="122">
        <f>[25]Sheet1!C316</f>
        <v>5618</v>
      </c>
      <c r="P18" s="122">
        <f>[31]Sheet1!C383</f>
        <v>5341</v>
      </c>
      <c r="Q18" s="122">
        <f>[32]Sheet1!C422</f>
        <v>6189</v>
      </c>
      <c r="R18" s="122">
        <f>[33]Sheet1!C334</f>
        <v>6199</v>
      </c>
      <c r="S18" s="122">
        <f>[26]Sheet1!C386</f>
        <v>5814</v>
      </c>
      <c r="T18" s="122">
        <f>[34]Sheet1!C293</f>
        <v>5551</v>
      </c>
      <c r="U18" s="122">
        <f>[35]Sheet1!C227</f>
        <v>6409</v>
      </c>
      <c r="V18" s="122">
        <f>'[36]AAL 3Q17 PR'!C317</f>
        <v>6447</v>
      </c>
      <c r="W18" s="122">
        <f>[27]Sheet1!C322</f>
        <v>6057</v>
      </c>
      <c r="X18" s="122">
        <f>[37]Sheet1!E253</f>
        <v>5773</v>
      </c>
      <c r="Y18" s="122">
        <f>[38]Sheet1!C309</f>
        <v>6387</v>
      </c>
      <c r="Z18" s="122">
        <f>[39]Sheet1!C297</f>
        <v>6459</v>
      </c>
      <c r="AA18" s="122">
        <f>[13]Sheet1!C325</f>
        <v>6376</v>
      </c>
      <c r="AB18" s="122">
        <f>[18]Sheet1!C252</f>
        <v>5938</v>
      </c>
      <c r="AC18" s="122">
        <f>[38]Sheet1!B309</f>
        <v>6661</v>
      </c>
      <c r="AD18" s="122">
        <f>[39]Sheet1!B297</f>
        <v>6683</v>
      </c>
      <c r="AE18" s="122">
        <f>[13]Sheet1!B325</f>
        <v>6427</v>
      </c>
      <c r="AF18" s="122">
        <f>[18]Sheet1!B252</f>
        <v>6321</v>
      </c>
    </row>
    <row r="19" spans="1:33" x14ac:dyDescent="0.25">
      <c r="A19" s="123" t="s">
        <v>230</v>
      </c>
      <c r="C19" s="122"/>
      <c r="D19" s="122">
        <f>[24]Sheet1!J912</f>
        <v>27809</v>
      </c>
      <c r="E19" s="122">
        <f>[16]Sheet1!G669</f>
        <v>28041</v>
      </c>
      <c r="F19" s="122">
        <f>[25]Sheet1!G317</f>
        <v>28135</v>
      </c>
      <c r="G19" s="122">
        <f>[26]Sheet1!G387</f>
        <v>29361</v>
      </c>
      <c r="H19" s="122">
        <f>[27]Sheet1!G323</f>
        <v>31676</v>
      </c>
      <c r="I19" s="122">
        <f>[13]Sheet1!G326</f>
        <v>32687</v>
      </c>
      <c r="J19" s="122">
        <f>[13]Sheet1!F326</f>
        <v>33492</v>
      </c>
      <c r="K19" s="122"/>
      <c r="L19" s="122">
        <f>[28]Sheet1!C355</f>
        <v>6561</v>
      </c>
      <c r="M19" s="122">
        <f>[29]Sheet1!D426</f>
        <v>7091</v>
      </c>
      <c r="N19" s="122">
        <f>[30]Sheet1!D412</f>
        <v>7269</v>
      </c>
      <c r="O19" s="122">
        <f>[25]Sheet1!C317</f>
        <v>7213</v>
      </c>
      <c r="P19" s="122">
        <f>[31]Sheet1!C384</f>
        <v>6937</v>
      </c>
      <c r="Q19" s="122">
        <f>[32]Sheet1!C424</f>
        <v>7481</v>
      </c>
      <c r="R19" s="122">
        <f>[33]Sheet1!C335</f>
        <v>7633</v>
      </c>
      <c r="S19" s="122">
        <f>[26]Sheet1!C387</f>
        <v>7310</v>
      </c>
      <c r="T19" s="122">
        <f>[34]Sheet1!C294</f>
        <v>7500</v>
      </c>
      <c r="U19" s="122">
        <f>[35]Sheet1!C228</f>
        <v>8081</v>
      </c>
      <c r="V19" s="122">
        <f>'[36]AAL 3Q17 PR'!C318</f>
        <v>8160</v>
      </c>
      <c r="W19" s="122">
        <f>[27]Sheet1!C323</f>
        <v>7934</v>
      </c>
      <c r="X19" s="122">
        <f>[37]Sheet1!E254</f>
        <v>7777</v>
      </c>
      <c r="Y19" s="122">
        <f>[38]Sheet1!C310</f>
        <v>8223</v>
      </c>
      <c r="Z19" s="122">
        <f>[39]Sheet1!C299</f>
        <v>8471</v>
      </c>
      <c r="AA19" s="122">
        <f>[13]Sheet1!C326</f>
        <v>8215</v>
      </c>
      <c r="AB19" s="122">
        <f>[18]Sheet1!C253</f>
        <v>7860</v>
      </c>
      <c r="AC19" s="122">
        <f>[38]Sheet1!B310</f>
        <v>8441</v>
      </c>
      <c r="AD19" s="122">
        <f>[39]Sheet1!B299</f>
        <v>8744</v>
      </c>
      <c r="AE19" s="122">
        <f>[13]Sheet1!B326</f>
        <v>8446</v>
      </c>
      <c r="AF19" s="122">
        <f>[18]Sheet1!B253</f>
        <v>8351</v>
      </c>
    </row>
    <row r="20" spans="1:33" x14ac:dyDescent="0.25">
      <c r="A20" s="123" t="s">
        <v>229</v>
      </c>
      <c r="C20" s="125"/>
      <c r="D20" s="125">
        <f>[24]Sheet1!J913/100</f>
        <v>0.75900000000000001</v>
      </c>
      <c r="E20" s="125">
        <f>[16]Sheet1!G670/100</f>
        <v>0.76700000000000002</v>
      </c>
      <c r="F20" s="125">
        <f>[25]Sheet1!G318/100</f>
        <v>0.79</v>
      </c>
      <c r="G20" s="125">
        <f>[26]Sheet1!G388/100</f>
        <v>0.80200000000000005</v>
      </c>
      <c r="H20" s="125">
        <f>[27]Sheet1!G324/100</f>
        <v>0.77200000000000002</v>
      </c>
      <c r="I20" s="125">
        <f>[13]Sheet1!G327/100</f>
        <v>0.76500000000000001</v>
      </c>
      <c r="J20" s="125">
        <f>[13]Sheet1!F327/100</f>
        <v>0.76800000000000002</v>
      </c>
      <c r="K20" s="122"/>
      <c r="L20" s="125">
        <f>[28]Sheet1!C356/100</f>
        <v>0.77099999999999991</v>
      </c>
      <c r="M20" s="125">
        <f>[29]Sheet1!D427/100</f>
        <v>0.81599999999999995</v>
      </c>
      <c r="N20" s="125">
        <f>[30]Sheet1!D413/100</f>
        <v>0.79200000000000004</v>
      </c>
      <c r="O20" s="125">
        <f>[25]Sheet1!C318/100</f>
        <v>0.77900000000000003</v>
      </c>
      <c r="P20" s="125">
        <f>[31]Sheet1!C385/100</f>
        <v>0.77</v>
      </c>
      <c r="Q20" s="125">
        <f>[32]Sheet1!C426/100</f>
        <v>0.82700000000000007</v>
      </c>
      <c r="R20" s="125">
        <f>[33]Sheet1!C336/100</f>
        <v>0.81200000000000006</v>
      </c>
      <c r="S20" s="125">
        <f>[26]Sheet1!C388/100</f>
        <v>0.79500000000000004</v>
      </c>
      <c r="T20" s="125">
        <f>[34]Sheet1!C295/100</f>
        <v>0.74</v>
      </c>
      <c r="U20" s="125">
        <f>[35]Sheet1!C229/100</f>
        <v>0.79299999999999993</v>
      </c>
      <c r="V20" s="125">
        <f>'[36]AAL 3Q17 PR'!C319/100</f>
        <v>0.79</v>
      </c>
      <c r="W20" s="125">
        <f>[27]Sheet1!C324/100</f>
        <v>0.76300000000000001</v>
      </c>
      <c r="X20" s="125">
        <f>[37]Sheet1!E255/100</f>
        <v>0.74199999999999999</v>
      </c>
      <c r="Y20" s="125">
        <f>[38]Sheet1!C312/100</f>
        <v>0.77700000000000002</v>
      </c>
      <c r="Z20" s="125">
        <f>[39]Sheet1!C304/100</f>
        <v>0.76300000000000001</v>
      </c>
      <c r="AA20" s="125">
        <f>[13]Sheet1!C327/100</f>
        <v>0.77599999999999991</v>
      </c>
      <c r="AB20" s="125">
        <f>[18]Sheet1!C254/100</f>
        <v>0.755</v>
      </c>
      <c r="AC20" s="125">
        <f>[38]Sheet1!B312/100</f>
        <v>0.78900000000000003</v>
      </c>
      <c r="AD20" s="125">
        <f>[39]Sheet1!B304/100</f>
        <v>0.76400000000000001</v>
      </c>
      <c r="AE20" s="125">
        <f>[13]Sheet1!B327/100</f>
        <v>0.7609999999999999</v>
      </c>
      <c r="AF20" s="125">
        <f>[18]Sheet1!B254/100</f>
        <v>0.75700000000000001</v>
      </c>
    </row>
    <row r="21" spans="1:33" x14ac:dyDescent="0.25">
      <c r="A21" s="123" t="s">
        <v>245</v>
      </c>
      <c r="C21" s="122"/>
      <c r="D21" s="122">
        <f>[24]Sheet1!J916</f>
        <v>49757</v>
      </c>
      <c r="E21" s="122">
        <f>[16]Sheet1!G673</f>
        <v>49993</v>
      </c>
      <c r="F21" s="122">
        <f>[25]Sheet1!G321</f>
        <v>51766</v>
      </c>
      <c r="G21" s="122">
        <f>[26]Sheet1!G391</f>
        <v>54435</v>
      </c>
      <c r="H21" s="122">
        <f>[27]Sheet1!G327</f>
        <v>54184</v>
      </c>
      <c r="I21" s="122">
        <f>[13]Sheet1!G329</f>
        <v>54718</v>
      </c>
      <c r="J21" s="122">
        <f>[13]Sheet1!F329</f>
        <v>55517</v>
      </c>
      <c r="K21" s="122"/>
      <c r="L21" s="122">
        <f>[28]Sheet1!C359</f>
        <v>11709</v>
      </c>
      <c r="M21" s="122">
        <f>[29]Sheet1!C437</f>
        <v>13553</v>
      </c>
      <c r="N21" s="122">
        <f>[30]Sheet1!D416</f>
        <v>13483</v>
      </c>
      <c r="O21" s="122">
        <f>[25]Sheet1!C321</f>
        <v>13021</v>
      </c>
      <c r="P21" s="122">
        <f>[31]Sheet1!C388</f>
        <v>12243</v>
      </c>
      <c r="Q21" s="122">
        <f>[32]Sheet1!C433</f>
        <v>14377</v>
      </c>
      <c r="R21" s="122">
        <f>[33]Sheet1!C339</f>
        <v>14413</v>
      </c>
      <c r="S21" s="122">
        <f>[26]Sheet1!C391</f>
        <v>13402</v>
      </c>
      <c r="T21" s="122">
        <f>[34]Sheet1!C298</f>
        <v>12368</v>
      </c>
      <c r="U21" s="122">
        <f>[35]Sheet1!C232</f>
        <v>14252</v>
      </c>
      <c r="V21" s="122">
        <f>'[36]AAL 3Q17 PR'!C322</f>
        <v>14288</v>
      </c>
      <c r="W21" s="122">
        <f>[27]Sheet1!C327</f>
        <v>13276</v>
      </c>
      <c r="X21" s="122">
        <f>[37]Sheet1!E256</f>
        <v>12605</v>
      </c>
      <c r="Y21" s="122">
        <f>[38]Sheet1!C314</f>
        <v>14049</v>
      </c>
      <c r="Z21" s="122">
        <f>[39]Sheet1!C306</f>
        <v>14073</v>
      </c>
      <c r="AA21" s="122">
        <f>[13]Sheet1!C329</f>
        <v>13990</v>
      </c>
      <c r="AB21" s="122">
        <f>[18]Sheet1!C255</f>
        <v>12786</v>
      </c>
      <c r="AC21" s="122">
        <f>[38]Sheet1!B314</f>
        <v>14486</v>
      </c>
      <c r="AD21" s="122">
        <f>[39]Sheet1!B306</f>
        <v>14342</v>
      </c>
      <c r="AE21" s="122">
        <f>[13]Sheet1!B329</f>
        <v>13902</v>
      </c>
      <c r="AF21" s="122">
        <f>[18]Sheet1!B255</f>
        <v>13389</v>
      </c>
    </row>
    <row r="22" spans="1:33" x14ac:dyDescent="0.25">
      <c r="A22" s="123" t="s">
        <v>244</v>
      </c>
      <c r="C22" s="122"/>
      <c r="D22" s="122">
        <f>[24]Sheet1!J917</f>
        <v>536</v>
      </c>
      <c r="E22" s="122">
        <f>[16]Sheet1!G674</f>
        <v>558</v>
      </c>
      <c r="F22" s="122">
        <f>[25]Sheet1!G322</f>
        <v>566</v>
      </c>
      <c r="G22" s="122">
        <f>[26]Sheet1!G392</f>
        <v>587</v>
      </c>
      <c r="H22" s="122">
        <f>[27]Sheet1!G328</f>
        <v>606</v>
      </c>
      <c r="I22" s="122">
        <f>[13]Sheet1!G330</f>
        <v>597</v>
      </c>
      <c r="J22" s="122">
        <f>[13]Sheet1!F330</f>
        <v>595</v>
      </c>
      <c r="K22" s="122"/>
      <c r="L22" s="122">
        <f>[28]Sheet1!C360</f>
        <v>560</v>
      </c>
      <c r="M22" s="122">
        <f>[29]Sheet1!C438</f>
        <v>557</v>
      </c>
      <c r="N22" s="122">
        <f>[30]Sheet1!C424</f>
        <v>557</v>
      </c>
      <c r="O22" s="122">
        <f>[25]Sheet1!C322</f>
        <v>566</v>
      </c>
      <c r="P22" s="122">
        <f>[31]Sheet1!C389</f>
        <v>577</v>
      </c>
      <c r="Q22" s="122">
        <f>[32]Sheet1!C434</f>
        <v>578</v>
      </c>
      <c r="R22" s="122">
        <f>[33]Sheet1!C340</f>
        <v>584</v>
      </c>
      <c r="S22" s="122">
        <f>[26]Sheet1!C392</f>
        <v>587</v>
      </c>
      <c r="T22" s="122">
        <f>[34]Sheet1!C299</f>
        <v>597</v>
      </c>
      <c r="U22" s="122">
        <f>[35]Sheet1!C233</f>
        <v>600</v>
      </c>
      <c r="V22" s="122">
        <f>'[36]AAL 3Q17 PR'!C323</f>
        <v>599</v>
      </c>
      <c r="W22" s="122">
        <f>[27]Sheet1!C328</f>
        <v>606</v>
      </c>
      <c r="X22" s="122">
        <f>[37]Sheet1!E257</f>
        <v>623</v>
      </c>
      <c r="Y22" s="122">
        <f>[38]Sheet1!C315</f>
        <v>627</v>
      </c>
      <c r="Z22" s="122">
        <f>[39]Sheet1!C307</f>
        <v>611</v>
      </c>
      <c r="AA22" s="122">
        <f>[13]Sheet1!C330</f>
        <v>597</v>
      </c>
      <c r="AB22" s="122">
        <f>[18]Sheet1!C256</f>
        <v>587</v>
      </c>
      <c r="AC22" s="122">
        <f>[38]Sheet1!B315</f>
        <v>604</v>
      </c>
      <c r="AD22" s="122">
        <f>[39]Sheet1!B307</f>
        <v>592</v>
      </c>
      <c r="AE22" s="122">
        <f>[13]Sheet1!B330</f>
        <v>595</v>
      </c>
      <c r="AF22" s="122">
        <f>[18]Sheet1!B256</f>
        <v>602</v>
      </c>
    </row>
    <row r="23" spans="1:33" x14ac:dyDescent="0.25">
      <c r="A23" s="123" t="s">
        <v>243</v>
      </c>
      <c r="C23" s="122"/>
      <c r="D23" s="122">
        <f>[24]Sheet1!J918</f>
        <v>658</v>
      </c>
      <c r="E23" s="122">
        <f>[16]Sheet1!G675</f>
        <v>687</v>
      </c>
      <c r="F23" s="122">
        <f>[25]Sheet1!G323</f>
        <v>688</v>
      </c>
      <c r="G23" s="122">
        <f>[26]Sheet1!G393</f>
        <v>712</v>
      </c>
      <c r="H23" s="122">
        <f>[27]Sheet1!G329</f>
        <v>751</v>
      </c>
      <c r="I23" s="122">
        <f>[13]Sheet1!G333</f>
        <v>773</v>
      </c>
      <c r="J23" s="122">
        <f>[13]Sheet1!F333</f>
        <v>803</v>
      </c>
      <c r="K23" s="122"/>
      <c r="L23" s="122">
        <f>[28]Sheet1!C361</f>
        <v>161</v>
      </c>
      <c r="M23" s="122">
        <f>[29]Sheet1!C439</f>
        <v>174</v>
      </c>
      <c r="N23" s="122">
        <f>[30]Sheet1!C425</f>
        <v>178</v>
      </c>
      <c r="O23" s="122">
        <f>[25]Sheet1!C323</f>
        <v>174</v>
      </c>
      <c r="P23" s="122">
        <f>[31]Sheet1!C390</f>
        <v>167</v>
      </c>
      <c r="Q23" s="122">
        <f>[32]Sheet1!C436</f>
        <v>182</v>
      </c>
      <c r="R23" s="122">
        <f>[33]Sheet1!C341</f>
        <v>186</v>
      </c>
      <c r="S23" s="122">
        <f>[26]Sheet1!C393</f>
        <v>177</v>
      </c>
      <c r="T23" s="122">
        <f>[34]Sheet1!C300</f>
        <v>178</v>
      </c>
      <c r="U23" s="122">
        <f>[35]Sheet1!C234</f>
        <v>191</v>
      </c>
      <c r="V23" s="122">
        <f>'[36]AAL 3Q17 PR'!C324</f>
        <v>196</v>
      </c>
      <c r="W23" s="122">
        <f>[27]Sheet1!C329</f>
        <v>187</v>
      </c>
      <c r="X23" s="122">
        <f>[37]Sheet1!E258</f>
        <v>182</v>
      </c>
      <c r="Y23" s="122">
        <f>[38]Sheet1!C317</f>
        <v>195</v>
      </c>
      <c r="Z23" s="122">
        <f>[39]Sheet1!C309</f>
        <v>201</v>
      </c>
      <c r="AA23" s="122">
        <f>[13]Sheet1!C333</f>
        <v>194</v>
      </c>
      <c r="AB23" s="122">
        <f>[18]Sheet1!C257</f>
        <v>185</v>
      </c>
      <c r="AC23" s="122">
        <f>[38]Sheet1!B317</f>
        <v>203</v>
      </c>
      <c r="AD23" s="122">
        <f>[39]Sheet1!B309</f>
        <v>212</v>
      </c>
      <c r="AE23" s="122">
        <f>[13]Sheet1!B333</f>
        <v>203</v>
      </c>
      <c r="AF23" s="122">
        <f>[18]Sheet1!B257</f>
        <v>200</v>
      </c>
    </row>
    <row r="24" spans="1:33" s="127" customFormat="1" x14ac:dyDescent="0.25">
      <c r="A24" s="130" t="s">
        <v>242</v>
      </c>
      <c r="B24" s="129"/>
      <c r="C24" s="128"/>
      <c r="D24" s="128">
        <f>[24]Sheet1!J919</f>
        <v>3.21</v>
      </c>
      <c r="E24" s="128">
        <f>[16]Sheet1!G676</f>
        <v>3.07</v>
      </c>
      <c r="F24" s="128">
        <f>[25]Sheet1!G324</f>
        <v>2.92</v>
      </c>
      <c r="G24" s="128">
        <f>[26]Sheet1!G395</f>
        <v>1.73</v>
      </c>
      <c r="H24" s="128">
        <f>[27]Sheet1!G335</f>
        <v>1.48</v>
      </c>
      <c r="I24" s="128">
        <f>[13]Sheet1!G336</f>
        <v>1.79</v>
      </c>
      <c r="J24" s="128">
        <f>[13]Sheet1!F336</f>
        <v>2.2999999999999998</v>
      </c>
      <c r="K24" s="128"/>
      <c r="L24" s="128">
        <f>[28]Sheet1!C362</f>
        <v>3.1</v>
      </c>
      <c r="M24" s="128">
        <f>[29]Sheet1!C441</f>
        <v>3.07</v>
      </c>
      <c r="N24" s="128">
        <f>[30]Sheet1!C427</f>
        <v>3.02</v>
      </c>
      <c r="O24" s="128">
        <f>[25]Sheet1!C324</f>
        <v>2.5099999999999998</v>
      </c>
      <c r="P24" s="128">
        <f>[31]Sheet1!C391</f>
        <v>1.86</v>
      </c>
      <c r="Q24" s="128">
        <f>[32]Sheet1!C439</f>
        <v>1.91</v>
      </c>
      <c r="R24" s="128">
        <f>[33]Sheet1!C342</f>
        <v>1.67</v>
      </c>
      <c r="S24" s="128">
        <f>[26]Sheet1!C395</f>
        <v>1.47</v>
      </c>
      <c r="T24" s="128">
        <f>[34]Sheet1!C301</f>
        <v>1.24</v>
      </c>
      <c r="U24" s="128">
        <f>[35]Sheet1!C235</f>
        <v>1.46</v>
      </c>
      <c r="V24" s="128">
        <f>'[36]AAL 3Q17 PR'!C326</f>
        <v>1.55</v>
      </c>
      <c r="W24" s="128">
        <f>[27]Sheet1!C335</f>
        <v>1.65</v>
      </c>
      <c r="X24" s="128">
        <f>[37]Sheet1!E259</f>
        <v>1.75</v>
      </c>
      <c r="Y24" s="128">
        <f>[38]Sheet1!C321</f>
        <v>1.69</v>
      </c>
      <c r="Z24" s="128">
        <f>[39]Sheet1!C312</f>
        <v>1.75</v>
      </c>
      <c r="AA24" s="128">
        <f>[13]Sheet1!C336</f>
        <v>1.97</v>
      </c>
      <c r="AB24" s="128">
        <f>[18]Sheet1!C258</f>
        <v>2.15</v>
      </c>
      <c r="AC24" s="128">
        <f>[38]Sheet1!B321</f>
        <v>2.29</v>
      </c>
      <c r="AD24" s="128">
        <f>[39]Sheet1!B312</f>
        <v>2.39</v>
      </c>
      <c r="AE24" s="128">
        <f>[13]Sheet1!B336</f>
        <v>2.34</v>
      </c>
      <c r="AF24" s="128">
        <f>[18]Sheet1!B258</f>
        <v>2.12</v>
      </c>
    </row>
    <row r="25" spans="1:33" x14ac:dyDescent="0.25">
      <c r="A25" s="123" t="s">
        <v>241</v>
      </c>
      <c r="C25" s="132"/>
      <c r="D25" s="132"/>
      <c r="E25" s="122">
        <f>[16]Sheet1!G677</f>
        <v>18200</v>
      </c>
      <c r="F25" s="122">
        <f>[25]Sheet1!G325</f>
        <v>18900</v>
      </c>
      <c r="G25" s="122">
        <f>[26]Sheet1!G397</f>
        <v>19600</v>
      </c>
      <c r="H25" s="122">
        <f>[27]Sheet1!G336</f>
        <v>20800</v>
      </c>
      <c r="I25" s="122">
        <f>[13]Sheet1!G339</f>
        <v>23500</v>
      </c>
      <c r="J25" s="122">
        <f>[13]Sheet1!F339</f>
        <v>26000</v>
      </c>
      <c r="K25" s="122"/>
      <c r="L25" s="122">
        <f>[28]Sheet1!C363</f>
        <v>18000</v>
      </c>
      <c r="M25" s="122">
        <f>[29]Sheet1!C442</f>
        <v>18300</v>
      </c>
      <c r="N25" s="122">
        <f>[30]Sheet1!C428</f>
        <v>18500</v>
      </c>
      <c r="O25" s="122">
        <f>[25]Sheet1!C325</f>
        <v>18900</v>
      </c>
      <c r="P25" s="122">
        <f>[31]Sheet1!C392</f>
        <v>19300</v>
      </c>
      <c r="Q25" s="122">
        <f>[32]Sheet1!C442</f>
        <v>19700</v>
      </c>
      <c r="R25" s="122">
        <f>[33]Sheet1!C343</f>
        <v>19300</v>
      </c>
      <c r="S25" s="122">
        <f>[26]Sheet1!C397</f>
        <v>19600</v>
      </c>
      <c r="T25" s="122">
        <f>[34]Sheet1!C302</f>
        <v>20000</v>
      </c>
      <c r="U25" s="122">
        <f>[35]Sheet1!C236</f>
        <v>20400</v>
      </c>
      <c r="V25" s="122">
        <f>'[36]AAL 3Q17 PR'!C328</f>
        <v>20600</v>
      </c>
      <c r="W25" s="122">
        <f>[27]Sheet1!C336</f>
        <v>20800</v>
      </c>
      <c r="X25" s="122">
        <f>[37]Sheet1!E261</f>
        <v>21400</v>
      </c>
      <c r="Y25" s="122">
        <f>[38]Sheet1!C324</f>
        <v>22200</v>
      </c>
      <c r="Z25" s="122">
        <f>[39]Sheet1!C315</f>
        <v>22600</v>
      </c>
      <c r="AA25" s="122">
        <f>[13]Sheet1!C339</f>
        <v>23500</v>
      </c>
      <c r="AB25" s="122">
        <f>[18]Sheet1!C259</f>
        <v>24200</v>
      </c>
      <c r="AC25" s="122">
        <f>[38]Sheet1!B324</f>
        <v>25000</v>
      </c>
      <c r="AD25" s="122">
        <f>[39]Sheet1!B315</f>
        <v>25400</v>
      </c>
      <c r="AE25" s="122">
        <f>[13]Sheet1!B339</f>
        <v>26000</v>
      </c>
      <c r="AF25" s="122">
        <f>[18]Sheet1!B259</f>
        <v>26300</v>
      </c>
    </row>
    <row r="26" spans="1:33" x14ac:dyDescent="0.25">
      <c r="A26" s="126" t="s">
        <v>249</v>
      </c>
      <c r="C26" s="122"/>
      <c r="D26" s="122"/>
      <c r="E26" s="122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</row>
    <row r="27" spans="1:33" x14ac:dyDescent="0.25">
      <c r="A27" s="123" t="s">
        <v>231</v>
      </c>
      <c r="C27" s="122"/>
      <c r="D27" s="122">
        <f>[24]Sheet1!J924</f>
        <v>209938</v>
      </c>
      <c r="E27" s="122">
        <f>[16]Sheet1!G682</f>
        <v>215541</v>
      </c>
      <c r="F27" s="122">
        <f>[25]Sheet1!G330</f>
        <v>217870</v>
      </c>
      <c r="G27" s="122">
        <f>[26]Sheet1!G410</f>
        <v>223010</v>
      </c>
      <c r="H27" s="122">
        <f>[27]Sheet1!G341</f>
        <v>223477</v>
      </c>
      <c r="I27" s="122">
        <f>[13]Sheet1!G342</f>
        <v>226346</v>
      </c>
      <c r="J27" s="122">
        <f>[13]Sheet1!F342</f>
        <v>231160</v>
      </c>
      <c r="K27" s="122"/>
      <c r="L27" s="122">
        <f>[28]Sheet1!C374</f>
        <v>50886</v>
      </c>
      <c r="M27" s="122">
        <f>[29]Sheet1!D450</f>
        <v>57194</v>
      </c>
      <c r="N27" s="122">
        <f>[30]Sheet1!D436</f>
        <v>57650</v>
      </c>
      <c r="O27" s="122">
        <f>[25]Sheet1!C330</f>
        <v>52140</v>
      </c>
      <c r="P27" s="122">
        <f>[31]Sheet1!C397</f>
        <v>50190</v>
      </c>
      <c r="Q27" s="122">
        <f>[32]Sheet1!C456</f>
        <v>57821</v>
      </c>
      <c r="R27" s="122">
        <f>[33]Sheet1!C354</f>
        <v>60866</v>
      </c>
      <c r="S27" s="122">
        <f>[26]Sheet1!C410</f>
        <v>54133</v>
      </c>
      <c r="T27" s="122">
        <f>[34]Sheet1!C307</f>
        <v>51771</v>
      </c>
      <c r="U27" s="122">
        <f>[35]Sheet1!C241</f>
        <v>58336</v>
      </c>
      <c r="V27" s="122">
        <f>'[36]AAL 3Q17 PR'!C337</f>
        <v>59919</v>
      </c>
      <c r="W27" s="122">
        <f>[27]Sheet1!C341</f>
        <v>53452</v>
      </c>
      <c r="X27" s="122">
        <f>[37]Sheet1!E263</f>
        <v>50984</v>
      </c>
      <c r="Y27" s="122">
        <f>[38]Sheet1!C327</f>
        <v>59564</v>
      </c>
      <c r="Z27" s="122">
        <f>[39]Sheet1!C318</f>
        <v>60471</v>
      </c>
      <c r="AA27" s="122">
        <f>[13]Sheet1!C342</f>
        <v>55327</v>
      </c>
      <c r="AB27" s="122">
        <f>[18]Sheet1!C261</f>
        <v>52945</v>
      </c>
      <c r="AC27" s="122">
        <f>[38]Sheet1!B327</f>
        <v>60779</v>
      </c>
      <c r="AD27" s="122">
        <f>[39]Sheet1!B318</f>
        <v>61865</v>
      </c>
      <c r="AE27" s="122">
        <f>[13]Sheet1!B342</f>
        <v>55570</v>
      </c>
      <c r="AF27" s="122">
        <f>[18]Sheet1!B261</f>
        <v>54802</v>
      </c>
    </row>
    <row r="28" spans="1:33" x14ac:dyDescent="0.25">
      <c r="A28" s="123" t="s">
        <v>230</v>
      </c>
      <c r="C28" s="122"/>
      <c r="D28" s="122">
        <f>[24]Sheet1!J925</f>
        <v>254648</v>
      </c>
      <c r="E28" s="122">
        <f>[16]Sheet1!G683</f>
        <v>259914</v>
      </c>
      <c r="F28" s="122">
        <f>[25]Sheet1!G331</f>
        <v>265657</v>
      </c>
      <c r="G28" s="122">
        <f>[26]Sheet1!G411</f>
        <v>268736</v>
      </c>
      <c r="H28" s="122">
        <f>[27]Sheet1!G342</f>
        <v>273410</v>
      </c>
      <c r="I28" s="122">
        <f>[13]Sheet1!G343</f>
        <v>276493</v>
      </c>
      <c r="J28" s="122">
        <f>[13]Sheet1!F343</f>
        <v>282054</v>
      </c>
      <c r="K28" s="122"/>
      <c r="L28" s="122">
        <f>[28]Sheet1!C375</f>
        <v>63392</v>
      </c>
      <c r="M28" s="122">
        <f>[29]Sheet1!D451</f>
        <v>68090</v>
      </c>
      <c r="N28" s="122">
        <f>[30]Sheet1!D437</f>
        <v>69120</v>
      </c>
      <c r="O28" s="122">
        <f>[25]Sheet1!C331</f>
        <v>65053</v>
      </c>
      <c r="P28" s="122">
        <f>[31]Sheet1!C398</f>
        <v>62791</v>
      </c>
      <c r="Q28" s="122">
        <f>[32]Sheet1!$C458</f>
        <v>69401</v>
      </c>
      <c r="R28" s="122">
        <f>[33]Sheet1!C355</f>
        <v>71092</v>
      </c>
      <c r="S28" s="122">
        <f>[26]Sheet1!C411</f>
        <v>65453</v>
      </c>
      <c r="T28" s="122">
        <f>[34]Sheet1!C308</f>
        <v>65064</v>
      </c>
      <c r="U28" s="122">
        <f>[35]Sheet1!C242</f>
        <v>70751</v>
      </c>
      <c r="V28" s="122">
        <f>'[36]AAL 3Q17 PR'!C338</f>
        <v>71911</v>
      </c>
      <c r="W28" s="122">
        <f>[27]Sheet1!C342</f>
        <v>65683</v>
      </c>
      <c r="X28" s="122">
        <f>[37]Sheet1!E264</f>
        <v>64341</v>
      </c>
      <c r="Y28" s="122">
        <f>[38]Sheet1!C328</f>
        <v>71743</v>
      </c>
      <c r="Z28" s="122">
        <f>[39]Sheet1!C320</f>
        <v>73053</v>
      </c>
      <c r="AA28" s="122">
        <f>[13]Sheet1!C343</f>
        <v>67355</v>
      </c>
      <c r="AB28" s="122">
        <f>[18]Sheet1!C262</f>
        <v>65823</v>
      </c>
      <c r="AC28" s="122">
        <f>[38]Sheet1!B328</f>
        <v>72893</v>
      </c>
      <c r="AD28" s="122">
        <f>[39]Sheet1!B320</f>
        <v>75039</v>
      </c>
      <c r="AE28" s="122">
        <f>[13]Sheet1!B343</f>
        <v>68298</v>
      </c>
      <c r="AF28" s="122">
        <f>[18]Sheet1!B262</f>
        <v>66674</v>
      </c>
      <c r="AG28" s="131"/>
    </row>
    <row r="29" spans="1:33" x14ac:dyDescent="0.25">
      <c r="A29" s="123" t="s">
        <v>229</v>
      </c>
      <c r="C29" s="125"/>
      <c r="D29" s="125">
        <f>[24]Sheet1!J927/100</f>
        <v>0.82400000000000007</v>
      </c>
      <c r="E29" s="125">
        <f>[16]Sheet1!G685/100</f>
        <v>0.82900000000000007</v>
      </c>
      <c r="F29" s="125">
        <f>[25]Sheet1!G333/100</f>
        <v>0.82</v>
      </c>
      <c r="G29" s="125">
        <f>[26]Sheet1!G413/100</f>
        <v>0.83</v>
      </c>
      <c r="H29" s="125">
        <f>[27]Sheet1!G344/100</f>
        <v>0.81700000000000006</v>
      </c>
      <c r="I29" s="125">
        <f>[13]Sheet1!G344/100</f>
        <v>0.81900000000000006</v>
      </c>
      <c r="J29" s="125">
        <f>[13]Sheet1!F344/100</f>
        <v>0.82</v>
      </c>
      <c r="K29" s="122"/>
      <c r="L29" s="125">
        <f>[28]Sheet1!C377/100</f>
        <v>0.80299999999999994</v>
      </c>
      <c r="M29" s="125">
        <f>[29]Sheet1!D453/100</f>
        <v>0.84</v>
      </c>
      <c r="N29" s="125">
        <f>[30]Sheet1!D439/100</f>
        <v>0.83400000000000007</v>
      </c>
      <c r="O29" s="125">
        <f>[25]Sheet1!C333/100</f>
        <v>0.80099999999999993</v>
      </c>
      <c r="P29" s="125">
        <f>[31]Sheet1!C400/100</f>
        <v>0.79900000000000004</v>
      </c>
      <c r="Q29" s="125">
        <f>[32]Sheet1!C462/100</f>
        <v>0.83299999999999996</v>
      </c>
      <c r="R29" s="125">
        <f>[33]Sheet1!C357/100</f>
        <v>0.85599999999999998</v>
      </c>
      <c r="S29" s="125">
        <f>[26]Sheet1!C413/100</f>
        <v>0.82700000000000007</v>
      </c>
      <c r="T29" s="125">
        <f>[34]Sheet1!C315/100</f>
        <v>0.79599999999999993</v>
      </c>
      <c r="U29" s="125">
        <f>[35]Sheet1!C244/100</f>
        <v>0.82499999999999996</v>
      </c>
      <c r="V29" s="125">
        <f>'[36]AAL 3Q17 PR'!C340/100</f>
        <v>0.83299999999999996</v>
      </c>
      <c r="W29" s="125">
        <f>[27]Sheet1!C344/100</f>
        <v>0.81400000000000006</v>
      </c>
      <c r="X29" s="125">
        <f>[37]Sheet1!E265/100</f>
        <v>0.79200000000000004</v>
      </c>
      <c r="Y29" s="125">
        <f>[38]Sheet1!C330/100</f>
        <v>0.83</v>
      </c>
      <c r="Z29" s="125">
        <f>[39]Sheet1!C322/100</f>
        <v>0.82799999999999996</v>
      </c>
      <c r="AA29" s="125">
        <f>[13]Sheet1!C344/100</f>
        <v>0.82099999999999995</v>
      </c>
      <c r="AB29" s="125">
        <f>[18]Sheet1!C263/100</f>
        <v>0.80400000000000005</v>
      </c>
      <c r="AC29" s="125">
        <f>[38]Sheet1!B330/100</f>
        <v>0.83400000000000007</v>
      </c>
      <c r="AD29" s="125">
        <f>[39]Sheet1!B322/100</f>
        <v>0.82400000000000007</v>
      </c>
      <c r="AE29" s="125">
        <f>[13]Sheet1!B344/100</f>
        <v>0.81400000000000006</v>
      </c>
      <c r="AF29" s="125">
        <f>[18]Sheet1!B263/100</f>
        <v>0.82200000000000006</v>
      </c>
    </row>
    <row r="30" spans="1:33" x14ac:dyDescent="0.25">
      <c r="A30" s="123" t="s">
        <v>227</v>
      </c>
      <c r="C30" s="121"/>
      <c r="D30" s="121">
        <f>[24]Sheet1!J928</f>
        <v>16.170000000000002</v>
      </c>
      <c r="E30" s="121">
        <f>[16]Sheet1!G686</f>
        <v>16.489999999999998</v>
      </c>
      <c r="F30" s="121">
        <f>[25]Sheet1!G334</f>
        <v>17.04</v>
      </c>
      <c r="G30" s="121">
        <f>[26]Sheet1!G414</f>
        <v>15.92</v>
      </c>
      <c r="H30" s="121">
        <f>[27]Sheet1!G345</f>
        <v>15.47</v>
      </c>
      <c r="I30" s="121">
        <f>[13]Sheet1!G345</f>
        <v>17.29</v>
      </c>
      <c r="J30" s="121">
        <f>[13]Sheet1!F345</f>
        <v>17.600000000000001</v>
      </c>
      <c r="K30" s="122"/>
      <c r="L30" s="121">
        <f>[28]Sheet1!C378</f>
        <v>17.03</v>
      </c>
      <c r="M30" s="121">
        <f>[29]Sheet1!D454</f>
        <v>17.34</v>
      </c>
      <c r="N30" s="121">
        <f>[30]Sheet1!D440</f>
        <v>16.93</v>
      </c>
      <c r="O30" s="121">
        <f>[25]Sheet1!C334</f>
        <v>16.84</v>
      </c>
      <c r="P30" s="121">
        <f>[31]Sheet1!C401</f>
        <v>16.82</v>
      </c>
      <c r="Q30" s="121">
        <f>[32]Sheet1!C468</f>
        <v>16.28</v>
      </c>
      <c r="R30" s="121">
        <f>[33]Sheet1!C358</f>
        <v>15.37</v>
      </c>
      <c r="S30" s="121">
        <f>[26]Sheet1!C414</f>
        <v>15.34</v>
      </c>
      <c r="T30" s="121">
        <f>[34]Sheet1!C316</f>
        <v>15.62</v>
      </c>
      <c r="U30" s="121">
        <f>[35]Sheet1!C245</f>
        <v>15.42</v>
      </c>
      <c r="V30" s="121">
        <f>'[36]AAL 3Q17 PR'!C341</f>
        <v>15.27</v>
      </c>
      <c r="W30" s="121">
        <f>[27]Sheet1!C345</f>
        <v>15.62</v>
      </c>
      <c r="X30" s="121">
        <f>[37]Sheet1!E267</f>
        <v>17.649999999999999</v>
      </c>
      <c r="Y30" s="121">
        <f>[38]Sheet1!C331</f>
        <v>17.38</v>
      </c>
      <c r="Z30" s="121">
        <f>[39]Sheet1!C323</f>
        <v>16.7</v>
      </c>
      <c r="AA30" s="121">
        <f>[13]Sheet1!C345</f>
        <v>17.510000000000002</v>
      </c>
      <c r="AB30" s="121">
        <f>[18]Sheet1!C264</f>
        <v>17.899999999999999</v>
      </c>
      <c r="AC30" s="121">
        <f>[38]Sheet1!B331</f>
        <v>17.559999999999999</v>
      </c>
      <c r="AD30" s="121">
        <f>[39]Sheet1!B323</f>
        <v>17.07</v>
      </c>
      <c r="AE30" s="121">
        <f>[13]Sheet1!B345</f>
        <v>17.93</v>
      </c>
      <c r="AF30" s="121">
        <f>[18]Sheet1!B264</f>
        <v>17.62</v>
      </c>
    </row>
    <row r="31" spans="1:33" x14ac:dyDescent="0.25">
      <c r="A31" s="123" t="s">
        <v>226</v>
      </c>
      <c r="C31" s="121"/>
      <c r="D31" s="121">
        <f>[24]Sheet1!J929</f>
        <v>13.33</v>
      </c>
      <c r="E31" s="121">
        <f>[16]Sheet1!G687</f>
        <v>13.67</v>
      </c>
      <c r="F31" s="121">
        <f>[25]Sheet1!G335</f>
        <v>13.97</v>
      </c>
      <c r="G31" s="121">
        <f>[26]Sheet1!G415</f>
        <v>13.21</v>
      </c>
      <c r="H31" s="121">
        <f>[27]Sheet1!G346</f>
        <v>12.65</v>
      </c>
      <c r="I31" s="121">
        <f>[13]Sheet1!G347</f>
        <v>14.15</v>
      </c>
      <c r="J31" s="121">
        <f>[13]Sheet1!F347</f>
        <v>14.42</v>
      </c>
      <c r="K31" s="122"/>
      <c r="L31" s="121">
        <f>[28]Sheet1!C379</f>
        <v>13.67</v>
      </c>
      <c r="M31" s="121">
        <f>[29]Sheet1!D455</f>
        <v>14.57</v>
      </c>
      <c r="N31" s="121">
        <f>[30]Sheet1!D441</f>
        <v>14.12</v>
      </c>
      <c r="O31" s="121">
        <f>[25]Sheet1!C335</f>
        <v>13.5</v>
      </c>
      <c r="P31" s="121">
        <f>[31]Sheet1!C402</f>
        <v>13.44</v>
      </c>
      <c r="Q31" s="121">
        <f>[32]Sheet1!C470</f>
        <v>13.57</v>
      </c>
      <c r="R31" s="121">
        <f>[33]Sheet1!C359</f>
        <v>13.16</v>
      </c>
      <c r="S31" s="121">
        <f>[26]Sheet1!C415</f>
        <v>12.69</v>
      </c>
      <c r="T31" s="121">
        <f>[34]Sheet1!C317</f>
        <v>12.43</v>
      </c>
      <c r="U31" s="121">
        <f>[35]Sheet1!C253</f>
        <v>12.71</v>
      </c>
      <c r="V31" s="121">
        <f>'[36]AAL 3Q17 PR'!C347</f>
        <v>12.72</v>
      </c>
      <c r="W31" s="121">
        <f>[27]Sheet1!C346</f>
        <v>12.71</v>
      </c>
      <c r="X31" s="121">
        <f>[37]Sheet1!E268</f>
        <v>13.98</v>
      </c>
      <c r="Y31" s="121">
        <f>[38]Sheet1!C333</f>
        <v>14.43</v>
      </c>
      <c r="Z31" s="121">
        <f>[39]Sheet1!C325</f>
        <v>13.82</v>
      </c>
      <c r="AA31" s="121">
        <f>[13]Sheet1!C347</f>
        <v>14.38</v>
      </c>
      <c r="AB31" s="121">
        <f>[18]Sheet1!C265</f>
        <v>14.4</v>
      </c>
      <c r="AC31" s="121">
        <f>[38]Sheet1!B333</f>
        <v>14.64</v>
      </c>
      <c r="AD31" s="121">
        <f>[39]Sheet1!B325</f>
        <v>14.07</v>
      </c>
      <c r="AE31" s="121">
        <f>[13]Sheet1!B347</f>
        <v>14.59</v>
      </c>
      <c r="AF31" s="121">
        <f>[18]Sheet1!B265</f>
        <v>14.49</v>
      </c>
      <c r="AG31" s="131"/>
    </row>
    <row r="32" spans="1:33" x14ac:dyDescent="0.25">
      <c r="A32" s="123" t="s">
        <v>248</v>
      </c>
      <c r="C32" s="121"/>
      <c r="D32" s="121">
        <f>[24]Sheet1!J930</f>
        <v>15.17</v>
      </c>
      <c r="E32" s="121">
        <f>[16]Sheet1!G688</f>
        <v>15.54</v>
      </c>
      <c r="F32" s="121">
        <f>[25]Sheet1!G336</f>
        <v>16.05</v>
      </c>
      <c r="G32" s="121">
        <f>[26]Sheet1!G416</f>
        <v>15.25</v>
      </c>
      <c r="H32" s="121">
        <f>[27]Sheet1!G347</f>
        <v>14.7</v>
      </c>
      <c r="I32" s="121">
        <f>[13]Sheet1!G348</f>
        <v>15.42</v>
      </c>
      <c r="J32" s="121">
        <f>[13]Sheet1!F348</f>
        <v>15.79</v>
      </c>
      <c r="K32" s="122"/>
      <c r="L32" s="121">
        <f>[28]Sheet1!C380</f>
        <v>15.77</v>
      </c>
      <c r="M32" s="121">
        <f>[29]Sheet1!D456</f>
        <v>16.68</v>
      </c>
      <c r="N32" s="121">
        <f>[30]Sheet1!D442</f>
        <v>16.12</v>
      </c>
      <c r="O32" s="121">
        <f>[25]Sheet1!C336</f>
        <v>15.62</v>
      </c>
      <c r="P32" s="121">
        <f>[31]Sheet1!C403</f>
        <v>15.65</v>
      </c>
      <c r="Q32" s="121">
        <f>[32]Sheet1!C472</f>
        <v>15.6</v>
      </c>
      <c r="R32" s="121">
        <f>[33]Sheet1!C360</f>
        <v>15.06</v>
      </c>
      <c r="S32" s="121">
        <f>[26]Sheet1!C416</f>
        <v>14.71</v>
      </c>
      <c r="T32" s="121">
        <f>[34]Sheet1!C318</f>
        <v>14.5</v>
      </c>
      <c r="U32" s="121">
        <f>[35]Sheet1!C254</f>
        <v>14.65</v>
      </c>
      <c r="V32" s="121">
        <f>'[36]AAL 3Q17 PR'!C348</f>
        <v>14.73</v>
      </c>
      <c r="W32" s="121">
        <f>[27]Sheet1!C347</f>
        <v>14.9</v>
      </c>
      <c r="X32" s="121">
        <f>[37]Sheet1!E269</f>
        <v>15.26</v>
      </c>
      <c r="Y32" s="121">
        <f>[38]Sheet1!C335</f>
        <v>15.65</v>
      </c>
      <c r="Z32" s="121">
        <f>[39]Sheet1!C327</f>
        <v>15.01</v>
      </c>
      <c r="AA32" s="121">
        <f>[13]Sheet1!C348</f>
        <v>15.75</v>
      </c>
      <c r="AB32" s="121">
        <f>[18]Sheet1!C266</f>
        <v>15.8</v>
      </c>
      <c r="AC32" s="121">
        <f>[38]Sheet1!B335</f>
        <v>15.97</v>
      </c>
      <c r="AD32" s="121">
        <f>[39]Sheet1!B327</f>
        <v>15.4</v>
      </c>
      <c r="AE32" s="121">
        <f>[13]Sheet1!B348</f>
        <v>16.02</v>
      </c>
      <c r="AF32" s="121">
        <f>[18]Sheet1!B266</f>
        <v>15.87</v>
      </c>
      <c r="AG32" s="131"/>
    </row>
    <row r="33" spans="1:33" x14ac:dyDescent="0.25">
      <c r="A33" s="123" t="s">
        <v>247</v>
      </c>
      <c r="C33" s="122"/>
      <c r="D33" s="122">
        <f>[24]Sheet1!J926</f>
        <v>2105</v>
      </c>
      <c r="E33" s="122">
        <f>[16]Sheet1!G684</f>
        <v>2198</v>
      </c>
      <c r="F33" s="122">
        <f>[25]Sheet1!G332</f>
        <v>2333</v>
      </c>
      <c r="G33" s="122">
        <f>[26]Sheet1!G412</f>
        <v>2314</v>
      </c>
      <c r="H33" s="122">
        <f>[27]Sheet1!G343</f>
        <v>2424</v>
      </c>
      <c r="I33" s="122">
        <f>[13]Sheet1!G349</f>
        <v>2788</v>
      </c>
      <c r="J33" s="122">
        <f>[13]Sheet1!F349</f>
        <v>2908</v>
      </c>
      <c r="K33" s="122"/>
      <c r="L33" s="122">
        <f>[28]Sheet1!C376</f>
        <v>560</v>
      </c>
      <c r="M33" s="122">
        <f>[29]Sheet1!D452</f>
        <v>595</v>
      </c>
      <c r="N33" s="122">
        <f>[30]Sheet1!D438</f>
        <v>566</v>
      </c>
      <c r="O33" s="122">
        <f>[25]Sheet1!C332</f>
        <v>611</v>
      </c>
      <c r="P33" s="122">
        <f>[31]Sheet1!C399</f>
        <v>553</v>
      </c>
      <c r="Q33" s="122">
        <f>[32]Sheet1!C460</f>
        <v>594</v>
      </c>
      <c r="R33" s="122">
        <f>[33]Sheet1!C356</f>
        <v>569</v>
      </c>
      <c r="S33" s="122">
        <f>[26]Sheet1!C412</f>
        <v>598</v>
      </c>
      <c r="T33" s="122">
        <f>[34]Sheet1!C309</f>
        <v>543</v>
      </c>
      <c r="U33" s="122">
        <f>[35]Sheet1!C243</f>
        <v>610</v>
      </c>
      <c r="V33" s="122">
        <f>'[36]AAL 3Q17 PR'!C339</f>
        <v>601</v>
      </c>
      <c r="W33" s="122">
        <f>[27]Sheet1!C343</f>
        <v>670</v>
      </c>
      <c r="X33" s="122">
        <f>[37]Sheet1!E270</f>
        <v>619</v>
      </c>
      <c r="Y33" s="122">
        <f>[38]Sheet1!C336</f>
        <v>701</v>
      </c>
      <c r="Z33" s="122">
        <f>[39]Sheet1!C328</f>
        <v>716</v>
      </c>
      <c r="AA33" s="122">
        <f>[13]Sheet1!C349</f>
        <v>752</v>
      </c>
      <c r="AB33" s="122">
        <f>[18]Sheet1!C267</f>
        <v>687</v>
      </c>
      <c r="AC33" s="122">
        <f>[38]Sheet1!B336</f>
        <v>768</v>
      </c>
      <c r="AD33" s="122">
        <f>[39]Sheet1!B328</f>
        <v>743</v>
      </c>
      <c r="AE33" s="122">
        <f>[13]Sheet1!B349</f>
        <v>710</v>
      </c>
      <c r="AF33" s="122">
        <f>[18]Sheet1!B267</f>
        <v>624</v>
      </c>
      <c r="AG33" s="131"/>
    </row>
    <row r="34" spans="1:33" x14ac:dyDescent="0.25">
      <c r="A34" s="123" t="s">
        <v>246</v>
      </c>
      <c r="C34" s="121"/>
      <c r="D34" s="121">
        <f>[24]Sheet1!J931</f>
        <v>39.380000000000003</v>
      </c>
      <c r="E34" s="121">
        <f>[16]Sheet1!G689</f>
        <v>37.74</v>
      </c>
      <c r="F34" s="121">
        <f>[25]Sheet1!G337</f>
        <v>37.5</v>
      </c>
      <c r="G34" s="121">
        <f>[26]Sheet1!G417</f>
        <v>32.840000000000003</v>
      </c>
      <c r="H34" s="121">
        <f>[27]Sheet1!G348</f>
        <v>28.89</v>
      </c>
      <c r="I34" s="121">
        <f>[13]Sheet1!G350</f>
        <v>31.91</v>
      </c>
      <c r="J34" s="121">
        <f>[13]Sheet1!F350</f>
        <v>34.81</v>
      </c>
      <c r="K34" s="122"/>
      <c r="L34" s="121">
        <f>[28]Sheet1!C381</f>
        <v>36.880000000000003</v>
      </c>
      <c r="M34" s="121">
        <f>[29]Sheet1!D457</f>
        <v>37.159999999999997</v>
      </c>
      <c r="N34" s="121">
        <f>[30]Sheet1!D443</f>
        <v>37.979999999999997</v>
      </c>
      <c r="O34" s="121">
        <f>[25]Sheet1!C337</f>
        <v>37.950000000000003</v>
      </c>
      <c r="P34" s="121">
        <f>[31]Sheet1!C404</f>
        <v>35.14</v>
      </c>
      <c r="Q34" s="121">
        <f>[32]Sheet1!C474</f>
        <v>32.619999999999997</v>
      </c>
      <c r="R34" s="121">
        <f>[33]Sheet1!C361</f>
        <v>31.63</v>
      </c>
      <c r="S34" s="121">
        <f>[26]Sheet1!C417</f>
        <v>32.07</v>
      </c>
      <c r="T34" s="121">
        <f>[34]Sheet1!C319</f>
        <v>29.77</v>
      </c>
      <c r="U34" s="121">
        <f>[35]Sheet1!C255</f>
        <v>28.48</v>
      </c>
      <c r="V34" s="121">
        <f>'[36]AAL 3Q17 PR'!C349</f>
        <v>28.42</v>
      </c>
      <c r="W34" s="121">
        <f>[27]Sheet1!C348</f>
        <v>28.97</v>
      </c>
      <c r="X34" s="121">
        <f>[37]Sheet1!E271</f>
        <v>30.83</v>
      </c>
      <c r="Y34" s="121">
        <f>[38]Sheet1!C338</f>
        <v>31.21</v>
      </c>
      <c r="Z34" s="121">
        <f>[39]Sheet1!C330</f>
        <v>31.21</v>
      </c>
      <c r="AA34" s="121">
        <f>[13]Sheet1!C350</f>
        <v>34.130000000000003</v>
      </c>
      <c r="AB34" s="121">
        <f>[18]Sheet1!C268</f>
        <v>33.03</v>
      </c>
      <c r="AC34" s="121">
        <f>[38]Sheet1!B338</f>
        <v>34</v>
      </c>
      <c r="AD34" s="121">
        <f>[39]Sheet1!B330</f>
        <v>34.979999999999997</v>
      </c>
      <c r="AE34" s="121">
        <f>[13]Sheet1!B350</f>
        <v>37.25</v>
      </c>
      <c r="AF34" s="121">
        <f>[18]Sheet1!B268</f>
        <v>34.86</v>
      </c>
    </row>
    <row r="35" spans="1:33" x14ac:dyDescent="0.25">
      <c r="A35" s="123" t="s">
        <v>245</v>
      </c>
      <c r="C35" s="122"/>
      <c r="D35" s="122">
        <f>[24]Sheet1!J932</f>
        <v>190499</v>
      </c>
      <c r="E35" s="122">
        <f>[16]Sheet1!G690</f>
        <v>193740</v>
      </c>
      <c r="F35" s="122">
        <f>[25]Sheet1!G338</f>
        <v>197340</v>
      </c>
      <c r="G35" s="122">
        <f>[26]Sheet1!G418</f>
        <v>201249</v>
      </c>
      <c r="H35" s="122">
        <f>[27]Sheet1!G349</f>
        <v>198714</v>
      </c>
      <c r="I35" s="122">
        <f>[13]Sheet1!G352</f>
        <v>199640</v>
      </c>
      <c r="J35" s="122">
        <f>[13]Sheet1!F352</f>
        <v>203745</v>
      </c>
      <c r="K35" s="122"/>
      <c r="L35" s="122">
        <f>[28]Sheet1!C382</f>
        <v>46552</v>
      </c>
      <c r="M35" s="122">
        <f>[29]Sheet1!C465</f>
        <v>51463</v>
      </c>
      <c r="N35" s="122">
        <f>[30]Sheet1!D444</f>
        <v>50999</v>
      </c>
      <c r="O35" s="122">
        <f>[25]Sheet1!C338</f>
        <v>48326</v>
      </c>
      <c r="P35" s="122">
        <f>[31]Sheet1!C405</f>
        <v>46194</v>
      </c>
      <c r="Q35" s="122">
        <f>[32]Sheet1!C478</f>
        <v>52200</v>
      </c>
      <c r="R35" s="122">
        <f>[33]Sheet1!C362</f>
        <v>53322</v>
      </c>
      <c r="S35" s="122">
        <f>[26]Sheet1!C418</f>
        <v>49533</v>
      </c>
      <c r="T35" s="122">
        <f>[34]Sheet1!C320</f>
        <v>46915</v>
      </c>
      <c r="U35" s="122">
        <f>[35]Sheet1!C256</f>
        <v>51951</v>
      </c>
      <c r="V35" s="122">
        <f>'[36]AAL 3Q17 PR'!C350</f>
        <v>51872</v>
      </c>
      <c r="W35" s="122">
        <f>[27]Sheet1!C349</f>
        <v>47976</v>
      </c>
      <c r="X35" s="122">
        <f>[37]Sheet1!E272</f>
        <v>46360</v>
      </c>
      <c r="Y35" s="122">
        <f>[38]Sheet1!C340</f>
        <v>51816</v>
      </c>
      <c r="Z35" s="122">
        <f>[39]Sheet1!C332</f>
        <v>51438</v>
      </c>
      <c r="AA35" s="122">
        <f>[13]Sheet1!C352</f>
        <v>50025</v>
      </c>
      <c r="AB35" s="122">
        <f>[18]Sheet1!C269</f>
        <v>47626</v>
      </c>
      <c r="AC35" s="122">
        <f>[38]Sheet1!B340</f>
        <v>53060</v>
      </c>
      <c r="AD35" s="122">
        <f>[39]Sheet1!B332</f>
        <v>52575</v>
      </c>
      <c r="AE35" s="122">
        <f>[13]Sheet1!B352</f>
        <v>50483</v>
      </c>
      <c r="AF35" s="122">
        <f>[18]Sheet1!B269</f>
        <v>49935</v>
      </c>
    </row>
    <row r="36" spans="1:33" x14ac:dyDescent="0.25">
      <c r="A36" s="123" t="s">
        <v>244</v>
      </c>
      <c r="C36" s="122"/>
      <c r="D36" s="122">
        <f>[24]Sheet1!J933</f>
        <v>1490</v>
      </c>
      <c r="E36" s="122">
        <f>[16]Sheet1!G691</f>
        <v>1528</v>
      </c>
      <c r="F36" s="122">
        <f>[25]Sheet1!G339</f>
        <v>1549</v>
      </c>
      <c r="G36" s="122">
        <f>[26]Sheet1!G419</f>
        <v>1533</v>
      </c>
      <c r="H36" s="122">
        <f>[27]Sheet1!G350</f>
        <v>1536</v>
      </c>
      <c r="I36" s="122">
        <f>[13]Sheet1!G353</f>
        <v>1545</v>
      </c>
      <c r="J36" s="122">
        <f>[13]Sheet1!F353</f>
        <v>1551</v>
      </c>
      <c r="K36" s="122"/>
      <c r="L36" s="122">
        <f>[28]Sheet1!C383</f>
        <v>1537</v>
      </c>
      <c r="M36" s="122">
        <f>[29]Sheet1!C466</f>
        <v>1541</v>
      </c>
      <c r="N36" s="122">
        <f>[30]Sheet1!D445</f>
        <v>1535</v>
      </c>
      <c r="O36" s="122">
        <f>[25]Sheet1!C339</f>
        <v>1549</v>
      </c>
      <c r="P36" s="122">
        <f>[31]Sheet1!C406</f>
        <v>1550</v>
      </c>
      <c r="Q36" s="122">
        <f>[32]Sheet1!C479</f>
        <v>1541</v>
      </c>
      <c r="R36" s="122">
        <f>[33]Sheet1!C363</f>
        <v>1527</v>
      </c>
      <c r="S36" s="122">
        <f>[26]Sheet1!C419</f>
        <v>1533</v>
      </c>
      <c r="T36" s="122">
        <f>[34]Sheet1!C321</f>
        <v>1539</v>
      </c>
      <c r="U36" s="122">
        <f>[35]Sheet1!C257</f>
        <v>1547</v>
      </c>
      <c r="V36" s="122">
        <f>'[36]AAL 3Q17 PR'!C351</f>
        <v>1521</v>
      </c>
      <c r="W36" s="122">
        <f>[27]Sheet1!C350</f>
        <v>1536</v>
      </c>
      <c r="X36" s="122">
        <f>[37]Sheet1!E273</f>
        <v>1567</v>
      </c>
      <c r="Y36" s="122">
        <f>[38]Sheet1!C341</f>
        <v>1583</v>
      </c>
      <c r="Z36" s="122">
        <f>[39]Sheet1!C333</f>
        <v>1558</v>
      </c>
      <c r="AA36" s="122">
        <f>[13]Sheet1!C353</f>
        <v>1545</v>
      </c>
      <c r="AB36" s="122">
        <f>[18]Sheet1!C270</f>
        <v>1539</v>
      </c>
      <c r="AC36" s="122">
        <f>[38]Sheet1!B341</f>
        <v>1559</v>
      </c>
      <c r="AD36" s="122">
        <f>[39]Sheet1!B333</f>
        <v>1541</v>
      </c>
      <c r="AE36" s="122">
        <f>[13]Sheet1!B353</f>
        <v>1551</v>
      </c>
      <c r="AF36" s="122">
        <f>[18]Sheet1!B270</f>
        <v>1564</v>
      </c>
    </row>
    <row r="37" spans="1:33" x14ac:dyDescent="0.25">
      <c r="A37" s="123" t="s">
        <v>243</v>
      </c>
      <c r="C37" s="122"/>
      <c r="D37" s="122">
        <f>[24]Sheet1!J934</f>
        <v>4170</v>
      </c>
      <c r="E37" s="122">
        <f>[16]Sheet1!G692</f>
        <v>4295</v>
      </c>
      <c r="F37" s="122">
        <f>[25]Sheet1!G340</f>
        <v>4332</v>
      </c>
      <c r="G37" s="122">
        <f>[26]Sheet1!G420</f>
        <v>4323</v>
      </c>
      <c r="H37" s="122">
        <f>[27]Sheet1!G351</f>
        <v>4347</v>
      </c>
      <c r="I37" s="122">
        <f>[13]Sheet1!G355</f>
        <v>4352</v>
      </c>
      <c r="J37" s="122">
        <f>[13]Sheet1!F355</f>
        <v>4447</v>
      </c>
      <c r="K37" s="122"/>
      <c r="L37" s="122">
        <f>[28]Sheet1!C384</f>
        <v>1035</v>
      </c>
      <c r="M37" s="122">
        <f>[29]Sheet1!C467</f>
        <v>1111</v>
      </c>
      <c r="N37" s="122">
        <f>[30]Sheet1!D446</f>
        <v>1130</v>
      </c>
      <c r="O37" s="122">
        <f>[25]Sheet1!C340</f>
        <v>1055</v>
      </c>
      <c r="P37" s="122">
        <f>[31]Sheet1!C414</f>
        <v>1013</v>
      </c>
      <c r="Q37" s="122">
        <f>[32]Sheet1!C481</f>
        <v>1118</v>
      </c>
      <c r="R37" s="122">
        <f>[33]Sheet1!C364</f>
        <v>1140</v>
      </c>
      <c r="S37" s="122">
        <f>[26]Sheet1!C420</f>
        <v>1052</v>
      </c>
      <c r="T37" s="122">
        <f>[34]Sheet1!C322</f>
        <v>1033</v>
      </c>
      <c r="U37" s="122">
        <f>[35]Sheet1!C258</f>
        <v>1122</v>
      </c>
      <c r="V37" s="122">
        <f>'[36]AAL 3Q17 PR'!C352</f>
        <v>1149</v>
      </c>
      <c r="W37" s="122">
        <f>[27]Sheet1!C351</f>
        <v>1044</v>
      </c>
      <c r="X37" s="122">
        <f>[37]Sheet1!E274</f>
        <v>1013</v>
      </c>
      <c r="Y37" s="122">
        <f>[38]Sheet1!C343</f>
        <v>1129</v>
      </c>
      <c r="Z37" s="122">
        <f>[39]Sheet1!C338</f>
        <v>1148</v>
      </c>
      <c r="AA37" s="122">
        <f>[13]Sheet1!C355</f>
        <v>1060</v>
      </c>
      <c r="AB37" s="122">
        <f>[18]Sheet1!C271</f>
        <v>1030</v>
      </c>
      <c r="AC37" s="122">
        <f>[38]Sheet1!B343</f>
        <v>1147</v>
      </c>
      <c r="AD37" s="122">
        <f>[39]Sheet1!B338</f>
        <v>1190</v>
      </c>
      <c r="AE37" s="122">
        <f>[13]Sheet1!B355</f>
        <v>1080</v>
      </c>
      <c r="AF37" s="122">
        <f>[18]Sheet1!B271</f>
        <v>1053</v>
      </c>
    </row>
    <row r="38" spans="1:33" s="127" customFormat="1" x14ac:dyDescent="0.25">
      <c r="A38" s="130" t="s">
        <v>242</v>
      </c>
      <c r="B38" s="129"/>
      <c r="C38" s="128"/>
      <c r="D38" s="128">
        <f>[24]Sheet1!J935</f>
        <v>3.19</v>
      </c>
      <c r="E38" s="128">
        <f>[16]Sheet1!G693</f>
        <v>3.08</v>
      </c>
      <c r="F38" s="128">
        <f>[25]Sheet1!G341</f>
        <v>2.91</v>
      </c>
      <c r="G38" s="128">
        <f>[26]Sheet1!G422</f>
        <v>1.72</v>
      </c>
      <c r="H38" s="128">
        <f>[27]Sheet1!G352</f>
        <v>1.42</v>
      </c>
      <c r="I38" s="128">
        <f>[13]Sheet1!G358</f>
        <v>1.73</v>
      </c>
      <c r="J38" s="128">
        <f>[13]Sheet1!F358</f>
        <v>2.23</v>
      </c>
      <c r="K38" s="128"/>
      <c r="L38" s="128">
        <f>[28]Sheet1!C385</f>
        <v>3.1</v>
      </c>
      <c r="M38" s="128">
        <f>[29]Sheet1!C469</f>
        <v>3.03</v>
      </c>
      <c r="N38" s="128">
        <f>[30]Sheet1!C455</f>
        <v>2.98</v>
      </c>
      <c r="O38" s="128">
        <f>[25]Sheet1!C341</f>
        <v>2.52</v>
      </c>
      <c r="P38" s="128">
        <f>[31]Sheet1!C415</f>
        <v>1.83</v>
      </c>
      <c r="Q38" s="128">
        <f>[32]Sheet1!C484</f>
        <v>1.9</v>
      </c>
      <c r="R38" s="128">
        <f>[33]Sheet1!C365</f>
        <v>1.67</v>
      </c>
      <c r="S38" s="128">
        <f>[26]Sheet1!C422</f>
        <v>1.5</v>
      </c>
      <c r="T38" s="128">
        <f>[34]Sheet1!C323</f>
        <v>1.21</v>
      </c>
      <c r="U38" s="128">
        <f>[35]Sheet1!C259</f>
        <v>1.42</v>
      </c>
      <c r="V38" s="128">
        <f>'[36]AAL 3Q17 PR'!C354</f>
        <v>1.48</v>
      </c>
      <c r="W38" s="128">
        <f>[27]Sheet1!C352</f>
        <v>1.57</v>
      </c>
      <c r="X38" s="128">
        <f>[37]Sheet1!E275</f>
        <v>1.7</v>
      </c>
      <c r="Y38" s="128">
        <f>[38]Sheet1!C346</f>
        <v>1.63</v>
      </c>
      <c r="Z38" s="128">
        <f>[39]Sheet1!C341</f>
        <v>1.67</v>
      </c>
      <c r="AA38" s="128">
        <f>[13]Sheet1!C358</f>
        <v>1.91</v>
      </c>
      <c r="AB38" s="128">
        <f>[18]Sheet1!C272</f>
        <v>2.1</v>
      </c>
      <c r="AC38" s="128">
        <f>[38]Sheet1!B346</f>
        <v>2.2400000000000002</v>
      </c>
      <c r="AD38" s="128">
        <f>[39]Sheet1!B341</f>
        <v>2.2999999999999998</v>
      </c>
      <c r="AE38" s="128">
        <f>[13]Sheet1!B358</f>
        <v>2.25</v>
      </c>
      <c r="AF38" s="128">
        <f>[18]Sheet1!B272</f>
        <v>2.04</v>
      </c>
    </row>
    <row r="39" spans="1:33" x14ac:dyDescent="0.25">
      <c r="A39" s="123" t="s">
        <v>241</v>
      </c>
      <c r="C39" s="122"/>
      <c r="D39" s="122">
        <f>[24]Sheet1!J936</f>
        <v>14.77</v>
      </c>
      <c r="E39" s="122">
        <f>[16]Sheet1!G694</f>
        <v>109700</v>
      </c>
      <c r="F39" s="122">
        <f>[25]Sheet1!G342</f>
        <v>113300</v>
      </c>
      <c r="G39" s="122">
        <f>[26]Sheet1!G424</f>
        <v>118500</v>
      </c>
      <c r="H39" s="122">
        <f>[27]Sheet1!G353</f>
        <v>122300</v>
      </c>
      <c r="I39" s="122">
        <f>[13]Sheet1!G360</f>
        <v>126600</v>
      </c>
      <c r="J39" s="122">
        <f>[13]Sheet1!F360</f>
        <v>128900</v>
      </c>
      <c r="K39" s="122"/>
      <c r="L39" s="122">
        <f>[28]Sheet1!C386</f>
        <v>111400</v>
      </c>
      <c r="M39" s="122">
        <f>[29]Sheet1!C470</f>
        <v>112400</v>
      </c>
      <c r="N39" s="122">
        <f>[30]Sheet1!C456</f>
        <v>111900</v>
      </c>
      <c r="O39" s="122">
        <f>[25]Sheet1!C342</f>
        <v>113300</v>
      </c>
      <c r="P39" s="122">
        <f>[31]Sheet1!C416</f>
        <v>116800</v>
      </c>
      <c r="Q39" s="122">
        <f>[32]Sheet1!C487</f>
        <v>120400</v>
      </c>
      <c r="R39" s="122">
        <f>[33]Sheet1!C366</f>
        <v>119000</v>
      </c>
      <c r="S39" s="122">
        <f>[26]Sheet1!C424</f>
        <v>118500</v>
      </c>
      <c r="T39" s="122">
        <f>[34]Sheet1!C324</f>
        <v>120200</v>
      </c>
      <c r="U39" s="122">
        <f>[35]Sheet1!C260</f>
        <v>123500</v>
      </c>
      <c r="V39" s="122">
        <f>'[36]AAL 3Q17 PR'!C356</f>
        <v>121800</v>
      </c>
      <c r="W39" s="122">
        <f>[27]Sheet1!C353</f>
        <v>122300</v>
      </c>
      <c r="X39" s="122">
        <f>[37]Sheet1!E276</f>
        <v>124300</v>
      </c>
      <c r="Y39" s="122">
        <f>[38]Sheet1!C348</f>
        <v>128300</v>
      </c>
      <c r="Z39" s="122">
        <f>[39]Sheet1!C343</f>
        <v>127600</v>
      </c>
      <c r="AA39" s="122">
        <f>[13]Sheet1!C360</f>
        <v>126600</v>
      </c>
      <c r="AB39" s="122">
        <f>[18]Sheet1!C273</f>
        <v>128600</v>
      </c>
      <c r="AC39" s="122">
        <f>[38]Sheet1!B348</f>
        <v>131600</v>
      </c>
      <c r="AD39" s="122">
        <f>[39]Sheet1!B343</f>
        <v>130500</v>
      </c>
      <c r="AE39" s="122">
        <f>[13]Sheet1!B360</f>
        <v>128900</v>
      </c>
      <c r="AF39" s="122">
        <f>[18]Sheet1!B273</f>
        <v>129800</v>
      </c>
    </row>
    <row r="40" spans="1:33" x14ac:dyDescent="0.25">
      <c r="A40" s="123" t="s">
        <v>240</v>
      </c>
      <c r="C40" s="121"/>
      <c r="D40" s="121">
        <f>[24]Sheet1!J937</f>
        <v>14.61</v>
      </c>
      <c r="E40" s="121">
        <f>[16]Sheet1!G695</f>
        <v>14.56</v>
      </c>
      <c r="F40" s="121">
        <f>[25]Sheet1!G343</f>
        <v>14.45</v>
      </c>
      <c r="G40" s="121">
        <f>[26]Sheet1!G426</f>
        <v>12.94</v>
      </c>
      <c r="H40" s="121">
        <f>[27]Sheet1!G354</f>
        <v>12.76</v>
      </c>
      <c r="I40" s="121">
        <f>[13]Sheet1!G361</f>
        <v>13.88</v>
      </c>
      <c r="J40" s="121">
        <f>[13]Sheet1!F361</f>
        <v>14.85</v>
      </c>
      <c r="K40" s="122"/>
      <c r="L40" s="121">
        <f>[28]Sheet1!C387</f>
        <v>14.62</v>
      </c>
      <c r="M40" s="121">
        <f>[29]Sheet1!C471</f>
        <v>14.62</v>
      </c>
      <c r="N40" s="121">
        <f>[30]Sheet1!C457</f>
        <v>14.29</v>
      </c>
      <c r="O40" s="121">
        <f>[25]Sheet1!C343</f>
        <v>14.3</v>
      </c>
      <c r="P40" s="121">
        <f>[31]Sheet1!C417</f>
        <v>13.71</v>
      </c>
      <c r="Q40" s="121">
        <f>[32]Sheet1!C490</f>
        <v>12.83</v>
      </c>
      <c r="R40" s="121">
        <f>[33]Sheet1!C367</f>
        <v>12.25</v>
      </c>
      <c r="S40" s="121">
        <f>[26]Sheet1!C426</f>
        <v>13.08</v>
      </c>
      <c r="T40" s="121">
        <f>[34]Sheet1!C325</f>
        <v>12.45</v>
      </c>
      <c r="U40" s="121">
        <f>[35]Sheet1!C261</f>
        <v>12.17</v>
      </c>
      <c r="V40" s="121">
        <f>'[36]AAL 3Q17 PR'!C358</f>
        <v>12.74</v>
      </c>
      <c r="W40" s="121">
        <f>[27]Sheet1!C354</f>
        <v>13.74</v>
      </c>
      <c r="X40" s="121">
        <f>[37]Sheet1!E277</f>
        <v>14.12</v>
      </c>
      <c r="Y40" s="121">
        <f>[38]Sheet1!C351</f>
        <v>13.42</v>
      </c>
      <c r="Z40" s="121">
        <f>[39]Sheet1!C345</f>
        <v>13.29</v>
      </c>
      <c r="AA40" s="121">
        <f>[13]Sheet1!C361</f>
        <v>14.81</v>
      </c>
      <c r="AB40" s="121">
        <f>[18]Sheet1!C274</f>
        <v>15.2</v>
      </c>
      <c r="AC40" s="121">
        <f>[38]Sheet1!B351</f>
        <v>14.56</v>
      </c>
      <c r="AD40" s="121">
        <f>[39]Sheet1!B345</f>
        <v>14.54</v>
      </c>
      <c r="AE40" s="121">
        <f>[13]Sheet1!B361</f>
        <v>15.21</v>
      </c>
      <c r="AF40" s="121">
        <f>[18]Sheet1!B274</f>
        <v>15.31</v>
      </c>
    </row>
    <row r="41" spans="1:33" x14ac:dyDescent="0.25">
      <c r="A41" s="123" t="s">
        <v>239</v>
      </c>
      <c r="C41" s="121"/>
      <c r="D41" s="121">
        <f>[24]Sheet1!J938</f>
        <v>9.3800000000000008</v>
      </c>
      <c r="E41" s="121">
        <f>[16]Sheet1!G696</f>
        <v>14.29</v>
      </c>
      <c r="F41" s="121">
        <f>[25]Sheet1!G344</f>
        <v>14.14</v>
      </c>
      <c r="G41" s="121">
        <f>[26]Sheet1!G428</f>
        <v>12.54</v>
      </c>
      <c r="H41" s="121">
        <f>[27]Sheet1!G355</f>
        <v>12.5</v>
      </c>
      <c r="I41" s="121">
        <f>[13]Sheet1!G364</f>
        <v>13.62</v>
      </c>
      <c r="J41" s="121">
        <f>[13]Sheet1!F364</f>
        <v>14.57</v>
      </c>
      <c r="K41" s="122"/>
      <c r="L41" s="121">
        <f>[28]Sheet1!C388</f>
        <v>14.83</v>
      </c>
      <c r="M41" s="121">
        <f>[29]Sheet1!C473</f>
        <v>14.25</v>
      </c>
      <c r="N41" s="121">
        <f>[30]Sheet1!C459</f>
        <v>13.97</v>
      </c>
      <c r="O41" s="121">
        <f>[25]Sheet1!C344</f>
        <v>13.56</v>
      </c>
      <c r="P41" s="121">
        <f>[31]Sheet1!C418</f>
        <v>13.22</v>
      </c>
      <c r="Q41" s="121">
        <f>[32]Sheet1!C493</f>
        <v>12.61</v>
      </c>
      <c r="R41" s="121">
        <f>[33]Sheet1!C368</f>
        <v>12.02</v>
      </c>
      <c r="S41" s="121">
        <f>[26]Sheet1!C428</f>
        <v>12.39</v>
      </c>
      <c r="T41" s="121">
        <f>[34]Sheet1!C326</f>
        <v>12.29</v>
      </c>
      <c r="U41" s="121">
        <f>[35]Sheet1!C262</f>
        <v>12.08</v>
      </c>
      <c r="V41" s="121">
        <f>'[36]AAL 3Q17 PR'!C360</f>
        <v>12.33</v>
      </c>
      <c r="W41" s="121">
        <f>[27]Sheet1!C355</f>
        <v>13.34</v>
      </c>
      <c r="X41" s="121">
        <f>[37]Sheet1!E278</f>
        <v>13.93</v>
      </c>
      <c r="Y41" s="121">
        <f>[38]Sheet1!C354</f>
        <v>13.14</v>
      </c>
      <c r="Z41" s="121">
        <f>[39]Sheet1!C348</f>
        <v>13.14</v>
      </c>
      <c r="AA41" s="121">
        <f>[13]Sheet1!C364</f>
        <v>14.35</v>
      </c>
      <c r="AB41" s="121">
        <f>[18]Sheet1!C275</f>
        <v>14.86</v>
      </c>
      <c r="AC41" s="121">
        <f>[38]Sheet1!B354</f>
        <v>14.35</v>
      </c>
      <c r="AD41" s="121">
        <f>[39]Sheet1!B348</f>
        <v>14.25</v>
      </c>
      <c r="AE41" s="121">
        <f>[13]Sheet1!B364</f>
        <v>14.88</v>
      </c>
      <c r="AF41" s="121">
        <f>[18]Sheet1!B275</f>
        <v>15.11</v>
      </c>
    </row>
    <row r="42" spans="1:33" x14ac:dyDescent="0.25">
      <c r="A42" s="123" t="s">
        <v>238</v>
      </c>
      <c r="C42" s="121"/>
      <c r="D42" s="121">
        <f>[24]Sheet1!J940</f>
        <v>9.36</v>
      </c>
      <c r="E42" s="121">
        <f>[16]Sheet1!G697</f>
        <v>9.2100000000000009</v>
      </c>
      <c r="F42" s="121">
        <f>[25]Sheet1!G345</f>
        <v>9.4</v>
      </c>
      <c r="G42" s="121">
        <f>[26]Sheet1!G430</f>
        <v>9.77</v>
      </c>
      <c r="H42" s="121">
        <f>[27]Sheet1!G356</f>
        <v>10.24</v>
      </c>
      <c r="I42" s="121">
        <f>[13]Sheet1!G367</f>
        <v>10.9</v>
      </c>
      <c r="J42" s="121">
        <f>[13]Sheet1!F367</f>
        <v>11.06</v>
      </c>
      <c r="K42" s="122"/>
      <c r="L42" s="121">
        <f>[28]Sheet1!C389</f>
        <v>9.76</v>
      </c>
      <c r="M42" s="121">
        <f>[29]Sheet1!C475</f>
        <v>9.31</v>
      </c>
      <c r="N42" s="121">
        <f>[30]Sheet1!C461</f>
        <v>9.1</v>
      </c>
      <c r="O42" s="121">
        <f>[25]Sheet1!C345</f>
        <v>9.4700000000000006</v>
      </c>
      <c r="P42" s="121">
        <f>[31]Sheet1!C419</f>
        <v>10.26</v>
      </c>
      <c r="Q42" s="121">
        <f>[32]Sheet1!C496</f>
        <v>9.5500000000000007</v>
      </c>
      <c r="R42" s="121">
        <f>[33]Sheet1!C369</f>
        <v>9.34</v>
      </c>
      <c r="S42" s="121">
        <f>[26]Sheet1!C430</f>
        <v>9.99</v>
      </c>
      <c r="T42" s="121">
        <f>[34]Sheet1!C327</f>
        <v>10.37</v>
      </c>
      <c r="U42" s="121">
        <f>[35]Sheet1!C263</f>
        <v>9.83</v>
      </c>
      <c r="V42" s="121">
        <f>'[36]AAL 3Q17 PR'!C362</f>
        <v>9.9700000000000006</v>
      </c>
      <c r="W42" s="121">
        <f>[27]Sheet1!C356</f>
        <v>10.84</v>
      </c>
      <c r="X42" s="121">
        <f>[37]Sheet1!E279</f>
        <v>11.25</v>
      </c>
      <c r="Y42" s="121">
        <f>[38]Sheet1!C357</f>
        <v>10.57</v>
      </c>
      <c r="Z42" s="121">
        <f>[39]Sheet1!C351</f>
        <v>10.51</v>
      </c>
      <c r="AA42" s="121">
        <f>[13]Sheet1!C367</f>
        <v>11.34</v>
      </c>
      <c r="AB42" s="121">
        <f>[18]Sheet1!C276</f>
        <v>11.57</v>
      </c>
      <c r="AC42" s="121">
        <f>[38]Sheet1!B357</f>
        <v>10.83</v>
      </c>
      <c r="AD42" s="121">
        <f>[39]Sheet1!B351</f>
        <v>10.6</v>
      </c>
      <c r="AE42" s="121">
        <f>[13]Sheet1!B367</f>
        <v>11.32</v>
      </c>
      <c r="AF42" s="121">
        <f>[18]Sheet1!B276</f>
        <v>11.88</v>
      </c>
    </row>
    <row r="43" spans="1:33" x14ac:dyDescent="0.25">
      <c r="A43" s="126" t="s">
        <v>237</v>
      </c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</row>
    <row r="44" spans="1:33" x14ac:dyDescent="0.25">
      <c r="A44" s="126" t="s">
        <v>236</v>
      </c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</row>
    <row r="45" spans="1:33" x14ac:dyDescent="0.25">
      <c r="A45" s="123" t="s">
        <v>231</v>
      </c>
      <c r="C45" s="122"/>
      <c r="D45" s="122">
        <f>[24]Sheet1!G992</f>
        <v>121869</v>
      </c>
      <c r="E45" s="122">
        <f>[16]Sheet1!G724</f>
        <v>124276</v>
      </c>
      <c r="F45" s="122">
        <f>[25]Sheet1!G365</f>
        <v>125916</v>
      </c>
      <c r="G45" s="122">
        <f>[26]Sheet1!G454</f>
        <v>128590</v>
      </c>
      <c r="H45" s="122">
        <f>[27]Sheet1!G386</f>
        <v>152332</v>
      </c>
      <c r="I45" s="122">
        <f>[13]Sheet1!H380</f>
        <v>151862</v>
      </c>
      <c r="J45" s="122">
        <f>[13]Sheet1!G380</f>
        <v>154746</v>
      </c>
      <c r="K45" s="122"/>
      <c r="L45" s="122">
        <f>[28]Sheet1!C410</f>
        <v>30176</v>
      </c>
      <c r="M45" s="122">
        <f>[29]Sheet1!C498</f>
        <v>32717</v>
      </c>
      <c r="N45" s="122">
        <f>[30]Sheet1!C484</f>
        <v>32433</v>
      </c>
      <c r="O45" s="122">
        <f>[25]Sheet1!C365</f>
        <v>30591</v>
      </c>
      <c r="P45" s="122">
        <f>[31]Sheet1!D436</f>
        <v>29586</v>
      </c>
      <c r="Q45" s="122">
        <f>[32]Sheet1!C535</f>
        <v>39359</v>
      </c>
      <c r="R45" s="122">
        <f>[33]Sheet1!C385</f>
        <v>34259</v>
      </c>
      <c r="S45" s="122">
        <f>[26]Sheet1!C463</f>
        <v>37390</v>
      </c>
      <c r="T45" s="122">
        <f>[34]Sheet1!C357</f>
        <v>35942</v>
      </c>
      <c r="U45" s="122">
        <f>[35]Sheet1!C293</f>
        <v>39826</v>
      </c>
      <c r="V45" s="122">
        <f>'[36]AAL 3Q17 PR'!C394</f>
        <v>39934</v>
      </c>
      <c r="W45" s="122">
        <f>[27]Sheet1!C386</f>
        <v>36631</v>
      </c>
      <c r="X45" s="122">
        <f>[37]Sheet1!C295</f>
        <v>35303</v>
      </c>
      <c r="Y45" s="122">
        <f>[38]Sheet1!C376</f>
        <v>39166</v>
      </c>
      <c r="Z45" s="122">
        <f>[39]Sheet1!C373</f>
        <v>39491</v>
      </c>
      <c r="AA45" s="122">
        <f>[13]Sheet1!D380</f>
        <v>37901</v>
      </c>
      <c r="AB45" s="122">
        <f>[18]Sheet1!C289</f>
        <v>36261</v>
      </c>
      <c r="AC45" s="122">
        <f>[38]Sheet1!B376</f>
        <v>40067</v>
      </c>
      <c r="AD45" s="122">
        <f>[39]Sheet1!B373</f>
        <v>40321</v>
      </c>
      <c r="AE45" s="122">
        <f>[13]Sheet1!C380</f>
        <v>38096</v>
      </c>
      <c r="AF45" s="122">
        <f>[18]Sheet1!B289</f>
        <v>37717</v>
      </c>
    </row>
    <row r="46" spans="1:33" x14ac:dyDescent="0.25">
      <c r="A46" s="123" t="s">
        <v>230</v>
      </c>
      <c r="C46" s="122"/>
      <c r="D46" s="122">
        <f>[24]Sheet1!G993</f>
        <v>144361</v>
      </c>
      <c r="E46" s="122">
        <f>[16]Sheet1!G725</f>
        <v>146224</v>
      </c>
      <c r="F46" s="122">
        <f>[25]Sheet1!G366</f>
        <v>148083</v>
      </c>
      <c r="G46" s="122">
        <f>[26]Sheet1!G455</f>
        <v>149584</v>
      </c>
      <c r="H46" s="122">
        <f>[27]Sheet1!G387</f>
        <v>182330</v>
      </c>
      <c r="I46" s="122">
        <f>[13]Sheet1!H381</f>
        <v>181862</v>
      </c>
      <c r="J46" s="122">
        <f>[13]Sheet1!G381</f>
        <v>184901</v>
      </c>
      <c r="K46" s="122"/>
      <c r="L46" s="122">
        <f>[28]Sheet1!C411</f>
        <v>35989</v>
      </c>
      <c r="M46" s="122">
        <f>[29]Sheet1!C499</f>
        <v>37467</v>
      </c>
      <c r="N46" s="122">
        <f>[30]Sheet1!C485</f>
        <v>37619</v>
      </c>
      <c r="O46" s="122">
        <f>[25]Sheet1!C366</f>
        <v>37008</v>
      </c>
      <c r="P46" s="122">
        <f>[31]Sheet1!D437</f>
        <v>35672</v>
      </c>
      <c r="Q46" s="122">
        <f>[32]Sheet1!C537</f>
        <v>45802</v>
      </c>
      <c r="R46" s="122">
        <f>[33]Sheet1!C386</f>
        <v>38882</v>
      </c>
      <c r="S46" s="122">
        <f>[26]Sheet1!C464</f>
        <v>44019</v>
      </c>
      <c r="T46" s="122">
        <f>[34]Sheet1!C358</f>
        <v>44043</v>
      </c>
      <c r="U46" s="122">
        <f>[35]Sheet1!C294</f>
        <v>46782</v>
      </c>
      <c r="V46" s="122">
        <f>'[36]AAL 3Q17 PR'!C395</f>
        <v>47211</v>
      </c>
      <c r="W46" s="122">
        <f>[27]Sheet1!C387</f>
        <v>44295</v>
      </c>
      <c r="X46" s="122">
        <f>[37]Sheet1!C296</f>
        <v>43582</v>
      </c>
      <c r="Y46" s="122">
        <f>[38]Sheet1!C378</f>
        <v>46315</v>
      </c>
      <c r="Z46" s="122">
        <f>[39]Sheet1!C375</f>
        <v>47221</v>
      </c>
      <c r="AA46" s="122">
        <f>[13]Sheet1!D381</f>
        <v>44744</v>
      </c>
      <c r="AB46" s="122">
        <f>[18]Sheet1!C290</f>
        <v>43892</v>
      </c>
      <c r="AC46" s="122">
        <f>[38]Sheet1!B378</f>
        <v>46817</v>
      </c>
      <c r="AD46" s="122">
        <f>[39]Sheet1!B375</f>
        <v>48260</v>
      </c>
      <c r="AE46" s="122">
        <f>[13]Sheet1!C381</f>
        <v>45932</v>
      </c>
      <c r="AF46" s="122">
        <f>[18]Sheet1!B290</f>
        <v>45282</v>
      </c>
    </row>
    <row r="47" spans="1:33" x14ac:dyDescent="0.25">
      <c r="A47" s="123" t="s">
        <v>229</v>
      </c>
      <c r="C47" s="125"/>
      <c r="D47" s="125">
        <f>[24]Sheet1!G994/100</f>
        <v>0.84400000000000008</v>
      </c>
      <c r="E47" s="125">
        <f>[16]Sheet1!G726/100</f>
        <v>0.85</v>
      </c>
      <c r="F47" s="125">
        <f>[25]Sheet1!G367/100</f>
        <v>0.85</v>
      </c>
      <c r="G47" s="125">
        <f>[26]Sheet1!G456/100</f>
        <v>0.86</v>
      </c>
      <c r="H47" s="125">
        <f>[27]Sheet1!G388/100</f>
        <v>0.83499999999999996</v>
      </c>
      <c r="I47" s="125">
        <f>[13]Sheet1!H382/100</f>
        <v>0.83499999999999996</v>
      </c>
      <c r="J47" s="125">
        <f>[13]Sheet1!G382/100</f>
        <v>0.83700000000000008</v>
      </c>
      <c r="K47" s="122"/>
      <c r="L47" s="125">
        <f>[28]Sheet1!C417/100</f>
        <v>0.83799999999999997</v>
      </c>
      <c r="M47" s="125">
        <f>[29]Sheet1!C500/100</f>
        <v>0.873</v>
      </c>
      <c r="N47" s="125">
        <f>[30]Sheet1!C486/100</f>
        <v>0.86199999999999999</v>
      </c>
      <c r="O47" s="125">
        <f>[25]Sheet1!C367/100</f>
        <v>0.82700000000000007</v>
      </c>
      <c r="P47" s="125">
        <f>[31]Sheet1!D438/100</f>
        <v>0.82900000000000007</v>
      </c>
      <c r="Q47" s="125">
        <f>[32]Sheet1!C539/100</f>
        <v>0.8590000000000001</v>
      </c>
      <c r="R47" s="125">
        <f>[33]Sheet1!C387/100</f>
        <v>0.88099999999999989</v>
      </c>
      <c r="S47" s="125">
        <f>[26]Sheet1!C465/100</f>
        <v>0.84900000000000009</v>
      </c>
      <c r="T47" s="125">
        <f>[34]Sheet1!C359/100</f>
        <v>0.81599999999999995</v>
      </c>
      <c r="U47" s="125">
        <f>[35]Sheet1!C295/100</f>
        <v>0.85099999999999998</v>
      </c>
      <c r="V47" s="125">
        <f>'[36]AAL 3Q17 PR'!C396/100</f>
        <v>0.84599999999999997</v>
      </c>
      <c r="W47" s="125">
        <f>[27]Sheet1!C388/100</f>
        <v>0.82700000000000007</v>
      </c>
      <c r="X47" s="125">
        <f>[37]Sheet1!C297/100</f>
        <v>0.81</v>
      </c>
      <c r="Y47" s="125">
        <f>[38]Sheet1!C379/100</f>
        <v>0.84599999999999997</v>
      </c>
      <c r="Z47" s="125">
        <f>[39]Sheet1!C376/100</f>
        <v>0.83599999999999997</v>
      </c>
      <c r="AA47" s="125">
        <f>[13]Sheet1!D382/100</f>
        <v>0.84699999999999998</v>
      </c>
      <c r="AB47" s="125">
        <f>[18]Sheet1!C291/100</f>
        <v>0.82599999999999996</v>
      </c>
      <c r="AC47" s="125">
        <f>[38]Sheet1!B379/100</f>
        <v>0.85599999999999998</v>
      </c>
      <c r="AD47" s="125">
        <f>[39]Sheet1!B376/100</f>
        <v>0.83599999999999997</v>
      </c>
      <c r="AE47" s="125">
        <f>[13]Sheet1!C382/100</f>
        <v>0.82900000000000007</v>
      </c>
      <c r="AF47" s="125">
        <f>[18]Sheet1!B291/100</f>
        <v>0.83299999999999996</v>
      </c>
    </row>
    <row r="48" spans="1:33" x14ac:dyDescent="0.25">
      <c r="A48" s="123" t="s">
        <v>228</v>
      </c>
      <c r="C48" s="124"/>
      <c r="D48" s="124">
        <f>D46*D50/100</f>
        <v>17756.403000000002</v>
      </c>
      <c r="E48" s="124">
        <f>E46*E50/100</f>
        <v>18570.447999999997</v>
      </c>
      <c r="F48" s="124">
        <f>F46*F50/100</f>
        <v>20006.013300000002</v>
      </c>
      <c r="G48" s="124">
        <f>G46*G50/100</f>
        <v>19236.502400000001</v>
      </c>
      <c r="H48" s="124">
        <f>H46*H50/100</f>
        <v>25380.335999999999</v>
      </c>
      <c r="I48" s="122">
        <f>[13]Sheet1!H384</f>
        <v>28749</v>
      </c>
      <c r="J48" s="122">
        <f>[13]Sheet1!G384</f>
        <v>29573</v>
      </c>
      <c r="K48" s="122"/>
      <c r="L48" s="124">
        <f t="shared" ref="L48:W48" si="0">L46*L50/100</f>
        <v>4764.9435999999996</v>
      </c>
      <c r="M48" s="124">
        <f t="shared" si="0"/>
        <v>5294.0871000000006</v>
      </c>
      <c r="N48" s="124">
        <f t="shared" si="0"/>
        <v>5089.8506999999991</v>
      </c>
      <c r="O48" s="124">
        <f t="shared" si="0"/>
        <v>4855.4495999999999</v>
      </c>
      <c r="P48" s="124">
        <f t="shared" si="0"/>
        <v>4673.0320000000002</v>
      </c>
      <c r="Q48" s="124">
        <f t="shared" si="0"/>
        <v>6842.8188</v>
      </c>
      <c r="R48" s="124">
        <f t="shared" si="0"/>
        <v>4864.1382000000003</v>
      </c>
      <c r="S48" s="124">
        <f t="shared" si="0"/>
        <v>6167.0618999999997</v>
      </c>
      <c r="T48" s="124">
        <f t="shared" si="0"/>
        <v>5994.2523000000001</v>
      </c>
      <c r="U48" s="124">
        <f t="shared" si="0"/>
        <v>6619.6530000000002</v>
      </c>
      <c r="V48" s="124">
        <f t="shared" si="0"/>
        <v>6538.7235000000001</v>
      </c>
      <c r="W48" s="124">
        <f t="shared" si="0"/>
        <v>6223.4475000000002</v>
      </c>
      <c r="X48" s="122">
        <f>[37]Sheet1!C298</f>
        <v>6781</v>
      </c>
      <c r="Y48" s="122">
        <f>[38]Sheet1!C381</f>
        <v>7578</v>
      </c>
      <c r="Z48" s="122">
        <f>[39]Sheet1!C378</f>
        <v>7162</v>
      </c>
      <c r="AA48" s="122">
        <f>[13]Sheet1!D384</f>
        <v>7228</v>
      </c>
      <c r="AB48" s="122">
        <f>[18]Sheet1!C292</f>
        <v>6963</v>
      </c>
      <c r="AC48" s="122">
        <f>[38]Sheet1!B381</f>
        <v>7685</v>
      </c>
      <c r="AD48" s="122">
        <f>[39]Sheet1!B378</f>
        <v>7424</v>
      </c>
      <c r="AE48" s="122">
        <f>[13]Sheet1!C384</f>
        <v>7502</v>
      </c>
      <c r="AF48" s="122">
        <f>[18]Sheet1!B292</f>
        <v>7226</v>
      </c>
    </row>
    <row r="49" spans="1:32" x14ac:dyDescent="0.25">
      <c r="A49" s="123" t="s">
        <v>227</v>
      </c>
      <c r="C49" s="121"/>
      <c r="D49" s="121">
        <f>[24]Sheet1!G995</f>
        <v>14.57</v>
      </c>
      <c r="E49" s="121">
        <f>[16]Sheet1!G727</f>
        <v>14.94</v>
      </c>
      <c r="F49" s="121">
        <f>[25]Sheet1!G368</f>
        <v>15.89</v>
      </c>
      <c r="G49" s="121">
        <f>[26]Sheet1!G457</f>
        <v>14.96</v>
      </c>
      <c r="H49" s="121">
        <f>[27]Sheet1!G389</f>
        <v>16.66</v>
      </c>
      <c r="I49" s="121">
        <f>[13]Sheet1!H386</f>
        <v>18.93</v>
      </c>
      <c r="J49" s="121">
        <f>[13]Sheet1!G386</f>
        <v>19.11</v>
      </c>
      <c r="K49" s="122"/>
      <c r="L49" s="121">
        <f>[28]Sheet1!C418</f>
        <v>15.79</v>
      </c>
      <c r="M49" s="121">
        <f>[29]Sheet1!C501</f>
        <v>16.190000000000001</v>
      </c>
      <c r="N49" s="121">
        <f>[30]Sheet1!C487</f>
        <v>15.7</v>
      </c>
      <c r="O49" s="121">
        <f>[25]Sheet1!C368</f>
        <v>15.88</v>
      </c>
      <c r="P49" s="121">
        <f>[31]Sheet1!D439</f>
        <v>15.8</v>
      </c>
      <c r="Q49" s="121">
        <f>[32]Sheet1!C540</f>
        <v>17.38</v>
      </c>
      <c r="R49" s="121">
        <f>[33]Sheet1!C388</f>
        <v>14.19</v>
      </c>
      <c r="S49" s="121">
        <f>[26]Sheet1!C466</f>
        <v>16.5</v>
      </c>
      <c r="T49" s="121">
        <f>[34]Sheet1!C360</f>
        <v>16.68</v>
      </c>
      <c r="U49" s="121">
        <f>[35]Sheet1!C296</f>
        <v>16.63</v>
      </c>
      <c r="V49" s="121">
        <f>'[36]AAL 3Q17 PR'!C397</f>
        <v>16.37</v>
      </c>
      <c r="W49" s="121">
        <f>[27]Sheet1!C389</f>
        <v>16.989999999999998</v>
      </c>
      <c r="X49" s="121">
        <f>[37]Sheet1!C299</f>
        <v>19.21</v>
      </c>
      <c r="Y49" s="121">
        <f>[38]Sheet1!C382</f>
        <v>19.350000000000001</v>
      </c>
      <c r="Z49" s="121">
        <f>[39]Sheet1!C379</f>
        <v>18.14</v>
      </c>
      <c r="AA49" s="121">
        <f>[13]Sheet1!D386</f>
        <v>19.07</v>
      </c>
      <c r="AB49" s="121">
        <f>[18]Sheet1!C293</f>
        <v>19.2</v>
      </c>
      <c r="AC49" s="121">
        <f>[38]Sheet1!B382</f>
        <v>19.18</v>
      </c>
      <c r="AD49" s="121">
        <f>[39]Sheet1!B379</f>
        <v>18.41</v>
      </c>
      <c r="AE49" s="121">
        <f>[13]Sheet1!C386</f>
        <v>19.690000000000001</v>
      </c>
      <c r="AF49" s="121">
        <f>[18]Sheet1!B293</f>
        <v>19.16</v>
      </c>
    </row>
    <row r="50" spans="1:32" x14ac:dyDescent="0.25">
      <c r="A50" s="123" t="s">
        <v>226</v>
      </c>
      <c r="C50" s="121"/>
      <c r="D50" s="121">
        <f>[24]Sheet1!G996</f>
        <v>12.3</v>
      </c>
      <c r="E50" s="121">
        <f>[16]Sheet1!G728</f>
        <v>12.7</v>
      </c>
      <c r="F50" s="121">
        <f>[25]Sheet1!G369</f>
        <v>13.51</v>
      </c>
      <c r="G50" s="121">
        <f>[26]Sheet1!G458</f>
        <v>12.86</v>
      </c>
      <c r="H50" s="121">
        <f>[27]Sheet1!G390</f>
        <v>13.92</v>
      </c>
      <c r="I50" s="121">
        <f>[13]Sheet1!H387</f>
        <v>15.81</v>
      </c>
      <c r="J50" s="121">
        <f>[13]Sheet1!G387</f>
        <v>15.99</v>
      </c>
      <c r="K50" s="122"/>
      <c r="L50" s="121">
        <f>[28]Sheet1!C419</f>
        <v>13.24</v>
      </c>
      <c r="M50" s="121">
        <f>[29]Sheet1!C502</f>
        <v>14.13</v>
      </c>
      <c r="N50" s="121">
        <f>[30]Sheet1!C488</f>
        <v>13.53</v>
      </c>
      <c r="O50" s="121">
        <f>[25]Sheet1!C369</f>
        <v>13.12</v>
      </c>
      <c r="P50" s="121">
        <f>[31]Sheet1!D440</f>
        <v>13.1</v>
      </c>
      <c r="Q50" s="121">
        <f>[32]Sheet1!C542</f>
        <v>14.94</v>
      </c>
      <c r="R50" s="121">
        <f>[33]Sheet1!C394</f>
        <v>12.51</v>
      </c>
      <c r="S50" s="121">
        <f>[26]Sheet1!C467</f>
        <v>14.01</v>
      </c>
      <c r="T50" s="121">
        <f>[34]Sheet1!C361</f>
        <v>13.61</v>
      </c>
      <c r="U50" s="121">
        <f>[35]Sheet1!C297</f>
        <v>14.15</v>
      </c>
      <c r="V50" s="121">
        <f>'[36]AAL 3Q17 PR'!C398</f>
        <v>13.85</v>
      </c>
      <c r="W50" s="121">
        <f>[27]Sheet1!C390</f>
        <v>14.05</v>
      </c>
      <c r="X50" s="121">
        <f>[37]Sheet1!C300</f>
        <v>15.56</v>
      </c>
      <c r="Y50" s="121">
        <f>[38]Sheet1!C384</f>
        <v>16.36</v>
      </c>
      <c r="Z50" s="121">
        <f>[39]Sheet1!C381</f>
        <v>15.17</v>
      </c>
      <c r="AA50" s="121">
        <f>[13]Sheet1!D387</f>
        <v>16.149999999999999</v>
      </c>
      <c r="AB50" s="121">
        <f>[18]Sheet1!C294</f>
        <v>15.86</v>
      </c>
      <c r="AC50" s="121">
        <f>[38]Sheet1!B384</f>
        <v>16.41</v>
      </c>
      <c r="AD50" s="121">
        <f>[39]Sheet1!B381</f>
        <v>15.38</v>
      </c>
      <c r="AE50" s="121">
        <f>[13]Sheet1!C387</f>
        <v>16.329999999999998</v>
      </c>
      <c r="AF50" s="121">
        <f>[18]Sheet1!B294</f>
        <v>15.96</v>
      </c>
    </row>
    <row r="51" spans="1:32" x14ac:dyDescent="0.25">
      <c r="A51" s="126" t="s">
        <v>235</v>
      </c>
      <c r="C51" s="122"/>
      <c r="D51" s="122"/>
      <c r="E51" s="122"/>
      <c r="F51" s="122"/>
      <c r="G51" s="122"/>
      <c r="H51" s="122"/>
      <c r="I51" s="122"/>
      <c r="J51" s="122"/>
      <c r="K51" s="122"/>
      <c r="L51" s="122"/>
      <c r="M51" s="122"/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</row>
    <row r="52" spans="1:32" x14ac:dyDescent="0.25">
      <c r="A52" s="123" t="s">
        <v>231</v>
      </c>
      <c r="C52" s="122"/>
      <c r="D52" s="122">
        <f>[24]Sheet1!G998</f>
        <v>30253</v>
      </c>
      <c r="E52" s="122">
        <f>[16]Sheet1!G730</f>
        <v>32181</v>
      </c>
      <c r="F52" s="122">
        <f>[25]Sheet1!G371</f>
        <v>32093</v>
      </c>
      <c r="G52" s="122">
        <f>[26]Sheet1!G463</f>
        <v>152133</v>
      </c>
      <c r="H52" s="122">
        <f>[27]Sheet1!G392</f>
        <v>29927</v>
      </c>
      <c r="I52" s="122">
        <f>[13]Sheet1!H390</f>
        <v>29725</v>
      </c>
      <c r="J52" s="122">
        <f>[13]Sheet1!G390</f>
        <v>30628</v>
      </c>
      <c r="K52" s="122"/>
      <c r="L52" s="122">
        <f>[28]Sheet1!C421</f>
        <v>8683</v>
      </c>
      <c r="M52" s="122">
        <f>[29]Sheet1!C504</f>
        <v>8095</v>
      </c>
      <c r="N52" s="122">
        <f>[30]Sheet1!C490</f>
        <v>7839</v>
      </c>
      <c r="O52" s="122">
        <f>[25]Sheet1!C371</f>
        <v>7477</v>
      </c>
      <c r="P52" s="122">
        <f>[31]Sheet1!C449</f>
        <v>8182</v>
      </c>
      <c r="Q52" s="122">
        <f>[32]Sheet1!C546</f>
        <v>7570</v>
      </c>
      <c r="R52" s="122">
        <f>[33]Sheet1!C403</f>
        <v>7920</v>
      </c>
      <c r="S52" s="122">
        <f>[26]Sheet1!C469</f>
        <v>7529</v>
      </c>
      <c r="T52" s="122">
        <f>[34]Sheet1!C363</f>
        <v>8054</v>
      </c>
      <c r="U52" s="122">
        <f>[35]Sheet1!C299</f>
        <v>7421</v>
      </c>
      <c r="V52" s="122">
        <f>'[36]AAL 3Q17 PR'!C400</f>
        <v>7382</v>
      </c>
      <c r="W52" s="122">
        <f>[27]Sheet1!C392</f>
        <v>7070</v>
      </c>
      <c r="X52" s="122">
        <f>[37]Sheet1!C302</f>
        <v>7490</v>
      </c>
      <c r="Y52" s="122">
        <f>[38]Sheet1!C387</f>
        <v>7592</v>
      </c>
      <c r="Z52" s="122">
        <f>[39]Sheet1!C385</f>
        <v>7362</v>
      </c>
      <c r="AA52" s="122">
        <f>[13]Sheet1!D390</f>
        <v>7281</v>
      </c>
      <c r="AB52" s="122">
        <f>[18]Sheet1!C296</f>
        <v>8085</v>
      </c>
      <c r="AC52" s="122">
        <f>[38]Sheet1!B387</f>
        <v>7903</v>
      </c>
      <c r="AD52" s="122">
        <f>[39]Sheet1!B385</f>
        <v>7411</v>
      </c>
      <c r="AE52" s="122">
        <f>[13]Sheet1!C390</f>
        <v>7229</v>
      </c>
      <c r="AF52" s="122">
        <f>[18]Sheet1!B296</f>
        <v>8351</v>
      </c>
    </row>
    <row r="53" spans="1:32" x14ac:dyDescent="0.25">
      <c r="A53" s="123" t="s">
        <v>230</v>
      </c>
      <c r="C53" s="122"/>
      <c r="D53" s="122">
        <f>[24]Sheet1!G999</f>
        <v>37464</v>
      </c>
      <c r="E53" s="122">
        <f>[16]Sheet1!G731</f>
        <v>40081</v>
      </c>
      <c r="F53" s="122">
        <f>[25]Sheet1!G372</f>
        <v>41581</v>
      </c>
      <c r="G53" s="122">
        <f>[26]Sheet1!G464</f>
        <v>178945</v>
      </c>
      <c r="H53" s="122">
        <f>[27]Sheet1!G393</f>
        <v>37760</v>
      </c>
      <c r="I53" s="122">
        <f>[13]Sheet1!H391</f>
        <v>37702</v>
      </c>
      <c r="J53" s="122">
        <f>[13]Sheet1!G391</f>
        <v>38493</v>
      </c>
      <c r="K53" s="122"/>
      <c r="L53" s="122">
        <f>[28]Sheet1!C422</f>
        <v>11358</v>
      </c>
      <c r="M53" s="122">
        <f>[29]Sheet1!C505</f>
        <v>10663</v>
      </c>
      <c r="N53" s="122">
        <f>[30]Sheet1!C491</f>
        <v>9819</v>
      </c>
      <c r="O53" s="122">
        <f>[25]Sheet1!C372</f>
        <v>9742</v>
      </c>
      <c r="P53" s="122">
        <f>[31]Sheet1!C450</f>
        <v>10593</v>
      </c>
      <c r="Q53" s="122">
        <f>[32]Sheet1!C548</f>
        <v>9895</v>
      </c>
      <c r="R53" s="122">
        <f>[33]Sheet1!C404</f>
        <v>9542</v>
      </c>
      <c r="S53" s="122">
        <f>[26]Sheet1!C470</f>
        <v>9695</v>
      </c>
      <c r="T53" s="122">
        <f>[34]Sheet1!C364</f>
        <v>10480</v>
      </c>
      <c r="U53" s="122">
        <f>[35]Sheet1!C300</f>
        <v>9469</v>
      </c>
      <c r="V53" s="122">
        <f>'[36]AAL 3Q17 PR'!C401</f>
        <v>8944</v>
      </c>
      <c r="W53" s="122">
        <f>[27]Sheet1!C393</f>
        <v>8866</v>
      </c>
      <c r="X53" s="122">
        <f>[37]Sheet1!C303</f>
        <v>9775</v>
      </c>
      <c r="Y53" s="122">
        <f>[38]Sheet1!C388</f>
        <v>9739</v>
      </c>
      <c r="Z53" s="122">
        <f>[39]Sheet1!C386</f>
        <v>8919</v>
      </c>
      <c r="AA53" s="122">
        <f>[13]Sheet1!D391</f>
        <v>9269</v>
      </c>
      <c r="AB53" s="122">
        <f>[18]Sheet1!C297</f>
        <v>10239</v>
      </c>
      <c r="AC53" s="122">
        <f>[38]Sheet1!B388</f>
        <v>9894</v>
      </c>
      <c r="AD53" s="122">
        <f>[39]Sheet1!B386</f>
        <v>9274</v>
      </c>
      <c r="AE53" s="122">
        <f>[13]Sheet1!C391</f>
        <v>9085</v>
      </c>
      <c r="AF53" s="122">
        <f>[18]Sheet1!B297</f>
        <v>10208</v>
      </c>
    </row>
    <row r="54" spans="1:32" x14ac:dyDescent="0.25">
      <c r="A54" s="123" t="s">
        <v>229</v>
      </c>
      <c r="C54" s="125"/>
      <c r="D54" s="125">
        <f>[24]Sheet1!G1000/100</f>
        <v>0.80799999999999994</v>
      </c>
      <c r="E54" s="125">
        <f>[16]Sheet1!G732/100</f>
        <v>0.80299999999999994</v>
      </c>
      <c r="F54" s="125">
        <f>[25]Sheet1!G373/100</f>
        <v>0.77200000000000002</v>
      </c>
      <c r="G54" s="125">
        <f>[26]Sheet1!G465/100</f>
        <v>0.85</v>
      </c>
      <c r="H54" s="125">
        <f>[27]Sheet1!G394/100</f>
        <v>0.79299999999999993</v>
      </c>
      <c r="I54" s="125">
        <f>[13]Sheet1!H392/100</f>
        <v>0.78799999999999992</v>
      </c>
      <c r="J54" s="125">
        <f>[13]Sheet1!G392/100</f>
        <v>0.79599999999999993</v>
      </c>
      <c r="K54" s="122"/>
      <c r="L54" s="125">
        <f>[28]Sheet1!C423/100</f>
        <v>0.76400000000000001</v>
      </c>
      <c r="M54" s="125">
        <f>[29]Sheet1!C506/100</f>
        <v>0.75900000000000001</v>
      </c>
      <c r="N54" s="125">
        <f>[30]Sheet1!C492/100</f>
        <v>0.79799999999999993</v>
      </c>
      <c r="O54" s="125">
        <f>[25]Sheet1!C373/100</f>
        <v>0.76800000000000002</v>
      </c>
      <c r="P54" s="125">
        <f>[31]Sheet1!C451/100</f>
        <v>0.77200000000000002</v>
      </c>
      <c r="Q54" s="125">
        <f>[32]Sheet1!C550/100</f>
        <v>0.76500000000000001</v>
      </c>
      <c r="R54" s="125">
        <f>[33]Sheet1!C405/100</f>
        <v>0.83</v>
      </c>
      <c r="S54" s="125">
        <f>[26]Sheet1!C471/100</f>
        <v>0.77700000000000002</v>
      </c>
      <c r="T54" s="125">
        <f>[34]Sheet1!C365/100</f>
        <v>0.76900000000000002</v>
      </c>
      <c r="U54" s="125">
        <f>[35]Sheet1!C301/100</f>
        <v>0.78400000000000003</v>
      </c>
      <c r="V54" s="125">
        <f>'[36]AAL 3Q17 PR'!C402/100</f>
        <v>0.82499999999999996</v>
      </c>
      <c r="W54" s="125">
        <f>[27]Sheet1!C394/100</f>
        <v>0.79700000000000004</v>
      </c>
      <c r="X54" s="125">
        <f>[37]Sheet1!C304/100</f>
        <v>0.7659999999999999</v>
      </c>
      <c r="Y54" s="125">
        <f>[38]Sheet1!C389/100</f>
        <v>0.78</v>
      </c>
      <c r="Z54" s="125">
        <f>[39]Sheet1!C387/100</f>
        <v>0.82499999999999996</v>
      </c>
      <c r="AA54" s="125">
        <f>[13]Sheet1!D392/100</f>
        <v>0.78500000000000003</v>
      </c>
      <c r="AB54" s="125">
        <f>[18]Sheet1!C298/100</f>
        <v>0.79</v>
      </c>
      <c r="AC54" s="125">
        <f>[38]Sheet1!B389/100</f>
        <v>0.79900000000000004</v>
      </c>
      <c r="AD54" s="125">
        <f>[39]Sheet1!B387/100</f>
        <v>0.79900000000000004</v>
      </c>
      <c r="AE54" s="125">
        <f>[13]Sheet1!C392/100</f>
        <v>0.79599999999999993</v>
      </c>
      <c r="AF54" s="125">
        <f>[18]Sheet1!B298/100</f>
        <v>0.81799999999999995</v>
      </c>
    </row>
    <row r="55" spans="1:32" x14ac:dyDescent="0.25">
      <c r="A55" s="123" t="s">
        <v>228</v>
      </c>
      <c r="C55" s="124"/>
      <c r="D55" s="124">
        <f>D53*D57/100</f>
        <v>5110.0896000000002</v>
      </c>
      <c r="E55" s="124">
        <f>E53*E57/100</f>
        <v>5555.2266</v>
      </c>
      <c r="F55" s="124">
        <f>F53*F57/100</f>
        <v>5380.5814</v>
      </c>
      <c r="G55" s="124">
        <f>G53*G57/100</f>
        <v>25714.396499999999</v>
      </c>
      <c r="H55" s="124">
        <f>H53*H57/100</f>
        <v>4104.5119999999997</v>
      </c>
      <c r="I55" s="122">
        <f>[13]Sheet1!H394</f>
        <v>4840</v>
      </c>
      <c r="J55" s="122">
        <f>[13]Sheet1!G394</f>
        <v>5125</v>
      </c>
      <c r="K55" s="122"/>
      <c r="L55" s="124">
        <f t="shared" ref="L55:W55" si="1">L53*L57/100</f>
        <v>1546.9595999999999</v>
      </c>
      <c r="M55" s="124">
        <f t="shared" si="1"/>
        <v>1359.5325</v>
      </c>
      <c r="N55" s="124">
        <f t="shared" si="1"/>
        <v>1242.1035000000002</v>
      </c>
      <c r="O55" s="124">
        <f t="shared" si="1"/>
        <v>1231.3887999999999</v>
      </c>
      <c r="P55" s="124">
        <f t="shared" si="1"/>
        <v>1353.7853999999998</v>
      </c>
      <c r="Q55" s="124">
        <f t="shared" si="1"/>
        <v>1092.4079999999999</v>
      </c>
      <c r="R55" s="124">
        <f t="shared" si="1"/>
        <v>1081.1086</v>
      </c>
      <c r="S55" s="124">
        <f t="shared" si="1"/>
        <v>1018.9444999999999</v>
      </c>
      <c r="T55" s="124">
        <f t="shared" si="1"/>
        <v>1109.8319999999999</v>
      </c>
      <c r="U55" s="124">
        <f t="shared" si="1"/>
        <v>938.37790000000007</v>
      </c>
      <c r="V55" s="124">
        <f t="shared" si="1"/>
        <v>1031.2431999999999</v>
      </c>
      <c r="W55" s="124">
        <f t="shared" si="1"/>
        <v>1026.6828</v>
      </c>
      <c r="X55" s="122">
        <f>[37]Sheet1!C305</f>
        <v>1231</v>
      </c>
      <c r="Y55" s="122">
        <f>[38]Sheet1!C391</f>
        <v>1209</v>
      </c>
      <c r="Z55" s="122">
        <f>[39]Sheet1!C389</f>
        <v>1183</v>
      </c>
      <c r="AA55" s="122">
        <f>[13]Sheet1!D394</f>
        <v>1218</v>
      </c>
      <c r="AB55" s="122">
        <f>[18]Sheet1!C299</f>
        <v>1445</v>
      </c>
      <c r="AC55" s="122">
        <f>[38]Sheet1!B391</f>
        <v>1284</v>
      </c>
      <c r="AD55" s="122">
        <f>[39]Sheet1!B389</f>
        <v>1210</v>
      </c>
      <c r="AE55" s="122">
        <f>[13]Sheet1!C394</f>
        <v>1186</v>
      </c>
      <c r="AF55" s="122">
        <f>[18]Sheet1!B299</f>
        <v>1371</v>
      </c>
    </row>
    <row r="56" spans="1:32" x14ac:dyDescent="0.25">
      <c r="A56" s="123" t="s">
        <v>227</v>
      </c>
      <c r="C56" s="121"/>
      <c r="D56" s="121">
        <f>[24]Sheet1!G1001</f>
        <v>16.89</v>
      </c>
      <c r="E56" s="121">
        <f>[16]Sheet1!G733</f>
        <v>17.260000000000002</v>
      </c>
      <c r="F56" s="121">
        <f>[25]Sheet1!G374</f>
        <v>16.760000000000002</v>
      </c>
      <c r="G56" s="121">
        <f>[26]Sheet1!G466</f>
        <v>16.899999999999999</v>
      </c>
      <c r="H56" s="121">
        <f>[27]Sheet1!G395</f>
        <v>13.72</v>
      </c>
      <c r="I56" s="121">
        <f>[13]Sheet1!H395</f>
        <v>16.28</v>
      </c>
      <c r="J56" s="121">
        <f>[13]Sheet1!G395</f>
        <v>16.73</v>
      </c>
      <c r="K56" s="122"/>
      <c r="L56" s="121">
        <f>[28]Sheet1!C424</f>
        <v>17.82</v>
      </c>
      <c r="M56" s="121">
        <f>[29]Sheet1!C507</f>
        <v>16.79</v>
      </c>
      <c r="N56" s="121">
        <f>[30]Sheet1!C493</f>
        <v>15.84</v>
      </c>
      <c r="O56" s="121">
        <f>[25]Sheet1!C374</f>
        <v>16.47</v>
      </c>
      <c r="P56" s="121">
        <f>[31]Sheet1!C452</f>
        <v>16.54</v>
      </c>
      <c r="Q56" s="121">
        <f>[32]Sheet1!C556</f>
        <v>14.42</v>
      </c>
      <c r="R56" s="121">
        <f>[33]Sheet1!C406</f>
        <v>13.65</v>
      </c>
      <c r="S56" s="121">
        <f>[26]Sheet1!C472</f>
        <v>13.53</v>
      </c>
      <c r="T56" s="121">
        <f>[34]Sheet1!C366</f>
        <v>13.78</v>
      </c>
      <c r="U56" s="121">
        <f>[35]Sheet1!C302</f>
        <v>12.65</v>
      </c>
      <c r="V56" s="121">
        <f>'[36]AAL 3Q17 PR'!C403</f>
        <v>13.97</v>
      </c>
      <c r="W56" s="121">
        <f>[27]Sheet1!C395</f>
        <v>14.52</v>
      </c>
      <c r="X56" s="121">
        <f>[37]Sheet1!C306</f>
        <v>16.43</v>
      </c>
      <c r="Y56" s="121">
        <f>[38]Sheet1!C392</f>
        <v>15.92</v>
      </c>
      <c r="Z56" s="121">
        <f>[39]Sheet1!C390</f>
        <v>16.059999999999999</v>
      </c>
      <c r="AA56" s="121">
        <f>[13]Sheet1!D395</f>
        <v>16.73</v>
      </c>
      <c r="AB56" s="121">
        <f>[18]Sheet1!C300</f>
        <v>17.87</v>
      </c>
      <c r="AC56" s="121">
        <f>[38]Sheet1!B392</f>
        <v>16.25</v>
      </c>
      <c r="AD56" s="121">
        <f>[39]Sheet1!B390</f>
        <v>16.329999999999998</v>
      </c>
      <c r="AE56" s="121">
        <f>[13]Sheet1!C395</f>
        <v>16.41</v>
      </c>
      <c r="AF56" s="121">
        <f>[18]Sheet1!B300</f>
        <v>16.420000000000002</v>
      </c>
    </row>
    <row r="57" spans="1:32" x14ac:dyDescent="0.25">
      <c r="A57" s="123" t="s">
        <v>226</v>
      </c>
      <c r="C57" s="121"/>
      <c r="D57" s="121">
        <f>[24]Sheet1!G1002</f>
        <v>13.64</v>
      </c>
      <c r="E57" s="121">
        <f>[16]Sheet1!G734</f>
        <v>13.86</v>
      </c>
      <c r="F57" s="121">
        <f>[25]Sheet1!G375</f>
        <v>12.94</v>
      </c>
      <c r="G57" s="121">
        <f>[26]Sheet1!G467</f>
        <v>14.37</v>
      </c>
      <c r="H57" s="121">
        <f>[27]Sheet1!G396</f>
        <v>10.87</v>
      </c>
      <c r="I57" s="121">
        <f>[13]Sheet1!H396</f>
        <v>12.84</v>
      </c>
      <c r="J57" s="121">
        <f>[13]Sheet1!G396</f>
        <v>13.31</v>
      </c>
      <c r="K57" s="122"/>
      <c r="L57" s="121">
        <f>[28]Sheet1!C425</f>
        <v>13.62</v>
      </c>
      <c r="M57" s="121">
        <f>[29]Sheet1!C508</f>
        <v>12.75</v>
      </c>
      <c r="N57" s="121">
        <f>[30]Sheet1!C494</f>
        <v>12.65</v>
      </c>
      <c r="O57" s="121">
        <f>[25]Sheet1!C375</f>
        <v>12.64</v>
      </c>
      <c r="P57" s="121">
        <f>[31]Sheet1!C453</f>
        <v>12.78</v>
      </c>
      <c r="Q57" s="121">
        <f>[32]Sheet1!C558</f>
        <v>11.04</v>
      </c>
      <c r="R57" s="121">
        <f>[33]Sheet1!C407</f>
        <v>11.33</v>
      </c>
      <c r="S57" s="121">
        <f>[26]Sheet1!C473</f>
        <v>10.51</v>
      </c>
      <c r="T57" s="121">
        <f>[34]Sheet1!C367</f>
        <v>10.59</v>
      </c>
      <c r="U57" s="121">
        <f>[35]Sheet1!C303</f>
        <v>9.91</v>
      </c>
      <c r="V57" s="121">
        <f>'[36]AAL 3Q17 PR'!C404</f>
        <v>11.53</v>
      </c>
      <c r="W57" s="121">
        <f>[27]Sheet1!C396</f>
        <v>11.58</v>
      </c>
      <c r="X57" s="121">
        <f>[37]Sheet1!C307</f>
        <v>12.59</v>
      </c>
      <c r="Y57" s="121">
        <f>[38]Sheet1!C394</f>
        <v>12.41</v>
      </c>
      <c r="Z57" s="121">
        <f>[39]Sheet1!C392</f>
        <v>13.26</v>
      </c>
      <c r="AA57" s="121">
        <f>[13]Sheet1!D396</f>
        <v>13.14</v>
      </c>
      <c r="AB57" s="121">
        <f>[18]Sheet1!C301</f>
        <v>14.11</v>
      </c>
      <c r="AC57" s="121">
        <f>[38]Sheet1!B394</f>
        <v>12.98</v>
      </c>
      <c r="AD57" s="121">
        <f>[39]Sheet1!B392</f>
        <v>13.05</v>
      </c>
      <c r="AE57" s="121">
        <f>[13]Sheet1!C396</f>
        <v>13.06</v>
      </c>
      <c r="AF57" s="121">
        <f>[18]Sheet1!B301</f>
        <v>13.43</v>
      </c>
    </row>
    <row r="58" spans="1:32" x14ac:dyDescent="0.25">
      <c r="A58" s="126" t="s">
        <v>234</v>
      </c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</row>
    <row r="59" spans="1:32" x14ac:dyDescent="0.25">
      <c r="A59" s="123" t="s">
        <v>231</v>
      </c>
      <c r="C59" s="122"/>
      <c r="D59" s="122">
        <f>[24]Sheet1!G1004</f>
        <v>29194</v>
      </c>
      <c r="E59" s="122">
        <f>[16]Sheet1!G736</f>
        <v>29685</v>
      </c>
      <c r="F59" s="122">
        <f>[25]Sheet1!G377</f>
        <v>29306</v>
      </c>
      <c r="G59" s="122">
        <f>[26]Sheet1!G469</f>
        <v>31201</v>
      </c>
      <c r="H59" s="122">
        <f>[27]Sheet1!G398</f>
        <v>27794</v>
      </c>
      <c r="I59" s="122">
        <f>[13]Sheet1!H398</f>
        <v>29338</v>
      </c>
      <c r="J59" s="122">
        <f>[13]Sheet1!G398</f>
        <v>30282</v>
      </c>
      <c r="K59" s="122"/>
      <c r="L59" s="122">
        <f>[28]Sheet1!C427</f>
        <v>5264</v>
      </c>
      <c r="M59" s="122">
        <f>[29]Sheet1!C510</f>
        <v>8604</v>
      </c>
      <c r="N59" s="122">
        <f>[30]Sheet1!C496</f>
        <v>9192</v>
      </c>
      <c r="O59" s="122">
        <f>[25]Sheet1!C377</f>
        <v>6245</v>
      </c>
      <c r="P59" s="122">
        <f>[31]Sheet1!C455</f>
        <v>4772</v>
      </c>
      <c r="Q59" s="122">
        <f>[32]Sheet1!C562</f>
        <v>8221</v>
      </c>
      <c r="R59" s="122">
        <f>[33]Sheet1!C409</f>
        <v>9661</v>
      </c>
      <c r="S59" s="122">
        <f>[26]Sheet1!C481</f>
        <v>6564</v>
      </c>
      <c r="T59" s="122">
        <f>[34]Sheet1!C369</f>
        <v>4801</v>
      </c>
      <c r="U59" s="122">
        <f>[35]Sheet1!C305</f>
        <v>7879</v>
      </c>
      <c r="V59" s="122">
        <f>'[36]AAL 3Q17 PR'!C406</f>
        <v>9027</v>
      </c>
      <c r="W59" s="122">
        <f>[27]Sheet1!C398</f>
        <v>6087</v>
      </c>
      <c r="X59" s="122">
        <f>[37]Sheet1!C309</f>
        <v>4500</v>
      </c>
      <c r="Y59" s="122">
        <f>[38]Sheet1!C397</f>
        <v>8849</v>
      </c>
      <c r="Z59" s="122">
        <f>[39]Sheet1!C395</f>
        <v>9728</v>
      </c>
      <c r="AA59" s="122">
        <f>[13]Sheet1!D398</f>
        <v>6262</v>
      </c>
      <c r="AB59" s="122">
        <f>[18]Sheet1!C303</f>
        <v>4665</v>
      </c>
      <c r="AC59" s="122">
        <f>[38]Sheet1!B397</f>
        <v>8855</v>
      </c>
      <c r="AD59" s="122">
        <f>[39]Sheet1!B395</f>
        <v>10110</v>
      </c>
      <c r="AE59" s="122">
        <f>[13]Sheet1!C398</f>
        <v>6652</v>
      </c>
      <c r="AF59" s="122">
        <f>[18]Sheet1!B303</f>
        <v>5042</v>
      </c>
    </row>
    <row r="60" spans="1:32" x14ac:dyDescent="0.25">
      <c r="A60" s="123" t="s">
        <v>230</v>
      </c>
      <c r="C60" s="122"/>
      <c r="D60" s="122">
        <f>[24]Sheet1!G1005</f>
        <v>35877</v>
      </c>
      <c r="E60" s="122">
        <f>[16]Sheet1!G737</f>
        <v>35967</v>
      </c>
      <c r="F60" s="122">
        <f>[25]Sheet1!G378</f>
        <v>37573</v>
      </c>
      <c r="G60" s="122">
        <f>[26]Sheet1!G470</f>
        <v>39726</v>
      </c>
      <c r="H60" s="122">
        <f>[27]Sheet1!G399</f>
        <v>37174</v>
      </c>
      <c r="I60" s="122">
        <f>[13]Sheet1!H399</f>
        <v>38112</v>
      </c>
      <c r="J60" s="122">
        <f>[13]Sheet1!G399</f>
        <v>39178</v>
      </c>
      <c r="K60" s="122"/>
      <c r="L60" s="122">
        <f>[28]Sheet1!C428</f>
        <v>7405</v>
      </c>
      <c r="M60" s="122">
        <f>[29]Sheet1!C511</f>
        <v>10506</v>
      </c>
      <c r="N60" s="122">
        <f>[30]Sheet1!C497</f>
        <v>11429</v>
      </c>
      <c r="O60" s="122">
        <f>[25]Sheet1!C378</f>
        <v>8233</v>
      </c>
      <c r="P60" s="122">
        <f>[31]Sheet1!C456</f>
        <v>6768</v>
      </c>
      <c r="Q60" s="122">
        <f>[32]Sheet1!C564</f>
        <v>10553</v>
      </c>
      <c r="R60" s="122">
        <f>[33]Sheet1!C410</f>
        <v>11754</v>
      </c>
      <c r="S60" s="122">
        <f>[26]Sheet1!C482</f>
        <v>8536</v>
      </c>
      <c r="T60" s="122">
        <f>[34]Sheet1!C370</f>
        <v>6893</v>
      </c>
      <c r="U60" s="122">
        <f>[35]Sheet1!C306</f>
        <v>10677</v>
      </c>
      <c r="V60" s="122">
        <f>'[36]AAL 3Q17 PR'!C407</f>
        <v>11533</v>
      </c>
      <c r="W60" s="122">
        <f>[27]Sheet1!C399</f>
        <v>8071</v>
      </c>
      <c r="X60" s="122">
        <f>[37]Sheet1!C310</f>
        <v>6415</v>
      </c>
      <c r="Y60" s="122">
        <f>[38]Sheet1!C398</f>
        <v>10927</v>
      </c>
      <c r="Z60" s="122">
        <f>[39]Sheet1!C396</f>
        <v>12212</v>
      </c>
      <c r="AA60" s="122">
        <f>[13]Sheet1!D399</f>
        <v>8558</v>
      </c>
      <c r="AB60" s="122">
        <f>[18]Sheet1!C304</f>
        <v>6746</v>
      </c>
      <c r="AC60" s="122">
        <f>[38]Sheet1!B398</f>
        <v>11306</v>
      </c>
      <c r="AD60" s="122">
        <f>[39]Sheet1!B396</f>
        <v>12503</v>
      </c>
      <c r="AE60" s="122">
        <f>[13]Sheet1!C399</f>
        <v>8624</v>
      </c>
      <c r="AF60" s="122">
        <f>[18]Sheet1!B304</f>
        <v>6825</v>
      </c>
    </row>
    <row r="61" spans="1:32" x14ac:dyDescent="0.25">
      <c r="A61" s="123" t="s">
        <v>229</v>
      </c>
      <c r="C61" s="125"/>
      <c r="D61" s="125">
        <f>[24]Sheet1!G1006/100</f>
        <v>0.81400000000000006</v>
      </c>
      <c r="E61" s="125">
        <f>[16]Sheet1!G738/100</f>
        <v>0.82499999999999996</v>
      </c>
      <c r="F61" s="125">
        <f>[25]Sheet1!G379/100</f>
        <v>0.78</v>
      </c>
      <c r="G61" s="125">
        <f>[26]Sheet1!G471/100</f>
        <v>0.78500000000000003</v>
      </c>
      <c r="H61" s="125">
        <f>[27]Sheet1!G400/100</f>
        <v>0.748</v>
      </c>
      <c r="I61" s="125">
        <f>[13]Sheet1!H400/100</f>
        <v>0.77</v>
      </c>
      <c r="J61" s="125">
        <f>[13]Sheet1!G400/100</f>
        <v>0.77300000000000002</v>
      </c>
      <c r="K61" s="122"/>
      <c r="L61" s="125">
        <f>[28]Sheet1!C429/100</f>
        <v>0.71099999999999997</v>
      </c>
      <c r="M61" s="125">
        <f>[29]Sheet1!C512/100</f>
        <v>0.81900000000000006</v>
      </c>
      <c r="N61" s="125">
        <f>[30]Sheet1!C498/100</f>
        <v>0.80400000000000005</v>
      </c>
      <c r="O61" s="125">
        <f>[25]Sheet1!C379/100</f>
        <v>0.75900000000000001</v>
      </c>
      <c r="P61" s="125">
        <f>[31]Sheet1!C457/100</f>
        <v>0.70499999999999996</v>
      </c>
      <c r="Q61" s="125">
        <f>[32]Sheet1!C566/100</f>
        <v>0.77900000000000003</v>
      </c>
      <c r="R61" s="125">
        <f>[33]Sheet1!C411/100</f>
        <v>0.82200000000000006</v>
      </c>
      <c r="S61" s="125">
        <f>[26]Sheet1!C483/100</f>
        <v>0.76900000000000002</v>
      </c>
      <c r="T61" s="125">
        <f>[34]Sheet1!C371/100</f>
        <v>0.69700000000000006</v>
      </c>
      <c r="U61" s="125">
        <f>[35]Sheet1!C307/100</f>
        <v>0.73799999999999999</v>
      </c>
      <c r="V61" s="125">
        <f>'[36]AAL 3Q17 PR'!C408/100</f>
        <v>0.78299999999999992</v>
      </c>
      <c r="W61" s="125">
        <f>[27]Sheet1!C400/100</f>
        <v>0.754</v>
      </c>
      <c r="X61" s="125">
        <f>[37]Sheet1!C312/100</f>
        <v>0.70099999999999996</v>
      </c>
      <c r="Y61" s="125">
        <f>[38]Sheet1!C399/100</f>
        <v>0.81</v>
      </c>
      <c r="Z61" s="125">
        <f>[39]Sheet1!C400/100</f>
        <v>0.79700000000000004</v>
      </c>
      <c r="AA61" s="125">
        <f>[13]Sheet1!D400/100</f>
        <v>0.73199999999999998</v>
      </c>
      <c r="AB61" s="125">
        <f>[18]Sheet1!C305/100</f>
        <v>0.69200000000000006</v>
      </c>
      <c r="AC61" s="125">
        <f>[38]Sheet1!B399/100</f>
        <v>0.78299999999999992</v>
      </c>
      <c r="AD61" s="125">
        <f>[39]Sheet1!B400/100</f>
        <v>0.80900000000000005</v>
      </c>
      <c r="AE61" s="125">
        <f>[13]Sheet1!C400/100</f>
        <v>0.77099999999999991</v>
      </c>
      <c r="AF61" s="125">
        <f>[18]Sheet1!B305/100</f>
        <v>0.7390000000000001</v>
      </c>
    </row>
    <row r="62" spans="1:32" x14ac:dyDescent="0.25">
      <c r="A62" s="123" t="s">
        <v>228</v>
      </c>
      <c r="C62" s="124"/>
      <c r="D62" s="124">
        <f>D60*D64/100</f>
        <v>3867.5405999999998</v>
      </c>
      <c r="E62" s="124">
        <f>E60*E64/100</f>
        <v>4200.9456</v>
      </c>
      <c r="F62" s="124">
        <f>F60*F64/100</f>
        <v>4362.2253000000001</v>
      </c>
      <c r="G62" s="124">
        <f>G60*G64/100</f>
        <v>4536.7092000000002</v>
      </c>
      <c r="H62" s="124">
        <f>H60*H64/100</f>
        <v>3780.5958000000001</v>
      </c>
      <c r="I62" s="122">
        <f>[13]Sheet1!H402</f>
        <v>4028</v>
      </c>
      <c r="J62" s="122">
        <f>[13]Sheet1!G402</f>
        <v>4376</v>
      </c>
      <c r="K62" s="122"/>
      <c r="L62" s="124">
        <f t="shared" ref="L62:W62" si="2">L60*L64/100</f>
        <v>737.53800000000001</v>
      </c>
      <c r="M62" s="124">
        <f t="shared" si="2"/>
        <v>1301.6934000000001</v>
      </c>
      <c r="N62" s="124">
        <f t="shared" si="2"/>
        <v>1438.9110999999998</v>
      </c>
      <c r="O62" s="124">
        <f t="shared" si="2"/>
        <v>883.40089999999998</v>
      </c>
      <c r="P62" s="124">
        <f t="shared" si="2"/>
        <v>696.42719999999997</v>
      </c>
      <c r="Q62" s="124">
        <f t="shared" si="2"/>
        <v>1186.1572000000001</v>
      </c>
      <c r="R62" s="124">
        <f t="shared" si="2"/>
        <v>1396.3752000000002</v>
      </c>
      <c r="S62" s="124">
        <f t="shared" si="2"/>
        <v>847.62479999999994</v>
      </c>
      <c r="T62" s="124">
        <f t="shared" si="2"/>
        <v>694.12509999999997</v>
      </c>
      <c r="U62" s="124">
        <f t="shared" si="2"/>
        <v>1129.6266000000001</v>
      </c>
      <c r="V62" s="124">
        <f t="shared" si="2"/>
        <v>1217.8848</v>
      </c>
      <c r="W62" s="124">
        <f t="shared" si="2"/>
        <v>739.30359999999996</v>
      </c>
      <c r="X62" s="122">
        <f>[37]Sheet1!C313</f>
        <v>624</v>
      </c>
      <c r="Y62" s="122">
        <f>[38]Sheet1!C401</f>
        <v>1182</v>
      </c>
      <c r="Z62" s="122">
        <f>[39]Sheet1!C402</f>
        <v>1363</v>
      </c>
      <c r="AA62" s="122">
        <f>[13]Sheet1!D402</f>
        <v>858</v>
      </c>
      <c r="AB62" s="122">
        <f>[18]Sheet1!C306</f>
        <v>669</v>
      </c>
      <c r="AC62" s="122">
        <f>[38]Sheet1!B401</f>
        <v>1298</v>
      </c>
      <c r="AD62" s="122">
        <f>[39]Sheet1!B402</f>
        <v>1504</v>
      </c>
      <c r="AE62" s="122">
        <f>[13]Sheet1!C402</f>
        <v>905</v>
      </c>
      <c r="AF62" s="122">
        <f>[18]Sheet1!B306</f>
        <v>673</v>
      </c>
    </row>
    <row r="63" spans="1:32" x14ac:dyDescent="0.25">
      <c r="A63" s="123" t="s">
        <v>227</v>
      </c>
      <c r="C63" s="121"/>
      <c r="D63" s="121">
        <f>[24]Sheet1!G1007</f>
        <v>13.25</v>
      </c>
      <c r="E63" s="121">
        <f>[16]Sheet1!G739</f>
        <v>14.16</v>
      </c>
      <c r="F63" s="121">
        <f>[25]Sheet1!G380</f>
        <v>14.89</v>
      </c>
      <c r="G63" s="121">
        <f>[26]Sheet1!G472</f>
        <v>14.54</v>
      </c>
      <c r="H63" s="121">
        <f>[27]Sheet1!G401</f>
        <v>13.6</v>
      </c>
      <c r="I63" s="121">
        <f>[13]Sheet1!H403</f>
        <v>13.73</v>
      </c>
      <c r="J63" s="121">
        <f>[13]Sheet1!G403</f>
        <v>14.45</v>
      </c>
      <c r="K63" s="122"/>
      <c r="L63" s="121">
        <f>[28]Sheet1!C430</f>
        <v>14</v>
      </c>
      <c r="M63" s="121">
        <f>[29]Sheet1!C513</f>
        <v>15.13</v>
      </c>
      <c r="N63" s="121">
        <f>[30]Sheet1!C499</f>
        <v>15.65</v>
      </c>
      <c r="O63" s="121">
        <f>[25]Sheet1!C380</f>
        <v>14.14</v>
      </c>
      <c r="P63" s="121">
        <f>[31]Sheet1!C458</f>
        <v>14.59</v>
      </c>
      <c r="Q63" s="121">
        <f>[32]Sheet1!C567</f>
        <v>14.43</v>
      </c>
      <c r="R63" s="121">
        <f>[33]Sheet1!C412</f>
        <v>14.46</v>
      </c>
      <c r="S63" s="121">
        <f>[26]Sheet1!C484</f>
        <v>12.92</v>
      </c>
      <c r="T63" s="121">
        <f>[34]Sheet1!C372</f>
        <v>14.46</v>
      </c>
      <c r="U63" s="121">
        <f>[35]Sheet1!C308</f>
        <v>14.34</v>
      </c>
      <c r="V63" s="121">
        <f>'[36]AAL 3Q17 PR'!C409</f>
        <v>13.49</v>
      </c>
      <c r="W63" s="121">
        <f>[27]Sheet1!C401</f>
        <v>12.15</v>
      </c>
      <c r="X63" s="121">
        <f>[37]Sheet1!C314</f>
        <v>13.87</v>
      </c>
      <c r="Y63" s="121">
        <f>[38]Sheet1!C402</f>
        <v>13.36</v>
      </c>
      <c r="Z63" s="121">
        <f>[39]Sheet1!C403</f>
        <v>14.02</v>
      </c>
      <c r="AA63" s="121">
        <f>[13]Sheet1!D403</f>
        <v>13.71</v>
      </c>
      <c r="AB63" s="121">
        <f>[18]Sheet1!C307</f>
        <v>14.34</v>
      </c>
      <c r="AC63" s="121">
        <f>[38]Sheet1!B402</f>
        <v>14.66</v>
      </c>
      <c r="AD63" s="121">
        <f>[39]Sheet1!B403</f>
        <v>14.88</v>
      </c>
      <c r="AE63" s="121">
        <f>[13]Sheet1!C403</f>
        <v>13.61</v>
      </c>
      <c r="AF63" s="121">
        <f>[18]Sheet1!B307</f>
        <v>13.35</v>
      </c>
    </row>
    <row r="64" spans="1:32" x14ac:dyDescent="0.25">
      <c r="A64" s="123" t="s">
        <v>226</v>
      </c>
      <c r="C64" s="121"/>
      <c r="D64" s="121">
        <f>[24]Sheet1!G1008</f>
        <v>10.78</v>
      </c>
      <c r="E64" s="121">
        <f>[16]Sheet1!G740</f>
        <v>11.68</v>
      </c>
      <c r="F64" s="121">
        <f>[25]Sheet1!G381</f>
        <v>11.61</v>
      </c>
      <c r="G64" s="121">
        <f>[26]Sheet1!G473</f>
        <v>11.42</v>
      </c>
      <c r="H64" s="121">
        <f>[27]Sheet1!G402</f>
        <v>10.17</v>
      </c>
      <c r="I64" s="121">
        <f>[13]Sheet1!H404</f>
        <v>10.57</v>
      </c>
      <c r="J64" s="121">
        <f>[13]Sheet1!G404</f>
        <v>11.17</v>
      </c>
      <c r="K64" s="122"/>
      <c r="L64" s="121">
        <f>[28]Sheet1!C431</f>
        <v>9.9600000000000009</v>
      </c>
      <c r="M64" s="121">
        <f>[29]Sheet1!C514</f>
        <v>12.39</v>
      </c>
      <c r="N64" s="121">
        <f>[30]Sheet1!C500</f>
        <v>12.59</v>
      </c>
      <c r="O64" s="121">
        <f>[25]Sheet1!C381</f>
        <v>10.73</v>
      </c>
      <c r="P64" s="121">
        <f>[31]Sheet1!C459</f>
        <v>10.29</v>
      </c>
      <c r="Q64" s="121">
        <f>[32]Sheet1!C569</f>
        <v>11.24</v>
      </c>
      <c r="R64" s="121">
        <f>[33]Sheet1!C413</f>
        <v>11.88</v>
      </c>
      <c r="S64" s="121">
        <f>[26]Sheet1!C485</f>
        <v>9.93</v>
      </c>
      <c r="T64" s="121">
        <f>[34]Sheet1!C373</f>
        <v>10.07</v>
      </c>
      <c r="U64" s="121">
        <f>[35]Sheet1!C309</f>
        <v>10.58</v>
      </c>
      <c r="V64" s="121">
        <f>'[36]AAL 3Q17 PR'!C410</f>
        <v>10.56</v>
      </c>
      <c r="W64" s="121">
        <f>[27]Sheet1!C402</f>
        <v>9.16</v>
      </c>
      <c r="X64" s="121">
        <f>[37]Sheet1!C315</f>
        <v>9.73</v>
      </c>
      <c r="Y64" s="121">
        <f>[38]Sheet1!C405</f>
        <v>10.82</v>
      </c>
      <c r="Z64" s="121">
        <f>[39]Sheet1!C405</f>
        <v>11.17</v>
      </c>
      <c r="AA64" s="121">
        <f>[13]Sheet1!D404</f>
        <v>10.029999999999999</v>
      </c>
      <c r="AB64" s="121">
        <f>[18]Sheet1!C308</f>
        <v>9.92</v>
      </c>
      <c r="AC64" s="121">
        <f>[38]Sheet1!B405</f>
        <v>11.48</v>
      </c>
      <c r="AD64" s="121">
        <f>[39]Sheet1!B405</f>
        <v>12.03</v>
      </c>
      <c r="AE64" s="121">
        <f>[13]Sheet1!C404</f>
        <v>10.5</v>
      </c>
      <c r="AF64" s="121">
        <f>[18]Sheet1!B308</f>
        <v>9.86</v>
      </c>
    </row>
    <row r="65" spans="1:32" x14ac:dyDescent="0.25">
      <c r="A65" s="126" t="s">
        <v>233</v>
      </c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</row>
    <row r="66" spans="1:32" x14ac:dyDescent="0.25">
      <c r="A66" s="123" t="s">
        <v>231</v>
      </c>
      <c r="C66" s="122"/>
      <c r="D66" s="122">
        <f>[24]Sheet1!G1010</f>
        <v>7526</v>
      </c>
      <c r="E66" s="122">
        <f>[16]Sheet1!G742</f>
        <v>7883</v>
      </c>
      <c r="F66" s="122">
        <f>[25]Sheet1!G383</f>
        <v>8335</v>
      </c>
      <c r="G66" s="122">
        <f>[26]Sheet1!G481</f>
        <v>29218</v>
      </c>
      <c r="H66" s="122">
        <f>[27]Sheet1!G404</f>
        <v>13424</v>
      </c>
      <c r="I66" s="122">
        <f>[13]Sheet1!H406</f>
        <v>15421</v>
      </c>
      <c r="J66" s="122">
        <f>[13]Sheet1!G406</f>
        <v>15504</v>
      </c>
      <c r="K66" s="122"/>
      <c r="L66" s="122">
        <f>[28]Sheet1!C439</f>
        <v>1705</v>
      </c>
      <c r="M66" s="122">
        <f>[29]Sheet1!C523</f>
        <v>1991</v>
      </c>
      <c r="N66" s="122">
        <f>[30]Sheet1!C502</f>
        <v>2431</v>
      </c>
      <c r="O66" s="122">
        <f>[25]Sheet1!C383</f>
        <v>2209</v>
      </c>
      <c r="P66" s="122">
        <f>[31]Sheet1!C461</f>
        <v>2309</v>
      </c>
      <c r="Q66" s="122">
        <f>[32]Sheet1!C573</f>
        <v>2671</v>
      </c>
      <c r="R66" s="122">
        <f>[33]Sheet1!C415</f>
        <v>2827</v>
      </c>
      <c r="S66" s="122">
        <f>[26]Sheet1!C487</f>
        <v>2650</v>
      </c>
      <c r="T66" s="122">
        <f>[34]Sheet1!C375</f>
        <v>2974</v>
      </c>
      <c r="U66" s="122">
        <f>[35]Sheet1!C311</f>
        <v>3209</v>
      </c>
      <c r="V66" s="122">
        <f>'[36]AAL 3Q17 PR'!C412</f>
        <v>3576</v>
      </c>
      <c r="W66" s="122">
        <f>[27]Sheet1!C404</f>
        <v>3664</v>
      </c>
      <c r="X66" s="122">
        <f>[37]Sheet1!C317</f>
        <v>3691</v>
      </c>
      <c r="Y66" s="122">
        <f>[38]Sheet1!C408</f>
        <v>3957</v>
      </c>
      <c r="Z66" s="122">
        <f>[39]Sheet1!C408</f>
        <v>3890</v>
      </c>
      <c r="AA66" s="122">
        <f>[13]Sheet1!D406</f>
        <v>3883</v>
      </c>
      <c r="AB66" s="122">
        <f>[18]Sheet1!C310</f>
        <v>3934</v>
      </c>
      <c r="AC66" s="122">
        <f>[38]Sheet1!B408</f>
        <v>3954</v>
      </c>
      <c r="AD66" s="122">
        <f>[39]Sheet1!B408</f>
        <v>4023</v>
      </c>
      <c r="AE66" s="122">
        <f>[13]Sheet1!C406</f>
        <v>3593</v>
      </c>
      <c r="AF66" s="122">
        <f>[18]Sheet1!B310</f>
        <v>3692</v>
      </c>
    </row>
    <row r="67" spans="1:32" x14ac:dyDescent="0.25">
      <c r="A67" s="123" t="s">
        <v>230</v>
      </c>
      <c r="C67" s="122"/>
      <c r="D67" s="122">
        <f>[24]Sheet1!G1011</f>
        <v>9136</v>
      </c>
      <c r="E67" s="122">
        <f>[16]Sheet1!G743</f>
        <v>9601</v>
      </c>
      <c r="F67" s="122">
        <f>[25]Sheet1!G384</f>
        <v>10285</v>
      </c>
      <c r="G67" s="122">
        <f>[26]Sheet1!G482</f>
        <v>37611</v>
      </c>
      <c r="H67" s="122">
        <f>[27]Sheet1!G405</f>
        <v>16145</v>
      </c>
      <c r="I67" s="122">
        <f>[13]Sheet1!H407</f>
        <v>18817</v>
      </c>
      <c r="J67" s="122">
        <f>[13]Sheet1!G407</f>
        <v>19482</v>
      </c>
      <c r="K67" s="122"/>
      <c r="L67" s="122">
        <f>[28]Sheet1!C440</f>
        <v>2079</v>
      </c>
      <c r="M67" s="122">
        <f>[29]Sheet1!C524</f>
        <v>2363</v>
      </c>
      <c r="N67" s="122">
        <f>[30]Sheet1!C510</f>
        <v>2985</v>
      </c>
      <c r="O67" s="122">
        <f>[25]Sheet1!C384</f>
        <v>2858</v>
      </c>
      <c r="P67" s="122">
        <f>[31]Sheet1!C462</f>
        <v>2820</v>
      </c>
      <c r="Q67" s="122">
        <f>[32]Sheet1!C575</f>
        <v>3151</v>
      </c>
      <c r="R67" s="122">
        <f>[33]Sheet1!C416</f>
        <v>3281</v>
      </c>
      <c r="S67" s="122">
        <f>[26]Sheet1!C488</f>
        <v>3203</v>
      </c>
      <c r="T67" s="122">
        <f>[34]Sheet1!C376</f>
        <v>3648</v>
      </c>
      <c r="U67" s="122">
        <f>[35]Sheet1!C312</f>
        <v>3823</v>
      </c>
      <c r="V67" s="122">
        <f>'[36]AAL 3Q17 PR'!C413</f>
        <v>4223</v>
      </c>
      <c r="W67" s="122">
        <f>[27]Sheet1!C405</f>
        <v>4451</v>
      </c>
      <c r="X67" s="122">
        <f>[37]Sheet1!C318</f>
        <v>4569</v>
      </c>
      <c r="Y67" s="122">
        <f>[38]Sheet1!C409</f>
        <v>4762</v>
      </c>
      <c r="Z67" s="122">
        <f>[39]Sheet1!C409</f>
        <v>4701</v>
      </c>
      <c r="AA67" s="122">
        <f>[13]Sheet1!D407</f>
        <v>4784</v>
      </c>
      <c r="AB67" s="122">
        <f>[18]Sheet1!C311</f>
        <v>4946</v>
      </c>
      <c r="AC67" s="122">
        <f>[38]Sheet1!B409</f>
        <v>4876</v>
      </c>
      <c r="AD67" s="122">
        <f>[39]Sheet1!B409</f>
        <v>5002</v>
      </c>
      <c r="AE67" s="122">
        <f>[13]Sheet1!C407</f>
        <v>4657</v>
      </c>
      <c r="AF67" s="122">
        <f>[18]Sheet1!B311</f>
        <v>4359</v>
      </c>
    </row>
    <row r="68" spans="1:32" x14ac:dyDescent="0.25">
      <c r="A68" s="123" t="s">
        <v>229</v>
      </c>
      <c r="C68" s="125"/>
      <c r="D68" s="125">
        <f>[24]Sheet1!G1012/100</f>
        <v>0.82400000000000007</v>
      </c>
      <c r="E68" s="125">
        <f>[16]Sheet1!G744/100</f>
        <v>0.82099999999999995</v>
      </c>
      <c r="F68" s="125">
        <f>[25]Sheet1!G385/100</f>
        <v>0.81</v>
      </c>
      <c r="G68" s="125">
        <f>[26]Sheet1!G483/100</f>
        <v>0.77700000000000002</v>
      </c>
      <c r="H68" s="125">
        <f>[27]Sheet1!G406/100</f>
        <v>0.83099999999999996</v>
      </c>
      <c r="I68" s="125">
        <f>[13]Sheet1!H408/100</f>
        <v>0.82</v>
      </c>
      <c r="J68" s="125">
        <f>[13]Sheet1!G408/100</f>
        <v>0.79599999999999993</v>
      </c>
      <c r="K68" s="122"/>
      <c r="L68" s="125">
        <f>[28]Sheet1!C441/100</f>
        <v>0.82</v>
      </c>
      <c r="M68" s="125">
        <f>[29]Sheet1!C525/100</f>
        <v>0.84299999999999997</v>
      </c>
      <c r="N68" s="125">
        <f>[30]Sheet1!C511/100</f>
        <v>0.81400000000000006</v>
      </c>
      <c r="O68" s="125">
        <f>[25]Sheet1!C385/100</f>
        <v>0.77300000000000002</v>
      </c>
      <c r="P68" s="125">
        <f>[31]Sheet1!C463/100</f>
        <v>0.81900000000000006</v>
      </c>
      <c r="Q68" s="125">
        <f>[32]Sheet1!C577/100</f>
        <v>0.84799999999999998</v>
      </c>
      <c r="R68" s="125">
        <f>[33]Sheet1!C417/100</f>
        <v>0.86199999999999999</v>
      </c>
      <c r="S68" s="125">
        <f>[26]Sheet1!C489/100</f>
        <v>0.82700000000000007</v>
      </c>
      <c r="T68" s="125">
        <f>[34]Sheet1!C382/100</f>
        <v>0.81499999999999995</v>
      </c>
      <c r="U68" s="125">
        <f>[35]Sheet1!C313/100</f>
        <v>0.83900000000000008</v>
      </c>
      <c r="V68" s="125">
        <f>'[36]AAL 3Q17 PR'!C414/100</f>
        <v>0.84699999999999998</v>
      </c>
      <c r="W68" s="125">
        <f>[27]Sheet1!C406/100</f>
        <v>0.82299999999999995</v>
      </c>
      <c r="X68" s="125">
        <f>[37]Sheet1!C319/100</f>
        <v>0.80799999999999994</v>
      </c>
      <c r="Y68" s="125">
        <f>[38]Sheet1!C410/100</f>
        <v>0.83099999999999996</v>
      </c>
      <c r="Z68" s="125">
        <f>[39]Sheet1!C410/100</f>
        <v>0.82700000000000007</v>
      </c>
      <c r="AA68" s="125">
        <f>[13]Sheet1!D408/100</f>
        <v>0.81200000000000006</v>
      </c>
      <c r="AB68" s="125">
        <f>[18]Sheet1!C312/100</f>
        <v>0.79500000000000004</v>
      </c>
      <c r="AC68" s="125">
        <f>[38]Sheet1!B410/100</f>
        <v>0.81099999999999994</v>
      </c>
      <c r="AD68" s="125">
        <f>[39]Sheet1!B410/100</f>
        <v>0.80400000000000005</v>
      </c>
      <c r="AE68" s="125">
        <f>[13]Sheet1!C408/100</f>
        <v>0.77099999999999991</v>
      </c>
      <c r="AF68" s="125">
        <f>[18]Sheet1!B312/100</f>
        <v>0.84699999999999998</v>
      </c>
    </row>
    <row r="69" spans="1:32" x14ac:dyDescent="0.25">
      <c r="A69" s="123" t="s">
        <v>228</v>
      </c>
      <c r="C69" s="124"/>
      <c r="D69" s="124">
        <f>D67*D71/100</f>
        <v>954.71199999999999</v>
      </c>
      <c r="E69" s="124">
        <f>E67*E71/100</f>
        <v>938.01769999999988</v>
      </c>
      <c r="F69" s="124">
        <f>F67*F71/100</f>
        <v>1055.241</v>
      </c>
      <c r="G69" s="124">
        <f>G67*G71/100</f>
        <v>4122.1656000000003</v>
      </c>
      <c r="H69" s="124">
        <f>H67*H71/100</f>
        <v>1312.5885000000001</v>
      </c>
      <c r="I69" s="122">
        <f>[13]Sheet1!H410</f>
        <v>1514</v>
      </c>
      <c r="J69" s="122">
        <f>[13]Sheet1!G410</f>
        <v>1602</v>
      </c>
      <c r="K69" s="122"/>
      <c r="L69" s="124">
        <f t="shared" ref="L69:W69" si="3">L67*L71/100</f>
        <v>210.18689999999998</v>
      </c>
      <c r="M69" s="124">
        <f t="shared" si="3"/>
        <v>255.44030000000004</v>
      </c>
      <c r="N69" s="124">
        <f t="shared" si="3"/>
        <v>322.38000000000005</v>
      </c>
      <c r="O69" s="124">
        <f t="shared" si="3"/>
        <v>266.93720000000002</v>
      </c>
      <c r="P69" s="124">
        <f t="shared" si="3"/>
        <v>265.36200000000002</v>
      </c>
      <c r="Q69" s="124">
        <f t="shared" si="3"/>
        <v>294.61849999999998</v>
      </c>
      <c r="R69" s="124">
        <f t="shared" si="3"/>
        <v>314.31979999999999</v>
      </c>
      <c r="S69" s="124">
        <f t="shared" si="3"/>
        <v>270.0129</v>
      </c>
      <c r="T69" s="124">
        <f t="shared" si="3"/>
        <v>287.82719999999995</v>
      </c>
      <c r="U69" s="124">
        <f t="shared" si="3"/>
        <v>305.45769999999999</v>
      </c>
      <c r="V69" s="124">
        <f t="shared" si="3"/>
        <v>362.33340000000004</v>
      </c>
      <c r="W69" s="124">
        <f t="shared" si="3"/>
        <v>356.52510000000001</v>
      </c>
      <c r="X69" s="122">
        <f>[37]Sheet1!C320</f>
        <v>361</v>
      </c>
      <c r="Y69" s="122">
        <f>[38]Sheet1!C412</f>
        <v>384</v>
      </c>
      <c r="Z69" s="122">
        <f>[39]Sheet1!C412</f>
        <v>388</v>
      </c>
      <c r="AA69" s="122">
        <f>[13]Sheet1!D410</f>
        <v>381</v>
      </c>
      <c r="AB69" s="122">
        <f>[18]Sheet1!C313</f>
        <v>403</v>
      </c>
      <c r="AC69" s="122">
        <f>[38]Sheet1!B412</f>
        <v>407</v>
      </c>
      <c r="AD69" s="122">
        <f>[39]Sheet1!B412</f>
        <v>423</v>
      </c>
      <c r="AE69" s="122">
        <f>[13]Sheet1!C410</f>
        <v>369</v>
      </c>
      <c r="AF69" s="122">
        <f>[18]Sheet1!B313</f>
        <v>388</v>
      </c>
    </row>
    <row r="70" spans="1:32" x14ac:dyDescent="0.25">
      <c r="A70" s="123" t="s">
        <v>227</v>
      </c>
      <c r="C70" s="121"/>
      <c r="D70" s="121">
        <f>[24]Sheet1!G1013</f>
        <v>12.69</v>
      </c>
      <c r="E70" s="121">
        <f>[16]Sheet1!G745</f>
        <v>11.89</v>
      </c>
      <c r="F70" s="121">
        <f>[25]Sheet1!G386</f>
        <v>12.66</v>
      </c>
      <c r="G70" s="121">
        <f>[26]Sheet1!G484</f>
        <v>14.11</v>
      </c>
      <c r="H70" s="121">
        <f>[27]Sheet1!G407</f>
        <v>9.7799999999999994</v>
      </c>
      <c r="I70" s="121">
        <f>[13]Sheet1!H411</f>
        <v>9.82</v>
      </c>
      <c r="J70" s="121">
        <f>[13]Sheet1!G411</f>
        <v>10.33</v>
      </c>
      <c r="K70" s="122"/>
      <c r="L70" s="121">
        <f>[28]Sheet1!C442</f>
        <v>12.32</v>
      </c>
      <c r="M70" s="121">
        <f>[29]Sheet1!C526</f>
        <v>12.83</v>
      </c>
      <c r="N70" s="121">
        <f>[30]Sheet1!C512</f>
        <v>13.26</v>
      </c>
      <c r="O70" s="121">
        <f>[25]Sheet1!C386</f>
        <v>12.09</v>
      </c>
      <c r="P70" s="121">
        <f>[31]Sheet1!C464</f>
        <v>11.49</v>
      </c>
      <c r="Q70" s="121">
        <f>[32]Sheet1!C578</f>
        <v>11.04</v>
      </c>
      <c r="R70" s="121">
        <f>[33]Sheet1!C418</f>
        <v>11.11</v>
      </c>
      <c r="S70" s="121">
        <f>[26]Sheet1!C490</f>
        <v>10.19</v>
      </c>
      <c r="T70" s="121">
        <f>[34]Sheet1!C383</f>
        <v>9.68</v>
      </c>
      <c r="U70" s="121">
        <f>[35]Sheet1!C314</f>
        <v>9.52</v>
      </c>
      <c r="V70" s="121">
        <f>'[36]AAL 3Q17 PR'!C415</f>
        <v>10.130000000000001</v>
      </c>
      <c r="W70" s="121">
        <f>[27]Sheet1!C407</f>
        <v>9.74</v>
      </c>
      <c r="X70" s="121">
        <f>[37]Sheet1!C321</f>
        <v>9.7899999999999991</v>
      </c>
      <c r="Y70" s="121">
        <f>[38]Sheet1!C413</f>
        <v>9.6999999999999993</v>
      </c>
      <c r="Z70" s="121">
        <f>[39]Sheet1!C413</f>
        <v>9.98</v>
      </c>
      <c r="AA70" s="121">
        <f>[13]Sheet1!D411</f>
        <v>9.81</v>
      </c>
      <c r="AB70" s="121">
        <f>[18]Sheet1!C314</f>
        <v>10.25</v>
      </c>
      <c r="AC70" s="121">
        <f>[38]Sheet1!B413</f>
        <v>10.29</v>
      </c>
      <c r="AD70" s="121">
        <f>[39]Sheet1!B413</f>
        <v>10.51</v>
      </c>
      <c r="AE70" s="121">
        <f>[13]Sheet1!C411</f>
        <v>10.26</v>
      </c>
      <c r="AF70" s="121">
        <f>[18]Sheet1!B314</f>
        <v>10.5</v>
      </c>
    </row>
    <row r="71" spans="1:32" x14ac:dyDescent="0.25">
      <c r="A71" s="123" t="s">
        <v>226</v>
      </c>
      <c r="C71" s="121"/>
      <c r="D71" s="121">
        <f>[24]Sheet1!G1014</f>
        <v>10.45</v>
      </c>
      <c r="E71" s="121">
        <f>[16]Sheet1!G746</f>
        <v>9.77</v>
      </c>
      <c r="F71" s="121">
        <f>[25]Sheet1!G387</f>
        <v>10.26</v>
      </c>
      <c r="G71" s="121">
        <f>[26]Sheet1!G485</f>
        <v>10.96</v>
      </c>
      <c r="H71" s="121">
        <f>[27]Sheet1!G413</f>
        <v>8.1300000000000008</v>
      </c>
      <c r="I71" s="121">
        <f>[13]Sheet1!H413</f>
        <v>8.0500000000000007</v>
      </c>
      <c r="J71" s="121">
        <f>[13]Sheet1!G413</f>
        <v>8.2200000000000006</v>
      </c>
      <c r="K71" s="122"/>
      <c r="L71" s="121">
        <f>[28]Sheet1!C443</f>
        <v>10.11</v>
      </c>
      <c r="M71" s="121">
        <f>[29]Sheet1!C527</f>
        <v>10.81</v>
      </c>
      <c r="N71" s="121">
        <f>[30]Sheet1!C513</f>
        <v>10.8</v>
      </c>
      <c r="O71" s="121">
        <f>[25]Sheet1!C387</f>
        <v>9.34</v>
      </c>
      <c r="P71" s="121">
        <f>[31]Sheet1!C465</f>
        <v>9.41</v>
      </c>
      <c r="Q71" s="121">
        <f>[32]Sheet1!C580</f>
        <v>9.35</v>
      </c>
      <c r="R71" s="121">
        <f>[33]Sheet1!C419</f>
        <v>9.58</v>
      </c>
      <c r="S71" s="121">
        <f>[26]Sheet1!C491</f>
        <v>8.43</v>
      </c>
      <c r="T71" s="121">
        <f>[34]Sheet1!C384</f>
        <v>7.89</v>
      </c>
      <c r="U71" s="121">
        <f>[35]Sheet1!C315</f>
        <v>7.99</v>
      </c>
      <c r="V71" s="121">
        <f>'[36]AAL 3Q17 PR'!C416</f>
        <v>8.58</v>
      </c>
      <c r="W71" s="121">
        <f>[27]Sheet1!C413</f>
        <v>8.01</v>
      </c>
      <c r="X71" s="121">
        <f>[37]Sheet1!C322</f>
        <v>7.91</v>
      </c>
      <c r="Y71" s="121">
        <f>[38]Sheet1!C415</f>
        <v>8.06</v>
      </c>
      <c r="Z71" s="121">
        <f>[39]Sheet1!C415</f>
        <v>8.25</v>
      </c>
      <c r="AA71" s="121">
        <f>[13]Sheet1!D413</f>
        <v>7.96</v>
      </c>
      <c r="AB71" s="121">
        <f>[18]Sheet1!C315</f>
        <v>8.15</v>
      </c>
      <c r="AC71" s="121">
        <f>[38]Sheet1!B415</f>
        <v>8.35</v>
      </c>
      <c r="AD71" s="121">
        <f>[39]Sheet1!B415</f>
        <v>8.4600000000000009</v>
      </c>
      <c r="AE71" s="121">
        <f>[13]Sheet1!C413</f>
        <v>7.92</v>
      </c>
      <c r="AF71" s="121">
        <f>[18]Sheet1!B315</f>
        <v>8.9</v>
      </c>
    </row>
    <row r="72" spans="1:32" x14ac:dyDescent="0.25">
      <c r="A72" s="126" t="s">
        <v>232</v>
      </c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</row>
    <row r="73" spans="1:32" x14ac:dyDescent="0.25">
      <c r="A73" s="123" t="s">
        <v>231</v>
      </c>
      <c r="C73" s="122"/>
      <c r="D73" s="122">
        <f>[24]Sheet1!G1016</f>
        <v>66973</v>
      </c>
      <c r="E73" s="122">
        <f>[16]Sheet1!G748</f>
        <v>69749</v>
      </c>
      <c r="F73" s="122">
        <f>[25]Sheet1!G389</f>
        <v>69734</v>
      </c>
      <c r="G73" s="122">
        <f>[26]Sheet1!G487</f>
        <v>10458</v>
      </c>
      <c r="H73" s="122">
        <f>[27]Sheet1!G415</f>
        <v>71145</v>
      </c>
      <c r="I73" s="122">
        <f>[13]Sheet1!H415</f>
        <v>74484</v>
      </c>
      <c r="J73" s="122">
        <f>[13]Sheet1!G415</f>
        <v>76414</v>
      </c>
      <c r="K73" s="122"/>
      <c r="L73" s="122">
        <f>[28]Sheet1!C445</f>
        <v>15652</v>
      </c>
      <c r="M73" s="122">
        <f>[29]Sheet1!C529</f>
        <v>18690</v>
      </c>
      <c r="N73" s="122">
        <f>[30]Sheet1!C515</f>
        <v>19462</v>
      </c>
      <c r="O73" s="122">
        <f>[25]Sheet1!C389</f>
        <v>15931</v>
      </c>
      <c r="P73" s="122">
        <f>[31]Sheet1!C467</f>
        <v>15263</v>
      </c>
      <c r="Q73" s="122">
        <f>[32]Sheet1!C584</f>
        <v>18462</v>
      </c>
      <c r="R73" s="122">
        <f>[33]Sheet1!C421</f>
        <v>20408</v>
      </c>
      <c r="S73" s="122">
        <f>[26]Sheet1!C493</f>
        <v>16743</v>
      </c>
      <c r="T73" s="122">
        <f>[34]Sheet1!C386</f>
        <v>15829</v>
      </c>
      <c r="U73" s="122">
        <f>[35]Sheet1!C317</f>
        <v>18509</v>
      </c>
      <c r="V73" s="122">
        <f>'[36]AAL 3Q17 PR'!C424</f>
        <v>19985</v>
      </c>
      <c r="W73" s="122">
        <f>[27]Sheet1!C415</f>
        <v>16821</v>
      </c>
      <c r="X73" s="122">
        <f>[37]Sheet1!C324</f>
        <v>15681</v>
      </c>
      <c r="Y73" s="122">
        <f>[38]Sheet1!C418</f>
        <v>20398</v>
      </c>
      <c r="Z73" s="122">
        <f>[39]Sheet1!C418</f>
        <v>20980</v>
      </c>
      <c r="AA73" s="122">
        <f>[13]Sheet1!D415</f>
        <v>17426</v>
      </c>
      <c r="AB73" s="122">
        <f>[18]Sheet1!C317</f>
        <v>16684</v>
      </c>
      <c r="AC73" s="122">
        <f>[38]Sheet1!B418</f>
        <v>20712</v>
      </c>
      <c r="AD73" s="122">
        <f>[39]Sheet1!B418</f>
        <v>21544</v>
      </c>
      <c r="AE73" s="122">
        <f>[13]Sheet1!C415</f>
        <v>17474</v>
      </c>
      <c r="AF73" s="122">
        <f>[18]Sheet1!B317</f>
        <v>17085</v>
      </c>
    </row>
    <row r="74" spans="1:32" x14ac:dyDescent="0.25">
      <c r="A74" s="123" t="s">
        <v>230</v>
      </c>
      <c r="C74" s="122"/>
      <c r="D74" s="122">
        <f>[24]Sheet1!G1017</f>
        <v>82477</v>
      </c>
      <c r="E74" s="122">
        <f>[16]Sheet1!G749</f>
        <v>85649</v>
      </c>
      <c r="F74" s="122">
        <f>[25]Sheet1!G395</f>
        <v>89439</v>
      </c>
      <c r="G74" s="122">
        <f>[26]Sheet1!G488</f>
        <v>12454</v>
      </c>
      <c r="H74" s="122">
        <f>[27]Sheet1!G416</f>
        <v>91079</v>
      </c>
      <c r="I74" s="122">
        <f>[13]Sheet1!H416</f>
        <v>94631</v>
      </c>
      <c r="J74" s="122">
        <f>[13]Sheet1!G416</f>
        <v>97153</v>
      </c>
      <c r="K74" s="122"/>
      <c r="L74" s="122">
        <f>[28]Sheet1!C446</f>
        <v>20842</v>
      </c>
      <c r="M74" s="122">
        <f>[29]Sheet1!C530</f>
        <v>23532</v>
      </c>
      <c r="N74" s="122">
        <f>[30]Sheet1!C516</f>
        <v>24233</v>
      </c>
      <c r="O74" s="122">
        <f>[25]Sheet1!C395</f>
        <v>20833</v>
      </c>
      <c r="P74" s="122">
        <f>[31]Sheet1!C468</f>
        <v>20181</v>
      </c>
      <c r="Q74" s="122">
        <f>[32]Sheet1!C586</f>
        <v>23599</v>
      </c>
      <c r="R74" s="122">
        <f>[33]Sheet1!C422</f>
        <v>24577</v>
      </c>
      <c r="S74" s="122">
        <f>[26]Sheet1!C494</f>
        <v>21434</v>
      </c>
      <c r="T74" s="122">
        <f>[34]Sheet1!C387</f>
        <v>21021</v>
      </c>
      <c r="U74" s="122">
        <f>[35]Sheet1!C318</f>
        <v>23969</v>
      </c>
      <c r="V74" s="122">
        <f>'[36]AAL 3Q17 PR'!C425</f>
        <v>24700</v>
      </c>
      <c r="W74" s="122">
        <f>[27]Sheet1!C416</f>
        <v>21388</v>
      </c>
      <c r="X74" s="122">
        <f>[37]Sheet1!C325</f>
        <v>20759</v>
      </c>
      <c r="Y74" s="122">
        <f>[38]Sheet1!C419</f>
        <v>25428</v>
      </c>
      <c r="Z74" s="122">
        <f>[39]Sheet1!C419</f>
        <v>25832</v>
      </c>
      <c r="AA74" s="122">
        <f>[13]Sheet1!D416</f>
        <v>22611</v>
      </c>
      <c r="AB74" s="122">
        <f>[18]Sheet1!C318</f>
        <v>21931</v>
      </c>
      <c r="AC74" s="122">
        <f>[38]Sheet1!B419</f>
        <v>26076</v>
      </c>
      <c r="AD74" s="122">
        <f>[39]Sheet1!B419</f>
        <v>26779</v>
      </c>
      <c r="AE74" s="122">
        <f>[13]Sheet1!C416</f>
        <v>22366</v>
      </c>
      <c r="AF74" s="122">
        <f>[18]Sheet1!B318</f>
        <v>21392</v>
      </c>
    </row>
    <row r="75" spans="1:32" x14ac:dyDescent="0.25">
      <c r="A75" s="123" t="s">
        <v>229</v>
      </c>
      <c r="C75" s="125"/>
      <c r="D75" s="125">
        <f>[24]Sheet1!G1018/100</f>
        <v>0.81200000000000006</v>
      </c>
      <c r="E75" s="125">
        <f>[16]Sheet1!G750/100</f>
        <v>0.81400000000000006</v>
      </c>
      <c r="F75" s="125">
        <f>[25]Sheet1!G396/100</f>
        <v>0.78</v>
      </c>
      <c r="G75" s="125">
        <f>[26]Sheet1!G489/100</f>
        <v>0.84</v>
      </c>
      <c r="H75" s="125">
        <f>[27]Sheet1!G417/100</f>
        <v>0.78099999999999992</v>
      </c>
      <c r="I75" s="125">
        <f>[13]Sheet1!H417/100</f>
        <v>0.78700000000000003</v>
      </c>
      <c r="J75" s="125">
        <f>[13]Sheet1!G417/100</f>
        <v>0.78700000000000003</v>
      </c>
      <c r="K75" s="122"/>
      <c r="L75" s="125">
        <f>[28]Sheet1!C447/100</f>
        <v>0.75099999999999989</v>
      </c>
      <c r="M75" s="125">
        <f>[29]Sheet1!C531/100</f>
        <v>0.79400000000000004</v>
      </c>
      <c r="N75" s="125">
        <f>[30]Sheet1!C517/100</f>
        <v>0.80299999999999994</v>
      </c>
      <c r="O75" s="125">
        <f>[25]Sheet1!C396/100</f>
        <v>0.76500000000000001</v>
      </c>
      <c r="P75" s="125">
        <f>[31]Sheet1!C469/100</f>
        <v>0.75599999999999989</v>
      </c>
      <c r="Q75" s="125">
        <f>[32]Sheet1!C588/100</f>
        <v>0.78200000000000003</v>
      </c>
      <c r="R75" s="125">
        <f>[33]Sheet1!C423/100</f>
        <v>0.83</v>
      </c>
      <c r="S75" s="125">
        <f>[26]Sheet1!C495/100</f>
        <v>0.78099999999999992</v>
      </c>
      <c r="T75" s="125">
        <f>[34]Sheet1!C388/100</f>
        <v>0.753</v>
      </c>
      <c r="U75" s="125">
        <f>[35]Sheet1!C319/100</f>
        <v>0.77200000000000002</v>
      </c>
      <c r="V75" s="125">
        <f>'[36]AAL 3Q17 PR'!C426/100</f>
        <v>0.80900000000000005</v>
      </c>
      <c r="W75" s="125">
        <f>[27]Sheet1!C417/100</f>
        <v>0.78599999999999992</v>
      </c>
      <c r="X75" s="125">
        <f>[37]Sheet1!C326/100</f>
        <v>0.755</v>
      </c>
      <c r="Y75" s="125">
        <f>[38]Sheet1!C420/100</f>
        <v>0.80200000000000005</v>
      </c>
      <c r="Z75" s="125">
        <f>[39]Sheet1!C420/100</f>
        <v>0.81200000000000006</v>
      </c>
      <c r="AA75" s="125">
        <f>[13]Sheet1!D417/100</f>
        <v>0.77099999999999991</v>
      </c>
      <c r="AB75" s="125">
        <f>[18]Sheet1!C319/100</f>
        <v>0.7609999999999999</v>
      </c>
      <c r="AC75" s="125">
        <f>[38]Sheet1!B420/100</f>
        <v>0.79400000000000004</v>
      </c>
      <c r="AD75" s="125">
        <f>[39]Sheet1!B420/100</f>
        <v>0.80400000000000005</v>
      </c>
      <c r="AE75" s="125">
        <f>[13]Sheet1!C417/100</f>
        <v>0.78099999999999992</v>
      </c>
      <c r="AF75" s="125">
        <f>[18]Sheet1!B319/100</f>
        <v>0.79900000000000004</v>
      </c>
    </row>
    <row r="76" spans="1:32" x14ac:dyDescent="0.25">
      <c r="A76" s="123" t="s">
        <v>228</v>
      </c>
      <c r="C76" s="124"/>
      <c r="D76" s="124">
        <f>D74*D78/100</f>
        <v>9930.2307999999994</v>
      </c>
      <c r="E76" s="124">
        <f>E74*E78/100</f>
        <v>10697.560100000001</v>
      </c>
      <c r="F76" s="124">
        <f>F74*F78/100</f>
        <v>10795.2873</v>
      </c>
      <c r="G76" s="124">
        <f>G74*G78/100</f>
        <v>1138.2956000000001</v>
      </c>
      <c r="H76" s="124">
        <f>H74*H78/100</f>
        <v>9198.9789999999994</v>
      </c>
      <c r="I76" s="122">
        <f>[13]Sheet1!H419</f>
        <v>10382</v>
      </c>
      <c r="J76" s="122">
        <f>[13]Sheet1!G419</f>
        <v>11103</v>
      </c>
      <c r="K76" s="122"/>
      <c r="L76" s="124">
        <f t="shared" ref="L76:W76" si="4">L74*L78/100</f>
        <v>2494.7874000000002</v>
      </c>
      <c r="M76" s="124">
        <f t="shared" si="4"/>
        <v>2917.9679999999998</v>
      </c>
      <c r="N76" s="124">
        <f t="shared" si="4"/>
        <v>3002.4686999999999</v>
      </c>
      <c r="O76" s="124">
        <f t="shared" si="4"/>
        <v>2381.2119000000002</v>
      </c>
      <c r="P76" s="124">
        <f t="shared" si="4"/>
        <v>2314.7607000000003</v>
      </c>
      <c r="Q76" s="124">
        <f t="shared" si="4"/>
        <v>2572.2910000000002</v>
      </c>
      <c r="R76" s="124">
        <f t="shared" si="4"/>
        <v>2791.9471999999996</v>
      </c>
      <c r="S76" s="124">
        <f t="shared" si="4"/>
        <v>2136.9698000000003</v>
      </c>
      <c r="T76" s="124">
        <f t="shared" si="4"/>
        <v>2091.5895</v>
      </c>
      <c r="U76" s="124">
        <f t="shared" si="4"/>
        <v>2372.931</v>
      </c>
      <c r="V76" s="124">
        <f t="shared" si="4"/>
        <v>2610.79</v>
      </c>
      <c r="W76" s="124">
        <f t="shared" si="4"/>
        <v>2123.8283999999999</v>
      </c>
      <c r="X76" s="122">
        <f>[37]Sheet1!C327</f>
        <v>2216</v>
      </c>
      <c r="Y76" s="122">
        <f>[38]Sheet1!C422</f>
        <v>2775</v>
      </c>
      <c r="Z76" s="122">
        <f>[39]Sheet1!C422</f>
        <v>2934</v>
      </c>
      <c r="AA76" s="122">
        <f>[13]Sheet1!D419</f>
        <v>2457</v>
      </c>
      <c r="AB76" s="122">
        <f>[18]Sheet1!C320</f>
        <v>2517</v>
      </c>
      <c r="AC76" s="122">
        <f>[38]Sheet1!B422</f>
        <v>2989</v>
      </c>
      <c r="AD76" s="122">
        <f>[39]Sheet1!B422</f>
        <v>3137</v>
      </c>
      <c r="AE76" s="122">
        <f>[13]Sheet1!C419</f>
        <v>2460</v>
      </c>
      <c r="AF76" s="122">
        <f>[18]Sheet1!B320</f>
        <v>2432</v>
      </c>
    </row>
    <row r="77" spans="1:32" x14ac:dyDescent="0.25">
      <c r="A77" s="123" t="s">
        <v>227</v>
      </c>
      <c r="C77" s="121"/>
      <c r="D77" s="121">
        <f>[24]Sheet1!G1019</f>
        <v>14.83</v>
      </c>
      <c r="E77" s="121">
        <f>[16]Sheet1!G751</f>
        <v>15.33</v>
      </c>
      <c r="F77" s="121">
        <f>[25]Sheet1!G397</f>
        <v>15.48</v>
      </c>
      <c r="G77" s="121">
        <f>[26]Sheet1!G490</f>
        <v>10.89</v>
      </c>
      <c r="H77" s="121">
        <f>[27]Sheet1!G418</f>
        <v>12.93</v>
      </c>
      <c r="I77" s="121">
        <f>[13]Sheet1!H420</f>
        <v>13.94</v>
      </c>
      <c r="J77" s="121">
        <f>[13]Sheet1!G420</f>
        <v>14.53</v>
      </c>
      <c r="K77" s="122"/>
      <c r="L77" s="121">
        <f>[28]Sheet1!C448</f>
        <v>15.94</v>
      </c>
      <c r="M77" s="121">
        <f>[29]Sheet1!C532</f>
        <v>15.61</v>
      </c>
      <c r="N77" s="121">
        <f>[30]Sheet1!C518</f>
        <v>15.43</v>
      </c>
      <c r="O77" s="121">
        <f>[25]Sheet1!C397</f>
        <v>14.95</v>
      </c>
      <c r="P77" s="121">
        <f>[31]Sheet1!C470</f>
        <v>15.17</v>
      </c>
      <c r="Q77" s="121">
        <f>[32]Sheet1!C589</f>
        <v>13.94</v>
      </c>
      <c r="R77" s="121">
        <f>[33]Sheet1!C424</f>
        <v>13.68</v>
      </c>
      <c r="S77" s="121">
        <f>[26]Sheet1!C496</f>
        <v>12.76</v>
      </c>
      <c r="T77" s="121">
        <f>[34]Sheet1!C389</f>
        <v>13.22</v>
      </c>
      <c r="U77" s="121">
        <f>[35]Sheet1!C320</f>
        <v>12.83</v>
      </c>
      <c r="V77" s="121">
        <f>'[36]AAL 3Q17 PR'!C427</f>
        <v>13.06</v>
      </c>
      <c r="W77" s="121">
        <f>[27]Sheet1!C418</f>
        <v>12.62</v>
      </c>
      <c r="X77" s="121">
        <f>[37]Sheet1!C328</f>
        <v>14.13</v>
      </c>
      <c r="Y77" s="121">
        <f>[38]Sheet1!C423</f>
        <v>13.6</v>
      </c>
      <c r="Z77" s="121">
        <f>[39]Sheet1!C423</f>
        <v>13.99</v>
      </c>
      <c r="AA77" s="121">
        <f>[13]Sheet1!D420</f>
        <v>14.1</v>
      </c>
      <c r="AB77" s="121">
        <f>[18]Sheet1!C321</f>
        <v>15.09</v>
      </c>
      <c r="AC77" s="121">
        <f>[38]Sheet1!B423</f>
        <v>14.43</v>
      </c>
      <c r="AD77" s="121">
        <f>[39]Sheet1!B423</f>
        <v>14.56</v>
      </c>
      <c r="AE77" s="121">
        <f>[13]Sheet1!C420</f>
        <v>14.08</v>
      </c>
      <c r="AF77" s="121">
        <f>[18]Sheet1!B321</f>
        <v>14.24</v>
      </c>
    </row>
    <row r="78" spans="1:32" x14ac:dyDescent="0.25">
      <c r="A78" s="123" t="s">
        <v>226</v>
      </c>
      <c r="C78" s="121"/>
      <c r="D78" s="121">
        <f>[24]Sheet1!G1020</f>
        <v>12.04</v>
      </c>
      <c r="E78" s="121">
        <f>[16]Sheet1!G752</f>
        <v>12.49</v>
      </c>
      <c r="F78" s="121">
        <f>[25]Sheet1!G398</f>
        <v>12.07</v>
      </c>
      <c r="G78" s="121">
        <f>[26]Sheet1!G491</f>
        <v>9.14</v>
      </c>
      <c r="H78" s="121">
        <f>[27]Sheet1!G419</f>
        <v>10.1</v>
      </c>
      <c r="I78" s="121">
        <f>[13]Sheet1!H421</f>
        <v>10.97</v>
      </c>
      <c r="J78" s="121">
        <f>[13]Sheet1!G421</f>
        <v>11.43</v>
      </c>
      <c r="K78" s="122"/>
      <c r="L78" s="121">
        <f>[28]Sheet1!C449</f>
        <v>11.97</v>
      </c>
      <c r="M78" s="121">
        <f>[29]Sheet1!C533</f>
        <v>12.4</v>
      </c>
      <c r="N78" s="121">
        <f>[30]Sheet1!C519</f>
        <v>12.39</v>
      </c>
      <c r="O78" s="121">
        <f>[25]Sheet1!C398</f>
        <v>11.43</v>
      </c>
      <c r="P78" s="121">
        <f>[31]Sheet1!C471</f>
        <v>11.47</v>
      </c>
      <c r="Q78" s="121">
        <f>[32]Sheet1!C591</f>
        <v>10.9</v>
      </c>
      <c r="R78" s="121">
        <f>[33]Sheet1!C425</f>
        <v>11.36</v>
      </c>
      <c r="S78" s="121">
        <f>[26]Sheet1!C497</f>
        <v>9.9700000000000006</v>
      </c>
      <c r="T78" s="121">
        <f>[34]Sheet1!C390</f>
        <v>9.9499999999999993</v>
      </c>
      <c r="U78" s="121">
        <f>[35]Sheet1!C321</f>
        <v>9.9</v>
      </c>
      <c r="V78" s="121">
        <f>'[36]AAL 3Q17 PR'!C428</f>
        <v>10.57</v>
      </c>
      <c r="W78" s="121">
        <f>[27]Sheet1!C419</f>
        <v>9.93</v>
      </c>
      <c r="X78" s="121">
        <f>[37]Sheet1!C329</f>
        <v>10.68</v>
      </c>
      <c r="Y78" s="121">
        <f>[38]Sheet1!C425</f>
        <v>10.91</v>
      </c>
      <c r="Z78" s="121">
        <f>[39]Sheet1!C425</f>
        <v>11.36</v>
      </c>
      <c r="AA78" s="121">
        <f>[13]Sheet1!D421</f>
        <v>10.87</v>
      </c>
      <c r="AB78" s="121">
        <f>[18]Sheet1!C322</f>
        <v>11.48</v>
      </c>
      <c r="AC78" s="121">
        <f>[38]Sheet1!B425</f>
        <v>11.46</v>
      </c>
      <c r="AD78" s="121">
        <f>[39]Sheet1!B425</f>
        <v>11.71</v>
      </c>
      <c r="AE78" s="121">
        <f>[13]Sheet1!C421</f>
        <v>11</v>
      </c>
      <c r="AF78" s="121">
        <f>[18]Sheet1!B322</f>
        <v>11.37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F198"/>
  <sheetViews>
    <sheetView showGridLines="0" workbookViewId="0">
      <selection activeCell="B2" sqref="B2"/>
    </sheetView>
  </sheetViews>
  <sheetFormatPr defaultRowHeight="11.25" x14ac:dyDescent="0.2"/>
  <cols>
    <col min="1" max="1" width="9.140625" style="142"/>
    <col min="2" max="2" width="59" style="142" bestFit="1" customWidth="1"/>
    <col min="3" max="3" width="0.7109375" style="142" customWidth="1"/>
    <col min="4" max="4" width="9" style="143" bestFit="1" customWidth="1"/>
    <col min="5" max="6" width="7.5703125" style="142" bestFit="1" customWidth="1"/>
    <col min="7" max="7" width="0.7109375" style="142" customWidth="1"/>
    <col min="8" max="8" width="7.5703125" style="143" customWidth="1"/>
    <col min="9" max="10" width="7.5703125" style="142" customWidth="1"/>
    <col min="11" max="11" width="0.7109375" style="142" customWidth="1"/>
    <col min="12" max="12" width="7.5703125" style="143" customWidth="1"/>
    <col min="13" max="14" width="7.5703125" style="142" customWidth="1"/>
    <col min="15" max="15" width="0.7109375" style="142" customWidth="1"/>
    <col min="16" max="16" width="8.42578125" style="143" bestFit="1" customWidth="1"/>
    <col min="17" max="18" width="7.5703125" style="142" customWidth="1"/>
    <col min="19" max="19" width="0.7109375" style="142" customWidth="1"/>
    <col min="20" max="20" width="8.42578125" style="142" bestFit="1" customWidth="1"/>
    <col min="21" max="22" width="7.5703125" style="142" bestFit="1" customWidth="1"/>
    <col min="23" max="23" width="0.7109375" style="142" customWidth="1"/>
    <col min="24" max="24" width="7.5703125" style="142" bestFit="1" customWidth="1"/>
    <col min="25" max="25" width="6.28515625" style="142" bestFit="1" customWidth="1"/>
    <col min="26" max="26" width="5.42578125" style="142" bestFit="1" customWidth="1"/>
    <col min="27" max="27" width="0.7109375" style="142" customWidth="1"/>
    <col min="28" max="28" width="7.5703125" style="142" bestFit="1" customWidth="1"/>
    <col min="29" max="29" width="6.28515625" style="142" bestFit="1" customWidth="1"/>
    <col min="30" max="30" width="5.42578125" style="142" bestFit="1" customWidth="1"/>
    <col min="31" max="31" width="0.7109375" style="142" customWidth="1"/>
    <col min="32" max="16384" width="9.140625" style="142"/>
  </cols>
  <sheetData>
    <row r="2" spans="2:32" ht="15" customHeight="1" x14ac:dyDescent="0.2">
      <c r="B2" s="220" t="s">
        <v>300</v>
      </c>
      <c r="C2" s="147"/>
      <c r="D2" s="330" t="s">
        <v>296</v>
      </c>
      <c r="E2" s="330"/>
      <c r="F2" s="330"/>
      <c r="G2" s="330"/>
      <c r="H2" s="330" t="s">
        <v>295</v>
      </c>
      <c r="I2" s="330"/>
      <c r="J2" s="330"/>
      <c r="K2" s="147"/>
      <c r="L2" s="330" t="s">
        <v>294</v>
      </c>
      <c r="M2" s="330"/>
      <c r="N2" s="330"/>
      <c r="O2" s="147"/>
      <c r="P2" s="330" t="s">
        <v>289</v>
      </c>
      <c r="Q2" s="330"/>
      <c r="R2" s="330"/>
      <c r="S2" s="147"/>
      <c r="T2" s="330" t="s">
        <v>288</v>
      </c>
      <c r="U2" s="330"/>
      <c r="V2" s="330"/>
      <c r="W2" s="147"/>
      <c r="X2" s="330" t="s">
        <v>293</v>
      </c>
      <c r="Y2" s="330"/>
      <c r="Z2" s="330"/>
      <c r="AA2" s="147"/>
      <c r="AB2" s="330"/>
      <c r="AC2" s="330"/>
      <c r="AD2" s="330"/>
      <c r="AE2" s="147"/>
      <c r="AF2" s="209"/>
    </row>
    <row r="3" spans="2:32" x14ac:dyDescent="0.2">
      <c r="B3" s="186"/>
      <c r="C3" s="207"/>
      <c r="D3" s="208" t="s">
        <v>287</v>
      </c>
      <c r="E3" s="208" t="s">
        <v>286</v>
      </c>
      <c r="F3" s="208" t="s">
        <v>285</v>
      </c>
      <c r="G3" s="207"/>
      <c r="H3" s="208" t="s">
        <v>287</v>
      </c>
      <c r="I3" s="208" t="s">
        <v>286</v>
      </c>
      <c r="J3" s="208" t="s">
        <v>285</v>
      </c>
      <c r="K3" s="207"/>
      <c r="L3" s="208" t="s">
        <v>287</v>
      </c>
      <c r="M3" s="208" t="s">
        <v>286</v>
      </c>
      <c r="N3" s="208" t="s">
        <v>285</v>
      </c>
      <c r="O3" s="207"/>
      <c r="P3" s="208" t="s">
        <v>287</v>
      </c>
      <c r="Q3" s="208" t="s">
        <v>286</v>
      </c>
      <c r="R3" s="208" t="s">
        <v>285</v>
      </c>
      <c r="S3" s="207"/>
      <c r="T3" s="208" t="s">
        <v>287</v>
      </c>
      <c r="U3" s="208" t="s">
        <v>286</v>
      </c>
      <c r="V3" s="208" t="s">
        <v>285</v>
      </c>
      <c r="W3" s="207"/>
      <c r="X3" s="208" t="s">
        <v>287</v>
      </c>
      <c r="Y3" s="208" t="s">
        <v>286</v>
      </c>
      <c r="Z3" s="208" t="s">
        <v>285</v>
      </c>
      <c r="AA3" s="207"/>
      <c r="AB3" s="208" t="s">
        <v>287</v>
      </c>
      <c r="AC3" s="208" t="s">
        <v>286</v>
      </c>
      <c r="AD3" s="208" t="s">
        <v>285</v>
      </c>
      <c r="AE3" s="207"/>
      <c r="AF3" s="206"/>
    </row>
    <row r="4" spans="2:32" x14ac:dyDescent="0.2">
      <c r="B4" s="186" t="s">
        <v>284</v>
      </c>
      <c r="C4" s="163"/>
      <c r="D4" s="161">
        <f>AVERAGE(E4:F4)</f>
        <v>0.08</v>
      </c>
      <c r="E4" s="161">
        <v>7.0000000000000007E-2</v>
      </c>
      <c r="F4" s="161">
        <v>0.09</v>
      </c>
      <c r="G4" s="163"/>
      <c r="H4" s="161"/>
      <c r="I4" s="161"/>
      <c r="J4" s="161"/>
      <c r="K4" s="163"/>
      <c r="L4" s="161"/>
      <c r="M4" s="161"/>
      <c r="N4" s="161"/>
      <c r="O4" s="163"/>
      <c r="P4" s="161"/>
      <c r="Q4" s="161"/>
      <c r="R4" s="161"/>
      <c r="S4" s="163"/>
      <c r="T4" s="161"/>
      <c r="U4" s="161"/>
      <c r="V4" s="161"/>
      <c r="W4" s="163"/>
      <c r="X4" s="161"/>
      <c r="Y4" s="161"/>
      <c r="Z4" s="161"/>
      <c r="AA4" s="147"/>
      <c r="AB4" s="161"/>
      <c r="AC4" s="161"/>
      <c r="AD4" s="161"/>
      <c r="AE4" s="147"/>
      <c r="AF4" s="183"/>
    </row>
    <row r="5" spans="2:32" x14ac:dyDescent="0.2">
      <c r="B5" s="186" t="s">
        <v>283</v>
      </c>
      <c r="C5" s="163"/>
      <c r="D5" s="190"/>
      <c r="E5" s="190"/>
      <c r="F5" s="190"/>
      <c r="G5" s="163"/>
      <c r="H5" s="190"/>
      <c r="I5" s="190"/>
      <c r="J5" s="190"/>
      <c r="K5" s="163"/>
      <c r="L5" s="190"/>
      <c r="M5" s="190"/>
      <c r="N5" s="190"/>
      <c r="O5" s="163"/>
      <c r="P5" s="190">
        <f>AVERAGE(Q5:R5)</f>
        <v>5</v>
      </c>
      <c r="Q5" s="190">
        <v>4</v>
      </c>
      <c r="R5" s="190">
        <v>6</v>
      </c>
      <c r="S5" s="163"/>
      <c r="T5" s="190"/>
      <c r="U5" s="190"/>
      <c r="V5" s="190"/>
      <c r="W5" s="163"/>
      <c r="X5" s="190"/>
      <c r="Y5" s="190"/>
      <c r="Z5" s="190"/>
      <c r="AA5" s="147"/>
      <c r="AB5" s="190"/>
      <c r="AC5" s="190"/>
      <c r="AD5" s="190"/>
      <c r="AE5" s="147"/>
    </row>
    <row r="6" spans="2:32" x14ac:dyDescent="0.2">
      <c r="B6" s="186" t="s">
        <v>219</v>
      </c>
      <c r="C6" s="163"/>
      <c r="D6" s="190"/>
      <c r="E6" s="190"/>
      <c r="F6" s="190"/>
      <c r="G6" s="163"/>
      <c r="H6" s="190"/>
      <c r="I6" s="190"/>
      <c r="J6" s="190"/>
      <c r="K6" s="163"/>
      <c r="L6" s="190"/>
      <c r="M6" s="190"/>
      <c r="N6" s="190"/>
      <c r="O6" s="163"/>
      <c r="P6" s="161">
        <v>0.24</v>
      </c>
      <c r="Q6" s="190"/>
      <c r="R6" s="190"/>
      <c r="S6" s="163"/>
      <c r="T6" s="190"/>
      <c r="U6" s="190"/>
      <c r="V6" s="190"/>
      <c r="W6" s="163"/>
      <c r="X6" s="190"/>
      <c r="Y6" s="190"/>
      <c r="Z6" s="190"/>
      <c r="AA6" s="147"/>
      <c r="AB6" s="190"/>
      <c r="AC6" s="190"/>
      <c r="AD6" s="190"/>
      <c r="AE6" s="147"/>
    </row>
    <row r="7" spans="2:32" x14ac:dyDescent="0.2">
      <c r="B7" s="186" t="s">
        <v>282</v>
      </c>
      <c r="C7" s="163"/>
      <c r="D7" s="204">
        <v>255</v>
      </c>
      <c r="E7" s="152"/>
      <c r="F7" s="152"/>
      <c r="G7" s="163"/>
      <c r="H7" s="204">
        <v>270</v>
      </c>
      <c r="I7" s="152"/>
      <c r="J7" s="152"/>
      <c r="K7" s="163"/>
      <c r="L7" s="204">
        <v>270</v>
      </c>
      <c r="M7" s="152"/>
      <c r="N7" s="152"/>
      <c r="O7" s="163"/>
      <c r="P7" s="204">
        <v>1013</v>
      </c>
      <c r="Q7" s="152"/>
      <c r="R7" s="152"/>
      <c r="S7" s="163"/>
      <c r="T7" s="152"/>
      <c r="U7" s="152"/>
      <c r="V7" s="152"/>
      <c r="W7" s="163"/>
      <c r="X7" s="152"/>
      <c r="Y7" s="152"/>
      <c r="Z7" s="152"/>
      <c r="AA7" s="147"/>
      <c r="AB7" s="152"/>
      <c r="AC7" s="152"/>
      <c r="AD7" s="152"/>
      <c r="AE7" s="147"/>
    </row>
    <row r="8" spans="2:32" x14ac:dyDescent="0.2">
      <c r="B8" s="186" t="s">
        <v>281</v>
      </c>
      <c r="C8" s="163"/>
      <c r="D8" s="204">
        <v>730</v>
      </c>
      <c r="E8" s="152"/>
      <c r="F8" s="152"/>
      <c r="G8" s="163"/>
      <c r="H8" s="204">
        <v>715</v>
      </c>
      <c r="I8" s="152"/>
      <c r="J8" s="152"/>
      <c r="K8" s="163"/>
      <c r="L8" s="204">
        <v>700</v>
      </c>
      <c r="M8" s="152"/>
      <c r="N8" s="152"/>
      <c r="O8" s="163"/>
      <c r="P8" s="204">
        <v>2853</v>
      </c>
      <c r="Q8" s="152"/>
      <c r="R8" s="152"/>
      <c r="S8" s="163"/>
      <c r="T8" s="152"/>
      <c r="U8" s="152"/>
      <c r="V8" s="152"/>
      <c r="W8" s="163"/>
      <c r="X8" s="152"/>
      <c r="Y8" s="152"/>
      <c r="Z8" s="152"/>
      <c r="AA8" s="147"/>
      <c r="AB8" s="152"/>
      <c r="AC8" s="152"/>
      <c r="AD8" s="152"/>
      <c r="AE8" s="147"/>
    </row>
    <row r="9" spans="2:32" x14ac:dyDescent="0.2">
      <c r="B9" s="186" t="s">
        <v>15</v>
      </c>
      <c r="C9" s="163"/>
      <c r="D9" s="204">
        <v>38</v>
      </c>
      <c r="E9" s="152"/>
      <c r="F9" s="152"/>
      <c r="G9" s="163"/>
      <c r="H9" s="204">
        <v>36</v>
      </c>
      <c r="I9" s="152"/>
      <c r="J9" s="152"/>
      <c r="K9" s="163"/>
      <c r="L9" s="204">
        <v>32</v>
      </c>
      <c r="M9" s="152"/>
      <c r="N9" s="152"/>
      <c r="O9" s="163"/>
      <c r="P9" s="204">
        <v>139</v>
      </c>
      <c r="Q9" s="152"/>
      <c r="R9" s="152"/>
      <c r="S9" s="163"/>
      <c r="T9" s="152"/>
      <c r="U9" s="152"/>
      <c r="V9" s="152"/>
      <c r="W9" s="163"/>
      <c r="X9" s="152"/>
      <c r="Y9" s="152"/>
      <c r="Z9" s="152"/>
      <c r="AA9" s="147"/>
      <c r="AB9" s="152"/>
      <c r="AC9" s="152"/>
      <c r="AD9" s="152"/>
      <c r="AE9" s="147"/>
    </row>
    <row r="10" spans="2:32" x14ac:dyDescent="0.2">
      <c r="B10" s="186" t="s">
        <v>280</v>
      </c>
      <c r="C10" s="163"/>
      <c r="D10" s="204">
        <v>-270</v>
      </c>
      <c r="E10" s="152"/>
      <c r="F10" s="152"/>
      <c r="G10" s="163"/>
      <c r="H10" s="204">
        <v>-269</v>
      </c>
      <c r="I10" s="152"/>
      <c r="J10" s="152"/>
      <c r="K10" s="163"/>
      <c r="L10" s="204">
        <v>-253</v>
      </c>
      <c r="M10" s="152"/>
      <c r="N10" s="152"/>
      <c r="O10" s="163"/>
      <c r="P10" s="204">
        <v>-1063</v>
      </c>
      <c r="Q10" s="152"/>
      <c r="R10" s="152"/>
      <c r="S10" s="163"/>
      <c r="T10" s="152"/>
      <c r="U10" s="152"/>
      <c r="V10" s="152"/>
      <c r="W10" s="163"/>
      <c r="X10" s="152"/>
      <c r="Y10" s="152"/>
      <c r="Z10" s="152"/>
      <c r="AA10" s="147"/>
      <c r="AB10" s="152"/>
      <c r="AC10" s="152"/>
      <c r="AD10" s="152"/>
      <c r="AE10" s="147"/>
    </row>
    <row r="11" spans="2:32" x14ac:dyDescent="0.2">
      <c r="B11" s="221" t="s">
        <v>299</v>
      </c>
      <c r="C11" s="163"/>
      <c r="D11" s="204">
        <v>46</v>
      </c>
      <c r="E11" s="152"/>
      <c r="F11" s="152"/>
      <c r="G11" s="163"/>
      <c r="H11" s="204">
        <v>45</v>
      </c>
      <c r="I11" s="152"/>
      <c r="J11" s="152"/>
      <c r="K11" s="163"/>
      <c r="L11" s="204">
        <v>44</v>
      </c>
      <c r="M11" s="152"/>
      <c r="N11" s="152"/>
      <c r="O11" s="163"/>
      <c r="P11" s="204">
        <v>174</v>
      </c>
      <c r="Q11" s="152"/>
      <c r="R11" s="152"/>
      <c r="S11" s="163"/>
      <c r="T11" s="152"/>
      <c r="U11" s="152"/>
      <c r="V11" s="152"/>
      <c r="W11" s="163"/>
      <c r="X11" s="152"/>
      <c r="Y11" s="152"/>
      <c r="Z11" s="152"/>
      <c r="AA11" s="147"/>
      <c r="AB11" s="152"/>
      <c r="AC11" s="152"/>
      <c r="AD11" s="152"/>
      <c r="AE11" s="147"/>
    </row>
    <row r="12" spans="2:32" s="149" customFormat="1" x14ac:dyDescent="0.2">
      <c r="B12" s="205" t="s">
        <v>278</v>
      </c>
      <c r="C12" s="213"/>
      <c r="D12" s="204">
        <f>AVERAGE(E12:F12)</f>
        <v>10805.5</v>
      </c>
      <c r="E12" s="204">
        <v>10697</v>
      </c>
      <c r="F12" s="204">
        <v>10914</v>
      </c>
      <c r="G12" s="213"/>
      <c r="H12" s="204">
        <f>AVERAGE(I12:J12)</f>
        <v>11052.5</v>
      </c>
      <c r="I12" s="204">
        <v>10941</v>
      </c>
      <c r="J12" s="204">
        <v>11164</v>
      </c>
      <c r="K12" s="213"/>
      <c r="L12" s="204">
        <f>AVERAGE(M12:N12)</f>
        <v>10669.5</v>
      </c>
      <c r="M12" s="204">
        <v>10560</v>
      </c>
      <c r="N12" s="204">
        <v>10779</v>
      </c>
      <c r="O12" s="213"/>
      <c r="P12" s="204">
        <f>AVERAGE(Q12:R12)</f>
        <v>42682</v>
      </c>
      <c r="Q12" s="204">
        <v>42435</v>
      </c>
      <c r="R12" s="204">
        <v>42929</v>
      </c>
      <c r="S12" s="213"/>
      <c r="T12" s="212"/>
      <c r="U12" s="212"/>
      <c r="V12" s="212"/>
      <c r="W12" s="213"/>
      <c r="X12" s="212"/>
      <c r="Y12" s="212"/>
      <c r="Z12" s="212"/>
      <c r="AA12" s="176"/>
      <c r="AB12" s="212"/>
      <c r="AC12" s="212"/>
      <c r="AD12" s="212"/>
      <c r="AE12" s="176"/>
      <c r="AF12" s="175"/>
    </row>
    <row r="13" spans="2:32" s="149" customFormat="1" x14ac:dyDescent="0.2">
      <c r="B13" s="179" t="s">
        <v>277</v>
      </c>
      <c r="C13" s="213"/>
      <c r="D13" s="204">
        <f>AVERAGE(E13:F13)</f>
        <v>2498.5</v>
      </c>
      <c r="E13" s="204">
        <v>2470</v>
      </c>
      <c r="F13" s="204">
        <v>2527</v>
      </c>
      <c r="G13" s="213"/>
      <c r="H13" s="204">
        <f>AVERAGE(I13:J13)</f>
        <v>2678</v>
      </c>
      <c r="I13" s="204">
        <v>2648</v>
      </c>
      <c r="J13" s="204">
        <v>2708</v>
      </c>
      <c r="K13" s="213"/>
      <c r="L13" s="204">
        <f>AVERAGE(M13:N13)</f>
        <v>2467</v>
      </c>
      <c r="M13" s="204">
        <v>2439</v>
      </c>
      <c r="N13" s="204">
        <v>2495</v>
      </c>
      <c r="O13" s="213"/>
      <c r="P13" s="204">
        <f>AVERAGE(Q13:R13)</f>
        <v>9792.5</v>
      </c>
      <c r="Q13" s="204">
        <v>9705</v>
      </c>
      <c r="R13" s="204">
        <v>9880</v>
      </c>
      <c r="S13" s="213"/>
      <c r="T13" s="212"/>
      <c r="U13" s="212"/>
      <c r="V13" s="212"/>
      <c r="W13" s="213"/>
      <c r="X13" s="212"/>
      <c r="Y13" s="212"/>
      <c r="Z13" s="212"/>
      <c r="AA13" s="176"/>
      <c r="AB13" s="212"/>
      <c r="AC13" s="212"/>
      <c r="AD13" s="212"/>
      <c r="AE13" s="176"/>
      <c r="AF13" s="175"/>
    </row>
    <row r="14" spans="2:32" s="149" customFormat="1" x14ac:dyDescent="0.2">
      <c r="B14" s="179" t="s">
        <v>276</v>
      </c>
      <c r="C14" s="213"/>
      <c r="D14" s="204"/>
      <c r="E14" s="204"/>
      <c r="F14" s="204"/>
      <c r="G14" s="213"/>
      <c r="H14" s="204"/>
      <c r="I14" s="204"/>
      <c r="J14" s="204"/>
      <c r="K14" s="213"/>
      <c r="L14" s="204"/>
      <c r="M14" s="204"/>
      <c r="N14" s="204"/>
      <c r="O14" s="213"/>
      <c r="P14" s="204">
        <f>AVERAGE(Q14:R14)</f>
        <v>138</v>
      </c>
      <c r="Q14" s="204">
        <v>138</v>
      </c>
      <c r="R14" s="204">
        <v>138</v>
      </c>
      <c r="S14" s="213"/>
      <c r="T14" s="212"/>
      <c r="U14" s="212"/>
      <c r="V14" s="212"/>
      <c r="W14" s="213"/>
      <c r="X14" s="212"/>
      <c r="Y14" s="212"/>
      <c r="Z14" s="212"/>
      <c r="AA14" s="176"/>
      <c r="AB14" s="212"/>
      <c r="AC14" s="212"/>
      <c r="AD14" s="212"/>
      <c r="AE14" s="176"/>
      <c r="AF14" s="175"/>
    </row>
    <row r="15" spans="2:32" s="149" customFormat="1" x14ac:dyDescent="0.2">
      <c r="B15" s="179" t="s">
        <v>275</v>
      </c>
      <c r="C15" s="213"/>
      <c r="D15" s="204">
        <f>AVERAGE(E15:F15)</f>
        <v>8306.5</v>
      </c>
      <c r="E15" s="204">
        <v>8227</v>
      </c>
      <c r="F15" s="204">
        <v>8386</v>
      </c>
      <c r="G15" s="213"/>
      <c r="H15" s="204">
        <f>AVERAGE(I15:J15)</f>
        <v>8374</v>
      </c>
      <c r="I15" s="204">
        <v>8293</v>
      </c>
      <c r="J15" s="204">
        <v>8455</v>
      </c>
      <c r="K15" s="213"/>
      <c r="L15" s="204">
        <f>AVERAGE(M15:N15)</f>
        <v>8202.5</v>
      </c>
      <c r="M15" s="204">
        <v>8121</v>
      </c>
      <c r="N15" s="204">
        <v>8284</v>
      </c>
      <c r="O15" s="213"/>
      <c r="P15" s="204">
        <f>AVERAGE(Q15:R15)</f>
        <v>32751</v>
      </c>
      <c r="Q15" s="204">
        <v>32591</v>
      </c>
      <c r="R15" s="204">
        <v>32911</v>
      </c>
      <c r="S15" s="213"/>
      <c r="T15" s="212"/>
      <c r="U15" s="212"/>
      <c r="V15" s="212"/>
      <c r="W15" s="213"/>
      <c r="X15" s="212"/>
      <c r="Y15" s="212"/>
      <c r="Z15" s="212"/>
      <c r="AA15" s="176"/>
      <c r="AB15" s="212"/>
      <c r="AC15" s="212"/>
      <c r="AD15" s="212"/>
      <c r="AE15" s="176"/>
      <c r="AF15" s="175"/>
    </row>
    <row r="16" spans="2:32" ht="5.0999999999999996" customHeight="1" x14ac:dyDescent="0.2">
      <c r="B16" s="186"/>
      <c r="C16" s="163"/>
      <c r="D16" s="161"/>
      <c r="E16" s="161"/>
      <c r="F16" s="161"/>
      <c r="G16" s="163"/>
      <c r="H16" s="161"/>
      <c r="I16" s="161"/>
      <c r="J16" s="161"/>
      <c r="K16" s="163"/>
      <c r="L16" s="161"/>
      <c r="M16" s="161"/>
      <c r="N16" s="161"/>
      <c r="O16" s="163"/>
      <c r="P16" s="161"/>
      <c r="Q16" s="161"/>
      <c r="R16" s="161"/>
      <c r="S16" s="163"/>
      <c r="T16" s="161"/>
      <c r="U16" s="161"/>
      <c r="V16" s="161"/>
      <c r="W16" s="163"/>
      <c r="X16" s="161"/>
      <c r="Y16" s="161"/>
      <c r="Z16" s="161"/>
      <c r="AA16" s="147"/>
      <c r="AB16" s="161"/>
      <c r="AC16" s="161"/>
      <c r="AD16" s="161"/>
      <c r="AE16" s="147"/>
      <c r="AF16" s="183"/>
    </row>
    <row r="17" spans="2:32" s="187" customFormat="1" x14ac:dyDescent="0.2">
      <c r="B17" s="154" t="s">
        <v>274</v>
      </c>
      <c r="C17" s="219"/>
      <c r="D17" s="204">
        <v>391</v>
      </c>
      <c r="E17" s="193"/>
      <c r="F17" s="193"/>
      <c r="G17" s="219"/>
      <c r="H17" s="204">
        <v>391</v>
      </c>
      <c r="I17" s="193"/>
      <c r="J17" s="193"/>
      <c r="K17" s="219"/>
      <c r="L17" s="204">
        <v>391</v>
      </c>
      <c r="M17" s="193"/>
      <c r="N17" s="193"/>
      <c r="O17" s="219"/>
      <c r="P17" s="204">
        <v>1700</v>
      </c>
      <c r="Q17" s="193"/>
      <c r="R17" s="193"/>
      <c r="S17" s="219"/>
      <c r="T17" s="204">
        <v>1700</v>
      </c>
      <c r="U17" s="193"/>
      <c r="V17" s="193"/>
      <c r="W17" s="219"/>
      <c r="X17" s="204">
        <v>1200</v>
      </c>
      <c r="Y17" s="193"/>
      <c r="Z17" s="193"/>
      <c r="AA17" s="188"/>
      <c r="AB17" s="204"/>
      <c r="AC17" s="193"/>
      <c r="AD17" s="193"/>
      <c r="AE17" s="188"/>
      <c r="AF17" s="201"/>
    </row>
    <row r="18" spans="2:32" s="187" customFormat="1" x14ac:dyDescent="0.2">
      <c r="B18" s="154" t="s">
        <v>273</v>
      </c>
      <c r="C18" s="219"/>
      <c r="D18" s="204">
        <v>769</v>
      </c>
      <c r="E18" s="193"/>
      <c r="F18" s="193"/>
      <c r="G18" s="219"/>
      <c r="H18" s="204">
        <v>567</v>
      </c>
      <c r="I18" s="193"/>
      <c r="J18" s="193"/>
      <c r="K18" s="219"/>
      <c r="L18" s="204">
        <v>620</v>
      </c>
      <c r="M18" s="193"/>
      <c r="N18" s="193"/>
      <c r="O18" s="219"/>
      <c r="P18" s="204">
        <v>2734</v>
      </c>
      <c r="Q18" s="193"/>
      <c r="R18" s="193"/>
      <c r="S18" s="219"/>
      <c r="T18" s="204">
        <v>1900</v>
      </c>
      <c r="U18" s="193"/>
      <c r="V18" s="193"/>
      <c r="W18" s="219"/>
      <c r="X18" s="204">
        <v>1000</v>
      </c>
      <c r="Y18" s="193"/>
      <c r="Z18" s="193"/>
      <c r="AA18" s="188"/>
      <c r="AB18" s="204"/>
      <c r="AC18" s="193"/>
      <c r="AD18" s="193"/>
      <c r="AE18" s="188"/>
      <c r="AF18" s="201"/>
    </row>
    <row r="19" spans="2:32" s="187" customFormat="1" x14ac:dyDescent="0.2">
      <c r="B19" s="154" t="s">
        <v>272</v>
      </c>
      <c r="C19" s="219"/>
      <c r="D19" s="204">
        <v>-734</v>
      </c>
      <c r="E19" s="193"/>
      <c r="F19" s="193"/>
      <c r="G19" s="219"/>
      <c r="H19" s="204">
        <v>-564</v>
      </c>
      <c r="I19" s="193"/>
      <c r="J19" s="193"/>
      <c r="K19" s="219"/>
      <c r="L19" s="204">
        <v>-515</v>
      </c>
      <c r="M19" s="193"/>
      <c r="N19" s="193"/>
      <c r="O19" s="219"/>
      <c r="P19" s="204">
        <v>-2565</v>
      </c>
      <c r="Q19" s="193"/>
      <c r="R19" s="193"/>
      <c r="S19" s="219"/>
      <c r="T19" s="193"/>
      <c r="U19" s="193"/>
      <c r="V19" s="193"/>
      <c r="W19" s="219"/>
      <c r="X19" s="193"/>
      <c r="Y19" s="193"/>
      <c r="Z19" s="193"/>
      <c r="AA19" s="188"/>
      <c r="AB19" s="193"/>
      <c r="AC19" s="193"/>
      <c r="AD19" s="193"/>
      <c r="AE19" s="188"/>
      <c r="AF19" s="201"/>
    </row>
    <row r="20" spans="2:32" s="187" customFormat="1" x14ac:dyDescent="0.2">
      <c r="B20" s="154" t="s">
        <v>271</v>
      </c>
      <c r="C20" s="219"/>
      <c r="D20" s="204">
        <v>35</v>
      </c>
      <c r="E20" s="193"/>
      <c r="F20" s="193"/>
      <c r="G20" s="219"/>
      <c r="H20" s="204">
        <v>4</v>
      </c>
      <c r="I20" s="193"/>
      <c r="J20" s="193"/>
      <c r="K20" s="219"/>
      <c r="L20" s="204">
        <v>105</v>
      </c>
      <c r="M20" s="193"/>
      <c r="N20" s="193"/>
      <c r="O20" s="219"/>
      <c r="P20" s="204">
        <v>169</v>
      </c>
      <c r="Q20" s="193"/>
      <c r="R20" s="193"/>
      <c r="S20" s="219"/>
      <c r="T20" s="193"/>
      <c r="U20" s="193"/>
      <c r="V20" s="193"/>
      <c r="W20" s="219"/>
      <c r="X20" s="193"/>
      <c r="Y20" s="193"/>
      <c r="Z20" s="193"/>
      <c r="AA20" s="188"/>
      <c r="AB20" s="193"/>
      <c r="AC20" s="193"/>
      <c r="AD20" s="193"/>
      <c r="AE20" s="188"/>
      <c r="AF20" s="201"/>
    </row>
    <row r="21" spans="2:32" s="187" customFormat="1" x14ac:dyDescent="0.2">
      <c r="B21" s="154" t="s">
        <v>270</v>
      </c>
      <c r="C21" s="219"/>
      <c r="D21" s="204">
        <f>D17+D18</f>
        <v>1160</v>
      </c>
      <c r="E21" s="193"/>
      <c r="F21" s="193"/>
      <c r="G21" s="219"/>
      <c r="H21" s="204">
        <f>H17+H18</f>
        <v>958</v>
      </c>
      <c r="I21" s="193"/>
      <c r="J21" s="193"/>
      <c r="K21" s="219"/>
      <c r="L21" s="204">
        <f>L17+L18</f>
        <v>1011</v>
      </c>
      <c r="M21" s="193"/>
      <c r="N21" s="193"/>
      <c r="O21" s="219"/>
      <c r="P21" s="204">
        <v>4400</v>
      </c>
      <c r="Q21" s="193"/>
      <c r="R21" s="193"/>
      <c r="S21" s="219"/>
      <c r="T21" s="204">
        <f>P21+800</f>
        <v>5200</v>
      </c>
      <c r="U21" s="193"/>
      <c r="V21" s="193"/>
      <c r="W21" s="219"/>
      <c r="X21" s="204">
        <f>T21+1400</f>
        <v>6600</v>
      </c>
      <c r="Y21" s="193"/>
      <c r="Z21" s="193"/>
      <c r="AA21" s="188"/>
      <c r="AB21" s="204"/>
      <c r="AC21" s="193"/>
      <c r="AD21" s="193"/>
      <c r="AE21" s="188"/>
      <c r="AF21" s="201"/>
    </row>
    <row r="22" spans="2:32" s="187" customFormat="1" ht="5.0999999999999996" customHeight="1" x14ac:dyDescent="0.2">
      <c r="B22" s="154"/>
      <c r="C22" s="219"/>
      <c r="D22" s="193"/>
      <c r="E22" s="193"/>
      <c r="F22" s="193"/>
      <c r="G22" s="219"/>
      <c r="H22" s="193"/>
      <c r="I22" s="193"/>
      <c r="J22" s="193"/>
      <c r="K22" s="219"/>
      <c r="L22" s="193"/>
      <c r="M22" s="193"/>
      <c r="N22" s="193"/>
      <c r="O22" s="219"/>
      <c r="P22" s="204"/>
      <c r="Q22" s="193"/>
      <c r="R22" s="193"/>
      <c r="S22" s="219"/>
      <c r="T22" s="204"/>
      <c r="U22" s="193"/>
      <c r="V22" s="193"/>
      <c r="W22" s="219"/>
      <c r="X22" s="204"/>
      <c r="Y22" s="193"/>
      <c r="Z22" s="193"/>
      <c r="AA22" s="188"/>
      <c r="AB22" s="204"/>
      <c r="AC22" s="193"/>
      <c r="AD22" s="193"/>
      <c r="AE22" s="188"/>
      <c r="AF22" s="201"/>
    </row>
    <row r="23" spans="2:32" s="187" customFormat="1" x14ac:dyDescent="0.2">
      <c r="B23" s="154" t="s">
        <v>269</v>
      </c>
      <c r="C23" s="219"/>
      <c r="D23" s="204">
        <v>445</v>
      </c>
      <c r="E23" s="193"/>
      <c r="F23" s="193"/>
      <c r="G23" s="219"/>
      <c r="H23" s="204">
        <v>445</v>
      </c>
      <c r="I23" s="193"/>
      <c r="J23" s="193"/>
      <c r="K23" s="219"/>
      <c r="L23" s="204">
        <v>445</v>
      </c>
      <c r="M23" s="193"/>
      <c r="N23" s="193"/>
      <c r="O23" s="219"/>
      <c r="P23" s="204">
        <v>447</v>
      </c>
      <c r="Q23" s="193"/>
      <c r="R23" s="193"/>
      <c r="S23" s="219"/>
      <c r="T23" s="218"/>
      <c r="U23" s="193"/>
      <c r="V23" s="193"/>
      <c r="W23" s="219"/>
      <c r="X23" s="218"/>
      <c r="Y23" s="193"/>
      <c r="Z23" s="193"/>
      <c r="AA23" s="188"/>
      <c r="AB23" s="218"/>
      <c r="AC23" s="193"/>
      <c r="AD23" s="193"/>
      <c r="AE23" s="188"/>
      <c r="AF23" s="201"/>
    </row>
    <row r="24" spans="2:32" s="187" customFormat="1" x14ac:dyDescent="0.2">
      <c r="B24" s="154" t="s">
        <v>268</v>
      </c>
      <c r="C24" s="219"/>
      <c r="D24" s="204">
        <v>445</v>
      </c>
      <c r="E24" s="193"/>
      <c r="F24" s="193"/>
      <c r="G24" s="219"/>
      <c r="H24" s="204">
        <v>445</v>
      </c>
      <c r="I24" s="193"/>
      <c r="J24" s="193"/>
      <c r="K24" s="219"/>
      <c r="L24" s="204">
        <v>445</v>
      </c>
      <c r="M24" s="193"/>
      <c r="N24" s="193"/>
      <c r="O24" s="219"/>
      <c r="P24" s="204">
        <v>447</v>
      </c>
      <c r="Q24" s="193"/>
      <c r="R24" s="193"/>
      <c r="S24" s="219"/>
      <c r="T24" s="218"/>
      <c r="U24" s="193"/>
      <c r="V24" s="193"/>
      <c r="W24" s="219"/>
      <c r="X24" s="218"/>
      <c r="Y24" s="193"/>
      <c r="Z24" s="193"/>
      <c r="AA24" s="188"/>
      <c r="AB24" s="218"/>
      <c r="AC24" s="193"/>
      <c r="AD24" s="193"/>
      <c r="AE24" s="188"/>
      <c r="AF24" s="201"/>
    </row>
    <row r="25" spans="2:32" s="187" customFormat="1" x14ac:dyDescent="0.2">
      <c r="B25" s="154" t="s">
        <v>267</v>
      </c>
      <c r="C25" s="219"/>
      <c r="D25" s="204">
        <v>445</v>
      </c>
      <c r="E25" s="193"/>
      <c r="F25" s="193"/>
      <c r="G25" s="219"/>
      <c r="H25" s="204">
        <v>445</v>
      </c>
      <c r="I25" s="193"/>
      <c r="J25" s="193"/>
      <c r="K25" s="219"/>
      <c r="L25" s="204">
        <v>445</v>
      </c>
      <c r="M25" s="193"/>
      <c r="N25" s="193"/>
      <c r="O25" s="219"/>
      <c r="P25" s="204">
        <v>447</v>
      </c>
      <c r="Q25" s="193"/>
      <c r="R25" s="193"/>
      <c r="S25" s="219"/>
      <c r="T25" s="218"/>
      <c r="U25" s="193"/>
      <c r="V25" s="193"/>
      <c r="W25" s="219"/>
      <c r="X25" s="218"/>
      <c r="Y25" s="193"/>
      <c r="Z25" s="193"/>
      <c r="AA25" s="188"/>
      <c r="AB25" s="218"/>
      <c r="AC25" s="193"/>
      <c r="AD25" s="193"/>
      <c r="AE25" s="188"/>
      <c r="AF25" s="201"/>
    </row>
    <row r="26" spans="2:32" s="187" customFormat="1" x14ac:dyDescent="0.2">
      <c r="B26" s="154" t="s">
        <v>266</v>
      </c>
      <c r="C26" s="219"/>
      <c r="D26" s="204">
        <v>446</v>
      </c>
      <c r="E26" s="193"/>
      <c r="F26" s="193"/>
      <c r="G26" s="219"/>
      <c r="H26" s="204">
        <v>446</v>
      </c>
      <c r="I26" s="193"/>
      <c r="J26" s="193"/>
      <c r="K26" s="219"/>
      <c r="L26" s="204">
        <v>446</v>
      </c>
      <c r="M26" s="193"/>
      <c r="N26" s="193"/>
      <c r="O26" s="219"/>
      <c r="P26" s="204">
        <v>448</v>
      </c>
      <c r="Q26" s="193"/>
      <c r="R26" s="193"/>
      <c r="S26" s="219"/>
      <c r="T26" s="218"/>
      <c r="U26" s="193"/>
      <c r="V26" s="193"/>
      <c r="W26" s="219"/>
      <c r="X26" s="218"/>
      <c r="Y26" s="193"/>
      <c r="Z26" s="193"/>
      <c r="AA26" s="188"/>
      <c r="AB26" s="218"/>
      <c r="AC26" s="193"/>
      <c r="AD26" s="193"/>
      <c r="AE26" s="188"/>
      <c r="AF26" s="201"/>
    </row>
    <row r="27" spans="2:32" s="187" customFormat="1" ht="5.0999999999999996" customHeight="1" x14ac:dyDescent="0.2">
      <c r="B27" s="154"/>
      <c r="C27" s="219"/>
      <c r="D27" s="204"/>
      <c r="E27" s="193"/>
      <c r="F27" s="193"/>
      <c r="G27" s="219"/>
      <c r="H27" s="204"/>
      <c r="I27" s="193"/>
      <c r="J27" s="193"/>
      <c r="K27" s="219"/>
      <c r="L27" s="204"/>
      <c r="M27" s="193"/>
      <c r="N27" s="193"/>
      <c r="O27" s="219"/>
      <c r="P27" s="204"/>
      <c r="Q27" s="193"/>
      <c r="R27" s="193"/>
      <c r="S27" s="219"/>
      <c r="T27" s="218"/>
      <c r="U27" s="193"/>
      <c r="V27" s="193"/>
      <c r="W27" s="219"/>
      <c r="X27" s="218"/>
      <c r="Y27" s="193"/>
      <c r="Z27" s="193"/>
      <c r="AA27" s="188"/>
      <c r="AB27" s="218"/>
      <c r="AC27" s="193"/>
      <c r="AD27" s="193"/>
      <c r="AE27" s="188"/>
      <c r="AF27" s="201"/>
    </row>
    <row r="28" spans="2:32" x14ac:dyDescent="0.2">
      <c r="B28" s="186" t="s">
        <v>265</v>
      </c>
      <c r="C28" s="163"/>
      <c r="D28" s="161">
        <f>AVERAGE(E28:F28)</f>
        <v>0.02</v>
      </c>
      <c r="E28" s="161">
        <v>0.01</v>
      </c>
      <c r="F28" s="200">
        <v>0.03</v>
      </c>
      <c r="G28" s="163"/>
      <c r="H28" s="161"/>
      <c r="I28" s="161"/>
      <c r="J28" s="217"/>
      <c r="K28" s="163"/>
      <c r="L28" s="161"/>
      <c r="M28" s="161"/>
      <c r="N28" s="217"/>
      <c r="O28" s="163"/>
      <c r="P28" s="216"/>
      <c r="Q28" s="216"/>
      <c r="R28" s="216"/>
      <c r="S28" s="163"/>
      <c r="T28" s="216"/>
      <c r="U28" s="216"/>
      <c r="V28" s="216"/>
      <c r="W28" s="163"/>
      <c r="X28" s="216"/>
      <c r="Y28" s="216"/>
      <c r="Z28" s="216"/>
      <c r="AA28" s="147"/>
      <c r="AB28" s="216"/>
      <c r="AC28" s="216"/>
      <c r="AD28" s="216"/>
      <c r="AE28" s="147"/>
    </row>
    <row r="29" spans="2:32" x14ac:dyDescent="0.2">
      <c r="B29" s="186" t="s">
        <v>264</v>
      </c>
      <c r="C29" s="163"/>
      <c r="D29" s="193">
        <f>AVERAGE(E29:F29)</f>
        <v>2.165</v>
      </c>
      <c r="E29" s="193">
        <v>2.14</v>
      </c>
      <c r="F29" s="193">
        <v>2.19</v>
      </c>
      <c r="G29" s="163"/>
      <c r="H29" s="193">
        <f>AVERAGE(I29:J29)</f>
        <v>2.2149999999999999</v>
      </c>
      <c r="I29" s="193">
        <v>2.19</v>
      </c>
      <c r="J29" s="193">
        <v>2.2400000000000002</v>
      </c>
      <c r="K29" s="163"/>
      <c r="L29" s="193">
        <f>AVERAGE(M29:N29)</f>
        <v>2.1950000000000003</v>
      </c>
      <c r="M29" s="193">
        <v>2.17</v>
      </c>
      <c r="N29" s="193">
        <v>2.2200000000000002</v>
      </c>
      <c r="O29" s="163"/>
      <c r="P29" s="193">
        <f>AVERAGE(Q29:R29)</f>
        <v>2.1550000000000002</v>
      </c>
      <c r="Q29" s="193">
        <v>2.13</v>
      </c>
      <c r="R29" s="193">
        <v>2.1800000000000002</v>
      </c>
      <c r="S29" s="163"/>
      <c r="T29" s="152"/>
      <c r="U29" s="152"/>
      <c r="V29" s="152"/>
      <c r="W29" s="163"/>
      <c r="X29" s="152"/>
      <c r="Y29" s="152"/>
      <c r="Z29" s="152"/>
      <c r="AA29" s="147"/>
      <c r="AB29" s="152"/>
      <c r="AC29" s="152"/>
      <c r="AD29" s="152"/>
      <c r="AE29" s="147"/>
    </row>
    <row r="30" spans="2:32" x14ac:dyDescent="0.2">
      <c r="B30" s="186" t="s">
        <v>263</v>
      </c>
      <c r="C30" s="163"/>
      <c r="D30" s="204">
        <v>1154</v>
      </c>
      <c r="E30" s="152"/>
      <c r="F30" s="152"/>
      <c r="G30" s="163"/>
      <c r="H30" s="204">
        <v>1209</v>
      </c>
      <c r="I30" s="152"/>
      <c r="J30" s="152"/>
      <c r="K30" s="163"/>
      <c r="L30" s="204">
        <v>1124</v>
      </c>
      <c r="M30" s="152"/>
      <c r="N30" s="152"/>
      <c r="O30" s="163"/>
      <c r="P30" s="204">
        <v>4539</v>
      </c>
      <c r="Q30" s="152"/>
      <c r="R30" s="152"/>
      <c r="S30" s="163"/>
      <c r="T30" s="152"/>
      <c r="U30" s="152"/>
      <c r="V30" s="152"/>
      <c r="W30" s="163"/>
      <c r="X30" s="152"/>
      <c r="Y30" s="152"/>
      <c r="Z30" s="152"/>
      <c r="AA30" s="147"/>
      <c r="AB30" s="152"/>
      <c r="AC30" s="152"/>
      <c r="AD30" s="152"/>
      <c r="AE30" s="147"/>
    </row>
    <row r="31" spans="2:32" x14ac:dyDescent="0.2">
      <c r="B31" s="186" t="s">
        <v>262</v>
      </c>
      <c r="C31" s="163"/>
      <c r="D31" s="161"/>
      <c r="E31" s="161"/>
      <c r="F31" s="161"/>
      <c r="G31" s="163"/>
      <c r="H31" s="161"/>
      <c r="I31" s="161"/>
      <c r="J31" s="161"/>
      <c r="K31" s="163"/>
      <c r="L31" s="161"/>
      <c r="M31" s="161"/>
      <c r="N31" s="161"/>
      <c r="O31" s="163"/>
      <c r="P31" s="161">
        <v>2.5000000000000001E-2</v>
      </c>
      <c r="Q31" s="161"/>
      <c r="R31" s="161"/>
      <c r="S31" s="163"/>
      <c r="T31" s="161"/>
      <c r="U31" s="161"/>
      <c r="V31" s="161"/>
      <c r="W31" s="163"/>
      <c r="X31" s="161"/>
      <c r="Y31" s="161"/>
      <c r="Z31" s="161"/>
      <c r="AA31" s="147"/>
      <c r="AB31" s="161"/>
      <c r="AC31" s="161"/>
      <c r="AD31" s="161"/>
      <c r="AE31" s="147"/>
      <c r="AF31" s="183"/>
    </row>
    <row r="32" spans="2:32" s="169" customFormat="1" x14ac:dyDescent="0.2">
      <c r="B32" s="182" t="s">
        <v>261</v>
      </c>
      <c r="C32" s="214"/>
      <c r="D32" s="172">
        <f>AVERAGE(E32:F32)</f>
        <v>14.719999999999999</v>
      </c>
      <c r="E32" s="172">
        <v>14.57</v>
      </c>
      <c r="F32" s="172">
        <v>14.87</v>
      </c>
      <c r="G32" s="214"/>
      <c r="H32" s="172">
        <f>AVERAGE(I32:J32)</f>
        <v>14.405000000000001</v>
      </c>
      <c r="I32" s="172">
        <v>14.26</v>
      </c>
      <c r="J32" s="172">
        <v>14.55</v>
      </c>
      <c r="K32" s="214"/>
      <c r="L32" s="172">
        <f>AVERAGE(M32:N32)</f>
        <v>14.8</v>
      </c>
      <c r="M32" s="172">
        <v>14.65</v>
      </c>
      <c r="N32" s="172">
        <v>14.95</v>
      </c>
      <c r="O32" s="214"/>
      <c r="P32" s="172">
        <f>AVERAGE(Q32:R32)</f>
        <v>14.774999999999999</v>
      </c>
      <c r="Q32" s="172">
        <v>14.69</v>
      </c>
      <c r="R32" s="172">
        <v>14.86</v>
      </c>
      <c r="S32" s="214"/>
      <c r="T32" s="215"/>
      <c r="U32" s="215"/>
      <c r="V32" s="215"/>
      <c r="W32" s="214"/>
      <c r="X32" s="215"/>
      <c r="Y32" s="215"/>
      <c r="Z32" s="215"/>
      <c r="AA32" s="170"/>
      <c r="AB32" s="215"/>
      <c r="AC32" s="215"/>
      <c r="AD32" s="215"/>
      <c r="AE32" s="170"/>
      <c r="AF32" s="180"/>
    </row>
    <row r="33" spans="2:32" s="149" customFormat="1" x14ac:dyDescent="0.2">
      <c r="B33" s="179" t="s">
        <v>260</v>
      </c>
      <c r="C33" s="214"/>
      <c r="D33" s="172">
        <f>AVERAGE(E33:F33)</f>
        <v>11.32</v>
      </c>
      <c r="E33" s="172">
        <v>11.21</v>
      </c>
      <c r="F33" s="172">
        <v>11.43</v>
      </c>
      <c r="G33" s="214"/>
      <c r="H33" s="172">
        <f>AVERAGE(I33:J33)</f>
        <v>10.914999999999999</v>
      </c>
      <c r="I33" s="172">
        <v>10.81</v>
      </c>
      <c r="J33" s="172">
        <v>11.02</v>
      </c>
      <c r="K33" s="214"/>
      <c r="L33" s="172">
        <f>AVERAGE(M33:N33)</f>
        <v>11.375</v>
      </c>
      <c r="M33" s="172">
        <v>11.26</v>
      </c>
      <c r="N33" s="172">
        <v>11.49</v>
      </c>
      <c r="O33" s="214"/>
      <c r="P33" s="172">
        <f>AVERAGE(Q33:R33)</f>
        <v>11.335000000000001</v>
      </c>
      <c r="Q33" s="172">
        <v>11.28</v>
      </c>
      <c r="R33" s="172">
        <v>11.39</v>
      </c>
      <c r="S33" s="213"/>
      <c r="T33" s="212"/>
      <c r="U33" s="212"/>
      <c r="V33" s="212"/>
      <c r="W33" s="213"/>
      <c r="X33" s="212"/>
      <c r="Y33" s="212"/>
      <c r="Z33" s="212"/>
      <c r="AA33" s="176"/>
      <c r="AB33" s="212"/>
      <c r="AC33" s="212"/>
      <c r="AD33" s="212"/>
      <c r="AE33" s="176"/>
      <c r="AF33" s="175"/>
    </row>
    <row r="34" spans="2:32" s="158" customFormat="1" x14ac:dyDescent="0.2">
      <c r="B34" s="168" t="s">
        <v>259</v>
      </c>
      <c r="C34" s="162"/>
      <c r="D34" s="167">
        <f>AVERAGE(E34:F34)</f>
        <v>4.4999999999999998E-2</v>
      </c>
      <c r="E34" s="167">
        <v>3.5000000000000003E-2</v>
      </c>
      <c r="F34" s="167">
        <v>5.5E-2</v>
      </c>
      <c r="G34" s="162"/>
      <c r="H34" s="161">
        <f>AVERAGE(I34:J34)</f>
        <v>0.03</v>
      </c>
      <c r="I34" s="161">
        <v>0.02</v>
      </c>
      <c r="J34" s="161">
        <v>0.04</v>
      </c>
      <c r="K34" s="163"/>
      <c r="L34" s="161">
        <f>AVERAGE(M34:N34)</f>
        <v>4.9999999999999992E-3</v>
      </c>
      <c r="M34" s="167">
        <v>-5.0000000000000001E-3</v>
      </c>
      <c r="N34" s="161">
        <v>1.4999999999999999E-2</v>
      </c>
      <c r="O34" s="163"/>
      <c r="P34" s="161">
        <f>AVERAGE(Q34:R34)</f>
        <v>2.5000000000000001E-2</v>
      </c>
      <c r="Q34" s="161">
        <v>0.02</v>
      </c>
      <c r="R34" s="161">
        <v>0.03</v>
      </c>
      <c r="S34" s="163"/>
      <c r="T34" s="161">
        <f>AVERAGE(U34:V34)</f>
        <v>1.4999999999999999E-2</v>
      </c>
      <c r="U34" s="161">
        <v>0.01</v>
      </c>
      <c r="V34" s="161">
        <v>0.02</v>
      </c>
      <c r="W34" s="162"/>
      <c r="X34" s="167"/>
      <c r="Y34" s="167"/>
      <c r="Z34" s="167"/>
      <c r="AA34" s="160"/>
      <c r="AB34" s="167"/>
      <c r="AC34" s="167"/>
      <c r="AD34" s="167"/>
      <c r="AE34" s="160"/>
      <c r="AF34" s="159"/>
    </row>
    <row r="35" spans="2:32" x14ac:dyDescent="0.2">
      <c r="B35" s="154" t="s">
        <v>258</v>
      </c>
      <c r="C35" s="163"/>
      <c r="D35" s="204">
        <v>73400</v>
      </c>
      <c r="E35" s="152"/>
      <c r="F35" s="152"/>
      <c r="G35" s="163"/>
      <c r="H35" s="204">
        <v>76700</v>
      </c>
      <c r="I35" s="152"/>
      <c r="J35" s="152"/>
      <c r="K35" s="163"/>
      <c r="L35" s="204">
        <v>72100</v>
      </c>
      <c r="M35" s="152"/>
      <c r="N35" s="152"/>
      <c r="O35" s="163"/>
      <c r="P35" s="204">
        <v>288900</v>
      </c>
      <c r="Q35" s="152"/>
      <c r="R35" s="152"/>
      <c r="S35" s="163"/>
      <c r="T35" s="152"/>
      <c r="U35" s="152"/>
      <c r="V35" s="152"/>
      <c r="W35" s="163"/>
      <c r="X35" s="152"/>
      <c r="Y35" s="152"/>
      <c r="Z35" s="152"/>
      <c r="AA35" s="147"/>
      <c r="AB35" s="152"/>
      <c r="AC35" s="152"/>
      <c r="AD35" s="152"/>
      <c r="AE35" s="147"/>
    </row>
    <row r="36" spans="2:32" ht="5.0999999999999996" customHeight="1" thickBot="1" x14ac:dyDescent="0.25">
      <c r="B36" s="145"/>
      <c r="C36" s="144"/>
      <c r="D36" s="146"/>
      <c r="E36" s="145"/>
      <c r="F36" s="145"/>
      <c r="G36" s="144"/>
      <c r="H36" s="146"/>
      <c r="I36" s="145"/>
      <c r="J36" s="145"/>
      <c r="K36" s="144"/>
      <c r="L36" s="146"/>
      <c r="M36" s="145"/>
      <c r="N36" s="145"/>
      <c r="O36" s="144"/>
      <c r="P36" s="146"/>
      <c r="Q36" s="145"/>
      <c r="R36" s="145"/>
      <c r="S36" s="144"/>
      <c r="T36" s="145"/>
      <c r="U36" s="145"/>
      <c r="V36" s="145"/>
      <c r="W36" s="144"/>
      <c r="X36" s="145"/>
      <c r="Y36" s="145"/>
      <c r="Z36" s="145"/>
      <c r="AA36" s="144"/>
      <c r="AB36" s="145"/>
      <c r="AC36" s="145"/>
      <c r="AD36" s="145"/>
      <c r="AE36" s="144"/>
    </row>
    <row r="37" spans="2:32" ht="5.0999999999999996" customHeight="1" x14ac:dyDescent="0.2">
      <c r="C37" s="147"/>
      <c r="G37" s="147"/>
      <c r="K37" s="147"/>
      <c r="O37" s="147"/>
      <c r="S37" s="147"/>
      <c r="W37" s="147"/>
      <c r="AA37" s="147"/>
      <c r="AE37" s="147"/>
    </row>
    <row r="38" spans="2:32" ht="15" customHeight="1" x14ac:dyDescent="0.2">
      <c r="B38" s="220" t="s">
        <v>298</v>
      </c>
      <c r="C38" s="147"/>
      <c r="D38" s="330" t="s">
        <v>297</v>
      </c>
      <c r="E38" s="330"/>
      <c r="F38" s="330"/>
      <c r="G38" s="147"/>
      <c r="H38" s="330" t="s">
        <v>296</v>
      </c>
      <c r="I38" s="330"/>
      <c r="J38" s="330"/>
      <c r="K38" s="147"/>
      <c r="L38" s="330" t="s">
        <v>295</v>
      </c>
      <c r="M38" s="330"/>
      <c r="N38" s="330"/>
      <c r="O38" s="147"/>
      <c r="P38" s="330" t="s">
        <v>294</v>
      </c>
      <c r="Q38" s="330"/>
      <c r="R38" s="330"/>
      <c r="S38" s="147"/>
      <c r="T38" s="330" t="s">
        <v>289</v>
      </c>
      <c r="U38" s="330"/>
      <c r="V38" s="330"/>
      <c r="W38" s="147"/>
      <c r="X38" s="330" t="s">
        <v>288</v>
      </c>
      <c r="Y38" s="330"/>
      <c r="Z38" s="330"/>
      <c r="AA38" s="147"/>
      <c r="AB38" s="330" t="s">
        <v>293</v>
      </c>
      <c r="AC38" s="330"/>
      <c r="AD38" s="330"/>
      <c r="AE38" s="147"/>
      <c r="AF38" s="209"/>
    </row>
    <row r="39" spans="2:32" x14ac:dyDescent="0.2">
      <c r="B39" s="186"/>
      <c r="C39" s="207"/>
      <c r="D39" s="208" t="s">
        <v>287</v>
      </c>
      <c r="E39" s="208" t="s">
        <v>286</v>
      </c>
      <c r="F39" s="208" t="s">
        <v>285</v>
      </c>
      <c r="G39" s="207"/>
      <c r="H39" s="208" t="s">
        <v>287</v>
      </c>
      <c r="I39" s="208" t="s">
        <v>286</v>
      </c>
      <c r="J39" s="208" t="s">
        <v>285</v>
      </c>
      <c r="K39" s="207"/>
      <c r="L39" s="208" t="s">
        <v>287</v>
      </c>
      <c r="M39" s="208" t="s">
        <v>286</v>
      </c>
      <c r="N39" s="208" t="s">
        <v>285</v>
      </c>
      <c r="O39" s="207"/>
      <c r="P39" s="208" t="s">
        <v>287</v>
      </c>
      <c r="Q39" s="208" t="s">
        <v>286</v>
      </c>
      <c r="R39" s="208" t="s">
        <v>285</v>
      </c>
      <c r="S39" s="207"/>
      <c r="T39" s="208" t="s">
        <v>287</v>
      </c>
      <c r="U39" s="208" t="s">
        <v>286</v>
      </c>
      <c r="V39" s="208" t="s">
        <v>285</v>
      </c>
      <c r="W39" s="207"/>
      <c r="X39" s="208" t="s">
        <v>287</v>
      </c>
      <c r="Y39" s="208" t="s">
        <v>286</v>
      </c>
      <c r="Z39" s="208" t="s">
        <v>285</v>
      </c>
      <c r="AA39" s="207"/>
      <c r="AB39" s="208" t="s">
        <v>287</v>
      </c>
      <c r="AC39" s="208" t="s">
        <v>286</v>
      </c>
      <c r="AD39" s="208" t="s">
        <v>285</v>
      </c>
      <c r="AE39" s="207"/>
      <c r="AF39" s="206"/>
    </row>
    <row r="40" spans="2:32" x14ac:dyDescent="0.2">
      <c r="B40" s="186" t="s">
        <v>284</v>
      </c>
      <c r="C40" s="147"/>
      <c r="D40" s="161">
        <f>AVERAGE(E40:F40)</f>
        <v>3.5000000000000003E-2</v>
      </c>
      <c r="E40" s="161">
        <v>2.5000000000000001E-2</v>
      </c>
      <c r="F40" s="161">
        <v>4.4999999999999998E-2</v>
      </c>
      <c r="G40" s="163"/>
      <c r="H40" s="161"/>
      <c r="I40" s="161"/>
      <c r="J40" s="161"/>
      <c r="K40" s="163"/>
      <c r="L40" s="161"/>
      <c r="M40" s="161"/>
      <c r="N40" s="161"/>
      <c r="O40" s="163"/>
      <c r="P40" s="161"/>
      <c r="Q40" s="161"/>
      <c r="R40" s="161"/>
      <c r="S40" s="163"/>
      <c r="T40" s="161"/>
      <c r="U40" s="161"/>
      <c r="V40" s="161"/>
      <c r="W40" s="163"/>
      <c r="X40" s="161"/>
      <c r="Y40" s="161"/>
      <c r="Z40" s="161"/>
      <c r="AA40" s="163"/>
      <c r="AB40" s="161"/>
      <c r="AC40" s="161"/>
      <c r="AD40" s="161"/>
      <c r="AE40" s="147"/>
      <c r="AF40" s="183"/>
    </row>
    <row r="41" spans="2:32" x14ac:dyDescent="0.2">
      <c r="B41" s="150" t="s">
        <v>257</v>
      </c>
      <c r="C41" s="147"/>
      <c r="D41" s="157">
        <v>2.9667422524565383E-2</v>
      </c>
      <c r="G41" s="147"/>
      <c r="H41" s="149"/>
      <c r="K41" s="147"/>
      <c r="L41" s="149"/>
      <c r="O41" s="147"/>
      <c r="P41" s="149"/>
      <c r="S41" s="147"/>
      <c r="W41" s="147"/>
      <c r="AA41" s="147"/>
      <c r="AE41" s="147"/>
    </row>
    <row r="42" spans="2:32" x14ac:dyDescent="0.2">
      <c r="B42" s="150" t="s">
        <v>256</v>
      </c>
      <c r="C42" s="147"/>
      <c r="D42" s="155">
        <f>D40-D41</f>
        <v>5.3325774754346203E-3</v>
      </c>
      <c r="G42" s="147"/>
      <c r="H42" s="149"/>
      <c r="K42" s="147"/>
      <c r="L42" s="149"/>
      <c r="O42" s="147"/>
      <c r="P42" s="149"/>
      <c r="S42" s="147"/>
      <c r="W42" s="147"/>
      <c r="AA42" s="147"/>
      <c r="AE42" s="147"/>
    </row>
    <row r="43" spans="2:32" x14ac:dyDescent="0.2">
      <c r="B43" s="186" t="s">
        <v>283</v>
      </c>
      <c r="C43" s="147"/>
      <c r="D43" s="190"/>
      <c r="E43" s="190"/>
      <c r="F43" s="190"/>
      <c r="G43" s="163"/>
      <c r="H43" s="190"/>
      <c r="I43" s="190"/>
      <c r="J43" s="190"/>
      <c r="K43" s="163"/>
      <c r="L43" s="190"/>
      <c r="M43" s="190"/>
      <c r="N43" s="190"/>
      <c r="O43" s="163"/>
      <c r="P43" s="190"/>
      <c r="Q43" s="190"/>
      <c r="R43" s="190"/>
      <c r="S43" s="163"/>
      <c r="T43" s="190">
        <f>AVERAGE(U43:V43)</f>
        <v>6.5</v>
      </c>
      <c r="U43" s="190">
        <v>5.5</v>
      </c>
      <c r="V43" s="190">
        <v>7.5</v>
      </c>
      <c r="W43" s="163"/>
      <c r="X43" s="190"/>
      <c r="Y43" s="190"/>
      <c r="Z43" s="190"/>
      <c r="AA43" s="163"/>
      <c r="AB43" s="190"/>
      <c r="AC43" s="190"/>
      <c r="AD43" s="190"/>
      <c r="AE43" s="147"/>
    </row>
    <row r="44" spans="2:32" x14ac:dyDescent="0.2">
      <c r="B44" s="186" t="s">
        <v>219</v>
      </c>
      <c r="C44" s="147"/>
      <c r="D44" s="190"/>
      <c r="E44" s="190"/>
      <c r="F44" s="190"/>
      <c r="G44" s="163"/>
      <c r="H44" s="190"/>
      <c r="I44" s="190"/>
      <c r="J44" s="190"/>
      <c r="K44" s="163"/>
      <c r="L44" s="190"/>
      <c r="M44" s="190"/>
      <c r="N44" s="190"/>
      <c r="O44" s="163"/>
      <c r="P44" s="190"/>
      <c r="Q44" s="190"/>
      <c r="R44" s="190"/>
      <c r="S44" s="163"/>
      <c r="T44" s="161">
        <v>0.24</v>
      </c>
      <c r="U44" s="190"/>
      <c r="V44" s="190"/>
      <c r="W44" s="163"/>
      <c r="X44" s="190"/>
      <c r="Y44" s="190"/>
      <c r="Z44" s="190"/>
      <c r="AA44" s="163"/>
      <c r="AB44" s="190"/>
      <c r="AC44" s="190"/>
      <c r="AD44" s="190"/>
      <c r="AE44" s="147"/>
    </row>
    <row r="45" spans="2:32" x14ac:dyDescent="0.2">
      <c r="B45" s="186" t="s">
        <v>282</v>
      </c>
      <c r="C45" s="147"/>
      <c r="D45" s="204">
        <v>235</v>
      </c>
      <c r="E45" s="152"/>
      <c r="F45" s="152"/>
      <c r="G45" s="163"/>
      <c r="H45" s="204">
        <v>270</v>
      </c>
      <c r="I45" s="152"/>
      <c r="J45" s="152"/>
      <c r="K45" s="163"/>
      <c r="L45" s="204">
        <v>280</v>
      </c>
      <c r="M45" s="152"/>
      <c r="N45" s="152"/>
      <c r="O45" s="163"/>
      <c r="P45" s="204">
        <v>290</v>
      </c>
      <c r="Q45" s="152"/>
      <c r="R45" s="152"/>
      <c r="S45" s="163"/>
      <c r="T45" s="204">
        <v>1075</v>
      </c>
      <c r="U45" s="152"/>
      <c r="V45" s="152"/>
      <c r="W45" s="163"/>
      <c r="X45" s="152"/>
      <c r="Y45" s="152"/>
      <c r="Z45" s="152"/>
      <c r="AA45" s="163"/>
      <c r="AB45" s="152"/>
      <c r="AC45" s="152"/>
      <c r="AD45" s="152"/>
      <c r="AE45" s="147"/>
    </row>
    <row r="46" spans="2:32" x14ac:dyDescent="0.2">
      <c r="B46" s="150" t="s">
        <v>257</v>
      </c>
      <c r="C46" s="147"/>
      <c r="D46" s="151">
        <v>218</v>
      </c>
      <c r="G46" s="147"/>
      <c r="H46" s="149"/>
      <c r="K46" s="147"/>
      <c r="L46" s="149"/>
      <c r="O46" s="147"/>
      <c r="P46" s="149"/>
      <c r="S46" s="147"/>
      <c r="W46" s="147"/>
      <c r="AA46" s="147"/>
      <c r="AE46" s="147"/>
    </row>
    <row r="47" spans="2:32" x14ac:dyDescent="0.2">
      <c r="B47" s="150" t="s">
        <v>256</v>
      </c>
      <c r="C47" s="147"/>
      <c r="D47" s="148">
        <f>D45-D46</f>
        <v>17</v>
      </c>
      <c r="G47" s="147"/>
      <c r="H47" s="149"/>
      <c r="K47" s="147"/>
      <c r="L47" s="149"/>
      <c r="O47" s="147"/>
      <c r="P47" s="149"/>
      <c r="S47" s="147"/>
      <c r="W47" s="147"/>
      <c r="AA47" s="147"/>
      <c r="AE47" s="147"/>
    </row>
    <row r="48" spans="2:32" x14ac:dyDescent="0.2">
      <c r="B48" s="186" t="s">
        <v>281</v>
      </c>
      <c r="C48" s="147"/>
      <c r="D48" s="204">
        <v>705</v>
      </c>
      <c r="E48" s="152"/>
      <c r="F48" s="152"/>
      <c r="G48" s="163"/>
      <c r="H48" s="204">
        <v>730</v>
      </c>
      <c r="I48" s="152"/>
      <c r="J48" s="152"/>
      <c r="K48" s="163"/>
      <c r="L48" s="204">
        <v>720</v>
      </c>
      <c r="M48" s="152"/>
      <c r="N48" s="152"/>
      <c r="O48" s="163"/>
      <c r="P48" s="204">
        <v>705</v>
      </c>
      <c r="Q48" s="152"/>
      <c r="R48" s="152"/>
      <c r="S48" s="163"/>
      <c r="T48" s="204">
        <v>2860</v>
      </c>
      <c r="U48" s="152"/>
      <c r="V48" s="152"/>
      <c r="W48" s="163"/>
      <c r="X48" s="152"/>
      <c r="Y48" s="152"/>
      <c r="Z48" s="152"/>
      <c r="AA48" s="163"/>
      <c r="AB48" s="152"/>
      <c r="AC48" s="152"/>
      <c r="AD48" s="152"/>
      <c r="AE48" s="147"/>
    </row>
    <row r="49" spans="2:32" x14ac:dyDescent="0.2">
      <c r="B49" s="150" t="s">
        <v>257</v>
      </c>
      <c r="C49" s="147"/>
      <c r="D49" s="151">
        <v>708</v>
      </c>
      <c r="G49" s="147"/>
      <c r="H49" s="149"/>
      <c r="K49" s="147"/>
      <c r="L49" s="149"/>
      <c r="O49" s="147"/>
      <c r="P49" s="149"/>
      <c r="S49" s="147"/>
      <c r="W49" s="147"/>
      <c r="AA49" s="147"/>
      <c r="AE49" s="147"/>
    </row>
    <row r="50" spans="2:32" x14ac:dyDescent="0.2">
      <c r="B50" s="150" t="s">
        <v>256</v>
      </c>
      <c r="C50" s="147"/>
      <c r="D50" s="148">
        <f>D48-D49</f>
        <v>-3</v>
      </c>
      <c r="G50" s="147"/>
      <c r="H50" s="149"/>
      <c r="K50" s="147"/>
      <c r="L50" s="149"/>
      <c r="O50" s="147"/>
      <c r="P50" s="149"/>
      <c r="S50" s="147"/>
      <c r="W50" s="147"/>
      <c r="AA50" s="147"/>
      <c r="AE50" s="147"/>
    </row>
    <row r="51" spans="2:32" x14ac:dyDescent="0.2">
      <c r="B51" s="186" t="s">
        <v>15</v>
      </c>
      <c r="C51" s="147"/>
      <c r="D51" s="204">
        <v>39</v>
      </c>
      <c r="E51" s="152"/>
      <c r="F51" s="152"/>
      <c r="G51" s="163"/>
      <c r="H51" s="204">
        <v>39</v>
      </c>
      <c r="I51" s="152"/>
      <c r="J51" s="152"/>
      <c r="K51" s="163"/>
      <c r="L51" s="204">
        <v>37</v>
      </c>
      <c r="M51" s="152"/>
      <c r="N51" s="152"/>
      <c r="O51" s="163"/>
      <c r="P51" s="204">
        <v>40</v>
      </c>
      <c r="Q51" s="152"/>
      <c r="R51" s="152"/>
      <c r="S51" s="163"/>
      <c r="T51" s="204">
        <v>155</v>
      </c>
      <c r="U51" s="152"/>
      <c r="V51" s="152"/>
      <c r="W51" s="163"/>
      <c r="X51" s="152"/>
      <c r="Y51" s="152"/>
      <c r="Z51" s="152"/>
      <c r="AA51" s="163"/>
      <c r="AB51" s="152"/>
      <c r="AC51" s="152"/>
      <c r="AD51" s="152"/>
      <c r="AE51" s="147"/>
    </row>
    <row r="52" spans="2:32" x14ac:dyDescent="0.2">
      <c r="B52" s="150" t="s">
        <v>257</v>
      </c>
      <c r="C52" s="147"/>
      <c r="D52" s="151">
        <v>33</v>
      </c>
      <c r="G52" s="147"/>
      <c r="H52" s="149"/>
      <c r="K52" s="147"/>
      <c r="L52" s="149"/>
      <c r="O52" s="147"/>
      <c r="P52" s="149"/>
      <c r="S52" s="147"/>
      <c r="W52" s="147"/>
      <c r="AA52" s="147"/>
      <c r="AE52" s="147"/>
    </row>
    <row r="53" spans="2:32" x14ac:dyDescent="0.2">
      <c r="B53" s="150" t="s">
        <v>256</v>
      </c>
      <c r="C53" s="147"/>
      <c r="D53" s="148">
        <f>D51-D52</f>
        <v>6</v>
      </c>
      <c r="G53" s="147"/>
      <c r="H53" s="149"/>
      <c r="K53" s="147"/>
      <c r="L53" s="149"/>
      <c r="O53" s="147"/>
      <c r="P53" s="149"/>
      <c r="S53" s="147"/>
      <c r="W53" s="147"/>
      <c r="AA53" s="147"/>
      <c r="AE53" s="147"/>
    </row>
    <row r="54" spans="2:32" x14ac:dyDescent="0.2">
      <c r="B54" s="186" t="s">
        <v>280</v>
      </c>
      <c r="C54" s="147"/>
      <c r="D54" s="204">
        <v>-272</v>
      </c>
      <c r="E54" s="152"/>
      <c r="F54" s="152"/>
      <c r="G54" s="163"/>
      <c r="H54" s="204">
        <v>-279</v>
      </c>
      <c r="I54" s="152"/>
      <c r="J54" s="152"/>
      <c r="K54" s="163"/>
      <c r="L54" s="204">
        <v>-283</v>
      </c>
      <c r="M54" s="152"/>
      <c r="N54" s="152"/>
      <c r="O54" s="163"/>
      <c r="P54" s="204">
        <v>-276</v>
      </c>
      <c r="Q54" s="152"/>
      <c r="R54" s="152"/>
      <c r="S54" s="163"/>
      <c r="T54" s="204">
        <v>-1110</v>
      </c>
      <c r="U54" s="152"/>
      <c r="V54" s="152"/>
      <c r="W54" s="163"/>
      <c r="X54" s="152"/>
      <c r="Y54" s="152"/>
      <c r="Z54" s="152"/>
      <c r="AA54" s="163"/>
      <c r="AB54" s="152"/>
      <c r="AC54" s="152"/>
      <c r="AD54" s="152"/>
      <c r="AE54" s="147"/>
    </row>
    <row r="55" spans="2:32" x14ac:dyDescent="0.2">
      <c r="B55" s="150" t="s">
        <v>257</v>
      </c>
      <c r="C55" s="147"/>
      <c r="D55" s="151">
        <v>-271</v>
      </c>
      <c r="G55" s="147"/>
      <c r="H55" s="149"/>
      <c r="K55" s="147"/>
      <c r="L55" s="149"/>
      <c r="O55" s="147"/>
      <c r="P55" s="149"/>
      <c r="S55" s="147"/>
      <c r="W55" s="147"/>
      <c r="AA55" s="147"/>
      <c r="AE55" s="147"/>
    </row>
    <row r="56" spans="2:32" x14ac:dyDescent="0.2">
      <c r="B56" s="150" t="s">
        <v>256</v>
      </c>
      <c r="C56" s="147"/>
      <c r="D56" s="148">
        <f>D54-D55</f>
        <v>-1</v>
      </c>
      <c r="G56" s="147"/>
      <c r="H56" s="149"/>
      <c r="K56" s="147"/>
      <c r="L56" s="149"/>
      <c r="O56" s="147"/>
      <c r="P56" s="149"/>
      <c r="S56" s="147"/>
      <c r="W56" s="147"/>
      <c r="AA56" s="147"/>
      <c r="AE56" s="147"/>
    </row>
    <row r="57" spans="2:32" x14ac:dyDescent="0.2">
      <c r="B57" s="186" t="s">
        <v>279</v>
      </c>
      <c r="C57" s="147"/>
      <c r="D57" s="204">
        <v>43</v>
      </c>
      <c r="E57" s="152"/>
      <c r="F57" s="152"/>
      <c r="G57" s="163"/>
      <c r="H57" s="204">
        <v>46</v>
      </c>
      <c r="I57" s="152"/>
      <c r="J57" s="152"/>
      <c r="K57" s="163"/>
      <c r="L57" s="204">
        <v>44</v>
      </c>
      <c r="M57" s="152"/>
      <c r="N57" s="152"/>
      <c r="O57" s="163"/>
      <c r="P57" s="204">
        <v>43</v>
      </c>
      <c r="Q57" s="152"/>
      <c r="R57" s="152"/>
      <c r="S57" s="163"/>
      <c r="T57" s="204">
        <v>176</v>
      </c>
      <c r="U57" s="152"/>
      <c r="V57" s="152"/>
      <c r="W57" s="163"/>
      <c r="X57" s="152"/>
      <c r="Y57" s="152"/>
      <c r="Z57" s="152"/>
      <c r="AA57" s="163"/>
      <c r="AB57" s="152"/>
      <c r="AC57" s="152"/>
      <c r="AD57" s="152"/>
      <c r="AE57" s="147"/>
    </row>
    <row r="58" spans="2:32" x14ac:dyDescent="0.2">
      <c r="B58" s="150" t="s">
        <v>257</v>
      </c>
      <c r="C58" s="147"/>
      <c r="D58" s="151">
        <v>108</v>
      </c>
      <c r="G58" s="147"/>
      <c r="H58" s="149"/>
      <c r="K58" s="147"/>
      <c r="L58" s="149"/>
      <c r="O58" s="147"/>
      <c r="P58" s="149"/>
      <c r="S58" s="147"/>
      <c r="W58" s="147"/>
      <c r="AA58" s="147"/>
      <c r="AE58" s="147"/>
    </row>
    <row r="59" spans="2:32" x14ac:dyDescent="0.2">
      <c r="B59" s="150" t="s">
        <v>256</v>
      </c>
      <c r="C59" s="147"/>
      <c r="D59" s="148">
        <f>D57-D58</f>
        <v>-65</v>
      </c>
      <c r="G59" s="147"/>
      <c r="H59" s="149"/>
      <c r="K59" s="147"/>
      <c r="L59" s="149"/>
      <c r="O59" s="147"/>
      <c r="P59" s="149"/>
      <c r="S59" s="147"/>
      <c r="W59" s="147"/>
      <c r="AA59" s="147"/>
      <c r="AE59" s="147"/>
    </row>
    <row r="60" spans="2:32" s="149" customFormat="1" x14ac:dyDescent="0.2">
      <c r="B60" s="205" t="s">
        <v>278</v>
      </c>
      <c r="C60" s="176"/>
      <c r="D60" s="204">
        <f>AVERAGE(E60:F60)</f>
        <v>10075</v>
      </c>
      <c r="E60" s="204">
        <v>9972</v>
      </c>
      <c r="F60" s="204">
        <v>10178</v>
      </c>
      <c r="G60" s="213"/>
      <c r="H60" s="204">
        <f>AVERAGE(I60:J60)</f>
        <v>10660</v>
      </c>
      <c r="I60" s="204">
        <v>10550</v>
      </c>
      <c r="J60" s="204">
        <v>10770</v>
      </c>
      <c r="K60" s="213"/>
      <c r="L60" s="204">
        <f>AVERAGE(M60:N60)</f>
        <v>10799.5</v>
      </c>
      <c r="M60" s="204">
        <v>10687</v>
      </c>
      <c r="N60" s="204">
        <v>10912</v>
      </c>
      <c r="O60" s="213"/>
      <c r="P60" s="204">
        <f>AVERAGE(Q60:R60)</f>
        <v>10356.5</v>
      </c>
      <c r="Q60" s="204">
        <v>10248</v>
      </c>
      <c r="R60" s="204">
        <v>10465</v>
      </c>
      <c r="S60" s="213"/>
      <c r="T60" s="204">
        <f>AVERAGE(U60:V60)</f>
        <v>41893</v>
      </c>
      <c r="U60" s="204">
        <v>41459</v>
      </c>
      <c r="V60" s="204">
        <v>42327</v>
      </c>
      <c r="W60" s="213"/>
      <c r="X60" s="212"/>
      <c r="Y60" s="212"/>
      <c r="Z60" s="212"/>
      <c r="AA60" s="213"/>
      <c r="AB60" s="212"/>
      <c r="AC60" s="212"/>
      <c r="AD60" s="212"/>
      <c r="AE60" s="176"/>
      <c r="AF60" s="175"/>
    </row>
    <row r="61" spans="2:32" x14ac:dyDescent="0.2">
      <c r="B61" s="150" t="s">
        <v>257</v>
      </c>
      <c r="C61" s="147"/>
      <c r="D61" s="151">
        <v>10209</v>
      </c>
      <c r="G61" s="147"/>
      <c r="H61" s="149"/>
      <c r="K61" s="147"/>
      <c r="L61" s="149"/>
      <c r="O61" s="147"/>
      <c r="P61" s="149"/>
      <c r="S61" s="147"/>
      <c r="W61" s="147"/>
      <c r="AA61" s="147"/>
      <c r="AE61" s="147"/>
    </row>
    <row r="62" spans="2:32" x14ac:dyDescent="0.2">
      <c r="B62" s="150" t="s">
        <v>256</v>
      </c>
      <c r="C62" s="147"/>
      <c r="D62" s="148">
        <f>D60-D61</f>
        <v>-134</v>
      </c>
      <c r="G62" s="147"/>
      <c r="H62" s="149"/>
      <c r="K62" s="147"/>
      <c r="L62" s="149"/>
      <c r="O62" s="147"/>
      <c r="P62" s="149"/>
      <c r="S62" s="147"/>
      <c r="W62" s="147"/>
      <c r="AA62" s="147"/>
      <c r="AE62" s="147"/>
    </row>
    <row r="63" spans="2:32" s="149" customFormat="1" x14ac:dyDescent="0.2">
      <c r="B63" s="179" t="s">
        <v>277</v>
      </c>
      <c r="C63" s="176"/>
      <c r="D63" s="204">
        <f>AVERAGE(E63:F63)</f>
        <v>2061</v>
      </c>
      <c r="E63" s="204">
        <v>2035</v>
      </c>
      <c r="F63" s="204">
        <v>2087</v>
      </c>
      <c r="G63" s="213"/>
      <c r="H63" s="204">
        <f>AVERAGE(I63:J63)</f>
        <v>2345.5</v>
      </c>
      <c r="I63" s="204">
        <v>2316</v>
      </c>
      <c r="J63" s="204">
        <v>2375</v>
      </c>
      <c r="K63" s="213"/>
      <c r="L63" s="204">
        <f>AVERAGE(M63:N63)</f>
        <v>2470.5</v>
      </c>
      <c r="M63" s="204">
        <v>2440</v>
      </c>
      <c r="N63" s="204">
        <v>2501</v>
      </c>
      <c r="O63" s="213"/>
      <c r="P63" s="204">
        <f>AVERAGE(Q63:R63)</f>
        <v>2210.5</v>
      </c>
      <c r="Q63" s="204">
        <v>2183</v>
      </c>
      <c r="R63" s="204">
        <v>2238</v>
      </c>
      <c r="S63" s="213"/>
      <c r="T63" s="204">
        <f>AVERAGE(U63:V63)</f>
        <v>9087.5</v>
      </c>
      <c r="U63" s="204">
        <v>8975</v>
      </c>
      <c r="V63" s="204">
        <v>9200</v>
      </c>
      <c r="W63" s="213"/>
      <c r="X63" s="212"/>
      <c r="Y63" s="212"/>
      <c r="Z63" s="212"/>
      <c r="AA63" s="213"/>
      <c r="AB63" s="212"/>
      <c r="AC63" s="212"/>
      <c r="AD63" s="212"/>
      <c r="AE63" s="176"/>
      <c r="AF63" s="175"/>
    </row>
    <row r="64" spans="2:32" x14ac:dyDescent="0.2">
      <c r="B64" s="150" t="s">
        <v>257</v>
      </c>
      <c r="C64" s="147"/>
      <c r="D64" s="151">
        <v>2149</v>
      </c>
      <c r="G64" s="147"/>
      <c r="H64" s="149"/>
      <c r="K64" s="147"/>
      <c r="L64" s="149"/>
      <c r="O64" s="147"/>
      <c r="P64" s="149"/>
      <c r="S64" s="147"/>
      <c r="W64" s="147"/>
      <c r="AA64" s="147"/>
      <c r="AE64" s="147"/>
    </row>
    <row r="65" spans="2:32" x14ac:dyDescent="0.2">
      <c r="B65" s="150" t="s">
        <v>256</v>
      </c>
      <c r="C65" s="147"/>
      <c r="D65" s="148">
        <f>D63-D64</f>
        <v>-88</v>
      </c>
      <c r="G65" s="147"/>
      <c r="H65" s="149"/>
      <c r="K65" s="147"/>
      <c r="L65" s="149"/>
      <c r="O65" s="147"/>
      <c r="P65" s="149"/>
      <c r="S65" s="147"/>
      <c r="W65" s="147"/>
      <c r="AA65" s="147"/>
      <c r="AE65" s="147"/>
    </row>
    <row r="66" spans="2:32" s="149" customFormat="1" x14ac:dyDescent="0.2">
      <c r="B66" s="179" t="s">
        <v>275</v>
      </c>
      <c r="C66" s="176"/>
      <c r="D66" s="204">
        <f>AVERAGE(E66:F66)</f>
        <v>8014</v>
      </c>
      <c r="E66" s="204">
        <v>7937</v>
      </c>
      <c r="F66" s="204">
        <v>8091</v>
      </c>
      <c r="G66" s="213"/>
      <c r="H66" s="204">
        <f>AVERAGE(I66:J66)</f>
        <v>8314.5</v>
      </c>
      <c r="I66" s="204">
        <v>8233</v>
      </c>
      <c r="J66" s="204">
        <v>8396</v>
      </c>
      <c r="K66" s="213"/>
      <c r="L66" s="204">
        <f>AVERAGE(M66:N66)</f>
        <v>8329.5</v>
      </c>
      <c r="M66" s="204">
        <v>8247</v>
      </c>
      <c r="N66" s="204">
        <v>8412</v>
      </c>
      <c r="O66" s="213"/>
      <c r="P66" s="204">
        <f>AVERAGE(Q66:R66)</f>
        <v>8146</v>
      </c>
      <c r="Q66" s="204">
        <v>8065</v>
      </c>
      <c r="R66" s="204">
        <v>8227</v>
      </c>
      <c r="S66" s="213"/>
      <c r="T66" s="204">
        <f>AVERAGE(U66:V66)</f>
        <v>32805.5</v>
      </c>
      <c r="U66" s="204">
        <v>32484</v>
      </c>
      <c r="V66" s="204">
        <v>33127</v>
      </c>
      <c r="W66" s="213"/>
      <c r="X66" s="212"/>
      <c r="Y66" s="212"/>
      <c r="Z66" s="212"/>
      <c r="AA66" s="213"/>
      <c r="AB66" s="212"/>
      <c r="AC66" s="212"/>
      <c r="AD66" s="212"/>
      <c r="AE66" s="176"/>
      <c r="AF66" s="175"/>
    </row>
    <row r="67" spans="2:32" x14ac:dyDescent="0.2">
      <c r="B67" s="150" t="s">
        <v>257</v>
      </c>
      <c r="C67" s="147"/>
      <c r="D67" s="151">
        <v>7922</v>
      </c>
      <c r="G67" s="147"/>
      <c r="H67" s="149"/>
      <c r="K67" s="147"/>
      <c r="L67" s="149"/>
      <c r="O67" s="147"/>
      <c r="P67" s="149"/>
      <c r="S67" s="147"/>
      <c r="W67" s="147"/>
      <c r="AA67" s="147"/>
      <c r="AE67" s="147"/>
    </row>
    <row r="68" spans="2:32" x14ac:dyDescent="0.2">
      <c r="B68" s="150" t="s">
        <v>256</v>
      </c>
      <c r="C68" s="147"/>
      <c r="D68" s="148">
        <f>D66-D67</f>
        <v>92</v>
      </c>
      <c r="G68" s="147"/>
      <c r="H68" s="149"/>
      <c r="K68" s="147"/>
      <c r="L68" s="149"/>
      <c r="O68" s="147"/>
      <c r="P68" s="149"/>
      <c r="S68" s="147"/>
      <c r="W68" s="147"/>
      <c r="AA68" s="147"/>
      <c r="AE68" s="147"/>
    </row>
    <row r="69" spans="2:32" ht="5.0999999999999996" customHeight="1" x14ac:dyDescent="0.2">
      <c r="B69" s="186"/>
      <c r="C69" s="147"/>
      <c r="D69" s="161"/>
      <c r="E69" s="161"/>
      <c r="F69" s="161"/>
      <c r="G69" s="163"/>
      <c r="H69" s="161"/>
      <c r="I69" s="161"/>
      <c r="J69" s="161"/>
      <c r="K69" s="163"/>
      <c r="L69" s="161"/>
      <c r="M69" s="161"/>
      <c r="N69" s="161"/>
      <c r="O69" s="163"/>
      <c r="P69" s="161"/>
      <c r="Q69" s="161"/>
      <c r="R69" s="161"/>
      <c r="S69" s="163"/>
      <c r="T69" s="161"/>
      <c r="U69" s="161"/>
      <c r="V69" s="161"/>
      <c r="W69" s="163"/>
      <c r="X69" s="161"/>
      <c r="Y69" s="161"/>
      <c r="Z69" s="161"/>
      <c r="AA69" s="163"/>
      <c r="AB69" s="161"/>
      <c r="AC69" s="161"/>
      <c r="AD69" s="161"/>
      <c r="AE69" s="147"/>
      <c r="AF69" s="183"/>
    </row>
    <row r="70" spans="2:32" s="187" customFormat="1" x14ac:dyDescent="0.2">
      <c r="B70" s="154" t="s">
        <v>274</v>
      </c>
      <c r="C70" s="188"/>
      <c r="D70" s="204">
        <v>425</v>
      </c>
      <c r="E70" s="193"/>
      <c r="F70" s="193"/>
      <c r="G70" s="219"/>
      <c r="H70" s="204">
        <v>425</v>
      </c>
      <c r="I70" s="193"/>
      <c r="J70" s="193"/>
      <c r="K70" s="219"/>
      <c r="L70" s="204">
        <v>425</v>
      </c>
      <c r="M70" s="193"/>
      <c r="N70" s="193"/>
      <c r="O70" s="219"/>
      <c r="P70" s="204">
        <v>425</v>
      </c>
      <c r="Q70" s="193"/>
      <c r="R70" s="193"/>
      <c r="S70" s="219"/>
      <c r="T70" s="204">
        <v>1700</v>
      </c>
      <c r="U70" s="193"/>
      <c r="V70" s="193"/>
      <c r="W70" s="219"/>
      <c r="X70" s="204">
        <f>T70-1400</f>
        <v>300</v>
      </c>
      <c r="Y70" s="193"/>
      <c r="Z70" s="193"/>
      <c r="AA70" s="219"/>
      <c r="AB70" s="204">
        <v>1000</v>
      </c>
      <c r="AC70" s="193"/>
      <c r="AD70" s="193"/>
      <c r="AE70" s="188"/>
      <c r="AF70" s="201"/>
    </row>
    <row r="71" spans="2:32" x14ac:dyDescent="0.2">
      <c r="B71" s="150" t="s">
        <v>257</v>
      </c>
      <c r="C71" s="147"/>
      <c r="D71" s="151">
        <v>528</v>
      </c>
      <c r="G71" s="147"/>
      <c r="H71" s="149"/>
      <c r="K71" s="147"/>
      <c r="L71" s="149"/>
      <c r="O71" s="147"/>
      <c r="P71" s="149"/>
      <c r="S71" s="147"/>
      <c r="W71" s="147"/>
      <c r="AA71" s="147"/>
      <c r="AE71" s="147"/>
    </row>
    <row r="72" spans="2:32" x14ac:dyDescent="0.2">
      <c r="B72" s="150" t="s">
        <v>256</v>
      </c>
      <c r="C72" s="147"/>
      <c r="D72" s="148">
        <f>D70-D71</f>
        <v>-103</v>
      </c>
      <c r="G72" s="147"/>
      <c r="H72" s="149"/>
      <c r="K72" s="147"/>
      <c r="L72" s="149"/>
      <c r="O72" s="147"/>
      <c r="P72" s="149"/>
      <c r="S72" s="147"/>
      <c r="W72" s="147"/>
      <c r="AA72" s="147"/>
      <c r="AE72" s="147"/>
    </row>
    <row r="73" spans="2:32" s="187" customFormat="1" x14ac:dyDescent="0.2">
      <c r="B73" s="154" t="s">
        <v>273</v>
      </c>
      <c r="C73" s="188"/>
      <c r="D73" s="204">
        <v>778</v>
      </c>
      <c r="E73" s="193"/>
      <c r="F73" s="193"/>
      <c r="G73" s="219"/>
      <c r="H73" s="204">
        <v>876</v>
      </c>
      <c r="I73" s="193"/>
      <c r="J73" s="193"/>
      <c r="K73" s="219"/>
      <c r="L73" s="204">
        <v>761</v>
      </c>
      <c r="M73" s="193"/>
      <c r="N73" s="193"/>
      <c r="O73" s="219"/>
      <c r="P73" s="204">
        <v>617</v>
      </c>
      <c r="Q73" s="193"/>
      <c r="R73" s="193"/>
      <c r="S73" s="219"/>
      <c r="T73" s="204">
        <v>3032</v>
      </c>
      <c r="U73" s="193"/>
      <c r="V73" s="193"/>
      <c r="W73" s="219"/>
      <c r="X73" s="204">
        <v>1700</v>
      </c>
      <c r="Y73" s="193"/>
      <c r="Z73" s="193"/>
      <c r="AA73" s="219"/>
      <c r="AB73" s="204">
        <v>1200</v>
      </c>
      <c r="AC73" s="193"/>
      <c r="AD73" s="193"/>
      <c r="AE73" s="188"/>
      <c r="AF73" s="201"/>
    </row>
    <row r="74" spans="2:32" x14ac:dyDescent="0.2">
      <c r="B74" s="150" t="s">
        <v>257</v>
      </c>
      <c r="C74" s="147"/>
      <c r="D74" s="151">
        <v>777</v>
      </c>
      <c r="G74" s="147"/>
      <c r="H74" s="149"/>
      <c r="K74" s="147"/>
      <c r="L74" s="149"/>
      <c r="O74" s="147"/>
      <c r="P74" s="149"/>
      <c r="S74" s="147"/>
      <c r="W74" s="147"/>
      <c r="AA74" s="147"/>
      <c r="AE74" s="147"/>
    </row>
    <row r="75" spans="2:32" x14ac:dyDescent="0.2">
      <c r="B75" s="150" t="s">
        <v>256</v>
      </c>
      <c r="C75" s="147"/>
      <c r="D75" s="148">
        <f>D73-D74</f>
        <v>1</v>
      </c>
      <c r="G75" s="147"/>
      <c r="H75" s="149"/>
      <c r="K75" s="147"/>
      <c r="L75" s="149"/>
      <c r="O75" s="147"/>
      <c r="P75" s="149"/>
      <c r="S75" s="147"/>
      <c r="W75" s="147"/>
      <c r="AA75" s="147"/>
      <c r="AE75" s="147"/>
    </row>
    <row r="76" spans="2:32" s="187" customFormat="1" x14ac:dyDescent="0.2">
      <c r="B76" s="154" t="s">
        <v>272</v>
      </c>
      <c r="C76" s="188"/>
      <c r="D76" s="204">
        <v>-860</v>
      </c>
      <c r="E76" s="193"/>
      <c r="F76" s="193"/>
      <c r="G76" s="219"/>
      <c r="H76" s="204">
        <v>-818</v>
      </c>
      <c r="I76" s="193"/>
      <c r="J76" s="193"/>
      <c r="K76" s="219"/>
      <c r="L76" s="204">
        <v>-568</v>
      </c>
      <c r="M76" s="193"/>
      <c r="N76" s="193"/>
      <c r="O76" s="219"/>
      <c r="P76" s="204">
        <v>-483</v>
      </c>
      <c r="Q76" s="193"/>
      <c r="R76" s="193"/>
      <c r="S76" s="219"/>
      <c r="T76" s="204">
        <v>-2728</v>
      </c>
      <c r="U76" s="193"/>
      <c r="V76" s="193"/>
      <c r="W76" s="219"/>
      <c r="X76" s="193"/>
      <c r="Y76" s="193"/>
      <c r="Z76" s="193"/>
      <c r="AA76" s="219"/>
      <c r="AB76" s="193"/>
      <c r="AC76" s="193"/>
      <c r="AD76" s="193"/>
      <c r="AE76" s="188"/>
      <c r="AF76" s="201"/>
    </row>
    <row r="77" spans="2:32" x14ac:dyDescent="0.2">
      <c r="B77" s="150" t="s">
        <v>257</v>
      </c>
      <c r="C77" s="147"/>
      <c r="D77" s="151">
        <v>-752</v>
      </c>
      <c r="G77" s="147"/>
      <c r="H77" s="149"/>
      <c r="K77" s="147"/>
      <c r="L77" s="149"/>
      <c r="O77" s="147"/>
      <c r="P77" s="149"/>
      <c r="S77" s="147"/>
      <c r="W77" s="147"/>
      <c r="AA77" s="147"/>
      <c r="AE77" s="147"/>
    </row>
    <row r="78" spans="2:32" x14ac:dyDescent="0.2">
      <c r="B78" s="150" t="s">
        <v>256</v>
      </c>
      <c r="C78" s="147"/>
      <c r="D78" s="148">
        <f>D76-D77</f>
        <v>-108</v>
      </c>
      <c r="G78" s="147"/>
      <c r="H78" s="149"/>
      <c r="K78" s="147"/>
      <c r="L78" s="149"/>
      <c r="O78" s="147"/>
      <c r="P78" s="149"/>
      <c r="S78" s="147"/>
      <c r="W78" s="147"/>
      <c r="AA78" s="147"/>
      <c r="AE78" s="147"/>
    </row>
    <row r="79" spans="2:32" s="187" customFormat="1" x14ac:dyDescent="0.2">
      <c r="B79" s="154" t="s">
        <v>271</v>
      </c>
      <c r="C79" s="188"/>
      <c r="D79" s="204">
        <v>-82</v>
      </c>
      <c r="E79" s="193"/>
      <c r="F79" s="193"/>
      <c r="G79" s="219"/>
      <c r="H79" s="204">
        <v>58</v>
      </c>
      <c r="I79" s="193"/>
      <c r="J79" s="193"/>
      <c r="K79" s="219"/>
      <c r="L79" s="204">
        <v>193</v>
      </c>
      <c r="M79" s="193"/>
      <c r="N79" s="193"/>
      <c r="O79" s="219"/>
      <c r="P79" s="204">
        <v>135</v>
      </c>
      <c r="Q79" s="193"/>
      <c r="R79" s="193"/>
      <c r="S79" s="219"/>
      <c r="T79" s="204">
        <v>304</v>
      </c>
      <c r="U79" s="193"/>
      <c r="V79" s="193"/>
      <c r="W79" s="219"/>
      <c r="X79" s="193"/>
      <c r="Y79" s="193"/>
      <c r="Z79" s="193"/>
      <c r="AA79" s="219"/>
      <c r="AB79" s="193"/>
      <c r="AC79" s="193"/>
      <c r="AD79" s="193"/>
      <c r="AE79" s="188"/>
      <c r="AF79" s="201"/>
    </row>
    <row r="80" spans="2:32" x14ac:dyDescent="0.2">
      <c r="B80" s="150" t="s">
        <v>257</v>
      </c>
      <c r="C80" s="147"/>
      <c r="D80" s="151">
        <v>26</v>
      </c>
      <c r="G80" s="147"/>
      <c r="H80" s="149"/>
      <c r="K80" s="147"/>
      <c r="L80" s="149"/>
      <c r="O80" s="147"/>
      <c r="P80" s="149"/>
      <c r="S80" s="147"/>
      <c r="W80" s="147"/>
      <c r="AA80" s="147"/>
      <c r="AE80" s="147"/>
    </row>
    <row r="81" spans="2:32" x14ac:dyDescent="0.2">
      <c r="B81" s="150" t="s">
        <v>256</v>
      </c>
      <c r="C81" s="147"/>
      <c r="D81" s="148">
        <f>D79-D80</f>
        <v>-108</v>
      </c>
      <c r="G81" s="147"/>
      <c r="H81" s="149"/>
      <c r="K81" s="147"/>
      <c r="L81" s="149"/>
      <c r="O81" s="147"/>
      <c r="P81" s="149"/>
      <c r="S81" s="147"/>
      <c r="W81" s="147"/>
      <c r="AA81" s="147"/>
      <c r="AE81" s="147"/>
    </row>
    <row r="82" spans="2:32" s="187" customFormat="1" x14ac:dyDescent="0.2">
      <c r="B82" s="154" t="s">
        <v>270</v>
      </c>
      <c r="C82" s="188"/>
      <c r="D82" s="204">
        <f>D70+D73</f>
        <v>1203</v>
      </c>
      <c r="E82" s="193"/>
      <c r="F82" s="193"/>
      <c r="G82" s="219"/>
      <c r="H82" s="204">
        <f>H70+H73</f>
        <v>1301</v>
      </c>
      <c r="I82" s="193"/>
      <c r="J82" s="193"/>
      <c r="K82" s="219"/>
      <c r="L82" s="204">
        <f>L70+L73</f>
        <v>1186</v>
      </c>
      <c r="M82" s="193"/>
      <c r="N82" s="193"/>
      <c r="O82" s="219"/>
      <c r="P82" s="204">
        <f>P70+P73</f>
        <v>1042</v>
      </c>
      <c r="Q82" s="193"/>
      <c r="R82" s="193"/>
      <c r="S82" s="219"/>
      <c r="T82" s="204">
        <f>T70+T73</f>
        <v>4732</v>
      </c>
      <c r="U82" s="193"/>
      <c r="V82" s="193"/>
      <c r="W82" s="219"/>
      <c r="X82" s="204">
        <f>X70+X73</f>
        <v>2000</v>
      </c>
      <c r="Y82" s="193"/>
      <c r="Z82" s="193"/>
      <c r="AA82" s="219"/>
      <c r="AB82" s="204">
        <f>AB70+AB73</f>
        <v>2200</v>
      </c>
      <c r="AC82" s="193"/>
      <c r="AD82" s="193"/>
      <c r="AE82" s="188"/>
      <c r="AF82" s="201"/>
    </row>
    <row r="83" spans="2:32" x14ac:dyDescent="0.2">
      <c r="B83" s="150" t="s">
        <v>257</v>
      </c>
      <c r="C83" s="147"/>
      <c r="D83" s="151">
        <v>1305</v>
      </c>
      <c r="G83" s="147"/>
      <c r="H83" s="149"/>
      <c r="K83" s="147"/>
      <c r="L83" s="149"/>
      <c r="O83" s="147"/>
      <c r="P83" s="149"/>
      <c r="S83" s="147"/>
      <c r="W83" s="147"/>
      <c r="AA83" s="147"/>
      <c r="AE83" s="147"/>
    </row>
    <row r="84" spans="2:32" x14ac:dyDescent="0.2">
      <c r="B84" s="150" t="s">
        <v>256</v>
      </c>
      <c r="C84" s="147"/>
      <c r="D84" s="148">
        <f>D82-D83</f>
        <v>-102</v>
      </c>
      <c r="G84" s="147"/>
      <c r="H84" s="149"/>
      <c r="K84" s="147"/>
      <c r="L84" s="149"/>
      <c r="O84" s="147"/>
      <c r="P84" s="149"/>
      <c r="S84" s="147"/>
      <c r="W84" s="147"/>
      <c r="AA84" s="147"/>
      <c r="AE84" s="147"/>
    </row>
    <row r="85" spans="2:32" s="187" customFormat="1" ht="5.0999999999999996" customHeight="1" x14ac:dyDescent="0.2">
      <c r="B85" s="154"/>
      <c r="C85" s="188"/>
      <c r="D85" s="204"/>
      <c r="E85" s="193"/>
      <c r="F85" s="193"/>
      <c r="G85" s="219"/>
      <c r="H85" s="193"/>
      <c r="I85" s="193"/>
      <c r="J85" s="193"/>
      <c r="K85" s="219"/>
      <c r="L85" s="193"/>
      <c r="M85" s="193"/>
      <c r="N85" s="193"/>
      <c r="O85" s="219"/>
      <c r="P85" s="193"/>
      <c r="Q85" s="193"/>
      <c r="R85" s="193"/>
      <c r="S85" s="219"/>
      <c r="T85" s="204"/>
      <c r="U85" s="193"/>
      <c r="V85" s="193"/>
      <c r="W85" s="219"/>
      <c r="X85" s="204"/>
      <c r="Y85" s="193"/>
      <c r="Z85" s="193"/>
      <c r="AA85" s="219"/>
      <c r="AB85" s="204"/>
      <c r="AC85" s="193"/>
      <c r="AD85" s="193"/>
      <c r="AE85" s="188"/>
      <c r="AF85" s="201"/>
    </row>
    <row r="86" spans="2:32" s="187" customFormat="1" x14ac:dyDescent="0.2">
      <c r="B86" s="154" t="s">
        <v>269</v>
      </c>
      <c r="C86" s="188"/>
      <c r="D86" s="204">
        <v>461</v>
      </c>
      <c r="E86" s="193"/>
      <c r="F86" s="193"/>
      <c r="G86" s="219"/>
      <c r="H86" s="204">
        <v>462</v>
      </c>
      <c r="I86" s="193"/>
      <c r="J86" s="193"/>
      <c r="K86" s="219"/>
      <c r="L86" s="204">
        <v>462</v>
      </c>
      <c r="M86" s="193"/>
      <c r="N86" s="193"/>
      <c r="O86" s="219"/>
      <c r="P86" s="204">
        <v>462</v>
      </c>
      <c r="Q86" s="193"/>
      <c r="R86" s="193"/>
      <c r="S86" s="219"/>
      <c r="T86" s="204">
        <v>462</v>
      </c>
      <c r="U86" s="193"/>
      <c r="V86" s="193"/>
      <c r="W86" s="219"/>
      <c r="X86" s="218"/>
      <c r="Y86" s="193"/>
      <c r="Z86" s="193"/>
      <c r="AA86" s="219"/>
      <c r="AB86" s="218"/>
      <c r="AC86" s="193"/>
      <c r="AD86" s="193"/>
      <c r="AE86" s="188"/>
      <c r="AF86" s="201"/>
    </row>
    <row r="87" spans="2:32" x14ac:dyDescent="0.2">
      <c r="B87" s="150" t="s">
        <v>257</v>
      </c>
      <c r="C87" s="147"/>
      <c r="D87" s="151">
        <v>451.95100000000002</v>
      </c>
      <c r="G87" s="147"/>
      <c r="H87" s="149"/>
      <c r="K87" s="147"/>
      <c r="L87" s="149"/>
      <c r="O87" s="147"/>
      <c r="P87" s="149"/>
      <c r="S87" s="147"/>
      <c r="W87" s="147"/>
      <c r="AA87" s="147"/>
      <c r="AE87" s="147"/>
    </row>
    <row r="88" spans="2:32" x14ac:dyDescent="0.2">
      <c r="B88" s="150" t="s">
        <v>256</v>
      </c>
      <c r="C88" s="147"/>
      <c r="D88" s="148">
        <f>D86-D87</f>
        <v>9.0489999999999782</v>
      </c>
      <c r="G88" s="147"/>
      <c r="H88" s="149"/>
      <c r="K88" s="147"/>
      <c r="L88" s="149"/>
      <c r="O88" s="147"/>
      <c r="P88" s="149"/>
      <c r="S88" s="147"/>
      <c r="W88" s="147"/>
      <c r="AA88" s="147"/>
      <c r="AE88" s="147"/>
    </row>
    <row r="89" spans="2:32" s="187" customFormat="1" x14ac:dyDescent="0.2">
      <c r="B89" s="154" t="s">
        <v>268</v>
      </c>
      <c r="C89" s="188"/>
      <c r="D89" s="204">
        <v>461</v>
      </c>
      <c r="E89" s="193"/>
      <c r="F89" s="193"/>
      <c r="G89" s="219"/>
      <c r="H89" s="204">
        <v>462</v>
      </c>
      <c r="I89" s="193"/>
      <c r="J89" s="193"/>
      <c r="K89" s="219"/>
      <c r="L89" s="204">
        <v>462</v>
      </c>
      <c r="M89" s="193"/>
      <c r="N89" s="193"/>
      <c r="O89" s="219"/>
      <c r="P89" s="204">
        <v>462</v>
      </c>
      <c r="Q89" s="193"/>
      <c r="R89" s="193"/>
      <c r="S89" s="219"/>
      <c r="T89" s="204">
        <v>462</v>
      </c>
      <c r="U89" s="193"/>
      <c r="V89" s="193"/>
      <c r="W89" s="219"/>
      <c r="X89" s="218"/>
      <c r="Y89" s="193"/>
      <c r="Z89" s="193"/>
      <c r="AA89" s="219"/>
      <c r="AB89" s="218"/>
      <c r="AC89" s="193"/>
      <c r="AD89" s="193"/>
      <c r="AE89" s="188"/>
      <c r="AF89" s="201"/>
    </row>
    <row r="90" spans="2:32" s="187" customFormat="1" x14ac:dyDescent="0.2">
      <c r="B90" s="154" t="s">
        <v>267</v>
      </c>
      <c r="C90" s="188"/>
      <c r="D90" s="204">
        <v>462</v>
      </c>
      <c r="E90" s="193"/>
      <c r="F90" s="193"/>
      <c r="G90" s="219"/>
      <c r="H90" s="204">
        <v>463</v>
      </c>
      <c r="I90" s="193"/>
      <c r="J90" s="193"/>
      <c r="K90" s="219"/>
      <c r="L90" s="204">
        <v>463</v>
      </c>
      <c r="M90" s="193"/>
      <c r="N90" s="193"/>
      <c r="O90" s="219"/>
      <c r="P90" s="204">
        <v>463</v>
      </c>
      <c r="Q90" s="193"/>
      <c r="R90" s="193"/>
      <c r="S90" s="219"/>
      <c r="T90" s="204">
        <v>463</v>
      </c>
      <c r="U90" s="193"/>
      <c r="V90" s="193"/>
      <c r="W90" s="219"/>
      <c r="X90" s="218"/>
      <c r="Y90" s="193"/>
      <c r="Z90" s="193"/>
      <c r="AA90" s="219"/>
      <c r="AB90" s="218"/>
      <c r="AC90" s="193"/>
      <c r="AD90" s="193"/>
      <c r="AE90" s="188"/>
      <c r="AF90" s="201"/>
    </row>
    <row r="91" spans="2:32" s="187" customFormat="1" x14ac:dyDescent="0.2">
      <c r="B91" s="154" t="s">
        <v>266</v>
      </c>
      <c r="C91" s="188"/>
      <c r="D91" s="204">
        <v>461</v>
      </c>
      <c r="E91" s="193"/>
      <c r="F91" s="193"/>
      <c r="G91" s="219"/>
      <c r="H91" s="204">
        <v>462</v>
      </c>
      <c r="I91" s="193"/>
      <c r="J91" s="193"/>
      <c r="K91" s="219"/>
      <c r="L91" s="204">
        <v>462</v>
      </c>
      <c r="M91" s="193"/>
      <c r="N91" s="193"/>
      <c r="O91" s="219"/>
      <c r="P91" s="204">
        <v>462</v>
      </c>
      <c r="Q91" s="193"/>
      <c r="R91" s="193"/>
      <c r="S91" s="219"/>
      <c r="T91" s="204">
        <v>462</v>
      </c>
      <c r="U91" s="193"/>
      <c r="V91" s="193"/>
      <c r="W91" s="219"/>
      <c r="X91" s="218"/>
      <c r="Y91" s="193"/>
      <c r="Z91" s="193"/>
      <c r="AA91" s="219"/>
      <c r="AB91" s="218"/>
      <c r="AC91" s="193"/>
      <c r="AD91" s="193"/>
      <c r="AE91" s="188"/>
      <c r="AF91" s="201"/>
    </row>
    <row r="92" spans="2:32" x14ac:dyDescent="0.2">
      <c r="B92" s="150" t="s">
        <v>257</v>
      </c>
      <c r="C92" s="147"/>
      <c r="D92" s="151">
        <v>453.42899999999997</v>
      </c>
      <c r="G92" s="147"/>
      <c r="H92" s="149"/>
      <c r="K92" s="147"/>
      <c r="L92" s="149"/>
      <c r="O92" s="147"/>
      <c r="P92" s="149"/>
      <c r="S92" s="147"/>
      <c r="W92" s="147"/>
      <c r="AA92" s="147"/>
      <c r="AE92" s="147"/>
    </row>
    <row r="93" spans="2:32" x14ac:dyDescent="0.2">
      <c r="B93" s="150" t="s">
        <v>256</v>
      </c>
      <c r="C93" s="147"/>
      <c r="D93" s="148">
        <f>D91-D92</f>
        <v>7.5710000000000264</v>
      </c>
      <c r="G93" s="147"/>
      <c r="H93" s="149"/>
      <c r="K93" s="147"/>
      <c r="L93" s="149"/>
      <c r="O93" s="147"/>
      <c r="P93" s="149"/>
      <c r="S93" s="147"/>
      <c r="W93" s="147"/>
      <c r="AA93" s="147"/>
      <c r="AE93" s="147"/>
    </row>
    <row r="94" spans="2:32" s="187" customFormat="1" ht="5.0999999999999996" customHeight="1" x14ac:dyDescent="0.2">
      <c r="B94" s="154"/>
      <c r="C94" s="188"/>
      <c r="D94" s="204"/>
      <c r="E94" s="193"/>
      <c r="F94" s="193"/>
      <c r="G94" s="219"/>
      <c r="H94" s="204"/>
      <c r="I94" s="193"/>
      <c r="J94" s="193"/>
      <c r="K94" s="219"/>
      <c r="L94" s="204"/>
      <c r="M94" s="193"/>
      <c r="N94" s="193"/>
      <c r="O94" s="219"/>
      <c r="P94" s="204"/>
      <c r="Q94" s="193"/>
      <c r="R94" s="193"/>
      <c r="S94" s="219"/>
      <c r="T94" s="204"/>
      <c r="U94" s="193"/>
      <c r="V94" s="193"/>
      <c r="W94" s="219"/>
      <c r="X94" s="218"/>
      <c r="Y94" s="193"/>
      <c r="Z94" s="193"/>
      <c r="AA94" s="219"/>
      <c r="AB94" s="218"/>
      <c r="AC94" s="193"/>
      <c r="AD94" s="193"/>
      <c r="AE94" s="188"/>
      <c r="AF94" s="201"/>
    </row>
    <row r="95" spans="2:32" x14ac:dyDescent="0.2">
      <c r="B95" s="186" t="s">
        <v>265</v>
      </c>
      <c r="C95" s="147"/>
      <c r="D95" s="161">
        <f>AVERAGE(E95:F95)</f>
        <v>3.4000000000000002E-2</v>
      </c>
      <c r="E95" s="161">
        <v>2.4E-2</v>
      </c>
      <c r="F95" s="200">
        <f>E95+2%</f>
        <v>4.3999999999999997E-2</v>
      </c>
      <c r="G95" s="163"/>
      <c r="H95" s="161"/>
      <c r="I95" s="161"/>
      <c r="J95" s="217"/>
      <c r="K95" s="163"/>
      <c r="L95" s="161"/>
      <c r="M95" s="161"/>
      <c r="N95" s="217"/>
      <c r="O95" s="163"/>
      <c r="P95" s="161"/>
      <c r="Q95" s="161"/>
      <c r="R95" s="217"/>
      <c r="S95" s="163"/>
      <c r="T95" s="216"/>
      <c r="U95" s="216"/>
      <c r="V95" s="216"/>
      <c r="W95" s="163"/>
      <c r="X95" s="216"/>
      <c r="Y95" s="216"/>
      <c r="Z95" s="216"/>
      <c r="AA95" s="163"/>
      <c r="AB95" s="216"/>
      <c r="AC95" s="216"/>
      <c r="AD95" s="216"/>
      <c r="AE95" s="147"/>
    </row>
    <row r="96" spans="2:32" x14ac:dyDescent="0.2">
      <c r="B96" s="150" t="s">
        <v>257</v>
      </c>
      <c r="C96" s="147"/>
      <c r="D96" s="157">
        <v>4.4303797468352446E-3</v>
      </c>
      <c r="E96" s="152"/>
      <c r="F96" s="152"/>
      <c r="G96" s="147"/>
      <c r="H96" s="149"/>
      <c r="K96" s="147"/>
      <c r="L96" s="149"/>
      <c r="O96" s="147"/>
      <c r="P96" s="149"/>
      <c r="S96" s="147"/>
      <c r="T96" s="196"/>
      <c r="W96" s="147"/>
      <c r="AA96" s="147"/>
      <c r="AE96" s="147"/>
    </row>
    <row r="97" spans="2:32" x14ac:dyDescent="0.2">
      <c r="B97" s="150" t="s">
        <v>256</v>
      </c>
      <c r="C97" s="147"/>
      <c r="D97" s="197">
        <f>D95-D96</f>
        <v>2.9569620253164758E-2</v>
      </c>
      <c r="E97" s="152"/>
      <c r="F97" s="152"/>
      <c r="G97" s="147"/>
      <c r="H97" s="149"/>
      <c r="K97" s="147"/>
      <c r="L97" s="149"/>
      <c r="O97" s="147"/>
      <c r="P97" s="149"/>
      <c r="S97" s="147"/>
      <c r="T97" s="196"/>
      <c r="W97" s="147"/>
      <c r="AA97" s="147"/>
      <c r="AE97" s="147"/>
    </row>
    <row r="98" spans="2:32" x14ac:dyDescent="0.2">
      <c r="B98" s="186" t="s">
        <v>264</v>
      </c>
      <c r="C98" s="147"/>
      <c r="D98" s="193">
        <f>AVERAGE(E98:F98)</f>
        <v>1.9950000000000001</v>
      </c>
      <c r="E98" s="193">
        <v>1.97</v>
      </c>
      <c r="F98" s="193">
        <v>2.02</v>
      </c>
      <c r="G98" s="163"/>
      <c r="H98" s="193">
        <f>AVERAGE(I98:J98)</f>
        <v>2.0150000000000001</v>
      </c>
      <c r="I98" s="193">
        <v>1.99</v>
      </c>
      <c r="J98" s="193">
        <v>2.04</v>
      </c>
      <c r="K98" s="163"/>
      <c r="L98" s="193">
        <f>AVERAGE(M98:N98)</f>
        <v>2.0449999999999999</v>
      </c>
      <c r="M98" s="193">
        <v>2.02</v>
      </c>
      <c r="N98" s="193">
        <v>2.0699999999999998</v>
      </c>
      <c r="O98" s="163"/>
      <c r="P98" s="193">
        <f>AVERAGE(Q98:R98)</f>
        <v>2.0150000000000001</v>
      </c>
      <c r="Q98" s="193">
        <v>1.99</v>
      </c>
      <c r="R98" s="193">
        <v>2.04</v>
      </c>
      <c r="S98" s="163"/>
      <c r="T98" s="193">
        <f>AVERAGE(U98:V98)</f>
        <v>2.0150000000000001</v>
      </c>
      <c r="U98" s="193">
        <v>1.99</v>
      </c>
      <c r="V98" s="193">
        <v>2.04</v>
      </c>
      <c r="W98" s="163"/>
      <c r="X98" s="152"/>
      <c r="Y98" s="152"/>
      <c r="Z98" s="152"/>
      <c r="AA98" s="163"/>
      <c r="AB98" s="152"/>
      <c r="AC98" s="152"/>
      <c r="AD98" s="152"/>
      <c r="AE98" s="147"/>
    </row>
    <row r="99" spans="2:32" s="187" customFormat="1" x14ac:dyDescent="0.2">
      <c r="B99" s="191" t="s">
        <v>257</v>
      </c>
      <c r="C99" s="188"/>
      <c r="D99" s="192">
        <v>2.04</v>
      </c>
      <c r="E99" s="190"/>
      <c r="F99" s="190"/>
      <c r="G99" s="188"/>
      <c r="K99" s="188"/>
      <c r="O99" s="188"/>
      <c r="S99" s="188"/>
      <c r="T99" s="192">
        <v>2.23</v>
      </c>
      <c r="W99" s="188"/>
      <c r="AA99" s="188"/>
      <c r="AE99" s="188"/>
    </row>
    <row r="100" spans="2:32" s="187" customFormat="1" x14ac:dyDescent="0.2">
      <c r="B100" s="191" t="s">
        <v>256</v>
      </c>
      <c r="C100" s="188"/>
      <c r="D100" s="189">
        <f>D98-D99</f>
        <v>-4.4999999999999929E-2</v>
      </c>
      <c r="E100" s="190"/>
      <c r="F100" s="190"/>
      <c r="G100" s="188"/>
      <c r="K100" s="188"/>
      <c r="O100" s="188"/>
      <c r="S100" s="188"/>
      <c r="T100" s="189">
        <f>T98-T99</f>
        <v>-0.21499999999999986</v>
      </c>
      <c r="W100" s="188"/>
      <c r="AA100" s="188"/>
      <c r="AE100" s="188"/>
    </row>
    <row r="101" spans="2:32" x14ac:dyDescent="0.2">
      <c r="B101" s="186" t="s">
        <v>263</v>
      </c>
      <c r="C101" s="147"/>
      <c r="D101" s="204">
        <v>1033</v>
      </c>
      <c r="E101" s="152"/>
      <c r="F101" s="152"/>
      <c r="G101" s="163"/>
      <c r="H101" s="204">
        <v>1164</v>
      </c>
      <c r="I101" s="152"/>
      <c r="J101" s="152"/>
      <c r="K101" s="163"/>
      <c r="L101" s="204">
        <v>1208</v>
      </c>
      <c r="M101" s="152"/>
      <c r="N101" s="152"/>
      <c r="O101" s="163"/>
      <c r="P101" s="204">
        <v>1097</v>
      </c>
      <c r="Q101" s="152"/>
      <c r="R101" s="152"/>
      <c r="S101" s="163"/>
      <c r="T101" s="204">
        <v>4500</v>
      </c>
      <c r="U101" s="152"/>
      <c r="V101" s="152"/>
      <c r="W101" s="163"/>
      <c r="X101" s="152"/>
      <c r="Y101" s="152"/>
      <c r="Z101" s="152"/>
      <c r="AA101" s="163"/>
      <c r="AB101" s="152"/>
      <c r="AC101" s="152"/>
      <c r="AD101" s="152"/>
      <c r="AE101" s="147"/>
    </row>
    <row r="102" spans="2:32" x14ac:dyDescent="0.2">
      <c r="B102" s="150" t="s">
        <v>257</v>
      </c>
      <c r="C102" s="147"/>
      <c r="D102" s="151">
        <v>1053</v>
      </c>
      <c r="G102" s="147"/>
      <c r="H102" s="149"/>
      <c r="K102" s="147"/>
      <c r="L102" s="149"/>
      <c r="O102" s="147"/>
      <c r="P102" s="149"/>
      <c r="S102" s="147"/>
      <c r="W102" s="147"/>
      <c r="AA102" s="147"/>
      <c r="AE102" s="147"/>
    </row>
    <row r="103" spans="2:32" x14ac:dyDescent="0.2">
      <c r="B103" s="150" t="s">
        <v>256</v>
      </c>
      <c r="C103" s="147"/>
      <c r="D103" s="148">
        <f>D101-D102</f>
        <v>-20</v>
      </c>
      <c r="G103" s="147"/>
      <c r="H103" s="149"/>
      <c r="K103" s="147"/>
      <c r="L103" s="149"/>
      <c r="O103" s="147"/>
      <c r="P103" s="149"/>
      <c r="S103" s="147"/>
      <c r="W103" s="147"/>
      <c r="AA103" s="147"/>
      <c r="AE103" s="147"/>
    </row>
    <row r="104" spans="2:32" x14ac:dyDescent="0.2">
      <c r="B104" s="186" t="s">
        <v>262</v>
      </c>
      <c r="C104" s="147"/>
      <c r="D104" s="161">
        <v>0.01</v>
      </c>
      <c r="E104" s="161"/>
      <c r="F104" s="161"/>
      <c r="G104" s="163"/>
      <c r="H104" s="161"/>
      <c r="I104" s="161"/>
      <c r="J104" s="161"/>
      <c r="K104" s="163"/>
      <c r="L104" s="161"/>
      <c r="M104" s="161"/>
      <c r="N104" s="161"/>
      <c r="O104" s="163"/>
      <c r="P104" s="161"/>
      <c r="Q104" s="161"/>
      <c r="R104" s="161"/>
      <c r="S104" s="163"/>
      <c r="T104" s="161">
        <v>0.03</v>
      </c>
      <c r="U104" s="161"/>
      <c r="V104" s="161"/>
      <c r="W104" s="163"/>
      <c r="X104" s="161"/>
      <c r="Y104" s="161"/>
      <c r="Z104" s="161"/>
      <c r="AA104" s="163"/>
      <c r="AB104" s="161"/>
      <c r="AC104" s="161"/>
      <c r="AD104" s="161"/>
      <c r="AE104" s="147"/>
      <c r="AF104" s="183"/>
    </row>
    <row r="105" spans="2:32" s="169" customFormat="1" x14ac:dyDescent="0.2">
      <c r="B105" s="182" t="s">
        <v>261</v>
      </c>
      <c r="C105" s="170"/>
      <c r="D105" s="172">
        <f>AVERAGE(E105:F105)</f>
        <v>15.125</v>
      </c>
      <c r="E105" s="172">
        <v>14.97</v>
      </c>
      <c r="F105" s="172">
        <v>15.28</v>
      </c>
      <c r="G105" s="214"/>
      <c r="H105" s="172">
        <f>AVERAGE(I105:J105)</f>
        <v>14.234999999999999</v>
      </c>
      <c r="I105" s="172">
        <v>14.09</v>
      </c>
      <c r="J105" s="172">
        <v>14.38</v>
      </c>
      <c r="K105" s="214"/>
      <c r="L105" s="172">
        <f>AVERAGE(M105:N105)</f>
        <v>13.885</v>
      </c>
      <c r="M105" s="172">
        <v>13.74</v>
      </c>
      <c r="N105" s="172">
        <v>14.03</v>
      </c>
      <c r="O105" s="214"/>
      <c r="P105" s="172">
        <f>AVERAGE(Q105:R105)</f>
        <v>14.465</v>
      </c>
      <c r="Q105" s="172">
        <v>14.31</v>
      </c>
      <c r="R105" s="172">
        <v>14.62</v>
      </c>
      <c r="S105" s="214"/>
      <c r="T105" s="172">
        <f>AVERAGE(U105:V105)</f>
        <v>14.41</v>
      </c>
      <c r="U105" s="172">
        <v>14.26</v>
      </c>
      <c r="V105" s="172">
        <v>14.56</v>
      </c>
      <c r="W105" s="214"/>
      <c r="X105" s="215"/>
      <c r="Y105" s="215"/>
      <c r="Z105" s="215"/>
      <c r="AA105" s="214"/>
      <c r="AB105" s="215"/>
      <c r="AC105" s="215"/>
      <c r="AD105" s="215"/>
      <c r="AE105" s="170"/>
      <c r="AF105" s="180"/>
    </row>
    <row r="106" spans="2:32" x14ac:dyDescent="0.2">
      <c r="B106" s="150" t="s">
        <v>257</v>
      </c>
      <c r="C106" s="147"/>
      <c r="D106" s="151">
        <v>15.31</v>
      </c>
      <c r="G106" s="147"/>
      <c r="H106" s="149"/>
      <c r="K106" s="147"/>
      <c r="L106" s="149"/>
      <c r="O106" s="147"/>
      <c r="P106" s="149"/>
      <c r="S106" s="147"/>
      <c r="W106" s="147"/>
      <c r="AA106" s="147"/>
      <c r="AE106" s="147"/>
    </row>
    <row r="107" spans="2:32" x14ac:dyDescent="0.2">
      <c r="B107" s="150" t="s">
        <v>256</v>
      </c>
      <c r="C107" s="147"/>
      <c r="D107" s="148">
        <f>D105-D106</f>
        <v>-0.1850000000000005</v>
      </c>
      <c r="G107" s="147"/>
      <c r="H107" s="149"/>
      <c r="K107" s="147"/>
      <c r="L107" s="149"/>
      <c r="O107" s="147"/>
      <c r="P107" s="149"/>
      <c r="S107" s="147"/>
      <c r="W107" s="147"/>
      <c r="AA107" s="147"/>
      <c r="AE107" s="147"/>
    </row>
    <row r="108" spans="2:32" s="149" customFormat="1" x14ac:dyDescent="0.2">
      <c r="B108" s="179" t="s">
        <v>260</v>
      </c>
      <c r="C108" s="176"/>
      <c r="D108" s="172">
        <f>AVERAGE(E108:F108)</f>
        <v>12.035</v>
      </c>
      <c r="E108" s="172">
        <v>11.92</v>
      </c>
      <c r="F108" s="172">
        <v>12.15</v>
      </c>
      <c r="G108" s="214"/>
      <c r="H108" s="172">
        <f>AVERAGE(I108:J108)</f>
        <v>11.100000000000001</v>
      </c>
      <c r="I108" s="172">
        <v>10.99</v>
      </c>
      <c r="J108" s="172">
        <v>11.21</v>
      </c>
      <c r="K108" s="214"/>
      <c r="L108" s="172">
        <f>AVERAGE(M108:N108)</f>
        <v>10.705</v>
      </c>
      <c r="M108" s="172">
        <v>10.6</v>
      </c>
      <c r="N108" s="172">
        <v>10.81</v>
      </c>
      <c r="O108" s="214"/>
      <c r="P108" s="172">
        <f>AVERAGE(Q108:R108)</f>
        <v>11.375</v>
      </c>
      <c r="Q108" s="172">
        <v>11.26</v>
      </c>
      <c r="R108" s="172">
        <v>11.49</v>
      </c>
      <c r="S108" s="214"/>
      <c r="T108" s="172">
        <f>AVERAGE(U108:V108)</f>
        <v>11.280000000000001</v>
      </c>
      <c r="U108" s="172">
        <v>11.17</v>
      </c>
      <c r="V108" s="172">
        <v>11.39</v>
      </c>
      <c r="W108" s="213"/>
      <c r="X108" s="212"/>
      <c r="Y108" s="212"/>
      <c r="Z108" s="212"/>
      <c r="AA108" s="213"/>
      <c r="AB108" s="212"/>
      <c r="AC108" s="212"/>
      <c r="AD108" s="212"/>
      <c r="AE108" s="176"/>
      <c r="AF108" s="175"/>
    </row>
    <row r="109" spans="2:32" x14ac:dyDescent="0.2">
      <c r="B109" s="150" t="s">
        <v>257</v>
      </c>
      <c r="C109" s="147"/>
      <c r="D109" s="151">
        <v>11.88</v>
      </c>
      <c r="G109" s="147"/>
      <c r="H109" s="149"/>
      <c r="K109" s="147"/>
      <c r="L109" s="149"/>
      <c r="O109" s="147"/>
      <c r="P109" s="149"/>
      <c r="S109" s="147"/>
      <c r="W109" s="147"/>
      <c r="AA109" s="147"/>
      <c r="AE109" s="147"/>
    </row>
    <row r="110" spans="2:32" x14ac:dyDescent="0.2">
      <c r="B110" s="150" t="s">
        <v>256</v>
      </c>
      <c r="C110" s="147"/>
      <c r="D110" s="148">
        <f>D108-D109</f>
        <v>0.15499999999999936</v>
      </c>
      <c r="G110" s="147"/>
      <c r="H110" s="149"/>
      <c r="K110" s="147"/>
      <c r="L110" s="149"/>
      <c r="O110" s="147"/>
      <c r="P110" s="149"/>
      <c r="S110" s="147"/>
      <c r="W110" s="147"/>
      <c r="AA110" s="147"/>
      <c r="AE110" s="147"/>
    </row>
    <row r="111" spans="2:32" s="158" customFormat="1" x14ac:dyDescent="0.2">
      <c r="B111" s="168" t="s">
        <v>259</v>
      </c>
      <c r="C111" s="160"/>
      <c r="D111" s="167">
        <f>AVERAGE(E111:F111)</f>
        <v>0.04</v>
      </c>
      <c r="E111" s="167">
        <v>0.03</v>
      </c>
      <c r="F111" s="167">
        <v>0.05</v>
      </c>
      <c r="G111" s="162"/>
      <c r="H111" s="167">
        <f>AVERAGE(I111:J111)</f>
        <v>2.5000000000000001E-2</v>
      </c>
      <c r="I111" s="167">
        <v>1.4999999999999999E-2</v>
      </c>
      <c r="J111" s="167">
        <v>3.5000000000000003E-2</v>
      </c>
      <c r="K111" s="162"/>
      <c r="L111" s="161">
        <f>AVERAGE(M111:N111)</f>
        <v>0.01</v>
      </c>
      <c r="M111" s="161">
        <v>0</v>
      </c>
      <c r="N111" s="161">
        <v>0.02</v>
      </c>
      <c r="O111" s="163"/>
      <c r="P111" s="161">
        <f>AVERAGE(Q111:R111)</f>
        <v>4.9999999999999992E-3</v>
      </c>
      <c r="Q111" s="167">
        <v>-5.0000000000000001E-3</v>
      </c>
      <c r="R111" s="161">
        <v>1.4999999999999999E-2</v>
      </c>
      <c r="S111" s="163"/>
      <c r="T111" s="161">
        <f>AVERAGE(U111:V111)</f>
        <v>0.02</v>
      </c>
      <c r="U111" s="161">
        <v>0.01</v>
      </c>
      <c r="V111" s="161">
        <v>0.03</v>
      </c>
      <c r="W111" s="163"/>
      <c r="X111" s="161">
        <f>AVERAGE(Y111:Z111)</f>
        <v>1.4999999999999999E-2</v>
      </c>
      <c r="Y111" s="161">
        <v>0.01</v>
      </c>
      <c r="Z111" s="161">
        <v>0.02</v>
      </c>
      <c r="AA111" s="162"/>
      <c r="AB111" s="167"/>
      <c r="AC111" s="167"/>
      <c r="AD111" s="167"/>
      <c r="AE111" s="160"/>
      <c r="AF111" s="159"/>
    </row>
    <row r="112" spans="2:32" x14ac:dyDescent="0.2">
      <c r="B112" s="150" t="s">
        <v>257</v>
      </c>
      <c r="C112" s="147"/>
      <c r="D112" s="157">
        <v>2.7E-2</v>
      </c>
      <c r="E112" s="152"/>
      <c r="F112" s="152"/>
      <c r="G112" s="147"/>
      <c r="H112" s="149"/>
      <c r="K112" s="147"/>
      <c r="L112" s="149"/>
      <c r="O112" s="147"/>
      <c r="P112" s="149"/>
      <c r="S112" s="147"/>
      <c r="T112" s="196"/>
      <c r="W112" s="147"/>
      <c r="AA112" s="147"/>
      <c r="AE112" s="147"/>
    </row>
    <row r="113" spans="2:32" x14ac:dyDescent="0.2">
      <c r="B113" s="150" t="s">
        <v>256</v>
      </c>
      <c r="C113" s="147"/>
      <c r="D113" s="197">
        <f>D111-D112</f>
        <v>1.3000000000000001E-2</v>
      </c>
      <c r="E113" s="152"/>
      <c r="F113" s="152"/>
      <c r="G113" s="147"/>
      <c r="H113" s="149"/>
      <c r="K113" s="147"/>
      <c r="L113" s="149"/>
      <c r="O113" s="147"/>
      <c r="P113" s="149"/>
      <c r="S113" s="147"/>
      <c r="T113" s="196"/>
      <c r="W113" s="147"/>
      <c r="AA113" s="147"/>
      <c r="AE113" s="147"/>
    </row>
    <row r="114" spans="2:32" x14ac:dyDescent="0.2">
      <c r="B114" s="154" t="s">
        <v>258</v>
      </c>
      <c r="C114" s="147"/>
      <c r="D114" s="204">
        <v>66600</v>
      </c>
      <c r="E114" s="152"/>
      <c r="F114" s="152"/>
      <c r="G114" s="163"/>
      <c r="H114" s="204">
        <v>74900</v>
      </c>
      <c r="I114" s="152"/>
      <c r="J114" s="152"/>
      <c r="K114" s="163"/>
      <c r="L114" s="204">
        <v>77800</v>
      </c>
      <c r="M114" s="152"/>
      <c r="N114" s="152"/>
      <c r="O114" s="163"/>
      <c r="P114" s="204">
        <v>71600</v>
      </c>
      <c r="Q114" s="152"/>
      <c r="R114" s="152"/>
      <c r="S114" s="163"/>
      <c r="T114" s="204">
        <v>290800</v>
      </c>
      <c r="U114" s="152"/>
      <c r="V114" s="152"/>
      <c r="W114" s="163"/>
      <c r="X114" s="152"/>
      <c r="Y114" s="152"/>
      <c r="Z114" s="152"/>
      <c r="AA114" s="163"/>
      <c r="AB114" s="152"/>
      <c r="AC114" s="152"/>
      <c r="AD114" s="152"/>
      <c r="AE114" s="147"/>
    </row>
    <row r="115" spans="2:32" x14ac:dyDescent="0.2">
      <c r="B115" s="150" t="s">
        <v>257</v>
      </c>
      <c r="C115" s="147"/>
      <c r="D115" s="151">
        <v>66700</v>
      </c>
      <c r="G115" s="147"/>
      <c r="H115" s="149"/>
      <c r="K115" s="147"/>
      <c r="L115" s="149"/>
      <c r="O115" s="147"/>
      <c r="P115" s="149"/>
      <c r="S115" s="147"/>
      <c r="W115" s="147"/>
      <c r="AA115" s="147"/>
      <c r="AE115" s="147"/>
    </row>
    <row r="116" spans="2:32" x14ac:dyDescent="0.2">
      <c r="B116" s="150" t="s">
        <v>256</v>
      </c>
      <c r="C116" s="147"/>
      <c r="D116" s="148">
        <f>D114-D115</f>
        <v>-100</v>
      </c>
      <c r="G116" s="147"/>
      <c r="H116" s="149"/>
      <c r="K116" s="147"/>
      <c r="L116" s="149"/>
      <c r="O116" s="147"/>
      <c r="P116" s="149"/>
      <c r="S116" s="147"/>
      <c r="W116" s="147"/>
      <c r="AA116" s="147"/>
      <c r="AE116" s="147"/>
    </row>
    <row r="117" spans="2:32" ht="5.0999999999999996" customHeight="1" thickBot="1" x14ac:dyDescent="0.25">
      <c r="B117" s="145"/>
      <c r="C117" s="144"/>
      <c r="D117" s="146"/>
      <c r="E117" s="145"/>
      <c r="F117" s="145"/>
      <c r="G117" s="144"/>
      <c r="H117" s="146"/>
      <c r="I117" s="145"/>
      <c r="J117" s="145"/>
      <c r="K117" s="144"/>
      <c r="L117" s="146"/>
      <c r="M117" s="145"/>
      <c r="N117" s="145"/>
      <c r="O117" s="144"/>
      <c r="P117" s="146"/>
      <c r="Q117" s="145"/>
      <c r="R117" s="145"/>
      <c r="S117" s="144"/>
      <c r="T117" s="145"/>
      <c r="U117" s="145"/>
      <c r="V117" s="145"/>
      <c r="W117" s="144"/>
      <c r="X117" s="145"/>
      <c r="Y117" s="145"/>
      <c r="Z117" s="145"/>
      <c r="AA117" s="144"/>
      <c r="AB117" s="145"/>
      <c r="AC117" s="145"/>
      <c r="AD117" s="145"/>
      <c r="AE117" s="144"/>
    </row>
    <row r="118" spans="2:32" ht="5.0999999999999996" customHeight="1" x14ac:dyDescent="0.2">
      <c r="C118" s="147"/>
      <c r="G118" s="147"/>
      <c r="K118" s="147"/>
      <c r="O118" s="147"/>
      <c r="S118" s="147"/>
      <c r="W118" s="147"/>
      <c r="AA118" s="147"/>
      <c r="AE118" s="147"/>
    </row>
    <row r="119" spans="2:32" ht="15" customHeight="1" x14ac:dyDescent="0.2">
      <c r="B119" s="211" t="s">
        <v>292</v>
      </c>
      <c r="C119" s="147"/>
      <c r="D119" s="330" t="s">
        <v>291</v>
      </c>
      <c r="E119" s="330"/>
      <c r="F119" s="330"/>
      <c r="G119" s="147"/>
      <c r="H119" s="210"/>
      <c r="I119" s="210"/>
      <c r="J119" s="210"/>
      <c r="K119" s="147"/>
      <c r="L119" s="210"/>
      <c r="M119" s="210"/>
      <c r="N119" s="210"/>
      <c r="O119" s="147"/>
      <c r="P119" s="210"/>
      <c r="Q119" s="210"/>
      <c r="R119" s="210"/>
      <c r="S119" s="147"/>
      <c r="T119" s="330" t="s">
        <v>290</v>
      </c>
      <c r="U119" s="330"/>
      <c r="V119" s="330"/>
      <c r="W119" s="147"/>
      <c r="X119" s="330" t="s">
        <v>289</v>
      </c>
      <c r="Y119" s="330"/>
      <c r="Z119" s="330"/>
      <c r="AA119" s="147"/>
      <c r="AB119" s="330" t="s">
        <v>288</v>
      </c>
      <c r="AC119" s="330"/>
      <c r="AD119" s="330"/>
      <c r="AE119" s="147"/>
      <c r="AF119" s="209"/>
    </row>
    <row r="120" spans="2:32" x14ac:dyDescent="0.2">
      <c r="B120" s="186"/>
      <c r="C120" s="207"/>
      <c r="D120" s="208" t="s">
        <v>287</v>
      </c>
      <c r="E120" s="208" t="s">
        <v>286</v>
      </c>
      <c r="F120" s="208" t="s">
        <v>285</v>
      </c>
      <c r="G120" s="207"/>
      <c r="H120" s="208" t="s">
        <v>287</v>
      </c>
      <c r="I120" s="208" t="s">
        <v>286</v>
      </c>
      <c r="J120" s="208" t="s">
        <v>285</v>
      </c>
      <c r="K120" s="207"/>
      <c r="L120" s="208" t="s">
        <v>287</v>
      </c>
      <c r="M120" s="208" t="s">
        <v>286</v>
      </c>
      <c r="N120" s="208" t="s">
        <v>285</v>
      </c>
      <c r="O120" s="207"/>
      <c r="P120" s="208" t="s">
        <v>287</v>
      </c>
      <c r="Q120" s="208" t="s">
        <v>286</v>
      </c>
      <c r="R120" s="208" t="s">
        <v>285</v>
      </c>
      <c r="S120" s="207"/>
      <c r="T120" s="208" t="s">
        <v>287</v>
      </c>
      <c r="U120" s="208" t="s">
        <v>286</v>
      </c>
      <c r="V120" s="208" t="s">
        <v>285</v>
      </c>
      <c r="W120" s="207"/>
      <c r="X120" s="208" t="s">
        <v>287</v>
      </c>
      <c r="Y120" s="208" t="s">
        <v>286</v>
      </c>
      <c r="Z120" s="208" t="s">
        <v>285</v>
      </c>
      <c r="AA120" s="207"/>
      <c r="AB120" s="208" t="s">
        <v>287</v>
      </c>
      <c r="AC120" s="208" t="s">
        <v>286</v>
      </c>
      <c r="AD120" s="208" t="s">
        <v>285</v>
      </c>
      <c r="AE120" s="207"/>
      <c r="AF120" s="206"/>
    </row>
    <row r="121" spans="2:32" x14ac:dyDescent="0.2">
      <c r="B121" s="186" t="s">
        <v>284</v>
      </c>
      <c r="C121" s="147"/>
      <c r="D121" s="161">
        <f>AVERAGE(E121:F121)</f>
        <v>5.5E-2</v>
      </c>
      <c r="E121" s="161">
        <v>4.4999999999999998E-2</v>
      </c>
      <c r="F121" s="161">
        <v>6.5000000000000002E-2</v>
      </c>
      <c r="G121" s="147"/>
      <c r="H121" s="165"/>
      <c r="I121" s="165"/>
      <c r="J121" s="165"/>
      <c r="K121" s="147"/>
      <c r="L121" s="165"/>
      <c r="M121" s="165"/>
      <c r="N121" s="165"/>
      <c r="O121" s="147"/>
      <c r="P121" s="165"/>
      <c r="Q121" s="165"/>
      <c r="R121" s="165"/>
      <c r="S121" s="147"/>
      <c r="T121" s="165"/>
      <c r="U121" s="165"/>
      <c r="V121" s="165"/>
      <c r="W121" s="147"/>
      <c r="X121" s="165"/>
      <c r="Y121" s="165"/>
      <c r="Z121" s="165"/>
      <c r="AA121" s="147"/>
      <c r="AB121" s="165"/>
      <c r="AC121" s="165"/>
      <c r="AD121" s="165"/>
      <c r="AE121" s="147"/>
      <c r="AF121" s="183"/>
    </row>
    <row r="122" spans="2:32" x14ac:dyDescent="0.2">
      <c r="B122" s="150" t="s">
        <v>257</v>
      </c>
      <c r="C122" s="147"/>
      <c r="D122" s="157">
        <v>6.2638916952919788E-2</v>
      </c>
      <c r="G122" s="147"/>
      <c r="H122" s="149"/>
      <c r="K122" s="147"/>
      <c r="L122" s="149"/>
      <c r="O122" s="147"/>
      <c r="P122" s="149"/>
      <c r="S122" s="147"/>
      <c r="W122" s="147"/>
      <c r="AA122" s="147"/>
      <c r="AE122" s="147"/>
    </row>
    <row r="123" spans="2:32" x14ac:dyDescent="0.2">
      <c r="B123" s="150" t="s">
        <v>256</v>
      </c>
      <c r="C123" s="147"/>
      <c r="D123" s="155">
        <f>D121-D122</f>
        <v>-7.6389169529197873E-3</v>
      </c>
      <c r="G123" s="147"/>
      <c r="H123" s="149"/>
      <c r="K123" s="147"/>
      <c r="L123" s="149"/>
      <c r="O123" s="147"/>
      <c r="P123" s="149"/>
      <c r="S123" s="147"/>
      <c r="W123" s="147"/>
      <c r="AA123" s="147"/>
      <c r="AE123" s="147"/>
    </row>
    <row r="124" spans="2:32" x14ac:dyDescent="0.2">
      <c r="B124" s="186" t="s">
        <v>283</v>
      </c>
      <c r="C124" s="147"/>
      <c r="D124" s="187"/>
      <c r="E124" s="187"/>
      <c r="F124" s="187"/>
      <c r="G124" s="147"/>
      <c r="H124" s="187"/>
      <c r="I124" s="187"/>
      <c r="J124" s="187"/>
      <c r="K124" s="147"/>
      <c r="L124" s="187"/>
      <c r="M124" s="187"/>
      <c r="N124" s="187"/>
      <c r="O124" s="147"/>
      <c r="P124" s="187"/>
      <c r="Q124" s="187"/>
      <c r="R124" s="187"/>
      <c r="S124" s="147"/>
      <c r="T124" s="193">
        <f>AVERAGE(U124:V124)</f>
        <v>4.75</v>
      </c>
      <c r="U124" s="190">
        <v>4.5</v>
      </c>
      <c r="V124" s="190">
        <v>5</v>
      </c>
      <c r="W124" s="147"/>
      <c r="X124" s="187"/>
      <c r="Y124" s="187"/>
      <c r="Z124" s="187"/>
      <c r="AA124" s="147"/>
      <c r="AB124" s="187"/>
      <c r="AC124" s="187"/>
      <c r="AD124" s="187"/>
      <c r="AE124" s="147"/>
    </row>
    <row r="125" spans="2:32" s="187" customFormat="1" x14ac:dyDescent="0.2">
      <c r="B125" s="191" t="s">
        <v>257</v>
      </c>
      <c r="C125" s="188"/>
      <c r="G125" s="188"/>
      <c r="K125" s="188"/>
      <c r="O125" s="188"/>
      <c r="S125" s="188"/>
      <c r="T125" s="192">
        <v>4.55</v>
      </c>
      <c r="W125" s="188"/>
      <c r="AA125" s="188"/>
      <c r="AE125" s="188"/>
    </row>
    <row r="126" spans="2:32" s="187" customFormat="1" x14ac:dyDescent="0.2">
      <c r="B126" s="191" t="s">
        <v>256</v>
      </c>
      <c r="C126" s="188"/>
      <c r="G126" s="188"/>
      <c r="K126" s="188"/>
      <c r="O126" s="188"/>
      <c r="S126" s="188"/>
      <c r="T126" s="189">
        <f>T124-T125</f>
        <v>0.20000000000000018</v>
      </c>
      <c r="W126" s="188"/>
      <c r="AA126" s="188"/>
      <c r="AE126" s="188"/>
    </row>
    <row r="127" spans="2:32" x14ac:dyDescent="0.2">
      <c r="B127" s="186" t="s">
        <v>219</v>
      </c>
      <c r="C127" s="147"/>
      <c r="D127" s="187"/>
      <c r="E127" s="187"/>
      <c r="F127" s="187"/>
      <c r="G127" s="147"/>
      <c r="H127" s="187"/>
      <c r="I127" s="187"/>
      <c r="J127" s="187"/>
      <c r="K127" s="147"/>
      <c r="L127" s="187"/>
      <c r="M127" s="187"/>
      <c r="N127" s="187"/>
      <c r="O127" s="147"/>
      <c r="P127" s="187"/>
      <c r="Q127" s="187"/>
      <c r="R127" s="187"/>
      <c r="S127" s="147"/>
      <c r="T127" s="161">
        <v>0.24</v>
      </c>
      <c r="U127" s="190"/>
      <c r="V127" s="190"/>
      <c r="W127" s="147"/>
      <c r="X127" s="187"/>
      <c r="Y127" s="187"/>
      <c r="Z127" s="187"/>
      <c r="AA127" s="147"/>
      <c r="AB127" s="187"/>
      <c r="AC127" s="187"/>
      <c r="AD127" s="187"/>
      <c r="AE127" s="147"/>
    </row>
    <row r="128" spans="2:32" x14ac:dyDescent="0.2">
      <c r="B128" s="150" t="s">
        <v>257</v>
      </c>
      <c r="C128" s="147"/>
      <c r="D128" s="142"/>
      <c r="G128" s="147"/>
      <c r="H128" s="149"/>
      <c r="K128" s="147"/>
      <c r="L128" s="149"/>
      <c r="O128" s="147"/>
      <c r="P128" s="149"/>
      <c r="S128" s="147"/>
      <c r="T128" s="157">
        <v>0.24121863799283155</v>
      </c>
      <c r="W128" s="147"/>
      <c r="AA128" s="147"/>
      <c r="AE128" s="147"/>
    </row>
    <row r="129" spans="2:31" x14ac:dyDescent="0.2">
      <c r="B129" s="150" t="s">
        <v>256</v>
      </c>
      <c r="C129" s="147"/>
      <c r="D129" s="142"/>
      <c r="G129" s="147"/>
      <c r="H129" s="149"/>
      <c r="K129" s="147"/>
      <c r="L129" s="149"/>
      <c r="O129" s="147"/>
      <c r="P129" s="149"/>
      <c r="S129" s="147"/>
      <c r="T129" s="155">
        <f>T127-T128</f>
        <v>-1.2186379928315616E-3</v>
      </c>
      <c r="W129" s="147"/>
      <c r="AA129" s="147"/>
      <c r="AE129" s="147"/>
    </row>
    <row r="130" spans="2:31" x14ac:dyDescent="0.2">
      <c r="B130" s="186" t="s">
        <v>282</v>
      </c>
      <c r="C130" s="147"/>
      <c r="D130" s="204">
        <v>270</v>
      </c>
      <c r="G130" s="147"/>
      <c r="H130" s="149"/>
      <c r="K130" s="147"/>
      <c r="L130" s="149"/>
      <c r="O130" s="147"/>
      <c r="P130" s="149"/>
      <c r="S130" s="147"/>
      <c r="T130" s="153">
        <v>1018</v>
      </c>
      <c r="W130" s="147"/>
      <c r="AA130" s="147"/>
      <c r="AE130" s="147"/>
    </row>
    <row r="131" spans="2:31" x14ac:dyDescent="0.2">
      <c r="B131" s="150" t="s">
        <v>257</v>
      </c>
      <c r="C131" s="147"/>
      <c r="D131" s="151">
        <v>264</v>
      </c>
      <c r="G131" s="147"/>
      <c r="H131" s="149"/>
      <c r="K131" s="147"/>
      <c r="L131" s="149"/>
      <c r="O131" s="147"/>
      <c r="P131" s="149"/>
      <c r="S131" s="147"/>
      <c r="T131" s="151">
        <v>1013</v>
      </c>
      <c r="W131" s="147"/>
      <c r="AA131" s="147"/>
      <c r="AE131" s="147"/>
    </row>
    <row r="132" spans="2:31" x14ac:dyDescent="0.2">
      <c r="B132" s="150" t="s">
        <v>256</v>
      </c>
      <c r="C132" s="147"/>
      <c r="D132" s="148">
        <f>D130-D131</f>
        <v>6</v>
      </c>
      <c r="G132" s="147"/>
      <c r="H132" s="149"/>
      <c r="K132" s="147"/>
      <c r="L132" s="149"/>
      <c r="O132" s="147"/>
      <c r="P132" s="149"/>
      <c r="S132" s="147"/>
      <c r="T132" s="148">
        <f>T130-T131</f>
        <v>5</v>
      </c>
      <c r="W132" s="147"/>
      <c r="AA132" s="147"/>
      <c r="AE132" s="147"/>
    </row>
    <row r="133" spans="2:31" x14ac:dyDescent="0.2">
      <c r="B133" s="186" t="s">
        <v>281</v>
      </c>
      <c r="C133" s="147"/>
      <c r="D133" s="153">
        <v>695</v>
      </c>
      <c r="G133" s="147"/>
      <c r="H133" s="149"/>
      <c r="K133" s="147"/>
      <c r="L133" s="149"/>
      <c r="O133" s="147"/>
      <c r="P133" s="149"/>
      <c r="S133" s="147"/>
      <c r="T133" s="153">
        <v>2835</v>
      </c>
      <c r="W133" s="147"/>
      <c r="AA133" s="147"/>
      <c r="AE133" s="147"/>
    </row>
    <row r="134" spans="2:31" x14ac:dyDescent="0.2">
      <c r="B134" s="150" t="s">
        <v>257</v>
      </c>
      <c r="C134" s="147"/>
      <c r="D134" s="151">
        <v>712</v>
      </c>
      <c r="G134" s="147"/>
      <c r="H134" s="149"/>
      <c r="K134" s="147"/>
      <c r="L134" s="149"/>
      <c r="O134" s="147"/>
      <c r="P134" s="149"/>
      <c r="S134" s="147"/>
      <c r="T134" s="151">
        <v>2852</v>
      </c>
      <c r="W134" s="147"/>
      <c r="AA134" s="147"/>
      <c r="AE134" s="147"/>
    </row>
    <row r="135" spans="2:31" x14ac:dyDescent="0.2">
      <c r="B135" s="150" t="s">
        <v>256</v>
      </c>
      <c r="C135" s="147"/>
      <c r="D135" s="148">
        <f>D133-D134</f>
        <v>-17</v>
      </c>
      <c r="G135" s="147"/>
      <c r="H135" s="149"/>
      <c r="K135" s="147"/>
      <c r="L135" s="149"/>
      <c r="O135" s="147"/>
      <c r="P135" s="149"/>
      <c r="S135" s="147"/>
      <c r="T135" s="148">
        <f>T133-T134</f>
        <v>-17</v>
      </c>
      <c r="W135" s="147"/>
      <c r="AA135" s="147"/>
      <c r="AE135" s="147"/>
    </row>
    <row r="136" spans="2:31" x14ac:dyDescent="0.2">
      <c r="B136" s="186" t="s">
        <v>15</v>
      </c>
      <c r="C136" s="147"/>
      <c r="D136" s="153">
        <v>29</v>
      </c>
      <c r="E136" s="152"/>
      <c r="F136" s="152"/>
      <c r="G136" s="147"/>
      <c r="H136" s="149"/>
      <c r="K136" s="147"/>
      <c r="L136" s="149"/>
      <c r="O136" s="147"/>
      <c r="P136" s="149"/>
      <c r="S136" s="147"/>
      <c r="T136" s="153">
        <v>113</v>
      </c>
      <c r="W136" s="147"/>
      <c r="AA136" s="147"/>
      <c r="AE136" s="147"/>
    </row>
    <row r="137" spans="2:31" x14ac:dyDescent="0.2">
      <c r="B137" s="150" t="s">
        <v>257</v>
      </c>
      <c r="C137" s="147"/>
      <c r="D137" s="151">
        <v>34</v>
      </c>
      <c r="E137" s="152"/>
      <c r="F137" s="152"/>
      <c r="G137" s="147"/>
      <c r="H137" s="149"/>
      <c r="K137" s="147"/>
      <c r="L137" s="149"/>
      <c r="O137" s="147"/>
      <c r="P137" s="149"/>
      <c r="S137" s="147"/>
      <c r="T137" s="151">
        <v>118</v>
      </c>
      <c r="W137" s="147"/>
      <c r="AA137" s="147"/>
      <c r="AE137" s="147"/>
    </row>
    <row r="138" spans="2:31" x14ac:dyDescent="0.2">
      <c r="B138" s="150" t="s">
        <v>256</v>
      </c>
      <c r="C138" s="147"/>
      <c r="D138" s="148">
        <f>D136-D137</f>
        <v>-5</v>
      </c>
      <c r="E138" s="152"/>
      <c r="F138" s="152"/>
      <c r="G138" s="147"/>
      <c r="H138" s="149"/>
      <c r="K138" s="147"/>
      <c r="L138" s="149"/>
      <c r="O138" s="147"/>
      <c r="P138" s="149"/>
      <c r="S138" s="147"/>
      <c r="T138" s="148">
        <f>T136-T137</f>
        <v>-5</v>
      </c>
      <c r="W138" s="147"/>
      <c r="AA138" s="147"/>
      <c r="AE138" s="147"/>
    </row>
    <row r="139" spans="2:31" x14ac:dyDescent="0.2">
      <c r="B139" s="186" t="s">
        <v>280</v>
      </c>
      <c r="C139" s="147"/>
      <c r="D139" s="153">
        <v>-270</v>
      </c>
      <c r="E139" s="152"/>
      <c r="F139" s="152"/>
      <c r="G139" s="147"/>
      <c r="H139" s="149"/>
      <c r="K139" s="147"/>
      <c r="L139" s="149"/>
      <c r="O139" s="147"/>
      <c r="P139" s="149"/>
      <c r="S139" s="147"/>
      <c r="T139" s="153">
        <v>-1066</v>
      </c>
      <c r="W139" s="147"/>
      <c r="AA139" s="147"/>
      <c r="AE139" s="147"/>
    </row>
    <row r="140" spans="2:31" x14ac:dyDescent="0.2">
      <c r="B140" s="150" t="s">
        <v>257</v>
      </c>
      <c r="C140" s="147"/>
      <c r="D140" s="151">
        <v>-261</v>
      </c>
      <c r="E140" s="152"/>
      <c r="F140" s="152"/>
      <c r="G140" s="147"/>
      <c r="H140" s="149"/>
      <c r="K140" s="147"/>
      <c r="L140" s="149"/>
      <c r="O140" s="147"/>
      <c r="P140" s="149"/>
      <c r="S140" s="147"/>
      <c r="T140" s="151">
        <v>-1056</v>
      </c>
      <c r="W140" s="147"/>
      <c r="AA140" s="147"/>
      <c r="AE140" s="147"/>
    </row>
    <row r="141" spans="2:31" x14ac:dyDescent="0.2">
      <c r="B141" s="150" t="s">
        <v>256</v>
      </c>
      <c r="C141" s="147"/>
      <c r="D141" s="148">
        <f>D139-D140</f>
        <v>-9</v>
      </c>
      <c r="E141" s="152"/>
      <c r="F141" s="152"/>
      <c r="G141" s="147"/>
      <c r="H141" s="149"/>
      <c r="K141" s="147"/>
      <c r="L141" s="149"/>
      <c r="O141" s="147"/>
      <c r="P141" s="149"/>
      <c r="S141" s="147"/>
      <c r="T141" s="148">
        <f>T139-T140</f>
        <v>-10</v>
      </c>
      <c r="W141" s="147"/>
      <c r="AA141" s="147"/>
      <c r="AE141" s="147"/>
    </row>
    <row r="142" spans="2:31" x14ac:dyDescent="0.2">
      <c r="B142" s="186" t="s">
        <v>279</v>
      </c>
      <c r="C142" s="147"/>
      <c r="D142" s="153">
        <v>75</v>
      </c>
      <c r="E142" s="152"/>
      <c r="F142" s="152"/>
      <c r="G142" s="147"/>
      <c r="H142" s="149"/>
      <c r="K142" s="147"/>
      <c r="L142" s="149"/>
      <c r="O142" s="147"/>
      <c r="P142" s="149"/>
      <c r="S142" s="147"/>
      <c r="T142" s="153">
        <v>271</v>
      </c>
      <c r="W142" s="147"/>
      <c r="AA142" s="147"/>
      <c r="AE142" s="147"/>
    </row>
    <row r="143" spans="2:31" x14ac:dyDescent="0.2">
      <c r="B143" s="150" t="s">
        <v>257</v>
      </c>
      <c r="C143" s="147"/>
      <c r="D143" s="151">
        <v>65</v>
      </c>
      <c r="E143" s="152"/>
      <c r="F143" s="152"/>
      <c r="G143" s="147"/>
      <c r="H143" s="149"/>
      <c r="K143" s="147"/>
      <c r="L143" s="149"/>
      <c r="O143" s="147"/>
      <c r="P143" s="149"/>
      <c r="S143" s="147"/>
      <c r="T143" s="151">
        <v>166</v>
      </c>
      <c r="W143" s="147"/>
      <c r="AA143" s="147"/>
      <c r="AE143" s="147"/>
    </row>
    <row r="144" spans="2:31" x14ac:dyDescent="0.2">
      <c r="B144" s="150" t="s">
        <v>256</v>
      </c>
      <c r="C144" s="147"/>
      <c r="D144" s="148">
        <f>D142-D143</f>
        <v>10</v>
      </c>
      <c r="E144" s="152"/>
      <c r="F144" s="152"/>
      <c r="G144" s="147"/>
      <c r="H144" s="149"/>
      <c r="K144" s="147"/>
      <c r="L144" s="149"/>
      <c r="O144" s="147"/>
      <c r="P144" s="149"/>
      <c r="S144" s="147"/>
      <c r="T144" s="148">
        <f>T142-T143</f>
        <v>105</v>
      </c>
      <c r="W144" s="147"/>
      <c r="AA144" s="147"/>
      <c r="AE144" s="147"/>
    </row>
    <row r="145" spans="2:32" s="149" customFormat="1" x14ac:dyDescent="0.2">
      <c r="B145" s="205" t="s">
        <v>278</v>
      </c>
      <c r="C145" s="176"/>
      <c r="D145" s="153">
        <f>AVERAGE(E145:F145)</f>
        <v>10272.5</v>
      </c>
      <c r="E145" s="204">
        <v>10168</v>
      </c>
      <c r="F145" s="204">
        <v>10377</v>
      </c>
      <c r="G145" s="176"/>
      <c r="K145" s="176"/>
      <c r="O145" s="176"/>
      <c r="S145" s="176"/>
      <c r="T145" s="153">
        <f>AVERAGE(U145:V145)</f>
        <v>41769.5</v>
      </c>
      <c r="U145" s="204">
        <v>41435</v>
      </c>
      <c r="V145" s="204">
        <v>42104</v>
      </c>
      <c r="W145" s="176"/>
      <c r="X145" s="177"/>
      <c r="Y145" s="177"/>
      <c r="Z145" s="177"/>
      <c r="AA145" s="176"/>
      <c r="AB145" s="177"/>
      <c r="AC145" s="177"/>
      <c r="AD145" s="177"/>
      <c r="AE145" s="176"/>
      <c r="AF145" s="175"/>
    </row>
    <row r="146" spans="2:32" x14ac:dyDescent="0.2">
      <c r="B146" s="150" t="s">
        <v>257</v>
      </c>
      <c r="C146" s="147"/>
      <c r="D146" s="151">
        <v>10389</v>
      </c>
      <c r="E146" s="152"/>
      <c r="F146" s="152"/>
      <c r="G146" s="147"/>
      <c r="H146" s="149"/>
      <c r="K146" s="147"/>
      <c r="L146" s="149"/>
      <c r="O146" s="147"/>
      <c r="P146" s="149"/>
      <c r="S146" s="147"/>
      <c r="T146" s="151">
        <v>41885</v>
      </c>
      <c r="W146" s="147"/>
      <c r="AA146" s="147"/>
      <c r="AE146" s="147"/>
    </row>
    <row r="147" spans="2:32" x14ac:dyDescent="0.2">
      <c r="B147" s="150" t="s">
        <v>256</v>
      </c>
      <c r="C147" s="147"/>
      <c r="D147" s="148">
        <f>D145-D146</f>
        <v>-116.5</v>
      </c>
      <c r="E147" s="152"/>
      <c r="F147" s="152"/>
      <c r="G147" s="147"/>
      <c r="H147" s="149"/>
      <c r="K147" s="147"/>
      <c r="L147" s="149"/>
      <c r="O147" s="147"/>
      <c r="P147" s="149"/>
      <c r="S147" s="147"/>
      <c r="T147" s="148">
        <f>T145-T146</f>
        <v>-115.5</v>
      </c>
      <c r="W147" s="147"/>
      <c r="AA147" s="147"/>
      <c r="AE147" s="147"/>
    </row>
    <row r="148" spans="2:32" s="149" customFormat="1" x14ac:dyDescent="0.2">
      <c r="B148" s="179" t="s">
        <v>277</v>
      </c>
      <c r="C148" s="176"/>
      <c r="D148" s="153">
        <f>AVERAGE(E148:F148)</f>
        <v>2516</v>
      </c>
      <c r="E148" s="204">
        <v>2489</v>
      </c>
      <c r="F148" s="204">
        <v>2543</v>
      </c>
      <c r="G148" s="176"/>
      <c r="K148" s="176"/>
      <c r="O148" s="176"/>
      <c r="S148" s="176"/>
      <c r="T148" s="153">
        <f>AVERAGE(U148:V148)</f>
        <v>9985</v>
      </c>
      <c r="U148" s="204">
        <v>9958</v>
      </c>
      <c r="V148" s="204">
        <v>10012</v>
      </c>
      <c r="W148" s="176"/>
      <c r="X148" s="177"/>
      <c r="Y148" s="177"/>
      <c r="Z148" s="177"/>
      <c r="AA148" s="176"/>
      <c r="AB148" s="177"/>
      <c r="AC148" s="177"/>
      <c r="AD148" s="177"/>
      <c r="AE148" s="176"/>
      <c r="AF148" s="175"/>
    </row>
    <row r="149" spans="2:32" x14ac:dyDescent="0.2">
      <c r="B149" s="150" t="s">
        <v>257</v>
      </c>
      <c r="C149" s="147"/>
      <c r="D149" s="151">
        <f>IS!AF16</f>
        <v>1953</v>
      </c>
      <c r="E149" s="152"/>
      <c r="F149" s="152"/>
      <c r="G149" s="147"/>
      <c r="H149" s="149"/>
      <c r="K149" s="147"/>
      <c r="L149" s="149"/>
      <c r="O149" s="147"/>
      <c r="P149" s="149"/>
      <c r="S149" s="147"/>
      <c r="T149" s="151">
        <f>IS!J16</f>
        <v>8053</v>
      </c>
      <c r="W149" s="147"/>
      <c r="AA149" s="147"/>
      <c r="AE149" s="147"/>
    </row>
    <row r="150" spans="2:32" x14ac:dyDescent="0.2">
      <c r="B150" s="150" t="s">
        <v>256</v>
      </c>
      <c r="C150" s="147"/>
      <c r="D150" s="148">
        <f>D148-D149</f>
        <v>563</v>
      </c>
      <c r="E150" s="152"/>
      <c r="F150" s="152"/>
      <c r="G150" s="147"/>
      <c r="H150" s="149"/>
      <c r="K150" s="147"/>
      <c r="L150" s="149"/>
      <c r="O150" s="147"/>
      <c r="P150" s="149"/>
      <c r="S150" s="147"/>
      <c r="T150" s="148">
        <f>T148-T149</f>
        <v>1932</v>
      </c>
      <c r="W150" s="147"/>
      <c r="AA150" s="147"/>
      <c r="AE150" s="147"/>
    </row>
    <row r="151" spans="2:32" s="149" customFormat="1" x14ac:dyDescent="0.2">
      <c r="B151" s="179" t="s">
        <v>276</v>
      </c>
      <c r="C151" s="176"/>
      <c r="D151" s="203"/>
      <c r="E151" s="204"/>
      <c r="F151" s="204"/>
      <c r="G151" s="176"/>
      <c r="K151" s="176"/>
      <c r="O151" s="176"/>
      <c r="S151" s="176"/>
      <c r="T151" s="153">
        <f>AVERAGE(U151:V151)</f>
        <v>564</v>
      </c>
      <c r="U151" s="204">
        <v>564</v>
      </c>
      <c r="V151" s="204">
        <v>564</v>
      </c>
      <c r="W151" s="176"/>
      <c r="X151" s="177"/>
      <c r="Y151" s="177"/>
      <c r="Z151" s="177"/>
      <c r="AA151" s="176"/>
      <c r="AB151" s="177"/>
      <c r="AC151" s="177"/>
      <c r="AD151" s="177"/>
      <c r="AE151" s="176"/>
      <c r="AF151" s="175"/>
    </row>
    <row r="152" spans="2:32" s="149" customFormat="1" x14ac:dyDescent="0.2">
      <c r="B152" s="179" t="s">
        <v>275</v>
      </c>
      <c r="C152" s="176"/>
      <c r="D152" s="153">
        <f>AVERAGE(E152:F152)</f>
        <v>10272.5</v>
      </c>
      <c r="E152" s="204">
        <v>10168</v>
      </c>
      <c r="F152" s="204">
        <v>10377</v>
      </c>
      <c r="G152" s="176"/>
      <c r="K152" s="176"/>
      <c r="O152" s="176"/>
      <c r="S152" s="176"/>
      <c r="T152" s="153">
        <f>AVERAGE(U152:V152)</f>
        <v>31221.5</v>
      </c>
      <c r="U152" s="204">
        <v>30914</v>
      </c>
      <c r="V152" s="204">
        <v>31529</v>
      </c>
      <c r="W152" s="176"/>
      <c r="X152" s="177"/>
      <c r="Y152" s="177"/>
      <c r="Z152" s="177"/>
      <c r="AA152" s="176"/>
      <c r="AB152" s="177"/>
      <c r="AC152" s="177"/>
      <c r="AD152" s="177"/>
      <c r="AE152" s="176"/>
      <c r="AF152" s="175"/>
    </row>
    <row r="153" spans="2:32" x14ac:dyDescent="0.2">
      <c r="B153" s="150" t="s">
        <v>257</v>
      </c>
      <c r="C153" s="147"/>
      <c r="D153" s="151">
        <v>10159</v>
      </c>
      <c r="E153" s="152"/>
      <c r="F153" s="152"/>
      <c r="G153" s="147"/>
      <c r="H153" s="149"/>
      <c r="K153" s="147"/>
      <c r="L153" s="149"/>
      <c r="O153" s="147"/>
      <c r="P153" s="149"/>
      <c r="S153" s="147"/>
      <c r="T153" s="151">
        <v>41092</v>
      </c>
      <c r="W153" s="147"/>
      <c r="AA153" s="147"/>
      <c r="AE153" s="147"/>
    </row>
    <row r="154" spans="2:32" x14ac:dyDescent="0.2">
      <c r="B154" s="150" t="s">
        <v>256</v>
      </c>
      <c r="C154" s="147"/>
      <c r="D154" s="148">
        <f>D152-D153</f>
        <v>113.5</v>
      </c>
      <c r="E154" s="152"/>
      <c r="F154" s="152"/>
      <c r="G154" s="147"/>
      <c r="H154" s="149"/>
      <c r="K154" s="147"/>
      <c r="L154" s="149"/>
      <c r="O154" s="147"/>
      <c r="P154" s="149"/>
      <c r="S154" s="147"/>
      <c r="T154" s="148">
        <f>T152-T153</f>
        <v>-9870.5</v>
      </c>
      <c r="W154" s="147"/>
      <c r="AA154" s="147"/>
      <c r="AE154" s="147"/>
    </row>
    <row r="155" spans="2:32" ht="5.0999999999999996" customHeight="1" x14ac:dyDescent="0.2">
      <c r="B155" s="186"/>
      <c r="C155" s="147"/>
      <c r="D155" s="184"/>
      <c r="E155" s="161"/>
      <c r="F155" s="161"/>
      <c r="G155" s="147"/>
      <c r="H155" s="165"/>
      <c r="I155" s="165"/>
      <c r="J155" s="165"/>
      <c r="K155" s="147"/>
      <c r="L155" s="165"/>
      <c r="M155" s="165"/>
      <c r="N155" s="165"/>
      <c r="O155" s="147"/>
      <c r="P155" s="165"/>
      <c r="Q155" s="165"/>
      <c r="R155" s="165"/>
      <c r="S155" s="147"/>
      <c r="T155" s="184"/>
      <c r="U155" s="165"/>
      <c r="V155" s="165"/>
      <c r="W155" s="147"/>
      <c r="X155" s="165"/>
      <c r="Y155" s="165"/>
      <c r="Z155" s="165"/>
      <c r="AA155" s="147"/>
      <c r="AB155" s="165"/>
      <c r="AC155" s="165"/>
      <c r="AD155" s="165"/>
      <c r="AE155" s="147"/>
      <c r="AF155" s="183"/>
    </row>
    <row r="156" spans="2:32" s="187" customFormat="1" x14ac:dyDescent="0.2">
      <c r="B156" s="154" t="s">
        <v>274</v>
      </c>
      <c r="C156" s="188"/>
      <c r="D156" s="153">
        <v>526</v>
      </c>
      <c r="E156" s="193"/>
      <c r="F156" s="193"/>
      <c r="G156" s="188"/>
      <c r="H156" s="149"/>
      <c r="I156" s="195"/>
      <c r="J156" s="195"/>
      <c r="K156" s="188"/>
      <c r="L156" s="149"/>
      <c r="M156" s="195"/>
      <c r="N156" s="195"/>
      <c r="O156" s="188"/>
      <c r="P156" s="149"/>
      <c r="Q156" s="195"/>
      <c r="R156" s="195"/>
      <c r="S156" s="188"/>
      <c r="T156" s="153">
        <v>1800</v>
      </c>
      <c r="U156" s="195"/>
      <c r="V156" s="195"/>
      <c r="W156" s="188"/>
      <c r="X156" s="149"/>
      <c r="Y156" s="195"/>
      <c r="Z156" s="195"/>
      <c r="AA156" s="188"/>
      <c r="AB156" s="149"/>
      <c r="AC156" s="195"/>
      <c r="AD156" s="195"/>
      <c r="AE156" s="188"/>
      <c r="AF156" s="201"/>
    </row>
    <row r="157" spans="2:32" s="187" customFormat="1" x14ac:dyDescent="0.2">
      <c r="B157" s="154" t="s">
        <v>273</v>
      </c>
      <c r="C157" s="188"/>
      <c r="D157" s="153">
        <v>477</v>
      </c>
      <c r="E157" s="193"/>
      <c r="F157" s="193"/>
      <c r="G157" s="188"/>
      <c r="H157" s="149"/>
      <c r="I157" s="195"/>
      <c r="J157" s="195"/>
      <c r="K157" s="188"/>
      <c r="L157" s="149"/>
      <c r="M157" s="195"/>
      <c r="N157" s="195"/>
      <c r="O157" s="188"/>
      <c r="P157" s="149"/>
      <c r="Q157" s="195"/>
      <c r="R157" s="195"/>
      <c r="S157" s="188"/>
      <c r="T157" s="153">
        <v>1940</v>
      </c>
      <c r="U157" s="195"/>
      <c r="V157" s="195"/>
      <c r="W157" s="188"/>
      <c r="X157" s="149"/>
      <c r="Y157" s="195"/>
      <c r="Z157" s="195"/>
      <c r="AA157" s="188"/>
      <c r="AB157" s="149"/>
      <c r="AC157" s="195"/>
      <c r="AD157" s="195"/>
      <c r="AE157" s="188"/>
      <c r="AF157" s="201"/>
    </row>
    <row r="158" spans="2:32" s="187" customFormat="1" x14ac:dyDescent="0.2">
      <c r="B158" s="154" t="s">
        <v>272</v>
      </c>
      <c r="C158" s="188"/>
      <c r="D158" s="153">
        <v>-486</v>
      </c>
      <c r="E158" s="193"/>
      <c r="F158" s="193"/>
      <c r="G158" s="188"/>
      <c r="H158" s="149"/>
      <c r="I158" s="195"/>
      <c r="J158" s="195"/>
      <c r="K158" s="188"/>
      <c r="L158" s="149"/>
      <c r="M158" s="195"/>
      <c r="N158" s="195"/>
      <c r="O158" s="188"/>
      <c r="P158" s="149"/>
      <c r="Q158" s="195"/>
      <c r="R158" s="195"/>
      <c r="S158" s="188"/>
      <c r="T158" s="153">
        <v>-1585</v>
      </c>
      <c r="U158" s="195"/>
      <c r="V158" s="195"/>
      <c r="W158" s="188"/>
      <c r="X158" s="195"/>
      <c r="Y158" s="195"/>
      <c r="Z158" s="195"/>
      <c r="AA158" s="188"/>
      <c r="AB158" s="195"/>
      <c r="AC158" s="195"/>
      <c r="AD158" s="195"/>
      <c r="AE158" s="188"/>
      <c r="AF158" s="201"/>
    </row>
    <row r="159" spans="2:32" s="187" customFormat="1" x14ac:dyDescent="0.2">
      <c r="B159" s="154" t="s">
        <v>271</v>
      </c>
      <c r="C159" s="188"/>
      <c r="D159" s="153">
        <v>-8</v>
      </c>
      <c r="E159" s="193"/>
      <c r="F159" s="193"/>
      <c r="G159" s="188"/>
      <c r="H159" s="149"/>
      <c r="I159" s="195"/>
      <c r="J159" s="195"/>
      <c r="K159" s="188"/>
      <c r="L159" s="149"/>
      <c r="M159" s="195"/>
      <c r="N159" s="195"/>
      <c r="O159" s="188"/>
      <c r="P159" s="149"/>
      <c r="Q159" s="195"/>
      <c r="R159" s="195"/>
      <c r="S159" s="188"/>
      <c r="T159" s="153">
        <v>355</v>
      </c>
      <c r="U159" s="195"/>
      <c r="V159" s="195"/>
      <c r="W159" s="188"/>
      <c r="X159" s="195"/>
      <c r="Y159" s="195"/>
      <c r="Z159" s="195"/>
      <c r="AA159" s="188"/>
      <c r="AB159" s="195"/>
      <c r="AC159" s="195"/>
      <c r="AD159" s="195"/>
      <c r="AE159" s="188"/>
      <c r="AF159" s="201"/>
    </row>
    <row r="160" spans="2:32" s="187" customFormat="1" x14ac:dyDescent="0.2">
      <c r="B160" s="154" t="s">
        <v>270</v>
      </c>
      <c r="C160" s="188"/>
      <c r="D160" s="153">
        <f>SUM(D156:D157)</f>
        <v>1003</v>
      </c>
      <c r="E160" s="193"/>
      <c r="F160" s="193"/>
      <c r="G160" s="188"/>
      <c r="H160" s="195"/>
      <c r="I160" s="195"/>
      <c r="J160" s="195"/>
      <c r="K160" s="188"/>
      <c r="L160" s="195"/>
      <c r="M160" s="195"/>
      <c r="N160" s="195"/>
      <c r="O160" s="188"/>
      <c r="P160" s="195"/>
      <c r="Q160" s="195"/>
      <c r="R160" s="195"/>
      <c r="S160" s="188"/>
      <c r="T160" s="153">
        <f>SUM(T156:T157)</f>
        <v>3740</v>
      </c>
      <c r="U160" s="195"/>
      <c r="V160" s="195"/>
      <c r="W160" s="188"/>
      <c r="X160" s="149"/>
      <c r="Y160" s="195"/>
      <c r="Z160" s="195"/>
      <c r="AA160" s="188"/>
      <c r="AB160" s="149"/>
      <c r="AC160" s="195"/>
      <c r="AD160" s="195"/>
      <c r="AE160" s="188"/>
      <c r="AF160" s="201"/>
    </row>
    <row r="161" spans="2:32" x14ac:dyDescent="0.2">
      <c r="B161" s="150" t="s">
        <v>257</v>
      </c>
      <c r="C161" s="147"/>
      <c r="D161" s="151">
        <v>1009</v>
      </c>
      <c r="E161" s="152"/>
      <c r="F161" s="152"/>
      <c r="G161" s="147"/>
      <c r="H161" s="149"/>
      <c r="K161" s="147"/>
      <c r="L161" s="149"/>
      <c r="O161" s="147"/>
      <c r="P161" s="149"/>
      <c r="S161" s="147"/>
      <c r="T161" s="151">
        <v>3745</v>
      </c>
      <c r="W161" s="147"/>
      <c r="AA161" s="147"/>
      <c r="AE161" s="147"/>
    </row>
    <row r="162" spans="2:32" x14ac:dyDescent="0.2">
      <c r="B162" s="150" t="s">
        <v>256</v>
      </c>
      <c r="C162" s="147"/>
      <c r="D162" s="148">
        <f>D160-D161</f>
        <v>-6</v>
      </c>
      <c r="E162" s="152"/>
      <c r="F162" s="152"/>
      <c r="G162" s="147"/>
      <c r="H162" s="149"/>
      <c r="K162" s="147"/>
      <c r="L162" s="149"/>
      <c r="O162" s="147"/>
      <c r="P162" s="149"/>
      <c r="S162" s="147"/>
      <c r="T162" s="148">
        <f>T160-T161</f>
        <v>-5</v>
      </c>
      <c r="W162" s="147"/>
      <c r="AA162" s="147"/>
      <c r="AE162" s="147"/>
    </row>
    <row r="163" spans="2:32" s="187" customFormat="1" ht="5.0999999999999996" customHeight="1" x14ac:dyDescent="0.2">
      <c r="B163" s="154"/>
      <c r="C163" s="188"/>
      <c r="D163" s="203"/>
      <c r="E163" s="193"/>
      <c r="F163" s="193"/>
      <c r="G163" s="188"/>
      <c r="H163" s="149"/>
      <c r="I163" s="195"/>
      <c r="J163" s="195"/>
      <c r="K163" s="188"/>
      <c r="L163" s="149"/>
      <c r="M163" s="195"/>
      <c r="N163" s="195"/>
      <c r="O163" s="188"/>
      <c r="P163" s="149"/>
      <c r="Q163" s="195"/>
      <c r="R163" s="195"/>
      <c r="S163" s="188"/>
      <c r="T163" s="203"/>
      <c r="U163" s="195"/>
      <c r="V163" s="195"/>
      <c r="W163" s="188"/>
      <c r="X163" s="195"/>
      <c r="Y163" s="195"/>
      <c r="Z163" s="195"/>
      <c r="AA163" s="188"/>
      <c r="AB163" s="195"/>
      <c r="AC163" s="195"/>
      <c r="AD163" s="195"/>
      <c r="AE163" s="188"/>
      <c r="AF163" s="201"/>
    </row>
    <row r="164" spans="2:32" s="187" customFormat="1" x14ac:dyDescent="0.2">
      <c r="B164" s="154" t="s">
        <v>269</v>
      </c>
      <c r="C164" s="188"/>
      <c r="D164" s="153">
        <v>461</v>
      </c>
      <c r="E164" s="193"/>
      <c r="F164" s="193"/>
      <c r="G164" s="188"/>
      <c r="H164" s="149"/>
      <c r="I164" s="195"/>
      <c r="J164" s="195"/>
      <c r="K164" s="188"/>
      <c r="L164" s="149"/>
      <c r="M164" s="195"/>
      <c r="N164" s="195"/>
      <c r="O164" s="188"/>
      <c r="P164" s="149"/>
      <c r="Q164" s="195"/>
      <c r="R164" s="195"/>
      <c r="S164" s="188"/>
      <c r="T164" s="153">
        <v>464</v>
      </c>
      <c r="U164" s="195"/>
      <c r="V164" s="195"/>
      <c r="W164" s="188"/>
      <c r="X164" s="202"/>
      <c r="Y164" s="195"/>
      <c r="Z164" s="195"/>
      <c r="AA164" s="188"/>
      <c r="AB164" s="202"/>
      <c r="AC164" s="195"/>
      <c r="AD164" s="195"/>
      <c r="AE164" s="188"/>
      <c r="AF164" s="201"/>
    </row>
    <row r="165" spans="2:32" x14ac:dyDescent="0.2">
      <c r="B165" s="150" t="s">
        <v>257</v>
      </c>
      <c r="C165" s="147"/>
      <c r="D165" s="151">
        <v>460.589</v>
      </c>
      <c r="E165" s="152"/>
      <c r="F165" s="152"/>
      <c r="G165" s="147"/>
      <c r="H165" s="149"/>
      <c r="K165" s="147"/>
      <c r="L165" s="149"/>
      <c r="O165" s="147"/>
      <c r="P165" s="149"/>
      <c r="S165" s="147"/>
      <c r="T165" s="151">
        <v>464.23599999999999</v>
      </c>
      <c r="W165" s="147"/>
      <c r="AA165" s="147"/>
      <c r="AE165" s="147"/>
    </row>
    <row r="166" spans="2:32" x14ac:dyDescent="0.2">
      <c r="B166" s="150" t="s">
        <v>256</v>
      </c>
      <c r="C166" s="147"/>
      <c r="D166" s="148">
        <f>D164-D165</f>
        <v>0.41100000000000136</v>
      </c>
      <c r="E166" s="152"/>
      <c r="F166" s="152"/>
      <c r="G166" s="147"/>
      <c r="H166" s="149"/>
      <c r="K166" s="147"/>
      <c r="L166" s="149"/>
      <c r="O166" s="147"/>
      <c r="P166" s="149"/>
      <c r="S166" s="147"/>
      <c r="T166" s="148">
        <f>T164-T165</f>
        <v>-0.23599999999999</v>
      </c>
      <c r="W166" s="147"/>
      <c r="AA166" s="147"/>
      <c r="AE166" s="147"/>
    </row>
    <row r="167" spans="2:32" s="187" customFormat="1" x14ac:dyDescent="0.2">
      <c r="B167" s="154" t="s">
        <v>268</v>
      </c>
      <c r="C167" s="188"/>
      <c r="D167" s="153">
        <v>461</v>
      </c>
      <c r="E167" s="193"/>
      <c r="F167" s="193"/>
      <c r="G167" s="188"/>
      <c r="H167" s="149"/>
      <c r="I167" s="195"/>
      <c r="J167" s="195"/>
      <c r="K167" s="188"/>
      <c r="L167" s="149"/>
      <c r="M167" s="195"/>
      <c r="N167" s="195"/>
      <c r="O167" s="188"/>
      <c r="P167" s="149"/>
      <c r="Q167" s="195"/>
      <c r="R167" s="195"/>
      <c r="S167" s="188"/>
      <c r="T167" s="153">
        <v>464</v>
      </c>
      <c r="U167" s="195"/>
      <c r="V167" s="195"/>
      <c r="W167" s="188"/>
      <c r="X167" s="202"/>
      <c r="Y167" s="195"/>
      <c r="Z167" s="195"/>
      <c r="AA167" s="188"/>
      <c r="AB167" s="202"/>
      <c r="AC167" s="195"/>
      <c r="AD167" s="195"/>
      <c r="AE167" s="188"/>
      <c r="AF167" s="201"/>
    </row>
    <row r="168" spans="2:32" x14ac:dyDescent="0.2">
      <c r="B168" s="150" t="s">
        <v>257</v>
      </c>
      <c r="C168" s="147"/>
      <c r="D168" s="151">
        <v>460.589</v>
      </c>
      <c r="E168" s="152"/>
      <c r="F168" s="152"/>
      <c r="G168" s="147"/>
      <c r="H168" s="149"/>
      <c r="K168" s="147"/>
      <c r="L168" s="149"/>
      <c r="O168" s="147"/>
      <c r="P168" s="149"/>
      <c r="S168" s="147"/>
      <c r="T168" s="151">
        <v>464.23599999999999</v>
      </c>
      <c r="W168" s="147"/>
      <c r="AA168" s="147"/>
      <c r="AE168" s="147"/>
    </row>
    <row r="169" spans="2:32" x14ac:dyDescent="0.2">
      <c r="B169" s="150" t="s">
        <v>256</v>
      </c>
      <c r="C169" s="147"/>
      <c r="D169" s="148">
        <f>D167-D168</f>
        <v>0.41100000000000136</v>
      </c>
      <c r="E169" s="152"/>
      <c r="F169" s="152"/>
      <c r="G169" s="147"/>
      <c r="H169" s="149"/>
      <c r="K169" s="147"/>
      <c r="L169" s="149"/>
      <c r="O169" s="147"/>
      <c r="P169" s="149"/>
      <c r="S169" s="147"/>
      <c r="T169" s="148">
        <f>T167-T168</f>
        <v>-0.23599999999999</v>
      </c>
      <c r="W169" s="147"/>
      <c r="AA169" s="147"/>
      <c r="AE169" s="147"/>
    </row>
    <row r="170" spans="2:32" s="187" customFormat="1" x14ac:dyDescent="0.2">
      <c r="B170" s="154" t="s">
        <v>267</v>
      </c>
      <c r="C170" s="188"/>
      <c r="D170" s="153">
        <v>462</v>
      </c>
      <c r="E170" s="193"/>
      <c r="F170" s="193"/>
      <c r="G170" s="188"/>
      <c r="H170" s="149"/>
      <c r="I170" s="195"/>
      <c r="J170" s="195"/>
      <c r="K170" s="188"/>
      <c r="L170" s="149"/>
      <c r="M170" s="195"/>
      <c r="N170" s="195"/>
      <c r="O170" s="188"/>
      <c r="P170" s="149"/>
      <c r="Q170" s="195"/>
      <c r="R170" s="195"/>
      <c r="S170" s="188"/>
      <c r="T170" s="153">
        <v>466</v>
      </c>
      <c r="U170" s="195"/>
      <c r="V170" s="195"/>
      <c r="W170" s="188"/>
      <c r="X170" s="202"/>
      <c r="Y170" s="195"/>
      <c r="Z170" s="195"/>
      <c r="AA170" s="188"/>
      <c r="AB170" s="202"/>
      <c r="AC170" s="195"/>
      <c r="AD170" s="195"/>
      <c r="AE170" s="188"/>
      <c r="AF170" s="201"/>
    </row>
    <row r="171" spans="2:32" s="187" customFormat="1" x14ac:dyDescent="0.2">
      <c r="B171" s="154" t="s">
        <v>266</v>
      </c>
      <c r="C171" s="188"/>
      <c r="D171" s="153">
        <v>461</v>
      </c>
      <c r="E171" s="193"/>
      <c r="F171" s="193"/>
      <c r="G171" s="188"/>
      <c r="H171" s="149"/>
      <c r="I171" s="195"/>
      <c r="J171" s="195"/>
      <c r="K171" s="188"/>
      <c r="L171" s="149"/>
      <c r="M171" s="195"/>
      <c r="N171" s="195"/>
      <c r="O171" s="188"/>
      <c r="P171" s="149"/>
      <c r="Q171" s="195"/>
      <c r="R171" s="195"/>
      <c r="S171" s="188"/>
      <c r="T171" s="153">
        <v>464</v>
      </c>
      <c r="U171" s="195"/>
      <c r="V171" s="195"/>
      <c r="W171" s="188"/>
      <c r="X171" s="202"/>
      <c r="Y171" s="195"/>
      <c r="Z171" s="195"/>
      <c r="AA171" s="188"/>
      <c r="AB171" s="202"/>
      <c r="AC171" s="195"/>
      <c r="AD171" s="195"/>
      <c r="AE171" s="188"/>
      <c r="AF171" s="201"/>
    </row>
    <row r="172" spans="2:32" x14ac:dyDescent="0.2">
      <c r="B172" s="150" t="s">
        <v>257</v>
      </c>
      <c r="C172" s="147"/>
      <c r="D172" s="151">
        <v>461.91500000000002</v>
      </c>
      <c r="E172" s="152"/>
      <c r="F172" s="152"/>
      <c r="G172" s="147"/>
      <c r="H172" s="149"/>
      <c r="K172" s="147"/>
      <c r="L172" s="149"/>
      <c r="O172" s="147"/>
      <c r="P172" s="149"/>
      <c r="S172" s="147"/>
      <c r="T172" s="151">
        <v>464.23599999999999</v>
      </c>
      <c r="W172" s="147"/>
      <c r="AA172" s="147"/>
      <c r="AE172" s="147"/>
    </row>
    <row r="173" spans="2:32" x14ac:dyDescent="0.2">
      <c r="B173" s="150" t="s">
        <v>256</v>
      </c>
      <c r="C173" s="147"/>
      <c r="D173" s="148">
        <f>D171-D172</f>
        <v>-0.91500000000002046</v>
      </c>
      <c r="E173" s="152"/>
      <c r="F173" s="152"/>
      <c r="G173" s="147"/>
      <c r="H173" s="149"/>
      <c r="K173" s="147"/>
      <c r="L173" s="149"/>
      <c r="O173" s="147"/>
      <c r="P173" s="149"/>
      <c r="S173" s="147"/>
      <c r="T173" s="148">
        <f>T171-T172</f>
        <v>-0.23599999999999</v>
      </c>
      <c r="W173" s="147"/>
      <c r="AA173" s="147"/>
      <c r="AE173" s="147"/>
    </row>
    <row r="174" spans="2:32" s="187" customFormat="1" ht="5.0999999999999996" customHeight="1" x14ac:dyDescent="0.2">
      <c r="B174" s="154"/>
      <c r="C174" s="188"/>
      <c r="D174" s="203"/>
      <c r="E174" s="193"/>
      <c r="F174" s="193"/>
      <c r="G174" s="188"/>
      <c r="H174" s="149"/>
      <c r="I174" s="195"/>
      <c r="J174" s="195"/>
      <c r="K174" s="188"/>
      <c r="L174" s="149"/>
      <c r="M174" s="195"/>
      <c r="N174" s="195"/>
      <c r="O174" s="188"/>
      <c r="P174" s="149"/>
      <c r="Q174" s="195"/>
      <c r="R174" s="195"/>
      <c r="S174" s="188"/>
      <c r="T174" s="203"/>
      <c r="U174" s="195"/>
      <c r="V174" s="195"/>
      <c r="W174" s="188"/>
      <c r="X174" s="202"/>
      <c r="Y174" s="195"/>
      <c r="Z174" s="195"/>
      <c r="AA174" s="188"/>
      <c r="AB174" s="202"/>
      <c r="AC174" s="195"/>
      <c r="AD174" s="195"/>
      <c r="AE174" s="188"/>
      <c r="AF174" s="201"/>
    </row>
    <row r="175" spans="2:32" x14ac:dyDescent="0.2">
      <c r="B175" s="186" t="s">
        <v>265</v>
      </c>
      <c r="C175" s="147"/>
      <c r="D175" s="185">
        <f>AVERAGE(E175:F175)</f>
        <v>2.5000000000000001E-2</v>
      </c>
      <c r="E175" s="161">
        <v>1.4999999999999999E-2</v>
      </c>
      <c r="F175" s="200">
        <v>3.5000000000000003E-2</v>
      </c>
      <c r="G175" s="147"/>
      <c r="H175" s="165"/>
      <c r="I175" s="165"/>
      <c r="J175" s="183"/>
      <c r="K175" s="147"/>
      <c r="L175" s="165"/>
      <c r="M175" s="165"/>
      <c r="N175" s="183"/>
      <c r="O175" s="147"/>
      <c r="P175" s="165"/>
      <c r="Q175" s="165"/>
      <c r="R175" s="183"/>
      <c r="S175" s="147"/>
      <c r="T175" s="199"/>
      <c r="U175" s="198"/>
      <c r="V175" s="198"/>
      <c r="W175" s="147"/>
      <c r="X175" s="198"/>
      <c r="Y175" s="198"/>
      <c r="Z175" s="198"/>
      <c r="AA175" s="147"/>
      <c r="AB175" s="198"/>
      <c r="AC175" s="198"/>
      <c r="AD175" s="198"/>
      <c r="AE175" s="147"/>
    </row>
    <row r="176" spans="2:32" x14ac:dyDescent="0.2">
      <c r="B176" s="150" t="s">
        <v>257</v>
      </c>
      <c r="C176" s="147"/>
      <c r="D176" s="157">
        <v>1.7142857142857126E-2</v>
      </c>
      <c r="E176" s="152"/>
      <c r="F176" s="152"/>
      <c r="G176" s="147"/>
      <c r="H176" s="149"/>
      <c r="K176" s="147"/>
      <c r="L176" s="149"/>
      <c r="O176" s="147"/>
      <c r="P176" s="149"/>
      <c r="S176" s="147"/>
      <c r="T176" s="196"/>
      <c r="W176" s="147"/>
      <c r="AA176" s="147"/>
      <c r="AE176" s="147"/>
    </row>
    <row r="177" spans="2:32" x14ac:dyDescent="0.2">
      <c r="B177" s="150" t="s">
        <v>256</v>
      </c>
      <c r="C177" s="147"/>
      <c r="D177" s="197">
        <f>D175-D176</f>
        <v>7.857142857142875E-3</v>
      </c>
      <c r="E177" s="152"/>
      <c r="F177" s="152"/>
      <c r="G177" s="147"/>
      <c r="H177" s="149"/>
      <c r="K177" s="147"/>
      <c r="L177" s="149"/>
      <c r="O177" s="147"/>
      <c r="P177" s="149"/>
      <c r="S177" s="147"/>
      <c r="T177" s="196"/>
      <c r="W177" s="147"/>
      <c r="AA177" s="147"/>
      <c r="AE177" s="147"/>
    </row>
    <row r="178" spans="2:32" x14ac:dyDescent="0.2">
      <c r="B178" s="186" t="s">
        <v>264</v>
      </c>
      <c r="C178" s="147"/>
      <c r="D178" s="194">
        <f>AVERAGE(E178:F178)</f>
        <v>2.3250000000000002</v>
      </c>
      <c r="E178" s="193">
        <v>2.2999999999999998</v>
      </c>
      <c r="F178" s="193">
        <v>2.35</v>
      </c>
      <c r="G178" s="147"/>
      <c r="H178" s="195"/>
      <c r="I178" s="195"/>
      <c r="J178" s="195"/>
      <c r="K178" s="147"/>
      <c r="L178" s="195"/>
      <c r="M178" s="195"/>
      <c r="N178" s="195"/>
      <c r="O178" s="147"/>
      <c r="P178" s="195"/>
      <c r="Q178" s="195"/>
      <c r="R178" s="195"/>
      <c r="S178" s="147"/>
      <c r="T178" s="194">
        <f>AVERAGE(U178:V178)</f>
        <v>2.2450000000000001</v>
      </c>
      <c r="U178" s="193">
        <v>2.2200000000000002</v>
      </c>
      <c r="V178" s="193">
        <v>2.27</v>
      </c>
      <c r="W178" s="147"/>
      <c r="AA178" s="147"/>
      <c r="AE178" s="147"/>
    </row>
    <row r="179" spans="2:32" s="187" customFormat="1" x14ac:dyDescent="0.2">
      <c r="B179" s="191" t="s">
        <v>257</v>
      </c>
      <c r="C179" s="188"/>
      <c r="D179" s="192">
        <v>2.25</v>
      </c>
      <c r="E179" s="190"/>
      <c r="F179" s="190"/>
      <c r="G179" s="188"/>
      <c r="K179" s="188"/>
      <c r="O179" s="188"/>
      <c r="S179" s="188"/>
      <c r="T179" s="192">
        <v>2.23</v>
      </c>
      <c r="W179" s="188"/>
      <c r="AA179" s="188"/>
      <c r="AE179" s="188"/>
    </row>
    <row r="180" spans="2:32" s="187" customFormat="1" x14ac:dyDescent="0.2">
      <c r="B180" s="191" t="s">
        <v>256</v>
      </c>
      <c r="C180" s="188"/>
      <c r="D180" s="189">
        <f>D178-D179</f>
        <v>7.5000000000000178E-2</v>
      </c>
      <c r="E180" s="190"/>
      <c r="F180" s="190"/>
      <c r="G180" s="188"/>
      <c r="K180" s="188"/>
      <c r="O180" s="188"/>
      <c r="S180" s="188"/>
      <c r="T180" s="189">
        <f>T178-T179</f>
        <v>1.5000000000000124E-2</v>
      </c>
      <c r="W180" s="188"/>
      <c r="AA180" s="188"/>
      <c r="AE180" s="188"/>
    </row>
    <row r="181" spans="2:32" x14ac:dyDescent="0.2">
      <c r="B181" s="186" t="s">
        <v>263</v>
      </c>
      <c r="C181" s="147"/>
      <c r="D181" s="153">
        <v>1082</v>
      </c>
      <c r="E181" s="152"/>
      <c r="F181" s="152"/>
      <c r="G181" s="147"/>
      <c r="H181" s="149"/>
      <c r="K181" s="147"/>
      <c r="L181" s="149"/>
      <c r="O181" s="147"/>
      <c r="P181" s="149"/>
      <c r="S181" s="147"/>
      <c r="T181" s="153">
        <v>4449</v>
      </c>
      <c r="W181" s="147"/>
      <c r="AA181" s="147"/>
      <c r="AE181" s="147"/>
    </row>
    <row r="182" spans="2:32" x14ac:dyDescent="0.2">
      <c r="B182" s="150" t="s">
        <v>257</v>
      </c>
      <c r="C182" s="147"/>
      <c r="D182" s="151">
        <v>1080</v>
      </c>
      <c r="E182" s="152"/>
      <c r="F182" s="152"/>
      <c r="G182" s="147"/>
      <c r="H182" s="149"/>
      <c r="K182" s="147"/>
      <c r="L182" s="149"/>
      <c r="O182" s="147"/>
      <c r="P182" s="149"/>
      <c r="S182" s="147"/>
      <c r="T182" s="151">
        <v>4447</v>
      </c>
      <c r="W182" s="147"/>
      <c r="AA182" s="147"/>
      <c r="AE182" s="147"/>
    </row>
    <row r="183" spans="2:32" x14ac:dyDescent="0.2">
      <c r="B183" s="150" t="s">
        <v>256</v>
      </c>
      <c r="C183" s="147"/>
      <c r="D183" s="148">
        <f>D181-D182</f>
        <v>2</v>
      </c>
      <c r="E183" s="152"/>
      <c r="F183" s="152"/>
      <c r="G183" s="147"/>
      <c r="H183" s="149"/>
      <c r="K183" s="147"/>
      <c r="L183" s="149"/>
      <c r="O183" s="147"/>
      <c r="P183" s="149"/>
      <c r="S183" s="147"/>
      <c r="T183" s="148">
        <f>T181-T182</f>
        <v>2</v>
      </c>
      <c r="W183" s="147"/>
      <c r="AA183" s="147"/>
      <c r="AE183" s="147"/>
    </row>
    <row r="184" spans="2:32" x14ac:dyDescent="0.2">
      <c r="B184" s="186" t="s">
        <v>262</v>
      </c>
      <c r="C184" s="147"/>
      <c r="D184" s="185">
        <v>1.6E-2</v>
      </c>
      <c r="E184" s="161"/>
      <c r="F184" s="161"/>
      <c r="G184" s="147"/>
      <c r="H184" s="165"/>
      <c r="I184" s="165"/>
      <c r="J184" s="165"/>
      <c r="K184" s="147"/>
      <c r="L184" s="165"/>
      <c r="M184" s="165"/>
      <c r="N184" s="165"/>
      <c r="O184" s="147"/>
      <c r="P184" s="165"/>
      <c r="Q184" s="165"/>
      <c r="R184" s="165"/>
      <c r="S184" s="147"/>
      <c r="T184" s="184"/>
      <c r="U184" s="165"/>
      <c r="V184" s="165"/>
      <c r="W184" s="147"/>
      <c r="X184" s="165"/>
      <c r="Y184" s="165"/>
      <c r="Z184" s="165"/>
      <c r="AA184" s="147"/>
      <c r="AB184" s="165"/>
      <c r="AC184" s="165"/>
      <c r="AD184" s="165"/>
      <c r="AE184" s="147"/>
      <c r="AF184" s="183"/>
    </row>
    <row r="185" spans="2:32" s="169" customFormat="1" x14ac:dyDescent="0.2">
      <c r="B185" s="182" t="s">
        <v>261</v>
      </c>
      <c r="C185" s="170"/>
      <c r="D185" s="178">
        <f>AVERAGE(E185:F185)</f>
        <v>15.015000000000001</v>
      </c>
      <c r="E185" s="172">
        <v>14.86</v>
      </c>
      <c r="F185" s="172">
        <v>15.17</v>
      </c>
      <c r="G185" s="170"/>
      <c r="K185" s="170"/>
      <c r="O185" s="170"/>
      <c r="S185" s="170"/>
      <c r="T185" s="178">
        <f>AVERAGE(U185:V185)</f>
        <v>14.8</v>
      </c>
      <c r="U185" s="172">
        <v>14.68</v>
      </c>
      <c r="V185" s="172">
        <v>14.92</v>
      </c>
      <c r="W185" s="170"/>
      <c r="X185" s="181"/>
      <c r="Y185" s="181"/>
      <c r="Z185" s="181"/>
      <c r="AA185" s="170"/>
      <c r="AB185" s="181"/>
      <c r="AC185" s="181"/>
      <c r="AD185" s="181"/>
      <c r="AE185" s="170"/>
      <c r="AF185" s="180"/>
    </row>
    <row r="186" spans="2:32" s="169" customFormat="1" x14ac:dyDescent="0.2">
      <c r="B186" s="173" t="s">
        <v>257</v>
      </c>
      <c r="C186" s="170"/>
      <c r="D186" s="174">
        <v>15.21</v>
      </c>
      <c r="E186" s="172"/>
      <c r="F186" s="172"/>
      <c r="G186" s="170"/>
      <c r="K186" s="170"/>
      <c r="O186" s="170"/>
      <c r="S186" s="170"/>
      <c r="T186" s="174">
        <v>14.85</v>
      </c>
      <c r="W186" s="170"/>
      <c r="AA186" s="170"/>
      <c r="AE186" s="170"/>
    </row>
    <row r="187" spans="2:32" s="169" customFormat="1" x14ac:dyDescent="0.2">
      <c r="B187" s="173" t="s">
        <v>256</v>
      </c>
      <c r="C187" s="170"/>
      <c r="D187" s="171">
        <f>D185-D186</f>
        <v>-0.19500000000000028</v>
      </c>
      <c r="E187" s="172"/>
      <c r="F187" s="172"/>
      <c r="G187" s="170"/>
      <c r="K187" s="170"/>
      <c r="O187" s="170"/>
      <c r="S187" s="170"/>
      <c r="T187" s="171">
        <f>T185-T186</f>
        <v>-4.9999999999998934E-2</v>
      </c>
      <c r="W187" s="170"/>
      <c r="AA187" s="170"/>
      <c r="AE187" s="170"/>
    </row>
    <row r="188" spans="2:32" s="149" customFormat="1" x14ac:dyDescent="0.2">
      <c r="B188" s="179" t="s">
        <v>260</v>
      </c>
      <c r="C188" s="176"/>
      <c r="D188" s="178">
        <f>AVERAGE(E188:F188)</f>
        <v>11.34</v>
      </c>
      <c r="E188" s="172">
        <v>11.23</v>
      </c>
      <c r="F188" s="172">
        <v>11.45</v>
      </c>
      <c r="G188" s="170"/>
      <c r="H188" s="169"/>
      <c r="I188" s="169"/>
      <c r="J188" s="169"/>
      <c r="K188" s="170"/>
      <c r="L188" s="169"/>
      <c r="M188" s="169"/>
      <c r="N188" s="169"/>
      <c r="O188" s="170"/>
      <c r="P188" s="169"/>
      <c r="Q188" s="169"/>
      <c r="R188" s="169"/>
      <c r="S188" s="170"/>
      <c r="T188" s="178">
        <f>AVERAGE(U188:V188)</f>
        <v>11.059999999999999</v>
      </c>
      <c r="U188" s="172">
        <v>10.95</v>
      </c>
      <c r="V188" s="172">
        <v>11.17</v>
      </c>
      <c r="W188" s="176"/>
      <c r="X188" s="177"/>
      <c r="Y188" s="177"/>
      <c r="Z188" s="177"/>
      <c r="AA188" s="176"/>
      <c r="AB188" s="177"/>
      <c r="AC188" s="177"/>
      <c r="AD188" s="177"/>
      <c r="AE188" s="176"/>
      <c r="AF188" s="175"/>
    </row>
    <row r="189" spans="2:32" s="169" customFormat="1" x14ac:dyDescent="0.2">
      <c r="B189" s="173" t="s">
        <v>257</v>
      </c>
      <c r="C189" s="170"/>
      <c r="D189" s="174">
        <v>11.32</v>
      </c>
      <c r="E189" s="172"/>
      <c r="F189" s="172"/>
      <c r="G189" s="170"/>
      <c r="K189" s="170"/>
      <c r="O189" s="170"/>
      <c r="S189" s="170"/>
      <c r="T189" s="174">
        <v>11.06</v>
      </c>
      <c r="W189" s="170"/>
      <c r="AA189" s="170"/>
      <c r="AE189" s="170"/>
    </row>
    <row r="190" spans="2:32" s="169" customFormat="1" x14ac:dyDescent="0.2">
      <c r="B190" s="173" t="s">
        <v>256</v>
      </c>
      <c r="C190" s="170"/>
      <c r="D190" s="171">
        <f>D188-D189</f>
        <v>1.9999999999999574E-2</v>
      </c>
      <c r="E190" s="172"/>
      <c r="F190" s="172"/>
      <c r="G190" s="170"/>
      <c r="K190" s="170"/>
      <c r="O190" s="170"/>
      <c r="S190" s="170"/>
      <c r="T190" s="171">
        <f>T188-T189</f>
        <v>0</v>
      </c>
      <c r="W190" s="170"/>
      <c r="AA190" s="170"/>
      <c r="AE190" s="170"/>
    </row>
    <row r="191" spans="2:32" s="158" customFormat="1" x14ac:dyDescent="0.2">
      <c r="B191" s="168" t="s">
        <v>259</v>
      </c>
      <c r="C191" s="160"/>
      <c r="D191" s="164">
        <f>AVERAGE(E191:F191)</f>
        <v>0</v>
      </c>
      <c r="E191" s="167">
        <v>-0.01</v>
      </c>
      <c r="F191" s="167">
        <v>0.01</v>
      </c>
      <c r="G191" s="160"/>
      <c r="H191" s="166"/>
      <c r="I191" s="166"/>
      <c r="J191" s="166"/>
      <c r="K191" s="160"/>
      <c r="L191" s="165"/>
      <c r="M191" s="165"/>
      <c r="N191" s="165"/>
      <c r="O191" s="147"/>
      <c r="P191" s="165"/>
      <c r="Q191" s="166"/>
      <c r="R191" s="165"/>
      <c r="S191" s="147"/>
      <c r="T191" s="164">
        <f>AVERAGE(U191:V191)</f>
        <v>1.5000000000000001E-2</v>
      </c>
      <c r="U191" s="161">
        <v>5.0000000000000001E-3</v>
      </c>
      <c r="V191" s="161">
        <v>2.5000000000000001E-2</v>
      </c>
      <c r="W191" s="163"/>
      <c r="X191" s="161">
        <f>AVERAGE(Y191:Z191)</f>
        <v>1.4999999999999999E-2</v>
      </c>
      <c r="Y191" s="161">
        <v>0.01</v>
      </c>
      <c r="Z191" s="161">
        <v>0.02</v>
      </c>
      <c r="AA191" s="162"/>
      <c r="AB191" s="161">
        <f>AVERAGE(AC191:AD191)</f>
        <v>1.4999999999999999E-2</v>
      </c>
      <c r="AC191" s="161">
        <v>0.01</v>
      </c>
      <c r="AD191" s="161">
        <v>0.02</v>
      </c>
      <c r="AE191" s="160"/>
      <c r="AF191" s="159"/>
    </row>
    <row r="192" spans="2:32" x14ac:dyDescent="0.2">
      <c r="B192" s="150" t="s">
        <v>257</v>
      </c>
      <c r="C192" s="147"/>
      <c r="D192" s="157">
        <v>1.4678899082568808E-2</v>
      </c>
      <c r="E192" s="152"/>
      <c r="F192" s="152"/>
      <c r="G192" s="147"/>
      <c r="H192" s="149"/>
      <c r="K192" s="147"/>
      <c r="L192" s="149"/>
      <c r="O192" s="147"/>
      <c r="P192" s="149"/>
      <c r="S192" s="147"/>
      <c r="T192" s="156">
        <v>-1.7636684303350414E-3</v>
      </c>
      <c r="W192" s="147"/>
      <c r="AA192" s="147"/>
      <c r="AE192" s="147"/>
    </row>
    <row r="193" spans="2:31" x14ac:dyDescent="0.2">
      <c r="B193" s="150" t="s">
        <v>256</v>
      </c>
      <c r="C193" s="147"/>
      <c r="D193" s="155">
        <f>D191-D192</f>
        <v>-1.4678899082568808E-2</v>
      </c>
      <c r="E193" s="152"/>
      <c r="F193" s="152"/>
      <c r="G193" s="147"/>
      <c r="H193" s="149"/>
      <c r="K193" s="147"/>
      <c r="L193" s="149"/>
      <c r="O193" s="147"/>
      <c r="P193" s="149"/>
      <c r="S193" s="147"/>
      <c r="T193" s="155">
        <f>T191-T192</f>
        <v>1.6763668430335041E-2</v>
      </c>
      <c r="W193" s="147"/>
      <c r="AA193" s="147"/>
      <c r="AE193" s="147"/>
    </row>
    <row r="194" spans="2:31" x14ac:dyDescent="0.2">
      <c r="B194" s="154" t="s">
        <v>258</v>
      </c>
      <c r="C194" s="147"/>
      <c r="D194" s="153">
        <v>68400</v>
      </c>
      <c r="E194" s="152"/>
      <c r="F194" s="152"/>
      <c r="G194" s="147"/>
      <c r="H194" s="149"/>
      <c r="K194" s="147"/>
      <c r="L194" s="149"/>
      <c r="O194" s="147"/>
      <c r="P194" s="149"/>
      <c r="S194" s="147"/>
      <c r="T194" s="153">
        <v>282200</v>
      </c>
      <c r="W194" s="147"/>
      <c r="AA194" s="147"/>
      <c r="AE194" s="147"/>
    </row>
    <row r="195" spans="2:31" x14ac:dyDescent="0.2">
      <c r="B195" s="150" t="s">
        <v>257</v>
      </c>
      <c r="C195" s="147"/>
      <c r="D195" s="151">
        <v>68298</v>
      </c>
      <c r="E195" s="152"/>
      <c r="F195" s="152"/>
      <c r="G195" s="147"/>
      <c r="H195" s="149"/>
      <c r="K195" s="147"/>
      <c r="L195" s="149"/>
      <c r="O195" s="147"/>
      <c r="P195" s="149"/>
      <c r="S195" s="147"/>
      <c r="T195" s="151">
        <v>282054</v>
      </c>
      <c r="W195" s="147"/>
      <c r="AA195" s="147"/>
      <c r="AE195" s="147"/>
    </row>
    <row r="196" spans="2:31" x14ac:dyDescent="0.2">
      <c r="B196" s="150" t="s">
        <v>256</v>
      </c>
      <c r="C196" s="147"/>
      <c r="D196" s="148">
        <f>D194-D195</f>
        <v>102</v>
      </c>
      <c r="G196" s="147"/>
      <c r="H196" s="149"/>
      <c r="K196" s="147"/>
      <c r="L196" s="149"/>
      <c r="O196" s="147"/>
      <c r="P196" s="149"/>
      <c r="S196" s="147"/>
      <c r="T196" s="148">
        <f>T194-T195</f>
        <v>146</v>
      </c>
      <c r="W196" s="147"/>
      <c r="AA196" s="147"/>
      <c r="AE196" s="147"/>
    </row>
    <row r="197" spans="2:31" ht="5.0999999999999996" customHeight="1" thickBot="1" x14ac:dyDescent="0.25">
      <c r="B197" s="145"/>
      <c r="C197" s="144"/>
      <c r="D197" s="146"/>
      <c r="E197" s="145"/>
      <c r="F197" s="145"/>
      <c r="G197" s="144"/>
      <c r="H197" s="146"/>
      <c r="I197" s="145"/>
      <c r="J197" s="145"/>
      <c r="K197" s="144"/>
      <c r="L197" s="146"/>
      <c r="M197" s="145"/>
      <c r="N197" s="145"/>
      <c r="O197" s="144"/>
      <c r="P197" s="146"/>
      <c r="Q197" s="145"/>
      <c r="R197" s="145"/>
      <c r="S197" s="144"/>
      <c r="T197" s="145"/>
      <c r="U197" s="145"/>
      <c r="V197" s="145"/>
      <c r="W197" s="144"/>
      <c r="X197" s="145"/>
      <c r="Y197" s="145"/>
      <c r="Z197" s="145"/>
      <c r="AA197" s="144"/>
      <c r="AB197" s="145"/>
      <c r="AC197" s="145"/>
      <c r="AD197" s="145"/>
      <c r="AE197" s="144"/>
    </row>
    <row r="198" spans="2:31" ht="5.0999999999999996" customHeight="1" x14ac:dyDescent="0.2"/>
  </sheetData>
  <mergeCells count="18">
    <mergeCell ref="X2:Z2"/>
    <mergeCell ref="AB2:AD2"/>
    <mergeCell ref="D2:G2"/>
    <mergeCell ref="H2:J2"/>
    <mergeCell ref="L2:N2"/>
    <mergeCell ref="P2:R2"/>
    <mergeCell ref="T2:V2"/>
    <mergeCell ref="T38:V38"/>
    <mergeCell ref="X38:Z38"/>
    <mergeCell ref="AB38:AD38"/>
    <mergeCell ref="D119:F119"/>
    <mergeCell ref="T119:V119"/>
    <mergeCell ref="X119:Z119"/>
    <mergeCell ref="AB119:AD119"/>
    <mergeCell ref="D38:F38"/>
    <mergeCell ref="H38:J38"/>
    <mergeCell ref="L38:N38"/>
    <mergeCell ref="P38:R38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303"/>
  <sheetViews>
    <sheetView showGridLines="0" zoomScaleNormal="100" workbookViewId="0">
      <pane xSplit="3" ySplit="4" topLeftCell="D5" activePane="bottomRight" state="frozen"/>
      <selection pane="topRight"/>
      <selection pane="bottomLeft"/>
      <selection pane="bottomRight"/>
    </sheetView>
  </sheetViews>
  <sheetFormatPr defaultColWidth="9.140625" defaultRowHeight="12.75" x14ac:dyDescent="0.2"/>
  <cols>
    <col min="1" max="2" width="1.7109375" style="225" customWidth="1"/>
    <col min="3" max="3" width="30.7109375" style="225" customWidth="1"/>
    <col min="4" max="4" width="1.85546875" style="224" customWidth="1"/>
    <col min="5" max="6" width="8.85546875" style="223" bestFit="1" customWidth="1"/>
    <col min="7" max="7" width="11.28515625" style="223" bestFit="1" customWidth="1"/>
    <col min="8" max="10" width="9.7109375" style="223" bestFit="1" customWidth="1"/>
    <col min="11" max="12" width="11.28515625" style="223" bestFit="1" customWidth="1"/>
    <col min="13" max="13" width="3.42578125" style="222" customWidth="1"/>
    <col min="14" max="17" width="9.7109375" style="223" bestFit="1" customWidth="1"/>
    <col min="18" max="18" width="9.42578125" style="223" bestFit="1" customWidth="1"/>
    <col min="19" max="25" width="9.7109375" style="223" bestFit="1" customWidth="1"/>
    <col min="26" max="28" width="10.28515625" style="223" bestFit="1" customWidth="1"/>
    <col min="29" max="30" width="11.28515625" style="223" bestFit="1" customWidth="1"/>
    <col min="31" max="16384" width="9.140625" style="222"/>
  </cols>
  <sheetData>
    <row r="1" spans="1:30" x14ac:dyDescent="0.2">
      <c r="A1" s="312"/>
      <c r="B1" s="312"/>
      <c r="C1" s="312"/>
      <c r="E1" s="222"/>
      <c r="F1" s="222"/>
      <c r="G1" s="222"/>
      <c r="H1" s="222"/>
      <c r="I1" s="222"/>
      <c r="J1" s="222"/>
      <c r="K1" s="222"/>
      <c r="L1" s="222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</row>
    <row r="2" spans="1:30" x14ac:dyDescent="0.2">
      <c r="A2" s="322"/>
      <c r="E2" s="222"/>
      <c r="F2" s="222"/>
      <c r="G2" s="222"/>
      <c r="H2" s="222"/>
      <c r="I2" s="222"/>
      <c r="J2" s="222"/>
      <c r="K2" s="222"/>
      <c r="L2" s="222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</row>
    <row r="3" spans="1:30" x14ac:dyDescent="0.2">
      <c r="D3" s="320"/>
      <c r="E3" s="321" t="s">
        <v>68</v>
      </c>
      <c r="F3" s="321" t="s">
        <v>67</v>
      </c>
      <c r="G3" s="321" t="s">
        <v>66</v>
      </c>
      <c r="H3" s="321" t="s">
        <v>65</v>
      </c>
      <c r="I3" s="321" t="s">
        <v>64</v>
      </c>
      <c r="J3" s="321" t="s">
        <v>63</v>
      </c>
      <c r="K3" s="321" t="s">
        <v>62</v>
      </c>
      <c r="L3" s="321" t="s">
        <v>61</v>
      </c>
      <c r="M3" s="317"/>
      <c r="N3" s="321" t="s">
        <v>56</v>
      </c>
      <c r="O3" s="321" t="s">
        <v>55</v>
      </c>
      <c r="P3" s="321" t="s">
        <v>54</v>
      </c>
      <c r="Q3" s="321" t="s">
        <v>53</v>
      </c>
      <c r="R3" s="321" t="s">
        <v>52</v>
      </c>
      <c r="S3" s="321" t="s">
        <v>51</v>
      </c>
      <c r="T3" s="321" t="s">
        <v>50</v>
      </c>
      <c r="U3" s="321" t="s">
        <v>49</v>
      </c>
      <c r="V3" s="321" t="s">
        <v>48</v>
      </c>
      <c r="W3" s="321" t="s">
        <v>47</v>
      </c>
      <c r="X3" s="321" t="s">
        <v>46</v>
      </c>
      <c r="Y3" s="321" t="s">
        <v>45</v>
      </c>
      <c r="Z3" s="321" t="s">
        <v>44</v>
      </c>
      <c r="AA3" s="321" t="s">
        <v>43</v>
      </c>
      <c r="AB3" s="321" t="s">
        <v>42</v>
      </c>
      <c r="AC3" s="321" t="s">
        <v>41</v>
      </c>
      <c r="AD3" s="321" t="s">
        <v>40</v>
      </c>
    </row>
    <row r="4" spans="1:30" x14ac:dyDescent="0.2">
      <c r="D4" s="320"/>
      <c r="E4" s="319">
        <v>41274</v>
      </c>
      <c r="F4" s="319">
        <v>41639</v>
      </c>
      <c r="G4" s="319">
        <v>42004</v>
      </c>
      <c r="H4" s="319">
        <v>42369</v>
      </c>
      <c r="I4" s="319">
        <v>42735</v>
      </c>
      <c r="J4" s="319">
        <v>43100</v>
      </c>
      <c r="K4" s="319">
        <v>43465</v>
      </c>
      <c r="L4" s="319"/>
      <c r="M4" s="317"/>
      <c r="N4" s="319">
        <v>42094</v>
      </c>
      <c r="O4" s="319">
        <v>42185</v>
      </c>
      <c r="P4" s="319">
        <v>42277</v>
      </c>
      <c r="Q4" s="319">
        <v>42369</v>
      </c>
      <c r="R4" s="319">
        <v>42460</v>
      </c>
      <c r="S4" s="319">
        <v>42551</v>
      </c>
      <c r="T4" s="319">
        <v>42643</v>
      </c>
      <c r="U4" s="319">
        <v>42735</v>
      </c>
      <c r="V4" s="319">
        <v>42825</v>
      </c>
      <c r="W4" s="319">
        <v>42916</v>
      </c>
      <c r="X4" s="319">
        <v>43008</v>
      </c>
      <c r="Y4" s="319">
        <v>43100</v>
      </c>
      <c r="Z4" s="319">
        <v>43190</v>
      </c>
      <c r="AA4" s="319">
        <v>43281</v>
      </c>
      <c r="AB4" s="319">
        <v>43373</v>
      </c>
      <c r="AC4" s="319">
        <v>43465</v>
      </c>
      <c r="AD4" s="319">
        <v>43555</v>
      </c>
    </row>
    <row r="5" spans="1:30" ht="4.5" customHeight="1" x14ac:dyDescent="0.2">
      <c r="D5" s="318"/>
      <c r="E5" s="316"/>
      <c r="F5" s="316"/>
      <c r="G5" s="316"/>
      <c r="H5" s="316"/>
      <c r="I5" s="316"/>
      <c r="J5" s="316"/>
      <c r="K5" s="316"/>
      <c r="L5" s="316"/>
      <c r="M5" s="317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6"/>
      <c r="AA5" s="316"/>
      <c r="AB5" s="316"/>
      <c r="AC5" s="316"/>
      <c r="AD5" s="316"/>
    </row>
    <row r="6" spans="1:30" s="305" customFormat="1" x14ac:dyDescent="0.2">
      <c r="A6" s="243" t="s">
        <v>493</v>
      </c>
      <c r="B6" s="307"/>
      <c r="C6" s="307"/>
      <c r="D6" s="248"/>
      <c r="E6" s="315"/>
      <c r="F6" s="315"/>
      <c r="G6" s="315"/>
      <c r="H6" s="315"/>
      <c r="I6" s="315"/>
      <c r="J6" s="315"/>
      <c r="K6" s="315"/>
      <c r="L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</row>
    <row r="7" spans="1:30" s="228" customFormat="1" x14ac:dyDescent="0.2">
      <c r="A7" s="304"/>
      <c r="B7" s="292" t="s">
        <v>492</v>
      </c>
      <c r="C7" s="304"/>
      <c r="D7" s="266"/>
      <c r="E7" s="265">
        <f>((BS!D30-BS!D25)-(BS!D40-BS!D66))/BS!D68</f>
        <v>1.7632103104862331</v>
      </c>
      <c r="F7" s="265">
        <f>((BS!E30-BS!E25)-(BS!E40-BS!E66))/BS!E68</f>
        <v>1.4001428656467647</v>
      </c>
      <c r="G7" s="265">
        <f>((BS!F30-BS!F25)-(BS!F40-BS!F66))/BS!F68</f>
        <v>1.4202595936794582</v>
      </c>
      <c r="H7" s="265">
        <f>((BS!G30-BS!G25)-(BS!G40-BS!G66))/BS!G68</f>
        <v>1.4931666747726278</v>
      </c>
      <c r="I7" s="265">
        <f>((BS!H30-BS!H25)-(BS!H40-BS!H66))/BS!H68</f>
        <v>1.3552826158396318</v>
      </c>
      <c r="J7" s="265">
        <f>((BS!I30-BS!I25)-(BS!I40-BS!I66))/BS!I68</f>
        <v>1.3439856373429084</v>
      </c>
      <c r="K7" s="265">
        <f>((BS!J30-BS!J25)-(BS!J40-BS!J66))/BS!J68</f>
        <v>1.5770658705553642</v>
      </c>
      <c r="L7" s="265">
        <f>((BS!AG30-BS!AG25)-(BS!AG40-BS!AG66))/BS!AG68</f>
        <v>1.5484235550878833</v>
      </c>
      <c r="N7" s="265">
        <f>((BS!Q30-BS!Q25)-(BS!Q40-BS!Q66))/BS!Q68</f>
        <v>1.4497938907092274</v>
      </c>
      <c r="O7" s="265">
        <f>((BS!R30-BS!R25)-(BS!R40-BS!R66))/BS!R68</f>
        <v>1.495158029158242</v>
      </c>
      <c r="P7" s="265">
        <f>((BS!S30-BS!S25)-(BS!S40-BS!S66))/BS!S68</f>
        <v>1.4548903263459949</v>
      </c>
      <c r="Q7" s="265">
        <f>((BS!T30-BS!T25)-(BS!T40-BS!T66))/BS!T68</f>
        <v>1.4931666747726278</v>
      </c>
      <c r="R7" s="265">
        <f>((BS!U30-BS!U25)-(BS!U40-BS!U66))/BS!U68</f>
        <v>1.4217715231788079</v>
      </c>
      <c r="S7" s="265">
        <f>((BS!V30-BS!V25)-(BS!V40-BS!V66))/BS!V68</f>
        <v>1.3807668738510024</v>
      </c>
      <c r="T7" s="265">
        <f>((BS!W30-BS!W25)-(BS!W40-BS!W66))/BS!W68</f>
        <v>1.3748447071927343</v>
      </c>
      <c r="U7" s="265">
        <f>((BS!X30-BS!X25)-(BS!X40-BS!X66))/BS!X68</f>
        <v>1.3552826158396318</v>
      </c>
      <c r="V7" s="265">
        <f>((BS!Y30-BS!Y25)-(BS!Y40-BS!Y66))/BS!Y68</f>
        <v>1.3334963125942223</v>
      </c>
      <c r="W7" s="265">
        <f>((BS!Z30-BS!Z25)-(BS!Z40-BS!Z66))/BS!Z68</f>
        <v>1.3372621585743594</v>
      </c>
      <c r="X7" s="265">
        <f>((BS!AA30-BS!AA25)-(BS!AA40-BS!AA66))/BS!AA68</f>
        <v>1.3472694863069195</v>
      </c>
      <c r="Y7" s="265">
        <f>((BS!AB30-BS!AB25)-(BS!AB40-BS!AB66))/BS!AB68</f>
        <v>1.3439856373429084</v>
      </c>
      <c r="Z7" s="265">
        <f>((BS!AC30-BS!AC25)-(BS!AC40-BS!AC66))/BS!AC68</f>
        <v>1.3250737701604753</v>
      </c>
      <c r="AA7" s="265">
        <f>((BS!AD30-BS!AD25)-(BS!AD40-BS!AD66))/BS!AD68</f>
        <v>1.3257185578999835</v>
      </c>
      <c r="AB7" s="265">
        <f>((BS!AE30-BS!AE25)-(BS!AE40-BS!AE66))/BS!AE68</f>
        <v>1.3139257883473978</v>
      </c>
      <c r="AC7" s="265">
        <f>((BS!AF30-BS!AF25)-(BS!AF40-BS!AF66))/BS!AF68</f>
        <v>1.5770658705553642</v>
      </c>
      <c r="AD7" s="265">
        <f>((BS!AG30-BS!AG25)-(BS!AG40-BS!AG66))/BS!AG68</f>
        <v>1.5484235550878833</v>
      </c>
    </row>
    <row r="8" spans="1:30" s="228" customFormat="1" x14ac:dyDescent="0.2">
      <c r="A8" s="304"/>
      <c r="B8" s="292" t="s">
        <v>491</v>
      </c>
      <c r="C8" s="304"/>
      <c r="D8" s="266" t="s">
        <v>490</v>
      </c>
      <c r="E8" s="265">
        <f>BS!D68/BS!D30</f>
        <v>0.36303700552956186</v>
      </c>
      <c r="F8" s="265">
        <f>BS!E68/BS!E30</f>
        <v>0.3973461374710251</v>
      </c>
      <c r="G8" s="265">
        <f>BS!F68/BS!F30</f>
        <v>0.40994794679005203</v>
      </c>
      <c r="H8" s="265">
        <f>BS!G68/BS!G30</f>
        <v>0.42468243313022824</v>
      </c>
      <c r="I8" s="265">
        <f>BS!H68/BS!H30</f>
        <v>0.47478254085891486</v>
      </c>
      <c r="J8" s="265">
        <f>BS!I68/BS!I30</f>
        <v>0.47485080988917305</v>
      </c>
      <c r="K8" s="265">
        <f>BS!J68/BS!J30</f>
        <v>0.43128095080884782</v>
      </c>
      <c r="L8" s="265">
        <f>BS!AG68/BS!AG30</f>
        <v>0.42211328080017108</v>
      </c>
      <c r="N8" s="265">
        <f>BS!Q68/BS!Q30</f>
        <v>0.40471403516276683</v>
      </c>
      <c r="O8" s="265">
        <f>BS!R68/BS!R30</f>
        <v>0.39262137544915182</v>
      </c>
      <c r="P8" s="265">
        <f>BS!S68/BS!S30</f>
        <v>0.42206712511546751</v>
      </c>
      <c r="Q8" s="265">
        <f>BS!T68/BS!T30</f>
        <v>0.42468243313022824</v>
      </c>
      <c r="R8" s="265">
        <f>BS!U68/BS!U30</f>
        <v>0.43567292472299585</v>
      </c>
      <c r="S8" s="265">
        <f>BS!V68/BS!V30</f>
        <v>0.44751327104268279</v>
      </c>
      <c r="T8" s="265">
        <f>BS!W68/BS!W30</f>
        <v>0.45673867104954213</v>
      </c>
      <c r="U8" s="265">
        <f>BS!X68/BS!X30</f>
        <v>0.47478254085891486</v>
      </c>
      <c r="V8" s="265">
        <f>BS!Y68/BS!Y30</f>
        <v>0.46635757310886045</v>
      </c>
      <c r="W8" s="265">
        <f>BS!Z68/BS!Z30</f>
        <v>0.46608294585270738</v>
      </c>
      <c r="X8" s="265">
        <f>BS!AA68/BS!AA30</f>
        <v>0.47105971260090457</v>
      </c>
      <c r="Y8" s="265">
        <f>BS!AB68/BS!AB30</f>
        <v>0.47485080988917305</v>
      </c>
      <c r="Z8" s="265">
        <f>BS!AC68/BS!AC30</f>
        <v>0.46432057057057058</v>
      </c>
      <c r="AA8" s="265">
        <f>BS!AD68/BS!AD30</f>
        <v>0.45752726996313331</v>
      </c>
      <c r="AB8" s="265">
        <f>BS!AE68/BS!AE30</f>
        <v>0.4705424147430417</v>
      </c>
      <c r="AC8" s="265">
        <f>BS!AF68/BS!AF30</f>
        <v>0.43128095080884782</v>
      </c>
      <c r="AD8" s="265">
        <f>BS!AG68/BS!AG30</f>
        <v>0.42211328080017108</v>
      </c>
    </row>
    <row r="9" spans="1:30" s="228" customFormat="1" x14ac:dyDescent="0.2">
      <c r="A9" s="304"/>
      <c r="B9" s="292" t="s">
        <v>489</v>
      </c>
      <c r="C9" s="304"/>
      <c r="D9" s="266"/>
      <c r="E9" s="265">
        <f>BS!D67/BS!D30</f>
        <v>0.30267971076137812</v>
      </c>
      <c r="F9" s="265">
        <f>BS!E67/BS!E30</f>
        <v>0.36314395193717774</v>
      </c>
      <c r="G9" s="265">
        <f>BS!F67/BS!F30</f>
        <v>0.37115095430884903</v>
      </c>
      <c r="H9" s="265">
        <f>BS!G67/BS!G30</f>
        <v>0.37860167303521636</v>
      </c>
      <c r="I9" s="265">
        <f>BS!H67/BS!H30</f>
        <v>0.43860436088465887</v>
      </c>
      <c r="J9" s="265">
        <f>BS!I67/BS!I30</f>
        <v>0.42646585204129961</v>
      </c>
      <c r="K9" s="265">
        <f>BS!J67/BS!J30</f>
        <v>0.34960382964674808</v>
      </c>
      <c r="L9" s="265">
        <f>BS!AG67/BS!AG30</f>
        <v>0.33987530228502805</v>
      </c>
      <c r="N9" s="265">
        <f>BS!Q67/BS!Q30</f>
        <v>0.37725114428711981</v>
      </c>
      <c r="O9" s="265">
        <f>BS!R67/BS!R30</f>
        <v>0.35831870978524277</v>
      </c>
      <c r="P9" s="265">
        <f>BS!S67/BS!S30</f>
        <v>0.38692394539669506</v>
      </c>
      <c r="Q9" s="265">
        <f>BS!T67/BS!T30</f>
        <v>0.37860167303521636</v>
      </c>
      <c r="R9" s="265">
        <f>BS!U67/BS!U30</f>
        <v>0.38337774750045084</v>
      </c>
      <c r="S9" s="265">
        <f>BS!V67/BS!V30</f>
        <v>0.41391941391941389</v>
      </c>
      <c r="T9" s="265">
        <f>BS!W67/BS!W30</f>
        <v>0.42155826876418567</v>
      </c>
      <c r="U9" s="265">
        <f>BS!X67/BS!X30</f>
        <v>0.43860436088465887</v>
      </c>
      <c r="V9" s="265">
        <f>BS!Y67/BS!Y30</f>
        <v>0.43378873962034697</v>
      </c>
      <c r="W9" s="265">
        <f>BS!Z67/BS!Z30</f>
        <v>0.4223226338683066</v>
      </c>
      <c r="X9" s="265">
        <f>BS!AA67/BS!AA30</f>
        <v>0.4239804583881987</v>
      </c>
      <c r="Y9" s="265">
        <f>BS!AB67/BS!AB30</f>
        <v>0.42646585204129961</v>
      </c>
      <c r="Z9" s="265">
        <f>BS!AC67/BS!AC30</f>
        <v>0.4118993993993994</v>
      </c>
      <c r="AA9" s="265">
        <f>BS!AD67/BS!AD30</f>
        <v>0.41547261601611496</v>
      </c>
      <c r="AB9" s="265">
        <f>BS!AE67/BS!AE30</f>
        <v>0.42317849339792912</v>
      </c>
      <c r="AC9" s="265">
        <f>BS!AF67/BS!AF30</f>
        <v>0.34960382964674808</v>
      </c>
      <c r="AD9" s="265">
        <f>BS!AG67/BS!AG30</f>
        <v>0.33987530228502805</v>
      </c>
    </row>
    <row r="10" spans="1:30" s="228" customFormat="1" x14ac:dyDescent="0.2">
      <c r="A10" s="314"/>
      <c r="B10" s="292" t="s">
        <v>488</v>
      </c>
      <c r="C10" s="304"/>
      <c r="D10" s="266" t="s">
        <v>487</v>
      </c>
      <c r="E10" s="265">
        <f>BS!D68/BS!D60</f>
        <v>-1.0686114936772255</v>
      </c>
      <c r="F10" s="265">
        <f>BS!E68/BS!E60</f>
        <v>-6.1512266569022334</v>
      </c>
      <c r="G10" s="265">
        <f>BS!F68/BS!F60</f>
        <v>8.7679366650173183</v>
      </c>
      <c r="H10" s="265">
        <f>BS!G68/BS!G60</f>
        <v>3.6488021295474713</v>
      </c>
      <c r="I10" s="265">
        <f>BS!H68/BS!H60</f>
        <v>6.431704095112285</v>
      </c>
      <c r="J10" s="265">
        <f>BS!I68/BS!I60</f>
        <v>-32.134615384615387</v>
      </c>
      <c r="K10" s="265">
        <f>BS!J68/BS!J60</f>
        <v>-154.59763313609469</v>
      </c>
      <c r="L10" s="265">
        <f>BS!AG68/BS!AG60</f>
        <v>-40.344339622641506</v>
      </c>
      <c r="N10" s="265">
        <f>BS!Q68/BS!Q60</f>
        <v>6.8458755426917515</v>
      </c>
      <c r="O10" s="265">
        <f>BS!R68/BS!R60</f>
        <v>5.1688668866886687</v>
      </c>
      <c r="P10" s="265">
        <f>BS!S68/BS!S60</f>
        <v>5.4654439128123338</v>
      </c>
      <c r="Q10" s="265">
        <f>BS!T68/BS!T60</f>
        <v>3.6488021295474713</v>
      </c>
      <c r="R10" s="265">
        <f>BS!U68/BS!U60</f>
        <v>4.61656050955414</v>
      </c>
      <c r="S10" s="265">
        <f>BS!V68/BS!V60</f>
        <v>5.2982374768089056</v>
      </c>
      <c r="T10" s="265">
        <f>BS!W68/BS!W60</f>
        <v>5.3161011159189249</v>
      </c>
      <c r="U10" s="265">
        <f>BS!X68/BS!X60</f>
        <v>6.431704095112285</v>
      </c>
      <c r="V10" s="265">
        <f>BS!Y68/BS!Y60</f>
        <v>7.0995082441423198</v>
      </c>
      <c r="W10" s="265">
        <f>BS!Z68/BS!Z60</f>
        <v>6.6915208613728128</v>
      </c>
      <c r="X10" s="265">
        <f>BS!AA68/BS!AA60</f>
        <v>6.2522796352583585</v>
      </c>
      <c r="Y10" s="265">
        <f>BS!AB68/BS!AB60</f>
        <v>-32.134615384615387</v>
      </c>
      <c r="Z10" s="265">
        <f>BS!AC68/BS!AC60</f>
        <v>-24.301571709233791</v>
      </c>
      <c r="AA10" s="265">
        <f>BS!AD68/BS!AD60</f>
        <v>-27.705408515535098</v>
      </c>
      <c r="AB10" s="265">
        <f>BS!AE68/BS!AE60</f>
        <v>-43.603873239436616</v>
      </c>
      <c r="AC10" s="265">
        <f>BS!AF68/BS!AF60</f>
        <v>-154.59763313609469</v>
      </c>
      <c r="AD10" s="265">
        <f>BS!AG68/BS!AG60</f>
        <v>-40.344339622641506</v>
      </c>
    </row>
    <row r="11" spans="1:30" s="228" customFormat="1" x14ac:dyDescent="0.2">
      <c r="A11" s="304"/>
      <c r="B11" s="292" t="s">
        <v>486</v>
      </c>
      <c r="C11" s="304"/>
      <c r="D11" s="266"/>
      <c r="E11" s="265">
        <f>BS!D67/BS!D60</f>
        <v>-0.89094779015900838</v>
      </c>
      <c r="F11" s="265">
        <f>BS!E67/BS!E60</f>
        <v>-5.6217502746246799</v>
      </c>
      <c r="G11" s="265">
        <f>BS!F67/BS!F60</f>
        <v>7.9381494309747653</v>
      </c>
      <c r="H11" s="265">
        <f>BS!G67/BS!G60</f>
        <v>3.2528837622005322</v>
      </c>
      <c r="I11" s="265">
        <f>BS!H67/BS!H60</f>
        <v>5.9416116248348745</v>
      </c>
      <c r="J11" s="265">
        <f>BS!I67/BS!I60</f>
        <v>-28.860256410256412</v>
      </c>
      <c r="K11" s="265">
        <f>BS!J67/BS!J60</f>
        <v>-125.31952662721893</v>
      </c>
      <c r="L11" s="265">
        <f>BS!AG67/BS!AG60</f>
        <v>-32.484276729559745</v>
      </c>
      <c r="N11" s="265">
        <f>BS!Q67/BS!Q60</f>
        <v>6.3813314037626627</v>
      </c>
      <c r="O11" s="265">
        <f>BS!R67/BS!R60</f>
        <v>4.7172717271727169</v>
      </c>
      <c r="P11" s="265">
        <f>BS!S67/BS!S60</f>
        <v>5.0103668261563001</v>
      </c>
      <c r="Q11" s="265">
        <f>BS!T67/BS!T60</f>
        <v>3.2528837622005322</v>
      </c>
      <c r="R11" s="265">
        <f>BS!U67/BS!U60</f>
        <v>4.0624203821656053</v>
      </c>
      <c r="S11" s="265">
        <f>BS!V67/BS!V60</f>
        <v>4.9005102040816331</v>
      </c>
      <c r="T11" s="265">
        <f>BS!W67/BS!W60</f>
        <v>4.9066271919836026</v>
      </c>
      <c r="U11" s="265">
        <f>BS!X67/BS!X60</f>
        <v>5.9416116248348745</v>
      </c>
      <c r="V11" s="265">
        <f>BS!Y67/BS!Y60</f>
        <v>6.6037026323401795</v>
      </c>
      <c r="W11" s="265">
        <f>BS!Z67/BS!Z60</f>
        <v>6.0632570659488563</v>
      </c>
      <c r="X11" s="265">
        <f>BS!AA67/BS!AA60</f>
        <v>5.6274062816616004</v>
      </c>
      <c r="Y11" s="265">
        <f>BS!AB67/BS!AB60</f>
        <v>-28.860256410256412</v>
      </c>
      <c r="Z11" s="265">
        <f>BS!AC67/BS!AC60</f>
        <v>-21.557956777996072</v>
      </c>
      <c r="AA11" s="265">
        <f>BS!AD67/BS!AD60</f>
        <v>-25.15880322209436</v>
      </c>
      <c r="AB11" s="265">
        <f>BS!AE67/BS!AE60</f>
        <v>-39.214788732394368</v>
      </c>
      <c r="AC11" s="265">
        <f>BS!AF67/BS!AF60</f>
        <v>-125.31952662721893</v>
      </c>
      <c r="AD11" s="265">
        <f>BS!AG67/BS!AG60</f>
        <v>-32.484276729559745</v>
      </c>
    </row>
    <row r="12" spans="1:30" s="228" customFormat="1" x14ac:dyDescent="0.2">
      <c r="A12" s="304"/>
      <c r="B12" s="268" t="s">
        <v>485</v>
      </c>
      <c r="C12" s="313"/>
      <c r="D12" s="266"/>
      <c r="E12" s="265">
        <f>BS!D68/IS_NG!D8</f>
        <v>3.5022568732047601</v>
      </c>
      <c r="F12" s="265">
        <f>BS!E68/IS_NG!E8</f>
        <v>3.9425017601501993</v>
      </c>
      <c r="G12" s="265">
        <f>BS!F68/IS_NG!F8</f>
        <v>2.6905557242635894</v>
      </c>
      <c r="H12" s="265">
        <f>BS!G68/IS_NG!G8</f>
        <v>2.3120431800292365</v>
      </c>
      <c r="I12" s="265">
        <f>BS!H68/IS_NG!H8</f>
        <v>3.1110543130990416</v>
      </c>
      <c r="J12" s="265">
        <f>BS!I68/IS_NG!I8</f>
        <v>3.5899455743340019</v>
      </c>
      <c r="K12" s="265">
        <f>BS!J68/IS_NG!J8</f>
        <v>4.6588801711840224</v>
      </c>
      <c r="L12" s="265">
        <f>BS!AG68/IS_NG!K8</f>
        <v>7.686938286399041</v>
      </c>
      <c r="N12" s="265"/>
      <c r="O12" s="265"/>
      <c r="P12" s="265"/>
      <c r="Q12" s="265"/>
      <c r="R12" s="265"/>
      <c r="S12" s="265"/>
      <c r="T12" s="265"/>
      <c r="U12" s="265"/>
      <c r="V12" s="265"/>
      <c r="W12" s="265"/>
      <c r="X12" s="265"/>
      <c r="Y12" s="265"/>
      <c r="Z12" s="265"/>
      <c r="AA12" s="265"/>
      <c r="AB12" s="265"/>
      <c r="AC12" s="265"/>
      <c r="AD12" s="265"/>
    </row>
    <row r="13" spans="1:30" s="228" customFormat="1" x14ac:dyDescent="0.2">
      <c r="A13" s="304"/>
      <c r="B13" s="292" t="s">
        <v>484</v>
      </c>
      <c r="C13" s="304"/>
      <c r="D13" s="266" t="s">
        <v>483</v>
      </c>
      <c r="E13" s="265">
        <f>BS!D60/BS!D30</f>
        <v>-0.33972777541471716</v>
      </c>
      <c r="F13" s="265">
        <f>BS!E60/BS!E30</f>
        <v>-6.4596243909361847E-2</v>
      </c>
      <c r="G13" s="265">
        <f>BS!F60/BS!F30</f>
        <v>4.6755349913244648E-2</v>
      </c>
      <c r="H13" s="265">
        <f>BS!G60/BS!G30</f>
        <v>0.1163895486935867</v>
      </c>
      <c r="I13" s="265">
        <f>BS!H60/BS!H30</f>
        <v>7.3819089597066734E-2</v>
      </c>
      <c r="J13" s="265">
        <f>BS!I60/BS!I30</f>
        <v>-1.4776925262858768E-2</v>
      </c>
      <c r="K13" s="265">
        <f>BS!J60/BS!J30</f>
        <v>-2.7896995708154505E-3</v>
      </c>
      <c r="L13" s="265">
        <f>BS!AG60/BS!AG30</f>
        <v>-1.0462763419810157E-2</v>
      </c>
      <c r="N13" s="265">
        <f>BS!Q60/BS!Q30</f>
        <v>5.9117936433246351E-2</v>
      </c>
      <c r="O13" s="265">
        <f>BS!R60/BS!R30</f>
        <v>7.5958886939082482E-2</v>
      </c>
      <c r="P13" s="265">
        <f>BS!S60/BS!S30</f>
        <v>7.7224674125012827E-2</v>
      </c>
      <c r="Q13" s="265">
        <f>BS!T60/BS!T30</f>
        <v>0.1163895486935867</v>
      </c>
      <c r="R13" s="265">
        <f>BS!U60/BS!U30</f>
        <v>9.4371756597006556E-2</v>
      </c>
      <c r="S13" s="265">
        <f>BS!V60/BS!V30</f>
        <v>8.4464555052790352E-2</v>
      </c>
      <c r="T13" s="265">
        <f>BS!W60/BS!W30</f>
        <v>8.5916099240823357E-2</v>
      </c>
      <c r="U13" s="265">
        <f>BS!X60/BS!X30</f>
        <v>7.3819089597066734E-2</v>
      </c>
      <c r="V13" s="265">
        <f>BS!Y60/BS!Y30</f>
        <v>6.5688714918197888E-2</v>
      </c>
      <c r="W13" s="265">
        <f>BS!Z60/BS!Z30</f>
        <v>6.9652767361631923E-2</v>
      </c>
      <c r="X13" s="265">
        <f>BS!AA60/BS!AA30</f>
        <v>7.5342073624549144E-2</v>
      </c>
      <c r="Y13" s="265">
        <f>BS!AB60/BS!AB30</f>
        <v>-1.4776925262858768E-2</v>
      </c>
      <c r="Z13" s="265">
        <f>BS!AC60/BS!AC30</f>
        <v>-1.9106606606606607E-2</v>
      </c>
      <c r="AA13" s="265">
        <f>BS!AD60/BS!AD30</f>
        <v>-1.6514005549009919E-2</v>
      </c>
      <c r="AB13" s="265">
        <f>BS!AE60/BS!AE30</f>
        <v>-1.0791298565593237E-2</v>
      </c>
      <c r="AC13" s="265">
        <f>BS!AF60/BS!AF30</f>
        <v>-2.7896995708154505E-3</v>
      </c>
      <c r="AD13" s="265">
        <f>BS!AG60/BS!AG30</f>
        <v>-1.0462763419810157E-2</v>
      </c>
    </row>
    <row r="14" spans="1:30" s="228" customFormat="1" x14ac:dyDescent="0.2">
      <c r="A14" s="304"/>
      <c r="B14" s="292" t="s">
        <v>482</v>
      </c>
      <c r="C14" s="304"/>
      <c r="D14" s="266" t="s">
        <v>481</v>
      </c>
      <c r="E14" s="265">
        <f>BS!D60/BS!D70</f>
        <v>2.388456937799043</v>
      </c>
      <c r="F14" s="265">
        <f>BS!E60/BS!E70</f>
        <v>-0.56695038405646669</v>
      </c>
      <c r="G14" s="265">
        <f>BS!F60/BS!F70</f>
        <v>0.16248593021386076</v>
      </c>
      <c r="H14" s="265">
        <f>BS!G60/BS!G70</f>
        <v>0.28256945140908635</v>
      </c>
      <c r="I14" s="265">
        <f>BS!H60/BS!H70</f>
        <v>0.17386311437758384</v>
      </c>
      <c r="J14" s="265">
        <f>BS!I60/BS!I70</f>
        <v>-4.0584837920807533E-2</v>
      </c>
      <c r="K14" s="265">
        <f>BS!J60/BS!J70</f>
        <v>-7.9724502311538832E-3</v>
      </c>
      <c r="L14" s="265">
        <f>BS!AG60/BS!AG70</f>
        <v>-3.0763277546676987E-2</v>
      </c>
      <c r="N14" s="265">
        <f>BS!Q60/BS!Q70</f>
        <v>0.22089027411492049</v>
      </c>
      <c r="O14" s="265">
        <f>BS!R60/BS!R70</f>
        <v>0.26911405521426984</v>
      </c>
      <c r="P14" s="265">
        <f>BS!S60/BS!S70</f>
        <v>0.24349514563106797</v>
      </c>
      <c r="Q14" s="265">
        <f>BS!T60/BS!T70</f>
        <v>0.28256945140908635</v>
      </c>
      <c r="R14" s="265">
        <f>BS!U60/BS!U70</f>
        <v>0.24124154886293792</v>
      </c>
      <c r="S14" s="265">
        <f>BS!V60/BS!V70</f>
        <v>0.21516966067864271</v>
      </c>
      <c r="T14" s="265">
        <f>BS!W60/BS!W70</f>
        <v>0.20930454263787598</v>
      </c>
      <c r="U14" s="265">
        <f>BS!X60/BS!X70</f>
        <v>0.17386311437758384</v>
      </c>
      <c r="V14" s="265">
        <f>BS!Y60/BS!Y70</f>
        <v>0.16211780153817296</v>
      </c>
      <c r="W14" s="265">
        <f>BS!Z60/BS!Z70</f>
        <v>0.17129288085577277</v>
      </c>
      <c r="X14" s="265">
        <f>BS!AA60/BS!AA70</f>
        <v>0.17267319804058781</v>
      </c>
      <c r="Y14" s="265">
        <f>BS!AB60/BS!AB70</f>
        <v>-4.0584837920807533E-2</v>
      </c>
      <c r="Z14" s="265">
        <f>BS!AC60/BS!AC70</f>
        <v>-5.5236028214867061E-2</v>
      </c>
      <c r="AA14" s="265">
        <f>BS!AD60/BS!AD70</f>
        <v>-4.688933254195219E-2</v>
      </c>
      <c r="AB14" s="265">
        <f>BS!AE60/BS!AE70</f>
        <v>-2.9363110008271298E-2</v>
      </c>
      <c r="AC14" s="265">
        <f>BS!AF60/BS!AF70</f>
        <v>-7.9724502311538832E-3</v>
      </c>
      <c r="AD14" s="265">
        <f>BS!AG60/BS!AG70</f>
        <v>-3.0763277546676987E-2</v>
      </c>
    </row>
    <row r="15" spans="1:30" s="228" customFormat="1" x14ac:dyDescent="0.2">
      <c r="A15" s="304"/>
      <c r="B15" s="292" t="s">
        <v>480</v>
      </c>
      <c r="C15" s="304"/>
      <c r="D15" s="266" t="s">
        <v>479</v>
      </c>
      <c r="E15" s="265">
        <f>BS!D68/BS!D70</f>
        <v>-2.5523325358851676</v>
      </c>
      <c r="F15" s="265">
        <f>BS!E68/BS!E70</f>
        <v>3.4874403155490969</v>
      </c>
      <c r="G15" s="265">
        <f>BS!F68/BS!F70</f>
        <v>1.4246663450715549</v>
      </c>
      <c r="H15" s="265">
        <f>BS!G68/BS!G70</f>
        <v>1.0310400160465349</v>
      </c>
      <c r="I15" s="265">
        <f>BS!H68/BS!H70</f>
        <v>1.1182361047312817</v>
      </c>
      <c r="J15" s="265">
        <f>BS!I68/BS!I70</f>
        <v>1.3041781570321036</v>
      </c>
      <c r="K15" s="265">
        <f>BS!J68/BS!J70</f>
        <v>1.232521936031701</v>
      </c>
      <c r="L15" s="265">
        <f>BS!AG68/BS!AG70</f>
        <v>1.2411241172487182</v>
      </c>
      <c r="N15" s="265">
        <f>BS!Q68/BS!Q70</f>
        <v>1.512187325181811</v>
      </c>
      <c r="O15" s="265">
        <f>BS!R68/BS!R70</f>
        <v>1.3910147287395456</v>
      </c>
      <c r="P15" s="265">
        <f>BS!S68/BS!S70</f>
        <v>1.3308090614886732</v>
      </c>
      <c r="Q15" s="265">
        <f>BS!T68/BS!T70</f>
        <v>1.0310400160465349</v>
      </c>
      <c r="R15" s="265">
        <f>BS!U68/BS!U70</f>
        <v>1.1137062077443147</v>
      </c>
      <c r="S15" s="265">
        <f>BS!V68/BS!V70</f>
        <v>1.1400199600798404</v>
      </c>
      <c r="T15" s="265">
        <f>BS!W68/BS!W70</f>
        <v>1.1126841126841127</v>
      </c>
      <c r="U15" s="265">
        <f>BS!X68/BS!X70</f>
        <v>1.1182361047312817</v>
      </c>
      <c r="V15" s="265">
        <f>BS!Y68/BS!Y70</f>
        <v>1.1509566685424872</v>
      </c>
      <c r="W15" s="265">
        <f>BS!Z68/BS!Z70</f>
        <v>1.1462098856510512</v>
      </c>
      <c r="X15" s="265">
        <f>BS!AA68/BS!AA70</f>
        <v>1.0796011196641007</v>
      </c>
      <c r="Y15" s="265">
        <f>BS!AB68/BS!AB70</f>
        <v>1.3041781570321036</v>
      </c>
      <c r="Z15" s="265">
        <f>BS!AC68/BS!AC70</f>
        <v>1.342322300596853</v>
      </c>
      <c r="AA15" s="265">
        <f>BS!AD68/BS!AD70</f>
        <v>1.2990881130955594</v>
      </c>
      <c r="AB15" s="265">
        <f>BS!AE68/BS!AE70</f>
        <v>1.2803453267162945</v>
      </c>
      <c r="AC15" s="265">
        <f>BS!AF68/BS!AF70</f>
        <v>1.232521936031701</v>
      </c>
      <c r="AD15" s="265">
        <f>BS!AG68/BS!AG70</f>
        <v>1.2411241172487182</v>
      </c>
    </row>
    <row r="16" spans="1:30" s="228" customFormat="1" x14ac:dyDescent="0.2">
      <c r="A16" s="304"/>
      <c r="B16" s="292" t="s">
        <v>478</v>
      </c>
      <c r="C16" s="304"/>
      <c r="D16" s="266"/>
      <c r="E16" s="265">
        <f>BS!D67/BS!D70</f>
        <v>-2.1279904306220097</v>
      </c>
      <c r="F16" s="265">
        <f>BS!E67/BS!E70</f>
        <v>3.1872534772680092</v>
      </c>
      <c r="G16" s="265">
        <f>BS!F67/BS!F70</f>
        <v>1.2898375944685641</v>
      </c>
      <c r="H16" s="265">
        <f>BS!G67/BS!G70</f>
        <v>0.91916558018252936</v>
      </c>
      <c r="I16" s="265">
        <f>BS!H67/BS!H70</f>
        <v>1.0330271015158474</v>
      </c>
      <c r="J16" s="265">
        <f>BS!I67/BS!I70</f>
        <v>1.1712888287632031</v>
      </c>
      <c r="K16" s="265">
        <f>BS!J67/BS!J70</f>
        <v>0.99910368902726676</v>
      </c>
      <c r="L16" s="265">
        <f>BS!AG67/BS!AG70</f>
        <v>0.99932282093450708</v>
      </c>
      <c r="N16" s="265">
        <f>BS!Q67/BS!Q70</f>
        <v>1.409574042995285</v>
      </c>
      <c r="O16" s="265">
        <f>BS!R67/BS!R70</f>
        <v>1.2694841240470727</v>
      </c>
      <c r="P16" s="265">
        <f>BS!S67/BS!S70</f>
        <v>1.22</v>
      </c>
      <c r="Q16" s="265">
        <f>BS!T67/BS!T70</f>
        <v>0.91916558018252936</v>
      </c>
      <c r="R16" s="265">
        <f>BS!U67/BS!U70</f>
        <v>0.98002458512599877</v>
      </c>
      <c r="S16" s="265">
        <f>BS!V67/BS!V70</f>
        <v>1.054441117764471</v>
      </c>
      <c r="T16" s="265">
        <f>BS!W67/BS!W70</f>
        <v>1.0269793603126935</v>
      </c>
      <c r="U16" s="265">
        <f>BS!X67/BS!X70</f>
        <v>1.0330271015158474</v>
      </c>
      <c r="V16" s="265">
        <f>BS!Y67/BS!Y70</f>
        <v>1.0705777527668354</v>
      </c>
      <c r="W16" s="265">
        <f>BS!Z67/BS!Z70</f>
        <v>1.0385927701954998</v>
      </c>
      <c r="X16" s="265">
        <f>BS!AA67/BS!AA70</f>
        <v>0.97170223932820154</v>
      </c>
      <c r="Y16" s="265">
        <f>BS!AB67/BS!AB70</f>
        <v>1.1712888287632031</v>
      </c>
      <c r="Z16" s="265">
        <f>BS!AC67/BS!AC70</f>
        <v>1.1907759088442755</v>
      </c>
      <c r="AA16" s="265">
        <f>BS!AD67/BS!AD70</f>
        <v>1.1796794906383208</v>
      </c>
      <c r="AB16" s="265">
        <f>BS!AE67/BS!AE70</f>
        <v>1.1514681555004136</v>
      </c>
      <c r="AC16" s="265">
        <f>BS!AF67/BS!AF70</f>
        <v>0.99910368902726676</v>
      </c>
      <c r="AD16" s="265">
        <f>BS!AG67/BS!AG70</f>
        <v>0.99932282093450708</v>
      </c>
    </row>
    <row r="17" spans="1:30" s="228" customFormat="1" x14ac:dyDescent="0.2">
      <c r="A17" s="304"/>
      <c r="B17" s="292" t="s">
        <v>477</v>
      </c>
      <c r="C17" s="304"/>
      <c r="D17" s="266"/>
      <c r="E17" s="265">
        <f>BS!D69/BS!D60</f>
        <v>-0.58131964442218609</v>
      </c>
      <c r="F17" s="265">
        <f>BS!E69/BS!E60</f>
        <v>-2.763822775540095</v>
      </c>
      <c r="G17" s="265">
        <f>BS!F69/BS!F60</f>
        <v>5.1543790202869868</v>
      </c>
      <c r="H17" s="265">
        <f>BS!G69/BS!G60</f>
        <v>2.5389529724933451</v>
      </c>
      <c r="I17" s="265">
        <f>BS!H69/BS!H60</f>
        <v>4.7516512549537646</v>
      </c>
      <c r="J17" s="265">
        <f>BS!I69/BS!I60</f>
        <v>-25.639743589743588</v>
      </c>
      <c r="K17" s="265">
        <f>BS!J69/BS!J60</f>
        <v>-126.4319526627219</v>
      </c>
      <c r="L17" s="265">
        <f>BS!AG69/BS!AG60</f>
        <v>-33.5062893081761</v>
      </c>
      <c r="N17" s="265">
        <f>BS!Q69/BS!Q60</f>
        <v>3.527134587554269</v>
      </c>
      <c r="O17" s="265">
        <f>BS!R69/BS!R60</f>
        <v>2.715896589658966</v>
      </c>
      <c r="P17" s="265">
        <f>BS!S69/BS!S60</f>
        <v>3.1068580542264752</v>
      </c>
      <c r="Q17" s="265">
        <f>BS!T69/BS!T60</f>
        <v>2.5389529724933451</v>
      </c>
      <c r="R17" s="265">
        <f>BS!U69/BS!U60</f>
        <v>3.1452229299363057</v>
      </c>
      <c r="S17" s="265">
        <f>BS!V69/BS!V60</f>
        <v>3.6474953617810759</v>
      </c>
      <c r="T17" s="265">
        <f>BS!W69/BS!W60</f>
        <v>3.7777271692097472</v>
      </c>
      <c r="U17" s="265">
        <f>BS!X69/BS!X60</f>
        <v>4.7516512549537646</v>
      </c>
      <c r="V17" s="265">
        <f>BS!Y69/BS!Y60</f>
        <v>5.1683540642175299</v>
      </c>
      <c r="W17" s="265">
        <f>BS!Z69/BS!Z60</f>
        <v>4.8379542395693136</v>
      </c>
      <c r="X17" s="265">
        <f>BS!AA69/BS!AA60</f>
        <v>4.7912867274569404</v>
      </c>
      <c r="Y17" s="265">
        <f>BS!AB69/BS!AB60</f>
        <v>-25.639743589743588</v>
      </c>
      <c r="Z17" s="265">
        <f>BS!AC69/BS!AC60</f>
        <v>-19.104125736738702</v>
      </c>
      <c r="AA17" s="265">
        <f>BS!AD69/BS!AD60</f>
        <v>-22.326812428078252</v>
      </c>
      <c r="AB17" s="265">
        <f>BS!AE69/BS!AE60</f>
        <v>-35.056338028169016</v>
      </c>
      <c r="AC17" s="265">
        <f>BS!AF69/BS!AF60</f>
        <v>-126.4319526627219</v>
      </c>
      <c r="AD17" s="265">
        <f>BS!AG69/BS!AG60</f>
        <v>-33.5062893081761</v>
      </c>
    </row>
    <row r="18" spans="1:30" s="228" customFormat="1" x14ac:dyDescent="0.2">
      <c r="A18" s="304"/>
      <c r="B18" s="292" t="s">
        <v>476</v>
      </c>
      <c r="C18" s="304"/>
      <c r="D18" s="266"/>
      <c r="E18" s="265">
        <f>BS!D69/BS!D30</f>
        <v>0.19749042960442365</v>
      </c>
      <c r="F18" s="265">
        <f>BS!E69/BS!E30</f>
        <v>0.17853257013103743</v>
      </c>
      <c r="G18" s="265">
        <f>BS!F69/BS!F30</f>
        <v>0.2409947946790052</v>
      </c>
      <c r="H18" s="265">
        <f>BS!G69/BS!G30</f>
        <v>0.2955075906227409</v>
      </c>
      <c r="I18" s="265">
        <f>BS!H69/BS!H30</f>
        <v>0.3507625697234466</v>
      </c>
      <c r="J18" s="265">
        <f>BS!I69/BS!I30</f>
        <v>0.37887657478450315</v>
      </c>
      <c r="K18" s="265">
        <f>BS!J69/BS!J30</f>
        <v>0.35270716408055464</v>
      </c>
      <c r="L18" s="265">
        <f>BS!AG69/BS!AG30</f>
        <v>0.35056837810716107</v>
      </c>
      <c r="N18" s="265">
        <f>BS!Q69/BS!Q30</f>
        <v>0.20851691833853789</v>
      </c>
      <c r="O18" s="265">
        <f>BS!R69/BS!R30</f>
        <v>0.20629648199214506</v>
      </c>
      <c r="P18" s="265">
        <f>BS!S69/BS!S30</f>
        <v>0.23992610079031099</v>
      </c>
      <c r="Q18" s="265">
        <f>BS!T69/BS!T30</f>
        <v>0.2955075906227409</v>
      </c>
      <c r="R18" s="265">
        <f>BS!U69/BS!U30</f>
        <v>0.29682021278727283</v>
      </c>
      <c r="S18" s="265">
        <f>BS!V69/BS!V30</f>
        <v>0.30808407278995514</v>
      </c>
      <c r="T18" s="265">
        <f>BS!W69/BS!W30</f>
        <v>0.32456758237457933</v>
      </c>
      <c r="U18" s="265">
        <f>BS!X69/BS!X30</f>
        <v>0.3507625697234466</v>
      </c>
      <c r="V18" s="265">
        <f>BS!Y69/BS!Y30</f>
        <v>0.33950253672069469</v>
      </c>
      <c r="W18" s="265">
        <f>BS!Z69/BS!Z30</f>
        <v>0.33697690115494228</v>
      </c>
      <c r="X18" s="265">
        <f>BS!AA69/BS!AA30</f>
        <v>0.36098547737638592</v>
      </c>
      <c r="Y18" s="265">
        <f>BS!AB69/BS!AB30</f>
        <v>0.37887657478450315</v>
      </c>
      <c r="Z18" s="265">
        <f>BS!AC69/BS!AC30</f>
        <v>0.36501501501501499</v>
      </c>
      <c r="AA18" s="265">
        <f>BS!AD69/BS!AD30</f>
        <v>0.3687051043289879</v>
      </c>
      <c r="AB18" s="265">
        <f>BS!AE69/BS!AE30</f>
        <v>0.37830341027833192</v>
      </c>
      <c r="AC18" s="265">
        <f>BS!AF69/BS!AF30</f>
        <v>0.35270716408055464</v>
      </c>
      <c r="AD18" s="265">
        <f>BS!AG69/BS!AG30</f>
        <v>0.35056837810716107</v>
      </c>
    </row>
    <row r="19" spans="1:30" s="228" customFormat="1" x14ac:dyDescent="0.2">
      <c r="A19" s="304"/>
      <c r="B19" s="292" t="s">
        <v>475</v>
      </c>
      <c r="C19" s="304"/>
      <c r="D19" s="266"/>
      <c r="E19" s="265">
        <f>BS!D69/(BS!D30-BS!D25)</f>
        <v>0.20507044741840025</v>
      </c>
      <c r="F19" s="265">
        <f>BS!E69/(BS!E30-BS!E25)</f>
        <v>0.21036203004375575</v>
      </c>
      <c r="G19" s="265">
        <f>BS!F69/(BS!F30-BS!F25)</f>
        <v>0.28234943351222419</v>
      </c>
      <c r="H19" s="265">
        <f>BS!G69/(BS!G30-BS!G25)</f>
        <v>0.34003565062388591</v>
      </c>
      <c r="I19" s="265">
        <f>BS!H69/(BS!H30-BS!H25)</f>
        <v>0.39957787158409241</v>
      </c>
      <c r="J19" s="265">
        <f>BS!I69/(BS!I30-BS!I25)</f>
        <v>0.43016928007571359</v>
      </c>
      <c r="K19" s="265">
        <f>BS!J69/(BS!J30-BS!J25)</f>
        <v>0.39312260818369149</v>
      </c>
      <c r="L19" s="265">
        <f>BS!AG69/(BS!AG30-BS!AG25)</f>
        <v>0.39042890383100348</v>
      </c>
      <c r="N19" s="265">
        <f>BS!Q69/(BS!Q30-BS!Q25)</f>
        <v>0.2414194443068694</v>
      </c>
      <c r="O19" s="265">
        <f>BS!R69/(BS!R30-BS!R25)</f>
        <v>0.23793460713683348</v>
      </c>
      <c r="P19" s="265">
        <f>BS!S69/(BS!S30-BS!S25)</f>
        <v>0.27590114014588202</v>
      </c>
      <c r="Q19" s="265">
        <f>BS!T69/(BS!T30-BS!T25)</f>
        <v>0.34003565062388591</v>
      </c>
      <c r="R19" s="265">
        <f>BS!U69/(BS!U30-BS!U25)</f>
        <v>0.33991097241980633</v>
      </c>
      <c r="S19" s="265">
        <f>BS!V69/(BS!V30-BS!V25)</f>
        <v>0.35148725054193575</v>
      </c>
      <c r="T19" s="265">
        <f>BS!W69/(BS!W30-BS!W25)</f>
        <v>0.3700365842776836</v>
      </c>
      <c r="U19" s="265">
        <f>BS!X69/(BS!X30-BS!X25)</f>
        <v>0.39957787158409241</v>
      </c>
      <c r="V19" s="265">
        <f>BS!Y69/(BS!Y30-BS!Y25)</f>
        <v>0.38589632829373649</v>
      </c>
      <c r="W19" s="265">
        <f>BS!Z69/(BS!Z30-BS!Z25)</f>
        <v>0.38223347015163439</v>
      </c>
      <c r="X19" s="265">
        <f>BS!AA69/(BS!AA30-BS!AA25)</f>
        <v>0.41036098576883029</v>
      </c>
      <c r="Y19" s="265">
        <f>BS!AB69/(BS!AB30-BS!AB25)</f>
        <v>0.43016928007571359</v>
      </c>
      <c r="Z19" s="265">
        <f>BS!AC69/(BS!AC30-BS!AC25)</f>
        <v>0.41382245297472126</v>
      </c>
      <c r="AA19" s="265">
        <f>BS!AD69/(BS!AD30-BS!AD25)</f>
        <v>0.41838098934747919</v>
      </c>
      <c r="AB19" s="265">
        <f>BS!AE69/(BS!AE30-BS!AE25)</f>
        <v>0.42916567881544065</v>
      </c>
      <c r="AC19" s="265">
        <f>BS!AF69/(BS!AF30-BS!AF25)</f>
        <v>0.39312260818369149</v>
      </c>
      <c r="AD19" s="265">
        <f>BS!AG69/(BS!AG30-BS!AG25)</f>
        <v>0.39042890383100348</v>
      </c>
    </row>
    <row r="20" spans="1:30" s="228" customFormat="1" x14ac:dyDescent="0.2">
      <c r="A20" s="304"/>
      <c r="B20" s="292" t="s">
        <v>474</v>
      </c>
      <c r="C20" s="304"/>
      <c r="D20" s="266"/>
      <c r="E20" s="265">
        <f>BS!D30/BS!D60</f>
        <v>-2.943533241517466</v>
      </c>
      <c r="F20" s="265">
        <f>BS!E30/BS!E60</f>
        <v>-15.480776272427683</v>
      </c>
      <c r="G20" s="265">
        <f>BS!F30/BS!F60</f>
        <v>21.387926768926274</v>
      </c>
      <c r="H20" s="265">
        <f>BS!G30/BS!G60</f>
        <v>8.591836734693878</v>
      </c>
      <c r="I20" s="265">
        <f>BS!H30/BS!H60</f>
        <v>13.54663143989432</v>
      </c>
      <c r="J20" s="265">
        <f>BS!I30/BS!I60</f>
        <v>-67.67307692307692</v>
      </c>
      <c r="K20" s="265">
        <f>BS!J30/BS!J60</f>
        <v>-358.46153846153845</v>
      </c>
      <c r="L20" s="265">
        <f>BS!AG30/BS!AG60</f>
        <v>-95.577044025157235</v>
      </c>
      <c r="N20" s="265">
        <f>BS!Q30/BS!Q60</f>
        <v>16.915340086830682</v>
      </c>
      <c r="O20" s="265">
        <f>BS!R30/BS!R60</f>
        <v>13.165016501650165</v>
      </c>
      <c r="P20" s="265">
        <f>BS!S30/BS!S60</f>
        <v>12.94922913343966</v>
      </c>
      <c r="Q20" s="265">
        <f>BS!T30/BS!T60</f>
        <v>8.591836734693878</v>
      </c>
      <c r="R20" s="265">
        <f>BS!U30/BS!U60</f>
        <v>10.596390658174098</v>
      </c>
      <c r="S20" s="265">
        <f>BS!V30/BS!V60</f>
        <v>11.839285714285714</v>
      </c>
      <c r="T20" s="265">
        <f>BS!W30/BS!W60</f>
        <v>11.639262127078114</v>
      </c>
      <c r="U20" s="265">
        <f>BS!X30/BS!X60</f>
        <v>13.54663143989432</v>
      </c>
      <c r="V20" s="265">
        <f>BS!Y30/BS!Y60</f>
        <v>15.223315013017066</v>
      </c>
      <c r="W20" s="265">
        <f>BS!Z30/BS!Z60</f>
        <v>14.35693135935397</v>
      </c>
      <c r="X20" s="265">
        <f>BS!AA30/BS!AA60</f>
        <v>13.272796352583587</v>
      </c>
      <c r="Y20" s="265">
        <f>BS!AB30/BS!AB60</f>
        <v>-67.67307692307692</v>
      </c>
      <c r="Z20" s="265">
        <f>BS!AC30/BS!AC60</f>
        <v>-52.337917485265223</v>
      </c>
      <c r="AA20" s="265">
        <f>BS!AD30/BS!AD60</f>
        <v>-60.554660529344076</v>
      </c>
      <c r="AB20" s="265">
        <f>BS!AE30/BS!AE60</f>
        <v>-92.667253521126767</v>
      </c>
      <c r="AC20" s="265">
        <f>BS!AF30/BS!AF60</f>
        <v>-358.46153846153845</v>
      </c>
      <c r="AD20" s="265">
        <f>BS!AG30/BS!AG60</f>
        <v>-95.577044025157235</v>
      </c>
    </row>
    <row r="21" spans="1:30" s="228" customFormat="1" x14ac:dyDescent="0.2">
      <c r="A21" s="304"/>
      <c r="B21" s="292" t="s">
        <v>473</v>
      </c>
      <c r="C21" s="304"/>
      <c r="D21" s="266"/>
      <c r="E21" s="265">
        <f>BS!D19/(BS!D60-BS!D25)</f>
        <v>-1.5133242999096657</v>
      </c>
      <c r="F21" s="265">
        <f>BS!E19/(BS!E60-BS!E25)</f>
        <v>-2.1098816827344433</v>
      </c>
      <c r="G21" s="265">
        <f>BS!F19/(BS!F60-BS!F25)</f>
        <v>-5.3559164733178655</v>
      </c>
      <c r="H21" s="265">
        <f>BS!G19/(BS!G60-BS!G25)</f>
        <v>-39.021276595744681</v>
      </c>
      <c r="I21" s="265">
        <f>BS!H19/(BS!H60-BS!H25)</f>
        <v>-12.569181121419927</v>
      </c>
      <c r="J21" s="265">
        <f>BS!I19/(BS!I60-BS!I25)</f>
        <v>-4.8283856375459431</v>
      </c>
      <c r="K21" s="265">
        <f>BS!J19/(BS!J60-BS!J25)</f>
        <v>-5.3303110833203062</v>
      </c>
      <c r="L21" s="265">
        <f>BS!AG19/(BS!AG60-BS!AG25)</f>
        <v>-5.0292312189418302</v>
      </c>
      <c r="N21" s="265">
        <f>BS!Q19/(BS!Q60-BS!Q25)</f>
        <v>-6.6635254988913522</v>
      </c>
      <c r="O21" s="265">
        <f>BS!R19/(BS!R60-BS!R25)</f>
        <v>-9.2663979479662881</v>
      </c>
      <c r="P21" s="265">
        <f>BS!S19/(BS!S60-BS!S25)</f>
        <v>-10.151351351351352</v>
      </c>
      <c r="Q21" s="265">
        <f>BS!T19/(BS!T60-BS!T25)</f>
        <v>-39.021276595744681</v>
      </c>
      <c r="R21" s="265">
        <f>BS!U19/(BS!U60-BS!U25)</f>
        <v>-17.707482993197278</v>
      </c>
      <c r="S21" s="265">
        <f>BS!V19/(BS!V60-BS!V25)</f>
        <v>-14.86495983935743</v>
      </c>
      <c r="T21" s="265">
        <f>BS!W19/(BS!W60-BS!W25)</f>
        <v>-16.042350449973529</v>
      </c>
      <c r="U21" s="265">
        <f>BS!X19/(BS!X60-BS!X25)</f>
        <v>-12.569181121419927</v>
      </c>
      <c r="V21" s="265">
        <f>BS!Y19/(BS!Y60-BS!Y25)</f>
        <v>-11.251219512195123</v>
      </c>
      <c r="W21" s="265">
        <f>BS!Z19/(BS!Z60-BS!Z25)</f>
        <v>-12.689615384615385</v>
      </c>
      <c r="X21" s="265">
        <f>BS!AA19/(BS!AA60-BS!AA25)</f>
        <v>-14.13279592702588</v>
      </c>
      <c r="Y21" s="265">
        <f>BS!AB19/(BS!AB60-BS!AB25)</f>
        <v>-4.8283856375459431</v>
      </c>
      <c r="Z21" s="265">
        <f>BS!AC19/(BS!AC60-BS!AC25)</f>
        <v>-4.7018625034237198</v>
      </c>
      <c r="AA21" s="265">
        <f>BS!AD19/(BS!AD60-BS!AD25)</f>
        <v>-4.8368694674722494</v>
      </c>
      <c r="AB21" s="265">
        <f>BS!AE19/(BS!AE60-BS!AE25)</f>
        <v>-5.028357331766089</v>
      </c>
      <c r="AC21" s="265">
        <f>BS!AF19/(BS!AF60-BS!AF25)</f>
        <v>-5.3303110833203062</v>
      </c>
      <c r="AD21" s="265">
        <f>BS!AG19/(BS!AG60-BS!AG25)</f>
        <v>-5.0292312189418302</v>
      </c>
    </row>
    <row r="22" spans="1:30" s="228" customFormat="1" x14ac:dyDescent="0.2">
      <c r="A22" s="304"/>
      <c r="B22" s="292" t="s">
        <v>472</v>
      </c>
      <c r="C22" s="304"/>
      <c r="D22" s="266" t="s">
        <v>471</v>
      </c>
      <c r="E22" s="265">
        <f>BS!D68/(IS_NG!D18*RATIO!E89)</f>
        <v>2.5340583679595263</v>
      </c>
      <c r="F22" s="265">
        <f>BS!E68/(IS_NG!E18*RATIO!F89)</f>
        <v>2.3742900247064527</v>
      </c>
      <c r="G22" s="265">
        <f>BS!F68/(IS_NG!F18*RATIO!G89)</f>
        <v>0.45014288057552887</v>
      </c>
      <c r="H22" s="265">
        <f>BS!G68/(IS_NG!G18*RATIO!H89)</f>
        <v>0.70633339960338148</v>
      </c>
      <c r="I22" s="265">
        <f>BS!H68/(IS_NG!H18*RATIO!I89)</f>
        <v>0.93759646358296456</v>
      </c>
      <c r="J22" s="265">
        <f>BS!I68/(IS_NG!I18*RATIO!J89)</f>
        <v>0.97976235601409623</v>
      </c>
      <c r="K22" s="265">
        <f>BS!J68/(IS_NG!J18*RATIO!K89)</f>
        <v>1.7473516156592077</v>
      </c>
      <c r="L22" s="265">
        <f>BS!AG68/(IS_NG!K18*RATIO!L89)</f>
        <v>1.735781280189765</v>
      </c>
      <c r="N22" s="265">
        <f>BS!Q68/(IS_NG!Q18*RATIO!N89)</f>
        <v>0.50005860687044312</v>
      </c>
      <c r="O22" s="265">
        <f>BS!R68/(IS_NG!R18*RATIO!O89)</f>
        <v>0.6649922705161373</v>
      </c>
      <c r="P22" s="265">
        <f>BS!S68/(IS_NG!S18*RATIO!P89)</f>
        <v>0.77785059423305547</v>
      </c>
      <c r="Q22" s="265">
        <f>BS!T68/(IS_NG!T18*RATIO!Q89)</f>
        <v>0.75372092073832131</v>
      </c>
      <c r="R22" s="265">
        <f>BS!U68/(IS_NG!U18*RATIO!R89)</f>
        <v>0.86708515823264709</v>
      </c>
      <c r="S22" s="265">
        <f>BS!V68/(IS_NG!V18*RATIO!S89)</f>
        <v>1.4256837388883616</v>
      </c>
      <c r="T22" s="265">
        <f>BS!W68/(IS_NG!W18*RATIO!T89)</f>
        <v>1.2064344226531161</v>
      </c>
      <c r="U22" s="265">
        <f>BS!X68/(IS_NG!X18*RATIO!U89)</f>
        <v>1.0058616936596385</v>
      </c>
      <c r="V22" s="265">
        <f>BS!Y68/(IS_NG!Y18*RATIO!V89)</f>
        <v>1.1426077343388421</v>
      </c>
      <c r="W22" s="265">
        <f>BS!Z68/(IS_NG!Z18*RATIO!W89)</f>
        <v>1.0021366283384647</v>
      </c>
      <c r="X22" s="265">
        <f>BS!AA68/(IS_NG!AA18*RATIO!X89)</f>
        <v>1.0681172603381723</v>
      </c>
      <c r="Y22" s="265">
        <f>BS!AB68/(IS_NG!AB18*RATIO!Y89)</f>
        <v>1.0095906287202183</v>
      </c>
      <c r="Z22" s="265">
        <f>BS!AC68/(IS_NG!AC18*RATIO!Z89)</f>
        <v>1.0031990282874761</v>
      </c>
      <c r="AA22" s="265">
        <f>BS!AD68/(IS_NG!AD18*RATIO!AA89)</f>
        <v>1.3650925966078653</v>
      </c>
      <c r="AB22" s="265">
        <f>BS!AE68/(IS_NG!AE18*RATIO!AB89)</f>
        <v>1.2984633180275682</v>
      </c>
      <c r="AC22" s="265">
        <f>BS!AF68/(IS_NG!AF18*RATIO!AC89)</f>
        <v>1.7615183601915216</v>
      </c>
      <c r="AD22" s="265">
        <f>BS!AG68/(IS_NG!AG18*RATIO!AD89)</f>
        <v>1.7868264412483477</v>
      </c>
    </row>
    <row r="23" spans="1:30" s="308" customFormat="1" ht="4.5" customHeight="1" x14ac:dyDescent="0.2">
      <c r="A23" s="297"/>
      <c r="B23" s="309"/>
      <c r="C23" s="309"/>
      <c r="D23" s="241"/>
      <c r="E23" s="287"/>
      <c r="F23" s="287"/>
      <c r="G23" s="287"/>
      <c r="H23" s="287"/>
      <c r="I23" s="287"/>
      <c r="J23" s="287"/>
      <c r="K23" s="287"/>
      <c r="L23" s="287"/>
      <c r="M23" s="228"/>
      <c r="N23" s="287"/>
      <c r="O23" s="287"/>
      <c r="P23" s="287"/>
      <c r="Q23" s="287"/>
      <c r="R23" s="287"/>
      <c r="S23" s="287"/>
      <c r="T23" s="287"/>
      <c r="U23" s="287"/>
      <c r="V23" s="287"/>
      <c r="W23" s="287"/>
      <c r="X23" s="287"/>
      <c r="Y23" s="287"/>
      <c r="Z23" s="287"/>
      <c r="AA23" s="287"/>
      <c r="AB23" s="287"/>
      <c r="AC23" s="287"/>
      <c r="AD23" s="287"/>
    </row>
    <row r="24" spans="1:30" x14ac:dyDescent="0.2">
      <c r="A24" s="312" t="s">
        <v>470</v>
      </c>
      <c r="B24" s="258"/>
      <c r="D24" s="241"/>
      <c r="E24" s="249"/>
      <c r="F24" s="249"/>
      <c r="G24" s="249"/>
      <c r="H24" s="249"/>
      <c r="I24" s="249"/>
      <c r="J24" s="249"/>
      <c r="K24" s="249"/>
      <c r="L24" s="249"/>
      <c r="M24" s="228"/>
      <c r="N24" s="249"/>
      <c r="O24" s="249"/>
      <c r="P24" s="249"/>
      <c r="Q24" s="249"/>
      <c r="R24" s="249"/>
      <c r="S24" s="249"/>
      <c r="T24" s="249"/>
      <c r="U24" s="249"/>
      <c r="V24" s="249"/>
      <c r="W24" s="249"/>
      <c r="X24" s="249"/>
      <c r="Y24" s="249"/>
      <c r="Z24" s="249"/>
      <c r="AA24" s="249"/>
      <c r="AB24" s="249"/>
      <c r="AC24" s="249"/>
      <c r="AD24" s="249"/>
    </row>
    <row r="25" spans="1:30" s="296" customFormat="1" x14ac:dyDescent="0.2">
      <c r="A25" s="302"/>
      <c r="B25" s="292" t="s">
        <v>469</v>
      </c>
      <c r="C25" s="302"/>
      <c r="D25" s="266" t="s">
        <v>468</v>
      </c>
      <c r="E25" s="265">
        <f>IS_NG!D6/IS!D31*-1</f>
        <v>2.25</v>
      </c>
      <c r="F25" s="265">
        <f>IS_NG!E6/IS!E31*-1</f>
        <v>3.7862149532710281</v>
      </c>
      <c r="G25" s="265">
        <f>IS_NG!F6/IS!F31*-1</f>
        <v>5.7192784667418266</v>
      </c>
      <c r="H25" s="265">
        <f>IS_NG!G6/IS!G31*-1</f>
        <v>8.2772727272727273</v>
      </c>
      <c r="I25" s="265">
        <f>IS_NG!H6/IS!H31*-1</f>
        <v>6.0615539858728553</v>
      </c>
      <c r="J25" s="265">
        <f>IS_NG!I6/IS!I31*-1</f>
        <v>4.7150997150997149</v>
      </c>
      <c r="K25" s="265">
        <f>IS_NG!J6/IS!J31*-1</f>
        <v>3.2660984848484849</v>
      </c>
      <c r="L25" s="265">
        <f>IS_NG!K6/IS!K31*-1</f>
        <v>3.1401693320790218</v>
      </c>
      <c r="M25" s="228"/>
      <c r="N25" s="265">
        <f>IS_NG!Q6/IS!Q31*-1</f>
        <v>7.2666666666666666</v>
      </c>
      <c r="O25" s="265">
        <f>IS_NG!R6/IS!R31*-1</f>
        <v>9.304932735426009</v>
      </c>
      <c r="P25" s="265">
        <f>IS_NG!S6/IS!S31*-1</f>
        <v>9.8812785388127846</v>
      </c>
      <c r="Q25" s="265">
        <f>IS_NG!T6/IS!T31*-1</f>
        <v>6.6288209606986896</v>
      </c>
      <c r="R25" s="265">
        <f>IS_NG!U6/IS!U31*-1</f>
        <v>6.02092050209205</v>
      </c>
      <c r="S25" s="265">
        <f>IS_NG!V6/IS!V31*-1</f>
        <v>7.2931726907630523</v>
      </c>
      <c r="T25" s="265">
        <f>IS_NG!W6/IS!W31*-1</f>
        <v>6.9</v>
      </c>
      <c r="U25" s="265">
        <f>IS_NG!X6/IS!X31*-1</f>
        <v>4.0632411067193672</v>
      </c>
      <c r="V25" s="265">
        <f>IS_NG!Y6/IS!Y31*-1</f>
        <v>3.3385214007782102</v>
      </c>
      <c r="W25" s="265">
        <f>IS_NG!Z6/IS!Z31*-1</f>
        <v>6.8517110266159698</v>
      </c>
      <c r="X25" s="265">
        <f>IS_NG!AA6/IS!AA31*-1</f>
        <v>5.1240601503759402</v>
      </c>
      <c r="Y25" s="265">
        <f>IS_NG!AB6/IS!AB31*-1</f>
        <v>3.5375939849624061</v>
      </c>
      <c r="Z25" s="265">
        <f>IS_NG!AC6/IS!AC31*-1</f>
        <v>2.3702290076335877</v>
      </c>
      <c r="AA25" s="265">
        <f>IS_NG!AD6/IS!AD31*-1</f>
        <v>4.4360902255639099</v>
      </c>
      <c r="AB25" s="265">
        <f>IS_NG!AE6/IS!AE31*-1</f>
        <v>3.267924528301887</v>
      </c>
      <c r="AC25" s="265">
        <f>IS_NG!AF6/IS!AF31*-1</f>
        <v>2.9846743295019156</v>
      </c>
      <c r="AD25" s="265">
        <f>IS_NG!AG6/IS!AG31*-1</f>
        <v>1.8929889298892988</v>
      </c>
    </row>
    <row r="26" spans="1:30" x14ac:dyDescent="0.2">
      <c r="A26" s="302"/>
      <c r="B26" s="292" t="s">
        <v>467</v>
      </c>
      <c r="C26" s="302"/>
      <c r="D26" s="266"/>
      <c r="E26" s="265">
        <f>CF!D58/IS!D31*-1</f>
        <v>-0.95411392405063289</v>
      </c>
      <c r="F26" s="265">
        <f>CF!E58/IS!E31*-1</f>
        <v>-2.8492990654205608</v>
      </c>
      <c r="G26" s="265">
        <f>CF!F58/IS!F31*-1</f>
        <v>-2.5152198421645999</v>
      </c>
      <c r="H26" s="265">
        <f>CF!G58/IS!G31*-1</f>
        <v>0.11136363636363636</v>
      </c>
      <c r="I26" s="265">
        <f>CF!H58/IS!H31*-1</f>
        <v>0.80020181634712406</v>
      </c>
      <c r="J26" s="265">
        <f>CF!I58/IS!I31*-1</f>
        <v>-1.1652421652421652</v>
      </c>
      <c r="K26" s="265">
        <f>CF!J58/IS!J31*-1</f>
        <v>-0.20075757575757575</v>
      </c>
      <c r="L26" s="265">
        <f>CF!K58/IS!K31*-1</f>
        <v>-0.83443085606773282</v>
      </c>
      <c r="M26" s="228"/>
      <c r="N26" s="265">
        <f>CF!Q58/IS!Q31*-1</f>
        <v>5.166666666666667</v>
      </c>
      <c r="O26" s="265">
        <f>CF!R58/IS!R31*-1</f>
        <v>2.7668161434977581</v>
      </c>
      <c r="P26" s="265">
        <f>CF!S58/IS!S31*-1</f>
        <v>-1.3789954337899544</v>
      </c>
      <c r="Q26" s="265">
        <f>CF!T58/IS!T31*-1</f>
        <v>-5.6855895196506552</v>
      </c>
      <c r="R26" s="265">
        <f>CF!U58/IS!U31*-1</f>
        <v>4.4476987447698741</v>
      </c>
      <c r="S26" s="265">
        <f>CF!V58/IS!V31*-1</f>
        <v>2.8393574297188753</v>
      </c>
      <c r="T26" s="265">
        <f>CF!W58/IS!W31*-1</f>
        <v>-0.57599999999999996</v>
      </c>
      <c r="U26" s="265">
        <f>CF!X58/IS!X31*-1</f>
        <v>-3.2924901185770752</v>
      </c>
      <c r="V26" s="265">
        <f>CF!Y58/IS!Y31*-1</f>
        <v>2.0856031128404671</v>
      </c>
      <c r="W26" s="265">
        <f>CF!Z58/IS!Z31*-1</f>
        <v>0.79087452471482889</v>
      </c>
      <c r="X26" s="265">
        <f>CF!AA58/IS!AA31*-1</f>
        <v>-3.7593984962406015</v>
      </c>
      <c r="Y26" s="265">
        <f>CF!AB58/IS!AB31*-1</f>
        <v>-3.6503759398496243</v>
      </c>
      <c r="Z26" s="265">
        <f>CF!AC58/IS!AC31*-1</f>
        <v>3.8969465648854964</v>
      </c>
      <c r="AA26" s="265">
        <f>CF!AD58/IS!AD31*-1</f>
        <v>0.4924812030075188</v>
      </c>
      <c r="AB26" s="265">
        <f>CF!AE58/IS!AE31*-1</f>
        <v>-4.090566037735849</v>
      </c>
      <c r="AC26" s="265">
        <f>CF!AF58/IS!AF31*-1</f>
        <v>-1.0727969348659003</v>
      </c>
      <c r="AD26" s="265">
        <f>CF!AG58/IS!AG31*-1</f>
        <v>1.2767527675276753</v>
      </c>
    </row>
    <row r="27" spans="1:30" s="305" customFormat="1" x14ac:dyDescent="0.2">
      <c r="A27" s="311"/>
      <c r="B27" s="292" t="s">
        <v>466</v>
      </c>
      <c r="C27" s="311"/>
      <c r="D27" s="266"/>
      <c r="E27" s="265">
        <f>IS_NG!D8/IS!D31*-1</f>
        <v>3.856012658227848</v>
      </c>
      <c r="F27" s="265">
        <f>IS_NG!E8/IS!E31*-1</f>
        <v>4.9778037383177569</v>
      </c>
      <c r="G27" s="265">
        <f>IS_NG!F8/IS!F31*-1</f>
        <v>7.4250281848928976</v>
      </c>
      <c r="H27" s="265">
        <f>IS_NG!G8/IS!G31*-1</f>
        <v>10.105681818181818</v>
      </c>
      <c r="I27" s="265">
        <f>IS_NG!H8/IS!H31*-1</f>
        <v>7.8960645812310801</v>
      </c>
      <c r="J27" s="265">
        <f>IS_NG!I8/IS!I31*-1</f>
        <v>6.6305792972459638</v>
      </c>
      <c r="K27" s="265">
        <f>IS_NG!J8/IS!J31*-1</f>
        <v>5.3106060606060606</v>
      </c>
      <c r="L27" s="265">
        <f>IS_NG!K8/IS!K31*-1</f>
        <v>3.1401693320790218</v>
      </c>
      <c r="M27" s="228"/>
      <c r="N27" s="265"/>
      <c r="O27" s="265"/>
      <c r="P27" s="265"/>
      <c r="Q27" s="265"/>
      <c r="R27" s="265"/>
      <c r="S27" s="265"/>
      <c r="T27" s="265"/>
      <c r="U27" s="265"/>
      <c r="V27" s="265"/>
      <c r="W27" s="265"/>
      <c r="X27" s="265"/>
      <c r="Y27" s="265"/>
      <c r="Z27" s="265"/>
      <c r="AA27" s="265"/>
      <c r="AB27" s="265"/>
      <c r="AC27" s="265"/>
      <c r="AD27" s="265"/>
    </row>
    <row r="28" spans="1:30" x14ac:dyDescent="0.2">
      <c r="A28" s="310"/>
      <c r="B28" s="284" t="s">
        <v>465</v>
      </c>
      <c r="C28" s="294"/>
      <c r="D28" s="241"/>
      <c r="E28" s="293">
        <f>IS!D31*-1/AVERAGE(BS!D68,BS!C68)</f>
        <v>7.5440167114294243E-2</v>
      </c>
      <c r="F28" s="293">
        <f>IS!E31*-1/AVERAGE(BS!E68,BS!D68)</f>
        <v>6.7577169021867847E-2</v>
      </c>
      <c r="G28" s="293">
        <f>IS!F31*-1/AVERAGE(BS!F68,BS!E68)</f>
        <v>5.1391987021640259E-2</v>
      </c>
      <c r="H28" s="293">
        <f>IS!G31*-1/AVERAGE(BS!G68,BS!F68)</f>
        <v>4.5975810454272355E-2</v>
      </c>
      <c r="I28" s="293">
        <f>IS!H31*-1/AVERAGE(BS!H68,BS!G68)</f>
        <v>4.4137623872619977E-2</v>
      </c>
      <c r="J28" s="293">
        <f>IS!I31*-1/AVERAGE(BS!I68,BS!H68)</f>
        <v>4.2623813475277786E-2</v>
      </c>
      <c r="K28" s="293">
        <f>IS!J31*-1/AVERAGE(BS!J68,BS!I68)</f>
        <v>4.1256446319737461E-2</v>
      </c>
      <c r="L28" s="293">
        <f>IS!K31*-1/AVERAGE(BS!AG68,BS!AF68)</f>
        <v>4.1053566601011858E-2</v>
      </c>
      <c r="M28" s="228"/>
      <c r="N28" s="293">
        <f>IS!Q31*-1*4/AVERAGE(BS!Q68,BS!P68)</f>
        <v>4.5849025708203699E-2</v>
      </c>
      <c r="O28" s="293">
        <f>IS!R31*-1*4/AVERAGE(BS!R68,BS!Q68)</f>
        <v>4.7300880263018347E-2</v>
      </c>
      <c r="P28" s="293">
        <f>IS!S31*-1*4/AVERAGE(BS!S68,BS!R68)</f>
        <v>4.4517850336678946E-2</v>
      </c>
      <c r="Q28" s="293">
        <f>IS!T31*-1*4/AVERAGE(BS!T68,BS!S68)</f>
        <v>4.4550362336462236E-2</v>
      </c>
      <c r="R28" s="293">
        <f>IS!U31*-1*4/AVERAGE(BS!U68,BS!T68)</f>
        <v>4.5195603356577234E-2</v>
      </c>
      <c r="S28" s="293">
        <f>IS!V31*-1*4/AVERAGE(BS!V68,BS!U68)</f>
        <v>4.4673693653285489E-2</v>
      </c>
      <c r="T28" s="293">
        <f>IS!W31*-1*4/AVERAGE(BS!W68,BS!V68)</f>
        <v>4.3300352897876121E-2</v>
      </c>
      <c r="U28" s="293">
        <f>IS!X31*-1*4/AVERAGE(BS!X68,BS!W68)</f>
        <v>4.2443433220793927E-2</v>
      </c>
      <c r="V28" s="293">
        <f>IS!Y31*-1*4/AVERAGE(BS!Y68,BS!X68)</f>
        <v>4.2056170352036328E-2</v>
      </c>
      <c r="W28" s="293">
        <f>IS!Z31*-1*4/AVERAGE(BS!Z68,BS!Y68)</f>
        <v>4.2589368851463506E-2</v>
      </c>
      <c r="X28" s="293">
        <f>IS!AA31*-1*4/AVERAGE(BS!AA68,BS!Z68)</f>
        <v>4.2952586641907028E-2</v>
      </c>
      <c r="Y28" s="293">
        <f>IS!AB31*-1*4/AVERAGE(BS!AB68,BS!AA68)</f>
        <v>4.2774729140284226E-2</v>
      </c>
      <c r="Z28" s="293">
        <f>IS!AC31*-1*4/AVERAGE(BS!AC68,BS!AB68)</f>
        <v>4.2084973094530562E-2</v>
      </c>
      <c r="AA28" s="293">
        <f>IS!AD31*-1*4/AVERAGE(BS!AD68,BS!AC68)</f>
        <v>4.3593157840827616E-2</v>
      </c>
      <c r="AB28" s="293">
        <f>IS!AE31*-1*4/AVERAGE(BS!AE68,BS!AD68)</f>
        <v>4.340437729050222E-2</v>
      </c>
      <c r="AC28" s="293">
        <f>IS!AF31*-1*4/AVERAGE(BS!AF68,BS!AE68)</f>
        <v>4.1026447125397887E-2</v>
      </c>
      <c r="AD28" s="293">
        <f>IS!AG31*-1*4/AVERAGE(BS!AG68,BS!AF68)</f>
        <v>4.1864596609122159E-2</v>
      </c>
    </row>
    <row r="29" spans="1:30" s="308" customFormat="1" ht="4.5" customHeight="1" x14ac:dyDescent="0.2">
      <c r="A29" s="297"/>
      <c r="B29" s="309"/>
      <c r="C29" s="309"/>
      <c r="D29" s="241"/>
      <c r="E29" s="287"/>
      <c r="F29" s="287"/>
      <c r="G29" s="287"/>
      <c r="H29" s="287"/>
      <c r="I29" s="287"/>
      <c r="J29" s="287"/>
      <c r="K29" s="287"/>
      <c r="L29" s="287"/>
      <c r="M29" s="228"/>
      <c r="N29" s="287"/>
      <c r="O29" s="287"/>
      <c r="P29" s="287"/>
      <c r="Q29" s="287"/>
      <c r="R29" s="287"/>
      <c r="S29" s="287"/>
      <c r="T29" s="287"/>
      <c r="U29" s="287"/>
      <c r="V29" s="287"/>
      <c r="W29" s="287"/>
      <c r="X29" s="287"/>
      <c r="Y29" s="287"/>
      <c r="Z29" s="287"/>
      <c r="AA29" s="287"/>
      <c r="AB29" s="287"/>
      <c r="AC29" s="287"/>
      <c r="AD29" s="287"/>
    </row>
    <row r="30" spans="1:30" s="305" customFormat="1" x14ac:dyDescent="0.2">
      <c r="A30" s="243" t="s">
        <v>464</v>
      </c>
      <c r="B30" s="307"/>
      <c r="C30" s="307"/>
      <c r="D30" s="241"/>
      <c r="E30" s="306"/>
      <c r="F30" s="306"/>
      <c r="G30" s="306"/>
      <c r="H30" s="306"/>
      <c r="I30" s="306"/>
      <c r="J30" s="306"/>
      <c r="K30" s="306"/>
      <c r="L30" s="306"/>
      <c r="M30" s="228"/>
      <c r="N30" s="306"/>
      <c r="O30" s="306"/>
      <c r="P30" s="306"/>
      <c r="Q30" s="306"/>
      <c r="R30" s="306"/>
      <c r="S30" s="306"/>
      <c r="T30" s="306"/>
      <c r="U30" s="306"/>
      <c r="V30" s="306"/>
      <c r="W30" s="306"/>
      <c r="X30" s="306"/>
      <c r="Y30" s="306"/>
      <c r="Z30" s="306"/>
      <c r="AA30" s="306"/>
      <c r="AB30" s="306"/>
      <c r="AC30" s="306"/>
      <c r="AD30" s="306"/>
    </row>
    <row r="31" spans="1:30" s="228" customFormat="1" x14ac:dyDescent="0.2">
      <c r="A31" s="304"/>
      <c r="B31" s="292" t="s">
        <v>463</v>
      </c>
      <c r="C31" s="304"/>
      <c r="D31" s="266" t="s">
        <v>462</v>
      </c>
      <c r="E31" s="266">
        <f>BS!D11/BS!D40</f>
        <v>0.78481855509932308</v>
      </c>
      <c r="F31" s="266">
        <f>BS!E11/BS!E40</f>
        <v>1.0374474866000289</v>
      </c>
      <c r="G31" s="266">
        <f>BS!F11/BS!F40</f>
        <v>0.87660399880632645</v>
      </c>
      <c r="H31" s="266">
        <f>BS!G11/BS!G40</f>
        <v>0.7339213524439544</v>
      </c>
      <c r="I31" s="266">
        <f>BS!H11/BS!H40</f>
        <v>0.74423298731257204</v>
      </c>
      <c r="J31" s="266">
        <f>BS!I11/BS!I40</f>
        <v>0.59552025003255638</v>
      </c>
      <c r="K31" s="266">
        <f>BS!J11/BS!J40</f>
        <v>0.47728779840848806</v>
      </c>
      <c r="L31" s="266">
        <f>BS!AG11/BS!AG40</f>
        <v>0.43599173761902366</v>
      </c>
      <c r="N31" s="266">
        <f>BS!Q11/BS!Q40</f>
        <v>0.99269303730766534</v>
      </c>
      <c r="O31" s="266">
        <f>BS!R11/BS!R40</f>
        <v>0.93778664007976076</v>
      </c>
      <c r="P31" s="266">
        <f>BS!S11/BS!S40</f>
        <v>0.96786950074147304</v>
      </c>
      <c r="Q31" s="266">
        <f>BS!T11/BS!T40</f>
        <v>0.7339213524439544</v>
      </c>
      <c r="R31" s="266">
        <f>BS!U11/BS!U40</f>
        <v>0.70707599659619036</v>
      </c>
      <c r="S31" s="266">
        <f>BS!V11/BS!V40</f>
        <v>0.74974860896963191</v>
      </c>
      <c r="T31" s="266">
        <f>BS!W11/BS!W40</f>
        <v>0.7602009220394963</v>
      </c>
      <c r="U31" s="266">
        <f>BS!X11/BS!X40</f>
        <v>0.74423298731257204</v>
      </c>
      <c r="V31" s="266">
        <f>BS!Y11/BS!Y40</f>
        <v>0.6951458851236425</v>
      </c>
      <c r="W31" s="266">
        <f>BS!Z11/BS!Z40</f>
        <v>0.68371400198609733</v>
      </c>
      <c r="X31" s="266">
        <f>BS!AA11/BS!AA40</f>
        <v>0.65342653687855234</v>
      </c>
      <c r="Y31" s="266">
        <f>BS!AB11/BS!AB40</f>
        <v>0.59552025003255638</v>
      </c>
      <c r="Z31" s="266">
        <f>BS!AC11/BS!AC40</f>
        <v>0.56873236124176862</v>
      </c>
      <c r="AA31" s="266">
        <f>BS!AD11/BS!AD40</f>
        <v>0.55048293238946544</v>
      </c>
      <c r="AB31" s="266">
        <f>BS!AE11/BS!AE40</f>
        <v>0.58098850012233916</v>
      </c>
      <c r="AC31" s="266">
        <f>BS!AF11/BS!AF40</f>
        <v>0.47728779840848806</v>
      </c>
      <c r="AD31" s="266">
        <f>BS!AG11/BS!AG40</f>
        <v>0.43599173761902366</v>
      </c>
    </row>
    <row r="32" spans="1:30" s="228" customFormat="1" x14ac:dyDescent="0.2">
      <c r="A32" s="304"/>
      <c r="B32" s="303" t="s">
        <v>461</v>
      </c>
      <c r="C32" s="304"/>
      <c r="D32" s="266"/>
      <c r="E32" s="266">
        <f>BS!D65/BS!D40</f>
        <v>0.43191654644323607</v>
      </c>
      <c r="F32" s="266">
        <f>BS!E65/BS!E40</f>
        <v>0.67007098363030571</v>
      </c>
      <c r="G32" s="266">
        <f>BS!F65/BS!F40</f>
        <v>0.54483736198149801</v>
      </c>
      <c r="H32" s="266">
        <f>BS!G65/BS!G40</f>
        <v>0.45968393972804117</v>
      </c>
      <c r="I32" s="266">
        <f>BS!H65/BS!H40</f>
        <v>0.45840542099192616</v>
      </c>
      <c r="J32" s="266">
        <f>BS!I65/BS!I40</f>
        <v>0.32986065893996613</v>
      </c>
      <c r="K32" s="266">
        <f>BS!J65/BS!J40</f>
        <v>0.26304155614500441</v>
      </c>
      <c r="L32" s="266">
        <f>BS!AG65/BS!AG40</f>
        <v>0.21910423698926898</v>
      </c>
      <c r="N32" s="266">
        <f>BS!Q65/BS!Q40</f>
        <v>0.64448816131525333</v>
      </c>
      <c r="O32" s="266">
        <f>BS!R65/BS!R40</f>
        <v>0.59282153539381854</v>
      </c>
      <c r="P32" s="266">
        <f>BS!S65/BS!S40</f>
        <v>0.62658004378221877</v>
      </c>
      <c r="Q32" s="266">
        <f>BS!T65/BS!T40</f>
        <v>0.45968393972804117</v>
      </c>
      <c r="R32" s="266">
        <f>BS!U65/BS!U40</f>
        <v>0.45362309353930746</v>
      </c>
      <c r="S32" s="266">
        <f>BS!V65/BS!V40</f>
        <v>0.47717369444258229</v>
      </c>
      <c r="T32" s="266">
        <f>BS!W65/BS!W40</f>
        <v>0.46480423862932635</v>
      </c>
      <c r="U32" s="266">
        <f>BS!X65/BS!X40</f>
        <v>0.45840542099192616</v>
      </c>
      <c r="V32" s="266">
        <f>BS!Y65/BS!Y40</f>
        <v>0.43673950019625801</v>
      </c>
      <c r="W32" s="266">
        <f>BS!Z65/BS!Z40</f>
        <v>0.42738331678252234</v>
      </c>
      <c r="X32" s="266">
        <f>BS!AA65/BS!AA40</f>
        <v>0.37682106225909717</v>
      </c>
      <c r="Y32" s="266">
        <f>BS!AB65/BS!AB40</f>
        <v>0.32986065893996613</v>
      </c>
      <c r="Z32" s="266">
        <f>BS!AC65/BS!AC40</f>
        <v>0.31108889934148637</v>
      </c>
      <c r="AA32" s="266">
        <f>BS!AD65/BS!AD40</f>
        <v>0.28040074389585457</v>
      </c>
      <c r="AB32" s="266">
        <f>BS!AE65/BS!AE40</f>
        <v>0.29697822363591875</v>
      </c>
      <c r="AC32" s="266">
        <f>BS!AF65/BS!AF40</f>
        <v>0.26304155614500441</v>
      </c>
      <c r="AD32" s="266">
        <f>BS!AG65/BS!AG40</f>
        <v>0.21910423698926898</v>
      </c>
    </row>
    <row r="33" spans="1:30" s="228" customFormat="1" x14ac:dyDescent="0.2">
      <c r="A33" s="304"/>
      <c r="B33" s="303" t="s">
        <v>460</v>
      </c>
      <c r="C33" s="292"/>
      <c r="D33" s="266" t="s">
        <v>459</v>
      </c>
      <c r="E33" s="266">
        <f>BS!D11/BS!D40</f>
        <v>0.78481855509932308</v>
      </c>
      <c r="F33" s="266">
        <f>BS!E11/BS!E40</f>
        <v>1.0374474866000289</v>
      </c>
      <c r="G33" s="266">
        <f>BS!F11/BS!F40</f>
        <v>0.87660399880632645</v>
      </c>
      <c r="H33" s="266">
        <f>BS!G11/BS!G40</f>
        <v>0.7339213524439544</v>
      </c>
      <c r="I33" s="266">
        <f>BS!H11/BS!H40</f>
        <v>0.74423298731257204</v>
      </c>
      <c r="J33" s="266">
        <f>BS!I11/BS!I40</f>
        <v>0.59552025003255638</v>
      </c>
      <c r="K33" s="266">
        <f>BS!J11/BS!J40</f>
        <v>0.47728779840848806</v>
      </c>
      <c r="L33" s="266">
        <f>BS!AG11/BS!AG40</f>
        <v>0.43599173761902366</v>
      </c>
      <c r="N33" s="266">
        <f>BS!Q11/BS!Q40</f>
        <v>0.99269303730766534</v>
      </c>
      <c r="O33" s="266">
        <f>BS!R11/BS!R40</f>
        <v>0.93778664007976076</v>
      </c>
      <c r="P33" s="266">
        <f>BS!S11/BS!S40</f>
        <v>0.96786950074147304</v>
      </c>
      <c r="Q33" s="266">
        <f>BS!T11/BS!T40</f>
        <v>0.7339213524439544</v>
      </c>
      <c r="R33" s="266">
        <f>BS!U11/BS!U40</f>
        <v>0.70707599659619036</v>
      </c>
      <c r="S33" s="266">
        <f>BS!V11/BS!V40</f>
        <v>0.74974860896963191</v>
      </c>
      <c r="T33" s="266">
        <f>BS!W11/BS!W40</f>
        <v>0.7602009220394963</v>
      </c>
      <c r="U33" s="266">
        <f>BS!X11/BS!X40</f>
        <v>0.74423298731257204</v>
      </c>
      <c r="V33" s="266">
        <f>BS!Y11/BS!Y40</f>
        <v>0.6951458851236425</v>
      </c>
      <c r="W33" s="266">
        <f>BS!Z11/BS!Z40</f>
        <v>0.68371400198609733</v>
      </c>
      <c r="X33" s="266">
        <f>BS!AA11/BS!AA40</f>
        <v>0.65342653687855234</v>
      </c>
      <c r="Y33" s="266">
        <f>BS!AB11/BS!AB40</f>
        <v>0.59552025003255638</v>
      </c>
      <c r="Z33" s="266">
        <f>BS!AC11/BS!AC40</f>
        <v>0.56873236124176862</v>
      </c>
      <c r="AA33" s="266">
        <f>BS!AD11/BS!AD40</f>
        <v>0.55048293238946544</v>
      </c>
      <c r="AB33" s="266">
        <f>BS!AE11/BS!AE40</f>
        <v>0.58098850012233916</v>
      </c>
      <c r="AC33" s="266">
        <f>BS!AF11/BS!AF40</f>
        <v>0.47728779840848806</v>
      </c>
      <c r="AD33" s="266">
        <f>BS!AG11/BS!AG40</f>
        <v>0.43599173761902366</v>
      </c>
    </row>
    <row r="34" spans="1:30" s="228" customFormat="1" x14ac:dyDescent="0.2">
      <c r="A34" s="304"/>
      <c r="B34" s="303" t="s">
        <v>458</v>
      </c>
      <c r="C34" s="292"/>
      <c r="D34" s="266"/>
      <c r="E34" s="266">
        <f>BS!D65/BS!D11</f>
        <v>0.55033936651583715</v>
      </c>
      <c r="F34" s="266">
        <f>BS!E65/BS!E11</f>
        <v>0.64588424212804585</v>
      </c>
      <c r="G34" s="266">
        <f>BS!F65/BS!F11</f>
        <v>0.62153191489361703</v>
      </c>
      <c r="H34" s="266">
        <f>BS!G65/BS!G11</f>
        <v>0.62633950926389581</v>
      </c>
      <c r="I34" s="266">
        <f>BS!H65/BS!H11</f>
        <v>0.61594343277799302</v>
      </c>
      <c r="J34" s="266">
        <f>BS!I65/BS!I11</f>
        <v>0.55390334572490707</v>
      </c>
      <c r="K34" s="266">
        <f>BS!J65/BS!J11</f>
        <v>0.55111728609470878</v>
      </c>
      <c r="L34" s="266">
        <f>BS!AG65/BS!AG11</f>
        <v>0.502542177027964</v>
      </c>
      <c r="N34" s="266">
        <f>BS!Q65/BS!Q11</f>
        <v>0.64923207587231935</v>
      </c>
      <c r="O34" s="266">
        <f>BS!R65/BS!R11</f>
        <v>0.63214969168615776</v>
      </c>
      <c r="P34" s="266">
        <f>BS!S65/BS!S11</f>
        <v>0.64738070917846202</v>
      </c>
      <c r="Q34" s="266">
        <f>BS!T65/BS!T11</f>
        <v>0.62633950926389581</v>
      </c>
      <c r="R34" s="266">
        <f>BS!U65/BS!U11</f>
        <v>0.64154786150712828</v>
      </c>
      <c r="S34" s="266">
        <f>BS!V65/BS!V11</f>
        <v>0.63644492131616592</v>
      </c>
      <c r="T34" s="266">
        <f>BS!W65/BS!W11</f>
        <v>0.61142288196958727</v>
      </c>
      <c r="U34" s="266">
        <f>BS!X65/BS!X11</f>
        <v>0.61594343277799302</v>
      </c>
      <c r="V34" s="266">
        <f>BS!Y65/BS!Y11</f>
        <v>0.62827028044419353</v>
      </c>
      <c r="W34" s="266">
        <f>BS!Z65/BS!Z11</f>
        <v>0.62509077705156135</v>
      </c>
      <c r="X34" s="266">
        <f>BS!AA65/BS!AA11</f>
        <v>0.57668466306738653</v>
      </c>
      <c r="Y34" s="266">
        <f>BS!AB65/BS!AB11</f>
        <v>0.55390334572490707</v>
      </c>
      <c r="Z34" s="266">
        <f>BS!AC65/BS!AC11</f>
        <v>0.54698645714876459</v>
      </c>
      <c r="AA34" s="266">
        <f>BS!AD65/BS!AD11</f>
        <v>0.50937227550130781</v>
      </c>
      <c r="AB34" s="266">
        <f>BS!AE65/BS!AE11</f>
        <v>0.51116024426194984</v>
      </c>
      <c r="AC34" s="266">
        <f>BS!AF65/BS!AF11</f>
        <v>0.55111728609470878</v>
      </c>
      <c r="AD34" s="266">
        <f>BS!AG65/BS!AG11</f>
        <v>0.502542177027964</v>
      </c>
    </row>
    <row r="35" spans="1:30" x14ac:dyDescent="0.2">
      <c r="A35" s="302"/>
      <c r="B35" s="301" t="s">
        <v>457</v>
      </c>
      <c r="C35" s="300"/>
      <c r="D35" s="266"/>
      <c r="E35" s="266">
        <f>CF!D26/BS!D40</f>
        <v>0.1426034846298968</v>
      </c>
      <c r="F35" s="266">
        <f>CF!E26/BS!E40</f>
        <v>4.8891786179921772E-2</v>
      </c>
      <c r="G35" s="266">
        <f>CF!F26/BS!F40</f>
        <v>0.22978215458072218</v>
      </c>
      <c r="H35" s="266">
        <f>CF!G26/BS!G40</f>
        <v>0.45931642778390297</v>
      </c>
      <c r="I35" s="266">
        <f>CF!H26/BS!H40</f>
        <v>0.47029988465974626</v>
      </c>
      <c r="J35" s="266">
        <f>CF!I26/BS!I40</f>
        <v>0.30889438729001173</v>
      </c>
      <c r="K35" s="266">
        <f>CF!J26/BS!J40</f>
        <v>0.19523651635720601</v>
      </c>
      <c r="L35" s="266">
        <f>CF!K26/BS!AG40</f>
        <v>0.17048717819537509</v>
      </c>
      <c r="M35" s="228"/>
      <c r="N35" s="266">
        <f>CF!Q26*4/BS!Q40</f>
        <v>0.70090634441087618</v>
      </c>
      <c r="O35" s="266">
        <f>CF!R26*4/BS!R40</f>
        <v>0.62399468261881019</v>
      </c>
      <c r="P35" s="266">
        <f>CF!S26*4/BS!S40</f>
        <v>0.3333097945060377</v>
      </c>
      <c r="Q35" s="266">
        <f>CF!T26*4/BS!T40</f>
        <v>6.7034178610804851E-2</v>
      </c>
      <c r="R35" s="266">
        <f>CF!U26*4/BS!U40</f>
        <v>0.68599855992668712</v>
      </c>
      <c r="S35" s="266">
        <f>CF!V26*4/BS!V40</f>
        <v>0.59341690688476234</v>
      </c>
      <c r="T35" s="266">
        <f>CF!W26*4/BS!W40</f>
        <v>0.29285075345764811</v>
      </c>
      <c r="U35" s="266">
        <f>CF!X26*4/BS!X40</f>
        <v>0.18079584775086505</v>
      </c>
      <c r="V35" s="266">
        <f>CF!Y26*4/BS!Y40</f>
        <v>0.58877404160669899</v>
      </c>
      <c r="W35" s="266">
        <f>CF!Z26*4/BS!Z40</f>
        <v>0.41906653426017876</v>
      </c>
      <c r="X35" s="266">
        <f>CF!AA26*4/BS!AA40</f>
        <v>9.6426471548964526E-2</v>
      </c>
      <c r="Y35" s="266">
        <f>CF!AB26*4/BS!AB40</f>
        <v>0.11381690324260972</v>
      </c>
      <c r="Z35" s="266">
        <f>CF!AC26*4/BS!AC40</f>
        <v>0.42333019755409218</v>
      </c>
      <c r="AA35" s="266">
        <f>CF!AD26*4/BS!AD40</f>
        <v>0.25988361629371887</v>
      </c>
      <c r="AB35" s="266">
        <f>CF!AE26*4/BS!AE40</f>
        <v>-1.9329581600195742E-2</v>
      </c>
      <c r="AC35" s="266">
        <f>CF!AF26*4/BS!AF40</f>
        <v>0.16114058355437666</v>
      </c>
      <c r="AD35" s="266">
        <f>CF!AG26*4/BS!AG40</f>
        <v>0.33271197541437858</v>
      </c>
    </row>
    <row r="36" spans="1:30" s="296" customFormat="1" x14ac:dyDescent="0.2">
      <c r="A36" s="299"/>
      <c r="B36" s="298" t="s">
        <v>456</v>
      </c>
      <c r="C36" s="297"/>
      <c r="D36" s="257"/>
      <c r="E36" s="257">
        <f>BS!D11-BS!D40</f>
        <v>-1939</v>
      </c>
      <c r="F36" s="257">
        <f>BS!E11-BS!E40</f>
        <v>517</v>
      </c>
      <c r="G36" s="257">
        <f>BS!F11-BS!F40</f>
        <v>-1654</v>
      </c>
      <c r="H36" s="257">
        <f>BS!G11-BS!G40</f>
        <v>-3620</v>
      </c>
      <c r="I36" s="257">
        <f>BS!H11-BS!H40</f>
        <v>-3548</v>
      </c>
      <c r="J36" s="257">
        <f>BS!I11-BS!I40</f>
        <v>-6212</v>
      </c>
      <c r="K36" s="257">
        <f>BS!J11-BS!J40</f>
        <v>-9459</v>
      </c>
      <c r="L36" s="257">
        <f>BS!AG11-BS!AG40</f>
        <v>-11195</v>
      </c>
      <c r="M36" s="228"/>
      <c r="N36" s="257">
        <f>BS!Q11-BS!Q40</f>
        <v>-104</v>
      </c>
      <c r="O36" s="257">
        <f>BS!R11-BS!R40</f>
        <v>-936</v>
      </c>
      <c r="P36" s="257">
        <f>BS!S11-BS!S40</f>
        <v>-455</v>
      </c>
      <c r="Q36" s="257">
        <f>BS!T11-BS!T40</f>
        <v>-3620</v>
      </c>
      <c r="R36" s="257">
        <f>BS!U11-BS!U40</f>
        <v>-4475</v>
      </c>
      <c r="S36" s="257">
        <f>BS!V11-BS!V40</f>
        <v>-3733</v>
      </c>
      <c r="T36" s="257">
        <f>BS!W11-BS!W40</f>
        <v>-3485</v>
      </c>
      <c r="U36" s="257">
        <f>BS!X11-BS!X40</f>
        <v>-3548</v>
      </c>
      <c r="V36" s="257">
        <f>BS!Y11-BS!Y40</f>
        <v>-4660</v>
      </c>
      <c r="W36" s="257">
        <f>BS!Z11-BS!Z40</f>
        <v>-5096</v>
      </c>
      <c r="X36" s="257">
        <f>BS!AA11-BS!AA40</f>
        <v>-5305</v>
      </c>
      <c r="Y36" s="257">
        <f>BS!AB11-BS!AB40</f>
        <v>-6212</v>
      </c>
      <c r="Z36" s="257">
        <f>BS!AC11-BS!AC40</f>
        <v>-7335</v>
      </c>
      <c r="AA36" s="257">
        <f>BS!AD11-BS!AD40</f>
        <v>-7493</v>
      </c>
      <c r="AB36" s="257">
        <f>BS!AE11-BS!AE40</f>
        <v>-6850</v>
      </c>
      <c r="AC36" s="257">
        <f>BS!AF11-BS!AF40</f>
        <v>-9459</v>
      </c>
      <c r="AD36" s="257">
        <f>BS!AG11-BS!AG40</f>
        <v>-11195</v>
      </c>
    </row>
    <row r="37" spans="1:30" ht="4.5" customHeight="1" x14ac:dyDescent="0.2">
      <c r="A37" s="247"/>
      <c r="D37" s="241"/>
      <c r="E37" s="295"/>
      <c r="F37" s="295"/>
      <c r="G37" s="295"/>
      <c r="H37" s="295"/>
      <c r="I37" s="295"/>
      <c r="J37" s="295"/>
      <c r="K37" s="295"/>
      <c r="L37" s="295"/>
      <c r="M37" s="228"/>
      <c r="N37" s="295"/>
      <c r="O37" s="295"/>
      <c r="P37" s="295"/>
      <c r="Q37" s="295"/>
      <c r="R37" s="295"/>
      <c r="S37" s="295"/>
      <c r="T37" s="295"/>
      <c r="U37" s="295"/>
      <c r="V37" s="295"/>
      <c r="W37" s="295"/>
      <c r="X37" s="295"/>
      <c r="Y37" s="295"/>
      <c r="Z37" s="295"/>
      <c r="AA37" s="295"/>
      <c r="AB37" s="295"/>
      <c r="AC37" s="295"/>
      <c r="AD37" s="295"/>
    </row>
    <row r="38" spans="1:30" s="228" customFormat="1" x14ac:dyDescent="0.2">
      <c r="A38" s="243" t="s">
        <v>455</v>
      </c>
      <c r="B38" s="246"/>
      <c r="C38" s="288"/>
      <c r="D38" s="241"/>
      <c r="E38" s="287"/>
      <c r="F38" s="287"/>
      <c r="G38" s="287"/>
      <c r="H38" s="287"/>
      <c r="I38" s="287"/>
      <c r="J38" s="287"/>
      <c r="K38" s="287"/>
      <c r="L38" s="287"/>
      <c r="N38" s="287"/>
      <c r="O38" s="287"/>
      <c r="P38" s="287"/>
      <c r="Q38" s="287"/>
      <c r="R38" s="287"/>
      <c r="S38" s="287"/>
      <c r="T38" s="287"/>
      <c r="U38" s="287"/>
      <c r="V38" s="287"/>
      <c r="W38" s="287"/>
      <c r="X38" s="287"/>
      <c r="Y38" s="287"/>
      <c r="Z38" s="287"/>
      <c r="AA38" s="287"/>
      <c r="AB38" s="287"/>
      <c r="AC38" s="287"/>
      <c r="AD38" s="287"/>
    </row>
    <row r="39" spans="1:30" x14ac:dyDescent="0.2">
      <c r="B39" s="284" t="s">
        <v>454</v>
      </c>
      <c r="C39" s="294"/>
      <c r="D39" s="241"/>
      <c r="E39" s="293">
        <f>CF!D26/BS!D67</f>
        <v>0.18057897695334457</v>
      </c>
      <c r="F39" s="293">
        <f>CF!E26/BS!E67</f>
        <v>4.3965348791767084E-2</v>
      </c>
      <c r="G39" s="293">
        <f>CF!F26/BS!F67</f>
        <v>0.19198404288474724</v>
      </c>
      <c r="H39" s="293">
        <f>CF!G26/BS!G67</f>
        <v>0.34091653027823243</v>
      </c>
      <c r="I39" s="293">
        <f>CF!H26/BS!H67</f>
        <v>0.29009738094179377</v>
      </c>
      <c r="J39" s="293">
        <f>CF!I26/BS!I67</f>
        <v>0.21074141530807161</v>
      </c>
      <c r="K39" s="293">
        <f>CF!J26/BS!J67</f>
        <v>0.16681618584446858</v>
      </c>
      <c r="L39" s="293">
        <f>CF!K26/BS!AG67</f>
        <v>0.16379477250726041</v>
      </c>
      <c r="M39" s="228"/>
      <c r="N39" s="293">
        <f>CF!Q26*4/BS!Q67</f>
        <v>0.56559700646331779</v>
      </c>
      <c r="O39" s="293">
        <f>CF!R26*4/BS!R67</f>
        <v>0.54734141791044777</v>
      </c>
      <c r="P39" s="293">
        <f>CF!S26*4/BS!S67</f>
        <v>0.25041116239588307</v>
      </c>
      <c r="Q39" s="293">
        <f>CF!T26*4/BS!T67</f>
        <v>4.9754500818330605E-2</v>
      </c>
      <c r="R39" s="293">
        <f>CF!U26*4/BS!U67</f>
        <v>0.54771610745270205</v>
      </c>
      <c r="S39" s="293">
        <f>CF!V26*4/BS!V67</f>
        <v>0.41891060527187546</v>
      </c>
      <c r="T39" s="293">
        <f>CF!W26*4/BS!W67</f>
        <v>0.19754003249013694</v>
      </c>
      <c r="U39" s="293">
        <f>CF!X26*4/BS!X67</f>
        <v>0.11152118813642226</v>
      </c>
      <c r="V39" s="293">
        <f>CF!Y26*4/BS!Y67</f>
        <v>0.39423540233913007</v>
      </c>
      <c r="W39" s="293">
        <f>CF!Z26*4/BS!Z67</f>
        <v>0.2997558268590455</v>
      </c>
      <c r="X39" s="293">
        <f>CF!AA26*4/BS!AA67</f>
        <v>6.6435612368906688E-2</v>
      </c>
      <c r="Y39" s="293">
        <f>CF!AB26*4/BS!AB67</f>
        <v>7.7650926213851001E-2</v>
      </c>
      <c r="Z39" s="293">
        <f>CF!AC26*4/BS!AC67</f>
        <v>0.32807800966007472</v>
      </c>
      <c r="AA39" s="293">
        <f>CF!AD26*4/BS!AD67</f>
        <v>0.19814298129259481</v>
      </c>
      <c r="AB39" s="293">
        <f>CF!AE26*4/BS!AE67</f>
        <v>-1.4186944419502559E-2</v>
      </c>
      <c r="AC39" s="293">
        <f>CF!AF26*4/BS!AF67</f>
        <v>0.13768355446432787</v>
      </c>
      <c r="AD39" s="293">
        <f>CF!AG26*4/BS!AG67</f>
        <v>0.31965150048402713</v>
      </c>
    </row>
    <row r="40" spans="1:30" x14ac:dyDescent="0.2">
      <c r="B40" s="284" t="s">
        <v>453</v>
      </c>
      <c r="C40" s="294"/>
      <c r="D40" s="241"/>
      <c r="E40" s="293">
        <f>CF!D26/BS!D68</f>
        <v>0.15055653192735793</v>
      </c>
      <c r="F40" s="293">
        <f>CF!E26/BS!E68</f>
        <v>4.0180963152568604E-2</v>
      </c>
      <c r="G40" s="293">
        <f>CF!F26/BS!F68</f>
        <v>0.17381489841986456</v>
      </c>
      <c r="H40" s="293">
        <f>CF!G26/BS!G68</f>
        <v>0.303924906376149</v>
      </c>
      <c r="I40" s="293">
        <f>CF!H26/BS!H68</f>
        <v>0.26799211304633586</v>
      </c>
      <c r="J40" s="293">
        <f>CF!I26/BS!I68</f>
        <v>0.18926790345102734</v>
      </c>
      <c r="K40" s="293">
        <f>CF!J26/BS!J68</f>
        <v>0.13522409767673288</v>
      </c>
      <c r="L40" s="293">
        <f>CF!K26/BS!AG68</f>
        <v>0.13188354963170817</v>
      </c>
      <c r="M40" s="228"/>
      <c r="N40" s="293">
        <f>CF!Q26*4/BS!Q68</f>
        <v>0.52721699608920836</v>
      </c>
      <c r="O40" s="293">
        <f>CF!R26*4/BS!R68</f>
        <v>0.49952112376290303</v>
      </c>
      <c r="P40" s="293">
        <f>CF!S26*4/BS!S68</f>
        <v>0.22956081902631195</v>
      </c>
      <c r="Q40" s="293">
        <f>CF!T26*4/BS!T68</f>
        <v>4.4355819269490782E-2</v>
      </c>
      <c r="R40" s="293">
        <f>CF!U26*4/BS!U68</f>
        <v>0.48197203826342899</v>
      </c>
      <c r="S40" s="293">
        <f>CF!V26*4/BS!V68</f>
        <v>0.38746388864571479</v>
      </c>
      <c r="T40" s="293">
        <f>CF!W26*4/BS!W68</f>
        <v>0.18232446557854604</v>
      </c>
      <c r="U40" s="293">
        <f>CF!X26*4/BS!X68</f>
        <v>0.10302333223792311</v>
      </c>
      <c r="V40" s="293">
        <f>CF!Y26*4/BS!Y68</f>
        <v>0.36670333700036672</v>
      </c>
      <c r="W40" s="293">
        <f>CF!Z26*4/BS!Z68</f>
        <v>0.27161189106561007</v>
      </c>
      <c r="X40" s="293">
        <f>CF!AA26*4/BS!AA68</f>
        <v>5.9795819154107921E-2</v>
      </c>
      <c r="Y40" s="293">
        <f>CF!AB26*4/BS!AB68</f>
        <v>6.9738679433472964E-2</v>
      </c>
      <c r="Z40" s="293">
        <f>CF!AC26*4/BS!AC68</f>
        <v>0.29103844132745865</v>
      </c>
      <c r="AA40" s="293">
        <f>CF!AD26*4/BS!AD68</f>
        <v>0.17993022096693803</v>
      </c>
      <c r="AB40" s="293">
        <f>CF!AE26*4/BS!AE68</f>
        <v>-1.2758913069810635E-2</v>
      </c>
      <c r="AC40" s="293">
        <f>CF!AF26*4/BS!AF68</f>
        <v>0.11160868067516362</v>
      </c>
      <c r="AD40" s="293">
        <f>CF!AG26*4/BS!AG68</f>
        <v>0.25737557971861724</v>
      </c>
    </row>
    <row r="41" spans="1:30" x14ac:dyDescent="0.2">
      <c r="B41" s="258" t="s">
        <v>452</v>
      </c>
      <c r="D41" s="241"/>
      <c r="E41" s="293">
        <f>CF!D58/CF!D26</f>
        <v>-0.46926070038910506</v>
      </c>
      <c r="F41" s="293">
        <f>CF!E58/CF!E26</f>
        <v>-3.6133333333333333</v>
      </c>
      <c r="G41" s="293">
        <f>CF!F58/CF!F26</f>
        <v>-0.7243506493506493</v>
      </c>
      <c r="H41" s="293">
        <f>CF!G58/CF!G26</f>
        <v>1.5682509201472235E-2</v>
      </c>
      <c r="I41" s="293">
        <f>CF!H58/CF!H26</f>
        <v>0.12155119558553035</v>
      </c>
      <c r="J41" s="293">
        <f>CF!I58/CF!I26</f>
        <v>-0.25864249578414839</v>
      </c>
      <c r="K41" s="293">
        <f>CF!J58/CF!J26</f>
        <v>-6.0005660911406737E-2</v>
      </c>
      <c r="L41" s="293">
        <f>CF!K58/CF!K26</f>
        <v>-0.26211583924349879</v>
      </c>
      <c r="M41" s="228"/>
      <c r="N41" s="293">
        <f>CF!Q58/CF!Q26</f>
        <v>0.43504410585404973</v>
      </c>
      <c r="O41" s="293">
        <f>CF!R58/CF!R26</f>
        <v>0.26288879420536854</v>
      </c>
      <c r="P41" s="293">
        <f>CF!S58/CF!S26</f>
        <v>-0.25593220338983053</v>
      </c>
      <c r="Q41" s="293">
        <f>CF!T58/CF!T26</f>
        <v>-5.7105263157894735</v>
      </c>
      <c r="R41" s="293">
        <f>CF!U58/CF!U26</f>
        <v>0.40572519083969466</v>
      </c>
      <c r="S41" s="293">
        <f>CF!V58/CF!V26</f>
        <v>0.31947582467239044</v>
      </c>
      <c r="T41" s="293">
        <f>CF!W58/CF!W26</f>
        <v>-0.13533834586466165</v>
      </c>
      <c r="U41" s="293">
        <f>CF!X58/CF!X26</f>
        <v>-1.328548644338118</v>
      </c>
      <c r="V41" s="293">
        <f>CF!Y58/CF!Y26</f>
        <v>0.23822222222222222</v>
      </c>
      <c r="W41" s="293">
        <f>CF!Z58/CF!Z26</f>
        <v>0.12322274881516587</v>
      </c>
      <c r="X41" s="293">
        <f>CF!AA58/CF!AA26</f>
        <v>-2.7100271002710028</v>
      </c>
      <c r="Y41" s="293">
        <f>CF!AB58/CF!AB26</f>
        <v>-2.2219679633867275</v>
      </c>
      <c r="Z41" s="293">
        <f>CF!AC58/CF!AC26</f>
        <v>0.56722222222222218</v>
      </c>
      <c r="AA41" s="293">
        <f>CF!AD58/CF!AD26</f>
        <v>0.12096029547553093</v>
      </c>
      <c r="AB41" s="293">
        <f>CF!AE58/CF!AE26</f>
        <v>13.721518987341772</v>
      </c>
      <c r="AC41" s="293">
        <f>CF!AF58/CF!AF26</f>
        <v>-0.38408779149519889</v>
      </c>
      <c r="AD41" s="293">
        <f>CF!AG58/CF!AG26</f>
        <v>0.20956995760145367</v>
      </c>
    </row>
    <row r="42" spans="1:30" x14ac:dyDescent="0.2">
      <c r="B42" s="258" t="s">
        <v>451</v>
      </c>
      <c r="D42" s="241" t="s">
        <v>450</v>
      </c>
      <c r="E42" s="293">
        <f>CF!D26/IS_NG!D4</f>
        <v>3.3272915587778354E-2</v>
      </c>
      <c r="F42" s="293">
        <f>CF!E26/IS_NG!E4</f>
        <v>1.6712885015351096E-2</v>
      </c>
      <c r="G42" s="293">
        <f>CF!F26/IS_NG!F4</f>
        <v>7.2215709261430241E-2</v>
      </c>
      <c r="H42" s="293">
        <f>CF!G26/IS_NG!G4</f>
        <v>0.15245181751646744</v>
      </c>
      <c r="I42" s="293">
        <f>CF!H26/IS_NG!H4</f>
        <v>0.16236933797909409</v>
      </c>
      <c r="J42" s="293">
        <f>CF!I26/IS_NG!I4</f>
        <v>0.11130402139740041</v>
      </c>
      <c r="K42" s="293">
        <f>CF!J26/IS_NG!J4</f>
        <v>7.9320176915650742E-2</v>
      </c>
      <c r="L42" s="293">
        <f>CF!K26/IS_NG!K4</f>
        <v>7.566407298094982E-2</v>
      </c>
      <c r="M42" s="228"/>
      <c r="N42" s="293">
        <f>CF!Q26/IS_NG!Q4</f>
        <v>0.25379057698178487</v>
      </c>
      <c r="O42" s="293">
        <f>CF!R26/IS_NG!R4</f>
        <v>0.21677288260829408</v>
      </c>
      <c r="P42" s="293">
        <f>CF!S26/IS_NG!S4</f>
        <v>0.11021856902671399</v>
      </c>
      <c r="Q42" s="293">
        <f>CF!T26/IS_NG!T4</f>
        <v>2.3676012461059191E-2</v>
      </c>
      <c r="R42" s="293">
        <f>CF!U26/IS_NG!U4</f>
        <v>0.27768945416004237</v>
      </c>
      <c r="S42" s="293">
        <f>CF!V26/IS_NG!V4</f>
        <v>0.21354820032809033</v>
      </c>
      <c r="T42" s="293">
        <f>CF!W26/IS_NG!W4</f>
        <v>0.10043420804228809</v>
      </c>
      <c r="U42" s="293">
        <f>CF!X26/IS_NG!X4</f>
        <v>6.4051486362243337E-2</v>
      </c>
      <c r="V42" s="293">
        <f>CF!Y26/IS_NG!Y4</f>
        <v>0.22912423625254583</v>
      </c>
      <c r="W42" s="293">
        <f>CF!Z26/IS_NG!Z4</f>
        <v>0.15035183040883585</v>
      </c>
      <c r="X42" s="293">
        <f>CF!AA26/IS_NG!AA4</f>
        <v>3.3652530779753762E-2</v>
      </c>
      <c r="Y42" s="293">
        <f>CF!AB26/IS_NG!AB4</f>
        <v>4.1183677315992838E-2</v>
      </c>
      <c r="Z42" s="293">
        <f>CF!AC26/IS_NG!AC4</f>
        <v>0.17306028266512835</v>
      </c>
      <c r="AA42" s="293">
        <f>CF!AD26/IS_NG!AD4</f>
        <v>9.3017263591857774E-2</v>
      </c>
      <c r="AB42" s="293">
        <f>CF!AE26/IS_NG!AE4</f>
        <v>-6.8345012544337742E-3</v>
      </c>
      <c r="AC42" s="293">
        <f>CF!AF26/IS_NG!AF4</f>
        <v>6.6648381788261102E-2</v>
      </c>
      <c r="AD42" s="293">
        <f>CF!AG26/IS_NG!AG4</f>
        <v>0.1559901738473167</v>
      </c>
    </row>
    <row r="43" spans="1:30" s="248" customFormat="1" x14ac:dyDescent="0.2">
      <c r="A43" s="83"/>
      <c r="B43" s="258" t="s">
        <v>449</v>
      </c>
      <c r="C43" s="83"/>
      <c r="D43" s="241" t="s">
        <v>448</v>
      </c>
      <c r="E43" s="293">
        <f>CF!D58/IS_NG!D4</f>
        <v>-1.5613671672708442E-2</v>
      </c>
      <c r="F43" s="293">
        <f>CF!E58/IS_NG!E4</f>
        <v>-6.0389224522135285E-2</v>
      </c>
      <c r="G43" s="293">
        <f>CF!F58/IS_NG!F4</f>
        <v>-5.2309495896834701E-2</v>
      </c>
      <c r="H43" s="293">
        <f>CF!G58/IS_NG!G4</f>
        <v>2.3908270309831664E-3</v>
      </c>
      <c r="I43" s="293">
        <f>CF!H58/IS_NG!H4</f>
        <v>1.9736187157789947E-2</v>
      </c>
      <c r="J43" s="293">
        <f>CF!I58/IS_NG!I4</f>
        <v>-2.8787949885035895E-2</v>
      </c>
      <c r="K43" s="293">
        <f>CF!J58/IS_NG!J4</f>
        <v>-4.7596596394333312E-3</v>
      </c>
      <c r="L43" s="293">
        <f>CF!K58/IS_NG!K4</f>
        <v>-1.9832751989983008E-2</v>
      </c>
      <c r="M43" s="228"/>
      <c r="N43" s="293">
        <f>CF!Q58/IS_NG!Q4</f>
        <v>0.11041009463722397</v>
      </c>
      <c r="O43" s="293">
        <f>CF!R58/IS_NG!R4</f>
        <v>5.6987161725316336E-2</v>
      </c>
      <c r="P43" s="293">
        <f>CF!S58/IS_NG!S4</f>
        <v>-2.8208481225481037E-2</v>
      </c>
      <c r="Q43" s="293">
        <f>CF!T58/IS_NG!T4</f>
        <v>-0.135202492211838</v>
      </c>
      <c r="R43" s="293">
        <f>CF!U58/IS_NG!U4</f>
        <v>0.11266560678325384</v>
      </c>
      <c r="S43" s="293">
        <f>CF!V58/IS_NG!V4</f>
        <v>6.8223487407121489E-2</v>
      </c>
      <c r="T43" s="293">
        <f>CF!W58/IS_NG!W4</f>
        <v>-1.3592599584670568E-2</v>
      </c>
      <c r="U43" s="293">
        <f>CF!X58/IS_NG!X4</f>
        <v>-8.5095515374399841E-2</v>
      </c>
      <c r="V43" s="293">
        <f>CF!Y58/IS_NG!Y4</f>
        <v>5.4582484725050916E-2</v>
      </c>
      <c r="W43" s="293">
        <f>CF!Z58/IS_NG!Z4</f>
        <v>1.8526765832368397E-2</v>
      </c>
      <c r="X43" s="293">
        <f>CF!AA58/IS_NG!AA4</f>
        <v>-9.1199270405836752E-2</v>
      </c>
      <c r="Y43" s="293">
        <f>CF!AB58/IS_NG!AB4</f>
        <v>-9.150881161059278E-2</v>
      </c>
      <c r="Z43" s="293">
        <f>CF!AC58/IS_NG!AC4</f>
        <v>9.8163638111720034E-2</v>
      </c>
      <c r="AA43" s="293">
        <f>CF!AD58/IS_NG!AD4</f>
        <v>1.1251395688396462E-2</v>
      </c>
      <c r="AB43" s="293">
        <f>CF!AE58/IS_NG!AE4</f>
        <v>-9.3779738731724196E-2</v>
      </c>
      <c r="AC43" s="293">
        <f>CF!AF58/IS_NG!AF4</f>
        <v>-2.5598829767782043E-2</v>
      </c>
      <c r="AD43" s="293">
        <f>CF!AG58/IS_NG!AG4</f>
        <v>3.2690854119425551E-2</v>
      </c>
    </row>
    <row r="44" spans="1:30" s="248" customFormat="1" x14ac:dyDescent="0.2">
      <c r="A44" s="83"/>
      <c r="B44" s="258" t="s">
        <v>447</v>
      </c>
      <c r="C44" s="83"/>
      <c r="D44" s="241"/>
      <c r="E44" s="293">
        <f>CF!D26/CF!D29*-1</f>
        <v>0.68061440677966101</v>
      </c>
      <c r="F44" s="293">
        <f>CF!E26/CF!E29*-1</f>
        <v>0.21676300578034682</v>
      </c>
      <c r="G44" s="293">
        <f>CF!F26/CF!F29*-1</f>
        <v>0.57992845038599139</v>
      </c>
      <c r="H44" s="293">
        <f>CF!G26/CF!G29*-1</f>
        <v>1.0159323687205333</v>
      </c>
      <c r="I44" s="293">
        <f>CF!H26/CF!H29*-1</f>
        <v>1.1383702669691154</v>
      </c>
      <c r="J44" s="293">
        <f>CF!I26/CF!I29*-1</f>
        <v>0.79450678278345332</v>
      </c>
      <c r="K44" s="293">
        <f>CF!J26/CF!J29*-1</f>
        <v>0.94339118825100132</v>
      </c>
      <c r="L44" s="293">
        <f>CF!K26/CF!K29*-1</f>
        <v>0.79232029969562168</v>
      </c>
      <c r="M44" s="228"/>
      <c r="N44" s="293">
        <f>CF!Q26/CF!Q29*-1</f>
        <v>1.7700496806245565</v>
      </c>
      <c r="O44" s="293">
        <f>CF!R26/CF!R29*-1</f>
        <v>1.3566473988439307</v>
      </c>
      <c r="P44" s="293">
        <f>CF!S26/CF!S29*-1</f>
        <v>0.79622132253711198</v>
      </c>
      <c r="Q44" s="293">
        <f>CF!T26/CF!T29*-1</f>
        <v>0.14901960784313725</v>
      </c>
      <c r="R44" s="293">
        <f>CF!U26/CF!U29*-1</f>
        <v>1.6827231856133591</v>
      </c>
      <c r="S44" s="293">
        <f>CF!V26/CF!V29*-1</f>
        <v>1.4694555112881806</v>
      </c>
      <c r="T44" s="293">
        <f>CF!W26/CF!W29*-1</f>
        <v>0.88079470198675491</v>
      </c>
      <c r="U44" s="293">
        <f>CF!X26/CF!X29*-1</f>
        <v>0.42945205479452053</v>
      </c>
      <c r="V44" s="293">
        <f>CF!Y26/CF!Y29*-1</f>
        <v>1.3127187864644108</v>
      </c>
      <c r="W44" s="293">
        <f>CF!Z26/CF!Z29*-1</f>
        <v>1.1405405405405404</v>
      </c>
      <c r="X44" s="293">
        <f>CF!AA26/CF!AA29*-1</f>
        <v>0.26953981008035061</v>
      </c>
      <c r="Y44" s="293">
        <f>CF!AB26/CF!AB29*-1</f>
        <v>0.31036931818181818</v>
      </c>
      <c r="Z44" s="293">
        <f>CF!AC26/CF!AC29*-1</f>
        <v>2.3106546854942231</v>
      </c>
      <c r="AA44" s="293">
        <f>CF!AD26/CF!AD29*-1</f>
        <v>1.1376050420168067</v>
      </c>
      <c r="AB44" s="293">
        <f>CF!AE26/CF!AE29*-1</f>
        <v>-7.8606965174129351E-2</v>
      </c>
      <c r="AC44" s="293">
        <f>CF!AF26/CF!AF29*-1</f>
        <v>0.72249752229930619</v>
      </c>
      <c r="AD44" s="293">
        <f>CF!AG26/CF!AG29*-1</f>
        <v>1.2651340996168583</v>
      </c>
    </row>
    <row r="45" spans="1:30" s="228" customFormat="1" ht="4.5" customHeight="1" x14ac:dyDescent="0.2">
      <c r="A45" s="247"/>
      <c r="B45" s="242"/>
      <c r="C45" s="246"/>
      <c r="D45" s="241"/>
      <c r="E45" s="245"/>
      <c r="F45" s="245"/>
      <c r="G45" s="245"/>
      <c r="H45" s="245"/>
      <c r="I45" s="245"/>
      <c r="J45" s="245"/>
      <c r="K45" s="245"/>
      <c r="L45" s="245"/>
      <c r="N45" s="245"/>
      <c r="O45" s="245"/>
      <c r="P45" s="245"/>
      <c r="Q45" s="245"/>
      <c r="R45" s="245"/>
      <c r="S45" s="245"/>
      <c r="T45" s="245"/>
      <c r="U45" s="245"/>
      <c r="V45" s="245"/>
      <c r="W45" s="245"/>
      <c r="X45" s="245"/>
      <c r="Y45" s="245"/>
      <c r="Z45" s="245"/>
      <c r="AA45" s="245"/>
      <c r="AB45" s="245"/>
      <c r="AC45" s="245"/>
      <c r="AD45" s="245"/>
    </row>
    <row r="46" spans="1:30" s="248" customFormat="1" x14ac:dyDescent="0.2">
      <c r="A46" s="243" t="s">
        <v>446</v>
      </c>
      <c r="B46" s="258"/>
      <c r="C46" s="83"/>
      <c r="D46" s="241"/>
      <c r="E46" s="293"/>
      <c r="F46" s="293"/>
      <c r="G46" s="293"/>
      <c r="H46" s="293"/>
      <c r="I46" s="293"/>
      <c r="J46" s="293"/>
      <c r="K46" s="293"/>
      <c r="L46" s="293"/>
      <c r="M46" s="228"/>
      <c r="N46" s="293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</row>
    <row r="47" spans="1:30" s="289" customFormat="1" x14ac:dyDescent="0.2">
      <c r="A47" s="269"/>
      <c r="B47" s="292" t="s">
        <v>445</v>
      </c>
      <c r="C47" s="269"/>
      <c r="D47" s="266"/>
      <c r="E47" s="290">
        <f t="shared" ref="E47:L47" si="0">E48+E49+E50+E51+E52</f>
        <v>0.49569086967370002</v>
      </c>
      <c r="F47" s="290">
        <f t="shared" si="0"/>
        <v>0.47605367710490576</v>
      </c>
      <c r="G47" s="290">
        <f t="shared" si="0"/>
        <v>1.5600949734795859</v>
      </c>
      <c r="H47" s="290">
        <f t="shared" si="0"/>
        <v>1.5516366392212855</v>
      </c>
      <c r="I47" s="290">
        <f t="shared" si="0"/>
        <v>1.3975595352964167</v>
      </c>
      <c r="J47" s="290">
        <f t="shared" si="0"/>
        <v>1.1808354830407541</v>
      </c>
      <c r="K47" s="290">
        <f t="shared" si="0"/>
        <v>0.85701727729953636</v>
      </c>
      <c r="L47" s="290">
        <f t="shared" si="0"/>
        <v>0.82027363601319592</v>
      </c>
      <c r="M47" s="291"/>
      <c r="N47" s="290">
        <f t="shared" ref="N47:AD47" si="1">N48+N49+N50+N51+N52</f>
        <v>1.4660256366113029</v>
      </c>
      <c r="O47" s="290">
        <f t="shared" si="1"/>
        <v>1.6159399232790235</v>
      </c>
      <c r="P47" s="290">
        <f t="shared" si="1"/>
        <v>1.6337083943574915</v>
      </c>
      <c r="Q47" s="290">
        <f t="shared" si="1"/>
        <v>1.3433155735737097</v>
      </c>
      <c r="R47" s="290">
        <f t="shared" si="1"/>
        <v>1.3172181888961965</v>
      </c>
      <c r="S47" s="290">
        <f t="shared" si="1"/>
        <v>1.4015892260192979</v>
      </c>
      <c r="T47" s="290">
        <f t="shared" si="1"/>
        <v>1.4030180336797062</v>
      </c>
      <c r="U47" s="290">
        <f t="shared" si="1"/>
        <v>1.1671737238255502</v>
      </c>
      <c r="V47" s="290">
        <f t="shared" si="1"/>
        <v>1.1348417642354101</v>
      </c>
      <c r="W47" s="290">
        <f t="shared" si="1"/>
        <v>1.4898078049320767</v>
      </c>
      <c r="X47" s="290">
        <f t="shared" si="1"/>
        <v>1.4014587604336943</v>
      </c>
      <c r="Y47" s="290">
        <f t="shared" si="1"/>
        <v>1.0640329431454529</v>
      </c>
      <c r="Z47" s="290">
        <f t="shared" si="1"/>
        <v>0.95578567100615586</v>
      </c>
      <c r="AA47" s="290">
        <f t="shared" si="1"/>
        <v>1.1527432020724191</v>
      </c>
      <c r="AB47" s="290">
        <f t="shared" si="1"/>
        <v>1.0908413252197022</v>
      </c>
      <c r="AC47" s="290">
        <f t="shared" si="1"/>
        <v>0.81776073306280961</v>
      </c>
      <c r="AD47" s="290">
        <f t="shared" si="1"/>
        <v>0.71713207612845142</v>
      </c>
    </row>
    <row r="48" spans="1:30" s="289" customFormat="1" x14ac:dyDescent="0.2">
      <c r="A48" s="269"/>
      <c r="B48" s="292" t="s">
        <v>444</v>
      </c>
      <c r="C48" s="269"/>
      <c r="D48" s="266"/>
      <c r="E48" s="290">
        <f>1.2*((BS!D11-BS!D40)/BS!D30)</f>
        <v>-9.8970650786899192E-2</v>
      </c>
      <c r="F48" s="290">
        <f>1.2*((BS!E11-BS!E40)/BS!E30)</f>
        <v>1.467429868962581E-2</v>
      </c>
      <c r="G48" s="290">
        <f>1.2*((BS!F11-BS!F40)/BS!F30)</f>
        <v>-4.5917871602082126E-2</v>
      </c>
      <c r="H48" s="290">
        <f>1.2*((BS!G11-BS!G40)/BS!G30)</f>
        <v>-8.9724259010637186E-2</v>
      </c>
      <c r="I48" s="290">
        <f>1.2*((BS!H11-BS!H40)/BS!H30)</f>
        <v>-8.3036236689160187E-2</v>
      </c>
      <c r="J48" s="290">
        <f>1.2*((BS!I11-BS!I40)/BS!I30)</f>
        <v>-0.14122193805058256</v>
      </c>
      <c r="K48" s="290">
        <f>1.2*((BS!J11-BS!J40)/BS!J30)</f>
        <v>-0.18736876857048532</v>
      </c>
      <c r="L48" s="290">
        <f>1.2*((BS!AG11-BS!AG40)/BS!AG30)</f>
        <v>-0.22100120091466924</v>
      </c>
      <c r="M48" s="291"/>
      <c r="N48" s="290">
        <f>1.2*((BS!Q11-BS!Q40)/BS!Q30)</f>
        <v>-2.6692903281002691E-3</v>
      </c>
      <c r="O48" s="290">
        <f>1.2*((BS!R11-BS!R40)/BS!R30)</f>
        <v>-2.3464527450488843E-2</v>
      </c>
      <c r="P48" s="290">
        <f>1.2*((BS!S11-BS!S40)/BS!S30)</f>
        <v>-1.1208046802832801E-2</v>
      </c>
      <c r="Q48" s="290">
        <f>1.2*((BS!T11-BS!T40)/BS!T30)</f>
        <v>-8.9724259010637186E-2</v>
      </c>
      <c r="R48" s="290">
        <f>1.2*((BS!U11-BS!U40)/BS!U30)</f>
        <v>-0.10759582440040874</v>
      </c>
      <c r="S48" s="290">
        <f>1.2*((BS!V11-BS!V40)/BS!V30)</f>
        <v>-8.7747546571075988E-2</v>
      </c>
      <c r="T48" s="290">
        <f>1.2*((BS!W11-BS!W40)/BS!W30)</f>
        <v>-8.1826719887297492E-2</v>
      </c>
      <c r="U48" s="290">
        <f>1.2*((BS!X11-BS!X40)/BS!X30)</f>
        <v>-8.3036236689160187E-2</v>
      </c>
      <c r="V48" s="290">
        <f>1.2*((BS!Y11-BS!Y40)/BS!Y30)</f>
        <v>-0.10625724438026107</v>
      </c>
      <c r="W48" s="290">
        <f>1.2*((BS!Z11-BS!Z40)/BS!Z30)</f>
        <v>-0.11465426728663566</v>
      </c>
      <c r="X48" s="290">
        <f>1.2*((BS!AA11-BS!AA40)/BS!AA30)</f>
        <v>-0.12148623117879429</v>
      </c>
      <c r="Y48" s="290">
        <f>1.2*((BS!AB11-BS!AB40)/BS!AB30)</f>
        <v>-0.14122193805058256</v>
      </c>
      <c r="Z48" s="290">
        <f>1.2*((BS!AC11-BS!AC40)/BS!AC30)</f>
        <v>-0.16520270270270268</v>
      </c>
      <c r="AA48" s="290">
        <f>1.2*((BS!AD11-BS!AD40)/BS!AD30)</f>
        <v>-0.17087149861274753</v>
      </c>
      <c r="AB48" s="290">
        <f>1.2*((BS!AE11-BS!AE40)/BS!AE30)</f>
        <v>-0.15616984895981761</v>
      </c>
      <c r="AC48" s="290">
        <f>1.2*((BS!AF11-BS!AF40)/BS!AF30)</f>
        <v>-0.18736876857048532</v>
      </c>
      <c r="AD48" s="290">
        <f>1.2*((BS!AG11-BS!AG40)/BS!AG30)</f>
        <v>-0.22100120091466924</v>
      </c>
    </row>
    <row r="49" spans="1:30" s="289" customFormat="1" x14ac:dyDescent="0.2">
      <c r="A49" s="269"/>
      <c r="B49" s="292" t="s">
        <v>443</v>
      </c>
      <c r="C49" s="269"/>
      <c r="D49" s="266"/>
      <c r="E49" s="290">
        <f>1.4*(BS!D59/BS!D30)</f>
        <v>-0.56345384942577625</v>
      </c>
      <c r="F49" s="290">
        <f>1.4*(BS!E59/BS!E30)</f>
        <v>-0.37405742939590331</v>
      </c>
      <c r="G49" s="290">
        <f>1.4*(BS!F59/BS!F30)</f>
        <v>-0.27731174089068822</v>
      </c>
      <c r="H49" s="290">
        <f>1.4*(BS!G59/BS!G30)</f>
        <v>-3.5567489414437672E-2</v>
      </c>
      <c r="I49" s="290">
        <f>1.4*(BS!H59/BS!H30)</f>
        <v>4.4779030307758309E-2</v>
      </c>
      <c r="J49" s="290">
        <f>1.4*(BS!I59/BS!I30)</f>
        <v>-3.5673013166619298E-2</v>
      </c>
      <c r="K49" s="290">
        <f>1.4*(BS!J59/BS!J30)</f>
        <v>1.7517332452954771E-2</v>
      </c>
      <c r="L49" s="290">
        <f>1.4*(BS!AG59/BS!AG30)</f>
        <v>2.0659022488360997E-2</v>
      </c>
      <c r="M49" s="291"/>
      <c r="N49" s="290">
        <f>1.4*(BS!Q59/BS!Q30)</f>
        <v>-0.23062839543140692</v>
      </c>
      <c r="O49" s="290">
        <f>1.4*(BS!R59/BS!R30)</f>
        <v>-0.17752987381967075</v>
      </c>
      <c r="P49" s="290">
        <f>1.4*(BS!S59/BS!S30)</f>
        <v>-0.12774299497074823</v>
      </c>
      <c r="Q49" s="290">
        <f>1.4*(BS!T59/BS!T30)</f>
        <v>-3.5567489414437672E-2</v>
      </c>
      <c r="R49" s="290">
        <f>1.4*(BS!U59/BS!U30)</f>
        <v>-1.6578172273537837E-2</v>
      </c>
      <c r="S49" s="290">
        <f>1.4*(BS!V59/BS!V30)</f>
        <v>1.9717537364596187E-2</v>
      </c>
      <c r="T49" s="290">
        <f>1.4*(BS!W59/BS!W30)</f>
        <v>3.8432339359787113E-2</v>
      </c>
      <c r="U49" s="290">
        <f>1.4*(BS!X59/BS!X30)</f>
        <v>4.4779030307758309E-2</v>
      </c>
      <c r="V49" s="290">
        <f>1.4*(BS!Y59/BS!Y30)</f>
        <v>4.8496019153666366E-2</v>
      </c>
      <c r="W49" s="290">
        <f>1.4*(BS!Z59/BS!Z30)</f>
        <v>6.7642867856607169E-2</v>
      </c>
      <c r="X49" s="290">
        <f>1.4*(BS!AA59/BS!AA30)</f>
        <v>8.4212133356233662E-2</v>
      </c>
      <c r="Y49" s="290">
        <f>1.4*(BS!AB59/BS!AB30)</f>
        <v>-3.5673013166619298E-2</v>
      </c>
      <c r="Z49" s="290">
        <f>1.4*(BS!AC59/BS!AC30)</f>
        <v>-2.9692192192192192E-2</v>
      </c>
      <c r="AA49" s="290">
        <f>1.4*(BS!AD59/BS!AD30)</f>
        <v>-1.622895366956786E-2</v>
      </c>
      <c r="AB49" s="290">
        <f>1.4*(BS!AE59/BS!AE30)</f>
        <v>-8.4050536715113509E-3</v>
      </c>
      <c r="AC49" s="290">
        <f>1.4*(BS!AF59/BS!AF30)</f>
        <v>1.7517332452954771E-2</v>
      </c>
      <c r="AD49" s="290">
        <f>1.4*(BS!AG59/BS!AG30)</f>
        <v>2.0659022488360997E-2</v>
      </c>
    </row>
    <row r="50" spans="1:30" s="289" customFormat="1" x14ac:dyDescent="0.2">
      <c r="A50" s="269"/>
      <c r="B50" s="268" t="s">
        <v>442</v>
      </c>
      <c r="C50" s="267"/>
      <c r="D50" s="266"/>
      <c r="E50" s="290">
        <f>3.3*(IS!D27/BS!D30)</f>
        <v>2.0774138664398128E-2</v>
      </c>
      <c r="F50" s="290">
        <f>3.3*(IS!E27/BS!E30)</f>
        <v>0.10919863758928994</v>
      </c>
      <c r="G50" s="290">
        <f>3.3*(IS!F27/BS!F30)</f>
        <v>0.32438866396761135</v>
      </c>
      <c r="H50" s="290">
        <f>3.3*(IS!G27/BS!G30)</f>
        <v>0.42286894557471855</v>
      </c>
      <c r="I50" s="290">
        <f>3.3*(IS!H27/BS!H30)</f>
        <v>0.32566212895424579</v>
      </c>
      <c r="J50" s="290">
        <f>3.3*(IS!I27/BS!I30)</f>
        <v>0.26451264563796528</v>
      </c>
      <c r="K50" s="290">
        <f>3.3*(IS!J27/BS!J30)</f>
        <v>0.14468141300759327</v>
      </c>
      <c r="L50" s="290">
        <f>3.3*(IS!K27/BS!AG30)</f>
        <v>0.14120288877556056</v>
      </c>
      <c r="M50" s="291"/>
      <c r="N50" s="290">
        <f>3.3*(IS!Q27*4/BS!Q30)</f>
        <v>0.34331180219874236</v>
      </c>
      <c r="O50" s="290">
        <f>3.3*(IS!R27*4/BS!R30)</f>
        <v>0.52973176234645269</v>
      </c>
      <c r="P50" s="290">
        <f>3.3*(IS!S27*4/BS!S30)</f>
        <v>0.54165657395052857</v>
      </c>
      <c r="Q50" s="290">
        <f>3.3*(IS!T27*4/BS!T30)</f>
        <v>0.29118248476711761</v>
      </c>
      <c r="R50" s="290">
        <f>3.3*(IS!U27*4/BS!U30)</f>
        <v>0.35308261035083854</v>
      </c>
      <c r="S50" s="290">
        <f>3.3*(IS!V27*4/BS!V30)</f>
        <v>0.45274725274725269</v>
      </c>
      <c r="T50" s="290">
        <f>3.3*(IS!W27*4/BS!W30)</f>
        <v>0.36959380136182202</v>
      </c>
      <c r="U50" s="290">
        <f>3.3*(IS!X27*4/BS!X30)</f>
        <v>0.13979014705308734</v>
      </c>
      <c r="V50" s="290">
        <f>3.3*(IS!Y27*4/BS!Y30)</f>
        <v>0.18485568244437264</v>
      </c>
      <c r="W50" s="290">
        <f>3.3*(IS!Z27*4/BS!Z30)</f>
        <v>0.39573271336433175</v>
      </c>
      <c r="X50" s="290">
        <f>3.3*(IS!AA27*4/BS!AA30)</f>
        <v>0.3163909085704471</v>
      </c>
      <c r="Y50" s="290">
        <f>3.3*(IS!AB27*4/BS!AB30)</f>
        <v>0.15954532537652741</v>
      </c>
      <c r="Z50" s="290">
        <f>3.3*(IS!AC27*4/BS!AC30)</f>
        <v>9.8108108108108105E-2</v>
      </c>
      <c r="AA50" s="290">
        <f>3.3*(IS!AD27*4/BS!AD30)</f>
        <v>0.25786933221846375</v>
      </c>
      <c r="AB50" s="290">
        <f>3.3*(IS!AE27*4/BS!AE30)</f>
        <v>0.16275862068965516</v>
      </c>
      <c r="AC50" s="290">
        <f>3.3*(IS!AF27*4/BS!AF30)</f>
        <v>0.11962363816441068</v>
      </c>
      <c r="AD50" s="290">
        <f>3.3*(IS!AG27*4/BS!AG30)</f>
        <v>8.1431885107013005E-2</v>
      </c>
    </row>
    <row r="51" spans="1:30" s="289" customFormat="1" x14ac:dyDescent="0.2">
      <c r="A51" s="269"/>
      <c r="B51" s="292" t="s">
        <v>441</v>
      </c>
      <c r="C51" s="269"/>
      <c r="D51" s="266"/>
      <c r="E51" s="290">
        <f>0.6*(E90/BS!D52)</f>
        <v>8.1188742919127407E-2</v>
      </c>
      <c r="F51" s="290">
        <f>0.6*(F90/BS!E52)</f>
        <v>9.431951276411385E-2</v>
      </c>
      <c r="G51" s="290">
        <f>0.6*(G90/BS!F52)</f>
        <v>0.57322510650445579</v>
      </c>
      <c r="H51" s="290">
        <f>0.6*(H90/BS!G52)</f>
        <v>0.40826764200967741</v>
      </c>
      <c r="I51" s="290">
        <f>0.6*(I90/BS!H52)</f>
        <v>0.32804559060710065</v>
      </c>
      <c r="J51" s="290">
        <f>0.6*(J90/BS!I52)</f>
        <v>0.28656101112638477</v>
      </c>
      <c r="K51" s="290">
        <f>0.6*(K90/BS!J52)</f>
        <v>0.14767988872244808</v>
      </c>
      <c r="L51" s="290">
        <f>0.6*(L90/BS!AG52)</f>
        <v>0.14439925497777706</v>
      </c>
      <c r="M51" s="291"/>
      <c r="N51" s="290">
        <f>0.6*(N90/BS!Q52)</f>
        <v>0.51611136189684004</v>
      </c>
      <c r="O51" s="290">
        <f>0.6*(O90/BS!R52)</f>
        <v>0.3833692706509631</v>
      </c>
      <c r="P51" s="290">
        <f>0.6*(P90/BS!S52)</f>
        <v>0.35280977996767293</v>
      </c>
      <c r="Q51" s="290">
        <f>0.6*(Q90/BS!T52)</f>
        <v>0.38259926664403926</v>
      </c>
      <c r="R51" s="290">
        <f>0.6*(R90/BS!U52)</f>
        <v>0.33288951070188283</v>
      </c>
      <c r="S51" s="290">
        <f>0.6*(S90/BS!V52)</f>
        <v>0.20571161343580305</v>
      </c>
      <c r="T51" s="290">
        <f>0.6*(T90/BS!W52)</f>
        <v>0.24850163702947534</v>
      </c>
      <c r="U51" s="290">
        <f>0.6*(U90/BS!X52)</f>
        <v>0.30578198532260531</v>
      </c>
      <c r="V51" s="290">
        <f>0.6*(V90/BS!Y52)</f>
        <v>0.26210875646373399</v>
      </c>
      <c r="W51" s="290">
        <f>0.6*(W90/BS!Z52)</f>
        <v>0.29994557304367098</v>
      </c>
      <c r="X51" s="290">
        <f>0.6*(X90/BS!AA52)</f>
        <v>0.2861720292644418</v>
      </c>
      <c r="Y51" s="290">
        <f>0.6*(Y90/BS!AB52)</f>
        <v>0.27809458944648557</v>
      </c>
      <c r="Z51" s="290">
        <f>0.6*(Z90/BS!AC52)</f>
        <v>0.27249745779294265</v>
      </c>
      <c r="AA51" s="290">
        <f>0.6*(AA90/BS!AD52)</f>
        <v>0.19783027591985944</v>
      </c>
      <c r="AB51" s="290">
        <f>0.6*(AB90/BS!AE52)</f>
        <v>0.21510913181227373</v>
      </c>
      <c r="AC51" s="290">
        <f>0.6*(AC90/BS!AF52)</f>
        <v>0.14649219559169699</v>
      </c>
      <c r="AD51" s="290">
        <f>0.6*(AD90/BS!AG52)</f>
        <v>0.14027412952802695</v>
      </c>
    </row>
    <row r="52" spans="1:30" s="289" customFormat="1" x14ac:dyDescent="0.2">
      <c r="A52" s="269"/>
      <c r="B52" s="268" t="s">
        <v>440</v>
      </c>
      <c r="C52" s="267"/>
      <c r="D52" s="266"/>
      <c r="E52" s="290">
        <f>0.999*(IS!D10/BS!D30)</f>
        <v>1.0561524883028499</v>
      </c>
      <c r="F52" s="290">
        <f>0.999*(IS!E10/BS!E30)</f>
        <v>0.63191865745777942</v>
      </c>
      <c r="G52" s="290">
        <f>0.999*(IS!F10/BS!F30)</f>
        <v>0.98571081550028916</v>
      </c>
      <c r="H52" s="290">
        <f>0.999*(IS!G10/BS!G30)</f>
        <v>0.84579180006196431</v>
      </c>
      <c r="I52" s="290">
        <f>0.999*(IS!H10/BS!H30)</f>
        <v>0.78210902211647226</v>
      </c>
      <c r="J52" s="290">
        <f>0.999*(IS!I10/BS!I30)</f>
        <v>0.80665677749360609</v>
      </c>
      <c r="K52" s="290">
        <f>0.999*(IS!J10/BS!J30)</f>
        <v>0.73450741168702549</v>
      </c>
      <c r="L52" s="290">
        <f>0.999*(IS!K10/BS!AG30)</f>
        <v>0.73501367068616652</v>
      </c>
      <c r="M52" s="291"/>
      <c r="N52" s="290">
        <f>0.999*(IS!Q10*4/BS!Q30)</f>
        <v>0.83990015827522779</v>
      </c>
      <c r="O52" s="290">
        <f>0.999*(IS!R10*4/BS!R30)</f>
        <v>0.90383329155176739</v>
      </c>
      <c r="P52" s="290">
        <f>0.999*(IS!S10*4/BS!S30)</f>
        <v>0.87819308221287085</v>
      </c>
      <c r="Q52" s="290">
        <f>0.999*(IS!T10*4/BS!T30)</f>
        <v>0.79482557058762771</v>
      </c>
      <c r="R52" s="290">
        <f>0.999*(IS!U10*4/BS!U30)</f>
        <v>0.75542006451742172</v>
      </c>
      <c r="S52" s="290">
        <f>0.999*(IS!V10*4/BS!V30)</f>
        <v>0.81116036904272204</v>
      </c>
      <c r="T52" s="290">
        <f>0.999*(IS!W10*4/BS!W30)</f>
        <v>0.82831697581591923</v>
      </c>
      <c r="U52" s="290">
        <f>0.999*(IS!X10*4/BS!X30)</f>
        <v>0.75985879783125954</v>
      </c>
      <c r="V52" s="290">
        <f>0.999*(IS!Y10*4/BS!Y30)</f>
        <v>0.74563855055389816</v>
      </c>
      <c r="W52" s="290">
        <f>0.999*(IS!Z10*4/BS!Z30)</f>
        <v>0.8411409179541024</v>
      </c>
      <c r="X52" s="290">
        <f>0.999*(IS!AA10*4/BS!AA30)</f>
        <v>0.83616992042136606</v>
      </c>
      <c r="Y52" s="290">
        <f>0.999*(IS!AB10*4/BS!AB30)</f>
        <v>0.80328797953964193</v>
      </c>
      <c r="Z52" s="290">
        <f>0.999*(IS!AC10*4/BS!AC30)</f>
        <v>0.78007499999999996</v>
      </c>
      <c r="AA52" s="290">
        <f>0.999*(IS!AD10*4/BS!AD30)</f>
        <v>0.88414404621641129</v>
      </c>
      <c r="AB52" s="290">
        <f>0.999*(IS!AE10*4/BS!AE30)</f>
        <v>0.8775484753491023</v>
      </c>
      <c r="AC52" s="290">
        <f>0.999*(IS!AF10*4/BS!AF30)</f>
        <v>0.72149633542423242</v>
      </c>
      <c r="AD52" s="290">
        <f>0.999*(IS!AG10*4/BS!AG30)</f>
        <v>0.6957682399197197</v>
      </c>
    </row>
    <row r="53" spans="1:30" s="228" customFormat="1" ht="4.5" customHeight="1" x14ac:dyDescent="0.2">
      <c r="A53" s="247"/>
      <c r="B53" s="242"/>
      <c r="C53" s="246"/>
      <c r="D53" s="241"/>
      <c r="E53" s="245"/>
      <c r="F53" s="245"/>
      <c r="G53" s="245"/>
      <c r="H53" s="245"/>
      <c r="I53" s="245"/>
      <c r="J53" s="245"/>
      <c r="K53" s="245"/>
      <c r="L53" s="245"/>
      <c r="N53" s="245"/>
      <c r="O53" s="245"/>
      <c r="P53" s="245"/>
      <c r="Q53" s="245"/>
      <c r="R53" s="245"/>
      <c r="S53" s="245"/>
      <c r="T53" s="245"/>
      <c r="U53" s="245"/>
      <c r="V53" s="245"/>
      <c r="W53" s="245"/>
      <c r="X53" s="245"/>
      <c r="Y53" s="245"/>
      <c r="Z53" s="245"/>
      <c r="AA53" s="245"/>
      <c r="AB53" s="245"/>
      <c r="AC53" s="245"/>
      <c r="AD53" s="245"/>
    </row>
    <row r="54" spans="1:30" s="228" customFormat="1" x14ac:dyDescent="0.2">
      <c r="A54" s="243" t="s">
        <v>439</v>
      </c>
      <c r="B54" s="246"/>
      <c r="C54" s="288"/>
      <c r="D54" s="241"/>
      <c r="E54" s="287"/>
      <c r="F54" s="287"/>
      <c r="G54" s="287"/>
      <c r="H54" s="287"/>
      <c r="I54" s="287"/>
      <c r="J54" s="287"/>
      <c r="K54" s="287"/>
      <c r="L54" s="287"/>
      <c r="N54" s="287"/>
      <c r="O54" s="287"/>
      <c r="P54" s="287"/>
      <c r="Q54" s="287"/>
      <c r="R54" s="287"/>
      <c r="S54" s="287"/>
      <c r="T54" s="287"/>
      <c r="U54" s="287"/>
      <c r="V54" s="287"/>
      <c r="W54" s="287"/>
      <c r="X54" s="287"/>
      <c r="Y54" s="287"/>
      <c r="Z54" s="287"/>
      <c r="AA54" s="287"/>
      <c r="AB54" s="287"/>
      <c r="AC54" s="287"/>
      <c r="AD54" s="287"/>
    </row>
    <row r="55" spans="1:30" s="228" customFormat="1" x14ac:dyDescent="0.2">
      <c r="A55" s="242"/>
      <c r="B55" s="258" t="s">
        <v>438</v>
      </c>
      <c r="C55" s="242"/>
      <c r="D55" s="241" t="s">
        <v>437</v>
      </c>
      <c r="E55" s="227"/>
      <c r="F55" s="227"/>
      <c r="G55" s="227"/>
      <c r="H55" s="227"/>
      <c r="I55" s="227"/>
      <c r="J55" s="227"/>
      <c r="K55" s="227"/>
      <c r="L55" s="227"/>
      <c r="N55" s="227"/>
      <c r="O55" s="227"/>
      <c r="P55" s="227"/>
      <c r="Q55" s="227"/>
      <c r="R55" s="227"/>
      <c r="S55" s="227"/>
      <c r="T55" s="227"/>
      <c r="U55" s="227"/>
      <c r="V55" s="227"/>
      <c r="W55" s="227"/>
      <c r="X55" s="227"/>
      <c r="Y55" s="227"/>
      <c r="Z55" s="227"/>
      <c r="AA55" s="227"/>
      <c r="AB55" s="227"/>
      <c r="AC55" s="227"/>
      <c r="AD55" s="227"/>
    </row>
    <row r="56" spans="1:30" s="228" customFormat="1" x14ac:dyDescent="0.2">
      <c r="A56" s="242"/>
      <c r="B56" s="258" t="s">
        <v>436</v>
      </c>
      <c r="C56" s="242"/>
      <c r="D56" s="241" t="s">
        <v>435</v>
      </c>
      <c r="E56" s="227">
        <f>IS_NG!D6/IS_NG!D4</f>
        <v>3.6820300362506476E-2</v>
      </c>
      <c r="F56" s="227">
        <f>IS_NG!E6/IS_NG!E4</f>
        <v>8.0246607903337625E-2</v>
      </c>
      <c r="G56" s="227">
        <f>IS_NG!F6/IS_NG!F4</f>
        <v>0.11894490035169988</v>
      </c>
      <c r="H56" s="227">
        <f>IS_NG!G6/IS_NG!G4</f>
        <v>0.1777018785069529</v>
      </c>
      <c r="I56" s="227">
        <f>IS_NG!H6/IS_NG!H4</f>
        <v>0.14950223992035838</v>
      </c>
      <c r="J56" s="227">
        <f>IS_NG!I6/IS_NG!I4</f>
        <v>0.1164891370653653</v>
      </c>
      <c r="K56" s="227">
        <f>IS_NG!J6/IS_NG!J4</f>
        <v>7.7434274039648865E-2</v>
      </c>
      <c r="L56" s="227">
        <f>IS_NG!K6/IS_NG!K4</f>
        <v>7.463554243806457E-2</v>
      </c>
      <c r="N56" s="227">
        <f>IS_NG!Q6/IS_NG!Q4</f>
        <v>0.15528645568332147</v>
      </c>
      <c r="O56" s="227">
        <f>IS_NG!R6/IS_NG!R4</f>
        <v>0.19165050337120162</v>
      </c>
      <c r="P56" s="227">
        <f>IS_NG!S6/IS_NG!S4</f>
        <v>0.20212964692695684</v>
      </c>
      <c r="Q56" s="227">
        <f>IS_NG!T6/IS_NG!T4</f>
        <v>0.15763239875389409</v>
      </c>
      <c r="R56" s="227">
        <f>IS_NG!U6/IS_NG!U4</f>
        <v>0.1525172231054584</v>
      </c>
      <c r="S56" s="227">
        <f>IS_NG!V6/IS_NG!V4</f>
        <v>0.17523883045450159</v>
      </c>
      <c r="T56" s="227">
        <f>IS_NG!W6/IS_NG!W4</f>
        <v>0.16282801585803286</v>
      </c>
      <c r="U56" s="227">
        <f>IS_NG!X6/IS_NG!X4</f>
        <v>0.10501583409949944</v>
      </c>
      <c r="V56" s="227">
        <f>IS_NG!Y6/IS_NG!Y4</f>
        <v>8.7372708757637474E-2</v>
      </c>
      <c r="W56" s="227">
        <f>IS_NG!Z6/IS_NG!Z4</f>
        <v>0.16050592322080698</v>
      </c>
      <c r="X56" s="227">
        <f>IS_NG!AA6/IS_NG!AA4</f>
        <v>0.12430460556315549</v>
      </c>
      <c r="Y56" s="227">
        <f>IS_NG!AB6/IS_NG!AB4</f>
        <v>8.86815568749411E-2</v>
      </c>
      <c r="Z56" s="227">
        <f>IS_NG!AC6/IS_NG!AC4</f>
        <v>5.9705797519469285E-2</v>
      </c>
      <c r="AA56" s="227">
        <f>IS_NG!AD6/IS_NG!AD4</f>
        <v>0.10134844971227347</v>
      </c>
      <c r="AB56" s="227">
        <f>IS_NG!AE6/IS_NG!AE4</f>
        <v>7.491997577645125E-2</v>
      </c>
      <c r="AC56" s="227">
        <f>IS_NG!AF6/IS_NG!AF4</f>
        <v>7.1219601389650763E-2</v>
      </c>
      <c r="AD56" s="227">
        <f>IS_NG!AG6/IS_NG!AG4</f>
        <v>4.8469387755102039E-2</v>
      </c>
    </row>
    <row r="57" spans="1:30" s="228" customFormat="1" x14ac:dyDescent="0.2">
      <c r="A57" s="242"/>
      <c r="B57" s="258" t="s">
        <v>434</v>
      </c>
      <c r="C57" s="242"/>
      <c r="D57" s="241"/>
      <c r="E57" s="227">
        <f>IS_NG!D10/IS_NG!D4</f>
        <v>1.3852925945106162E-2</v>
      </c>
      <c r="F57" s="227">
        <f>IS_NG!E10/IS_NG!E4</f>
        <v>5.434782608695652E-2</v>
      </c>
      <c r="G57" s="227">
        <f>IS_NG!F10/IS_NG!F4</f>
        <v>9.7725674091441964E-2</v>
      </c>
      <c r="H57" s="227">
        <f>IS_NG!G10/IS_NG!G4</f>
        <v>0.15345206147840937</v>
      </c>
      <c r="I57" s="227">
        <f>IS_NG!H10/IS_NG!H4</f>
        <v>0.12620706819313091</v>
      </c>
      <c r="J57" s="227">
        <f>IS_NG!I10/IS_NG!I4</f>
        <v>9.7391018722725348E-2</v>
      </c>
      <c r="K57" s="227">
        <f>IS_NG!J10/IS_NG!J4</f>
        <v>6.2638916952919788E-2</v>
      </c>
      <c r="L57" s="227">
        <f>IS_NG!K10/IS_NG!K4</f>
        <v>5.8961631338878454E-2</v>
      </c>
      <c r="N57" s="227">
        <f>IS_NG!Q10/IS_NG!Q4</f>
        <v>0.12669176757911876</v>
      </c>
      <c r="O57" s="227">
        <f>IS_NG!R10/IS_NG!R4</f>
        <v>0.17197746374803732</v>
      </c>
      <c r="P57" s="227">
        <f>IS_NG!S10/IS_NG!S4</f>
        <v>0.17700354941154492</v>
      </c>
      <c r="Q57" s="227">
        <f>IS_NG!T10/IS_NG!T4</f>
        <v>0.1335410176531672</v>
      </c>
      <c r="R57" s="227">
        <f>IS_NG!U10/IS_NG!U4</f>
        <v>0.12941176470588237</v>
      </c>
      <c r="S57" s="227">
        <f>IS_NG!V10/IS_NG!V4</f>
        <v>0.15381646241435878</v>
      </c>
      <c r="T57" s="227">
        <f>IS_NG!W10/IS_NG!W4</f>
        <v>0.13998489711157258</v>
      </c>
      <c r="U57" s="227">
        <f>IS_NG!X10/IS_NG!X4</f>
        <v>7.8966186535907645E-2</v>
      </c>
      <c r="V57" s="227">
        <f>IS_NG!Y10/IS_NG!Y4</f>
        <v>6.7311608961303462E-2</v>
      </c>
      <c r="W57" s="227">
        <f>IS_NG!Z10/IS_NG!Z4</f>
        <v>0.14197915738843858</v>
      </c>
      <c r="X57" s="227">
        <f>IS_NG!AA10/IS_NG!AA4</f>
        <v>0.10697674418604651</v>
      </c>
      <c r="Y57" s="227">
        <f>IS_NG!AB10/IS_NG!AB4</f>
        <v>6.8042597304683816E-2</v>
      </c>
      <c r="Z57" s="227">
        <f>IS_NG!AC10/IS_NG!AC4</f>
        <v>4.4514950485530239E-2</v>
      </c>
      <c r="AA57" s="227">
        <f>IS_NG!AD10/IS_NG!AD4</f>
        <v>8.5974405222021821E-2</v>
      </c>
      <c r="AB57" s="227">
        <f>IS_NG!AE10/IS_NG!AE4</f>
        <v>5.9520719785448567E-2</v>
      </c>
      <c r="AC57" s="227">
        <f>IS_NG!AF10/IS_NG!AF4</f>
        <v>5.7963064545620772E-2</v>
      </c>
      <c r="AD57" s="227">
        <f>IS_NG!AG10/IS_NG!AG4</f>
        <v>2.9667422524565383E-2</v>
      </c>
    </row>
    <row r="58" spans="1:30" s="228" customFormat="1" x14ac:dyDescent="0.2">
      <c r="A58" s="242"/>
      <c r="B58" s="258" t="s">
        <v>433</v>
      </c>
      <c r="C58" s="242"/>
      <c r="D58" s="241"/>
      <c r="E58" s="227">
        <f>IS_NG!D13</f>
        <v>0.23925233644859814</v>
      </c>
      <c r="F58" s="227">
        <f>IS_NG!E13</f>
        <v>0.11207289293849658</v>
      </c>
      <c r="G58" s="227">
        <f>IS_NG!F13</f>
        <v>-3.838771593090211E-3</v>
      </c>
      <c r="H58" s="227">
        <f>IS_NG!G13</f>
        <v>3.3386327503974562E-3</v>
      </c>
      <c r="I58" s="227">
        <f>IS_NG!H13</f>
        <v>0.37428515085781899</v>
      </c>
      <c r="J58" s="227">
        <f>IS_NG!I13</f>
        <v>0.37557215128884608</v>
      </c>
      <c r="K58" s="227">
        <f>IS_NG!J13</f>
        <v>0.24121863799283155</v>
      </c>
      <c r="L58" s="227">
        <f>IS_NG!K13</f>
        <v>0.24232081911262798</v>
      </c>
      <c r="N58" s="227">
        <f>IS_NG!Q13</f>
        <v>1.606425702811245E-3</v>
      </c>
      <c r="O58" s="227">
        <f>IS_NG!R13</f>
        <v>4.296455424274973E-3</v>
      </c>
      <c r="P58" s="227">
        <f>IS_NG!S13</f>
        <v>5.2770448548812663E-3</v>
      </c>
      <c r="Q58" s="227">
        <f>IS_NG!T13</f>
        <v>0</v>
      </c>
      <c r="R58" s="227">
        <f>IS_NG!U13</f>
        <v>0.37346437346437344</v>
      </c>
      <c r="S58" s="227">
        <f>IS_NG!V13</f>
        <v>0.37202007528230868</v>
      </c>
      <c r="T58" s="227">
        <f>IS_NG!W13</f>
        <v>0.37086985839514497</v>
      </c>
      <c r="U58" s="227">
        <f>IS_NG!X13</f>
        <v>0.38551099611901679</v>
      </c>
      <c r="V58" s="227">
        <f>IS_NG!Y13</f>
        <v>0.37367624810892586</v>
      </c>
      <c r="W58" s="227">
        <f>IS_NG!Z13</f>
        <v>0.36951066499372648</v>
      </c>
      <c r="X58" s="227">
        <f>IS_NG!AA13</f>
        <v>0.37851662404092073</v>
      </c>
      <c r="Y58" s="227">
        <f>IS_NG!AB13</f>
        <v>0.38504155124653738</v>
      </c>
      <c r="Z58" s="227">
        <f>IS_NG!AC13</f>
        <v>0.23758099352051837</v>
      </c>
      <c r="AA58" s="227">
        <f>IS_NG!AD13</f>
        <v>0.24375624375624375</v>
      </c>
      <c r="AB58" s="227">
        <f>IS_NG!AE13</f>
        <v>0.23982558139534885</v>
      </c>
      <c r="AC58" s="227">
        <f>IS_NG!AF13</f>
        <v>0.24132492113564669</v>
      </c>
      <c r="AD58" s="227">
        <f>IS_NG!AG13</f>
        <v>0.24522292993630573</v>
      </c>
    </row>
    <row r="59" spans="1:30" s="228" customFormat="1" x14ac:dyDescent="0.2">
      <c r="A59" s="242"/>
      <c r="B59" s="258" t="s">
        <v>432</v>
      </c>
      <c r="C59" s="242"/>
      <c r="D59" s="241"/>
      <c r="E59" s="227">
        <f>IS_NG!D14/IS_NG!D4</f>
        <v>1.0538581046090109E-2</v>
      </c>
      <c r="F59" s="227">
        <f>IS_NG!E14/IS_NG!E4</f>
        <v>4.8256907992473015E-2</v>
      </c>
      <c r="G59" s="227">
        <f>IS_NG!F14/IS_NG!F4</f>
        <v>9.810082063305979E-2</v>
      </c>
      <c r="H59" s="227">
        <f>IS_NG!G14/IS_NG!G4</f>
        <v>0.15293974140034156</v>
      </c>
      <c r="I59" s="227">
        <f>IS_NG!H14/IS_NG!H4</f>
        <v>7.8969636635141865E-2</v>
      </c>
      <c r="J59" s="227">
        <f>IS_NG!I14/IS_NG!I4</f>
        <v>6.0813664304819111E-2</v>
      </c>
      <c r="K59" s="227">
        <f>IS_NG!J14/IS_NG!J4</f>
        <v>4.7529242720190386E-2</v>
      </c>
      <c r="L59" s="227">
        <f>IS_NG!K14/IS_NG!K4</f>
        <v>4.4674000536624632E-2</v>
      </c>
      <c r="N59" s="227">
        <f>IS_NG!Q14/IS_NG!Q4</f>
        <v>0.12648824666734507</v>
      </c>
      <c r="O59" s="227">
        <f>IS_NG!R14/IS_NG!R4</f>
        <v>0.17123857024106401</v>
      </c>
      <c r="P59" s="227">
        <f>IS_NG!S14/IS_NG!S4</f>
        <v>0.17606949374182701</v>
      </c>
      <c r="Q59" s="227">
        <f>IS_NG!T14/IS_NG!T4</f>
        <v>0.1335410176531672</v>
      </c>
      <c r="R59" s="227">
        <f>IS_NG!U14/IS_NG!U4</f>
        <v>8.1081081081081086E-2</v>
      </c>
      <c r="S59" s="227">
        <f>IS_NG!V14/IS_NG!V4</f>
        <v>9.6593650487310626E-2</v>
      </c>
      <c r="T59" s="227">
        <f>IS_NG!W14/IS_NG!W4</f>
        <v>8.8068718142344724E-2</v>
      </c>
      <c r="U59" s="227">
        <f>IS_NG!X14/IS_NG!X4</f>
        <v>4.8523853304729796E-2</v>
      </c>
      <c r="V59" s="227">
        <f>IS_NG!Y14/IS_NG!Y4</f>
        <v>4.2158859470468435E-2</v>
      </c>
      <c r="W59" s="227">
        <f>IS_NG!Z14/IS_NG!Z4</f>
        <v>8.9516344526587688E-2</v>
      </c>
      <c r="X59" s="227">
        <f>IS_NG!AA14/IS_NG!AA4</f>
        <v>6.6484268125854992E-2</v>
      </c>
      <c r="Y59" s="227">
        <f>IS_NG!AB14/IS_NG!AB4</f>
        <v>4.1843370087644896E-2</v>
      </c>
      <c r="Z59" s="227">
        <f>IS_NG!AC14/IS_NG!AC4</f>
        <v>3.3939044322661281E-2</v>
      </c>
      <c r="AA59" s="227">
        <f>IS_NG!AD14/IS_NG!AD4</f>
        <v>6.5017607145924583E-2</v>
      </c>
      <c r="AB59" s="227">
        <f>IS_NG!AE14/IS_NG!AE4</f>
        <v>4.524612855783372E-2</v>
      </c>
      <c r="AC59" s="227">
        <f>IS_NG!AF14/IS_NG!AF4</f>
        <v>4.397513256536844E-2</v>
      </c>
      <c r="AD59" s="227">
        <f>IS_NG!AG14/IS_NG!AG4</f>
        <v>2.2392290249433108E-2</v>
      </c>
    </row>
    <row r="60" spans="1:30" s="228" customFormat="1" x14ac:dyDescent="0.2">
      <c r="A60" s="242"/>
      <c r="B60" s="284" t="s">
        <v>431</v>
      </c>
      <c r="C60" s="285"/>
      <c r="D60" s="241"/>
      <c r="E60" s="227">
        <f>IS_NG!D8/BS!D70</f>
        <v>-0.72876794258373201</v>
      </c>
      <c r="F60" s="227">
        <f>IS_NG!E8/BS!E70</f>
        <v>0.88457546190575043</v>
      </c>
      <c r="G60" s="227">
        <f>IS_NG!F8/BS!F70</f>
        <v>0.52950635150345715</v>
      </c>
      <c r="H60" s="227">
        <f>IS_NG!G8/BS!G70</f>
        <v>0.44594323538260955</v>
      </c>
      <c r="I60" s="227">
        <f>IS_NG!H8/BS!H70</f>
        <v>0.35943959577400092</v>
      </c>
      <c r="J60" s="227">
        <f>IS_NG!I8/BS!I70</f>
        <v>0.36328633123471565</v>
      </c>
      <c r="K60" s="227">
        <f>IS_NG!J8/BS!J70</f>
        <v>0.26455325974148503</v>
      </c>
      <c r="L60" s="227">
        <f>IS_NG!K8/BS!AG70</f>
        <v>0.16145883718680468</v>
      </c>
      <c r="N60" s="227"/>
      <c r="O60" s="227"/>
      <c r="P60" s="227"/>
      <c r="Q60" s="227"/>
      <c r="R60" s="227"/>
      <c r="S60" s="227"/>
      <c r="T60" s="227"/>
      <c r="U60" s="227"/>
      <c r="V60" s="227"/>
      <c r="W60" s="227"/>
      <c r="X60" s="227"/>
      <c r="Y60" s="227"/>
      <c r="Z60" s="227"/>
      <c r="AA60" s="227"/>
      <c r="AB60" s="227"/>
      <c r="AC60" s="227"/>
      <c r="AD60" s="227"/>
    </row>
    <row r="61" spans="1:30" s="228" customFormat="1" x14ac:dyDescent="0.2">
      <c r="A61" s="242"/>
      <c r="B61" s="284" t="s">
        <v>430</v>
      </c>
      <c r="C61" s="285"/>
      <c r="D61" s="241" t="s">
        <v>429</v>
      </c>
      <c r="E61" s="227">
        <f>IS_NG!D14/AVERAGE(BS!D30,BS!C30)</f>
        <v>1.7188225854132353E-2</v>
      </c>
      <c r="F61" s="227">
        <f>IS_NG!E14/AVERAGE(BS!E30,BS!D30)</f>
        <v>5.9250927220769745E-2</v>
      </c>
      <c r="G61" s="227">
        <f>IS_NG!F14/AVERAGE(BS!F30,BS!E30)</f>
        <v>9.7867911067447924E-2</v>
      </c>
      <c r="H61" s="227">
        <f>IS_NG!G14/AVERAGE(BS!G30,BS!F30)</f>
        <v>0.1368179834133566</v>
      </c>
      <c r="I61" s="227">
        <f>IS_NG!H14/AVERAGE(BS!H30,BS!G30)</f>
        <v>6.3657976306312633E-2</v>
      </c>
      <c r="J61" s="227">
        <f>IS_NG!I14/AVERAGE(BS!I30,BS!H30)</f>
        <v>4.9817891772936509E-2</v>
      </c>
      <c r="K61" s="227">
        <f>IS_NG!J14/AVERAGE(BS!J30,BS!I30)</f>
        <v>3.7348387950425617E-2</v>
      </c>
      <c r="L61" s="227">
        <f>IS_NG!K14/AVERAGE(BS!AG30,BS!AF30)</f>
        <v>3.2924930170474674E-2</v>
      </c>
      <c r="N61" s="227">
        <f>IS_NG!Q14*4/AVERAGE(BS!Q30,BS!P30)</f>
        <v>0.11051467564653975</v>
      </c>
      <c r="O61" s="227">
        <f>IS_NG!R14*4/AVERAGE(BS!R30,BS!Q30)</f>
        <v>0.15675001585255013</v>
      </c>
      <c r="P61" s="227">
        <f>IS_NG!S14*4/AVERAGE(BS!S30,BS!R30)</f>
        <v>0.15613513765362436</v>
      </c>
      <c r="Q61" s="227">
        <f>IS_NG!T14*4/AVERAGE(BS!T30,BS!S30)</f>
        <v>0.10591990116338927</v>
      </c>
      <c r="R61" s="227">
        <f>IS_NG!U14*4/AVERAGE(BS!U30,BS!T30)</f>
        <v>6.2243195964362716E-2</v>
      </c>
      <c r="S61" s="227">
        <f>IS_NG!V14*4/AVERAGE(BS!V30,BS!U30)</f>
        <v>7.931854199683043E-2</v>
      </c>
      <c r="T61" s="227">
        <f>IS_NG!W14*4/AVERAGE(BS!W30,BS!V30)</f>
        <v>7.3062578921093593E-2</v>
      </c>
      <c r="U61" s="227">
        <f>IS_NG!X14*4/AVERAGE(BS!X30,BS!W30)</f>
        <v>3.7115899279170167E-2</v>
      </c>
      <c r="V61" s="227">
        <f>IS_NG!Y14*4/AVERAGE(BS!Y30,BS!X30)</f>
        <v>3.1876497820040234E-2</v>
      </c>
      <c r="W61" s="227">
        <f>IS_NG!Z14*4/AVERAGE(BS!Z30,BS!Y30)</f>
        <v>7.5875541462586002E-2</v>
      </c>
      <c r="X61" s="227">
        <f>IS_NG!AA14*4/AVERAGE(BS!AA30,BS!Z30)</f>
        <v>5.5155716541986248E-2</v>
      </c>
      <c r="Y61" s="227">
        <f>IS_NG!AB14*4/AVERAGE(BS!AB30,BS!AA30)</f>
        <v>3.3768752495579257E-2</v>
      </c>
      <c r="Z61" s="227">
        <f>IS_NG!AC14*4/AVERAGE(BS!AC30,BS!AB30)</f>
        <v>2.6625182671003628E-2</v>
      </c>
      <c r="AA61" s="227">
        <f>IS_NG!AD14*4/AVERAGE(BS!AD30,BS!AC30)</f>
        <v>5.7184944571396196E-2</v>
      </c>
      <c r="AB61" s="227">
        <f>IS_NG!AE14*4/AVERAGE(BS!AE30,BS!AD30)</f>
        <v>3.975032539403555E-2</v>
      </c>
      <c r="AC61" s="227">
        <f>IS_NG!AF14*4/AVERAGE(BS!AF30,BS!AE30)</f>
        <v>3.3988429095084573E-2</v>
      </c>
      <c r="AD61" s="227">
        <f>IS_NG!AG14*4/AVERAGE(BS!AG30,BS!AF30)</f>
        <v>1.5622038939744742E-2</v>
      </c>
    </row>
    <row r="62" spans="1:30" s="228" customFormat="1" x14ac:dyDescent="0.2">
      <c r="A62" s="242"/>
      <c r="B62" s="284" t="s">
        <v>428</v>
      </c>
      <c r="C62" s="285"/>
      <c r="D62" s="241" t="s">
        <v>427</v>
      </c>
      <c r="E62" s="227">
        <f>IS_NG!D14/AVERAGE(BS!C60:D60)</f>
        <v>-5.3914425751755202E-2</v>
      </c>
      <c r="F62" s="227">
        <f>IS_NG!E14/AVERAGE(BS!D60:E60)</f>
        <v>-0.3636872550849039</v>
      </c>
      <c r="G62" s="227">
        <f>IS_NG!F14/AVERAGE(BS!E60:F60)</f>
        <v>-11.785915492957747</v>
      </c>
      <c r="H62" s="227">
        <f>IS_NG!G14/AVERAGE(BS!F60:G60)</f>
        <v>1.637669801462905</v>
      </c>
      <c r="I62" s="227">
        <f>IS_NG!H14/AVERAGE(BS!G60:H60)</f>
        <v>0.67367303609341822</v>
      </c>
      <c r="J62" s="227">
        <f>IS_NG!I14/AVERAGE(BS!H60:I60)</f>
        <v>1.7251247920133113</v>
      </c>
      <c r="K62" s="227">
        <f>IS_NG!J14/AVERAGE(BS!I60:J60)</f>
        <v>-4.4615384615384617</v>
      </c>
      <c r="L62" s="227">
        <f>IS_NG!K14/AVERAGE(BS!AF60:AG60)</f>
        <v>-4.9639751552795035</v>
      </c>
      <c r="N62" s="227">
        <f>IS_NG!Q14*4/AVERAGE(BS!P60:Q60)</f>
        <v>2.0781609195402297</v>
      </c>
      <c r="O62" s="227">
        <f>IS_NG!R14*4/AVERAGE(BS!Q60:R60)</f>
        <v>2.3174999999999999</v>
      </c>
      <c r="P62" s="227">
        <f>IS_NG!S14*4/AVERAGE(BS!R60:S60)</f>
        <v>2.0383887537172209</v>
      </c>
      <c r="Q62" s="227">
        <f>IS_NG!T14*4/AVERAGE(BS!S60:T60)</f>
        <v>1.0948174949451952</v>
      </c>
      <c r="R62" s="227">
        <f>IS_NG!U14*4/AVERAGE(BS!T60:U60)</f>
        <v>0.59159014016433065</v>
      </c>
      <c r="S62" s="227">
        <f>IS_NG!V14*4/AVERAGE(BS!U60:V60)</f>
        <v>0.88760806916426516</v>
      </c>
      <c r="T62" s="227">
        <f>IS_NG!W14*4/AVERAGE(BS!V60:W60)</f>
        <v>0.85763529817304374</v>
      </c>
      <c r="U62" s="227">
        <f>IS_NG!X14*4/AVERAGE(BS!W60:X60)</f>
        <v>0.46477495107632094</v>
      </c>
      <c r="V62" s="227">
        <f>IS_NG!Y14*4/AVERAGE(BS!X60:Y60)</f>
        <v>0.45733222866611434</v>
      </c>
      <c r="W62" s="227">
        <f>IS_NG!Z14*4/AVERAGE(BS!Y60:Z60)</f>
        <v>1.1210262130507529</v>
      </c>
      <c r="X62" s="227">
        <f>IS_NG!AA14*4/AVERAGE(BS!Z60:AA60)</f>
        <v>0.76105963721779979</v>
      </c>
      <c r="Y62" s="227">
        <f>IS_NG!AB14*4/AVERAGE(BS!AA60:AB60)</f>
        <v>1.1212121212121211</v>
      </c>
      <c r="Z62" s="227">
        <f>IS_NG!AC14*4/AVERAGE(BS!AB60:AC60)</f>
        <v>-1.5706340378197998</v>
      </c>
      <c r="AA62" s="227">
        <f>IS_NG!AD14*4/AVERAGE(BS!AC60:AD60)</f>
        <v>-3.2093269740328565</v>
      </c>
      <c r="AB62" s="227">
        <f>IS_NG!AE14*4/AVERAGE(BS!AD60:AE60)</f>
        <v>-2.9116214335421016</v>
      </c>
      <c r="AC62" s="227">
        <f>IS_NG!AF14*4/AVERAGE(BS!AE60:AF60)</f>
        <v>-5.2211668928086841</v>
      </c>
      <c r="AD62" s="227">
        <f>IS_NG!AG14*4/AVERAGE(BS!AF60:AG60)</f>
        <v>-2.35527950310559</v>
      </c>
    </row>
    <row r="63" spans="1:30" s="228" customFormat="1" x14ac:dyDescent="0.2">
      <c r="A63" s="242"/>
      <c r="B63" s="258" t="s">
        <v>426</v>
      </c>
      <c r="C63" s="242"/>
      <c r="D63" s="241" t="s">
        <v>425</v>
      </c>
      <c r="E63" s="227">
        <f t="shared" ref="E63:L63" si="2">E62/E79</f>
        <v>0.12785030157202731</v>
      </c>
      <c r="F63" s="227">
        <f t="shared" si="2"/>
        <v>0.14037834565761517</v>
      </c>
      <c r="G63" s="227">
        <f t="shared" si="2"/>
        <v>-0.60508488518025527</v>
      </c>
      <c r="H63" s="227">
        <f t="shared" si="2"/>
        <v>0.31701934970054102</v>
      </c>
      <c r="I63" s="227">
        <f t="shared" si="2"/>
        <v>9.8206236933753188E-2</v>
      </c>
      <c r="J63" s="227">
        <f t="shared" si="2"/>
        <v>-5.259787025334952E-2</v>
      </c>
      <c r="K63" s="227">
        <f t="shared" si="2"/>
        <v>5.0426880935700337E-2</v>
      </c>
      <c r="L63" s="227">
        <f t="shared" si="2"/>
        <v>0.2135708560470693</v>
      </c>
      <c r="N63" s="227">
        <f t="shared" ref="N63:AD63" si="3">N62/N79</f>
        <v>0.15179975852574132</v>
      </c>
      <c r="O63" s="227">
        <f t="shared" si="3"/>
        <v>0.29815424167528437</v>
      </c>
      <c r="P63" s="227">
        <f t="shared" si="3"/>
        <v>0.29010670105679315</v>
      </c>
      <c r="Q63" s="227">
        <f t="shared" si="3"/>
        <v>0.22615280879395222</v>
      </c>
      <c r="R63" s="227">
        <f t="shared" si="3"/>
        <v>0.11111281423295007</v>
      </c>
      <c r="S63" s="227">
        <f t="shared" si="3"/>
        <v>0.23884327500468336</v>
      </c>
      <c r="T63" s="227">
        <f t="shared" si="3"/>
        <v>0.1946315021548414</v>
      </c>
      <c r="U63" s="227">
        <f t="shared" si="3"/>
        <v>7.2686695865793266E-2</v>
      </c>
      <c r="V63" s="227">
        <f t="shared" si="3"/>
        <v>7.3603878418969385E-2</v>
      </c>
      <c r="W63" s="227">
        <f t="shared" si="3"/>
        <v>0.16788730883448835</v>
      </c>
      <c r="X63" s="227">
        <f t="shared" si="3"/>
        <v>0.13001672703102773</v>
      </c>
      <c r="Y63" s="227">
        <f t="shared" si="3"/>
        <v>-3.5225728916774564E-2</v>
      </c>
      <c r="Z63" s="227">
        <f t="shared" si="3"/>
        <v>6.4837721583964877E-2</v>
      </c>
      <c r="AA63" s="227">
        <f t="shared" si="3"/>
        <v>0.15812899816617487</v>
      </c>
      <c r="AB63" s="227">
        <f t="shared" si="3"/>
        <v>8.6704078022544706E-2</v>
      </c>
      <c r="AC63" s="227">
        <f t="shared" si="3"/>
        <v>5.9491087649512685E-2</v>
      </c>
      <c r="AD63" s="227">
        <f t="shared" si="3"/>
        <v>0.10431390703238859</v>
      </c>
    </row>
    <row r="64" spans="1:30" s="228" customFormat="1" x14ac:dyDescent="0.2">
      <c r="A64" s="242"/>
      <c r="B64" s="284" t="s">
        <v>424</v>
      </c>
      <c r="C64" s="285"/>
      <c r="D64" s="241" t="s">
        <v>423</v>
      </c>
      <c r="E64" s="227">
        <f>(IS_NG!D6*(1-IS_NG!D13))/BS!D70</f>
        <v>-0.32349975405804232</v>
      </c>
      <c r="F64" s="227">
        <f>(IS_NG!E6*(1-IS_NG!E13))/BS!E70</f>
        <v>0.59741991986429999</v>
      </c>
      <c r="G64" s="227">
        <f>(IS_NG!F6*(1-IS_NG!F13))/BS!F70</f>
        <v>0.40942869338251703</v>
      </c>
      <c r="H64" s="227">
        <f>(IS_NG!G6*(1-IS_NG!G13))/BS!G70</f>
        <v>0.36403978532976156</v>
      </c>
      <c r="I64" s="227">
        <f>(IS_NG!H6*(1-IS_NG!H13))/BS!H70</f>
        <v>0.17265361041787236</v>
      </c>
      <c r="J64" s="227">
        <f>(IS_NG!I6*(1-IS_NG!I13))/BS!I70</f>
        <v>0.16131350584582335</v>
      </c>
      <c r="K64" s="227">
        <f>(IS_NG!J6*(1-IS_NG!J13))/BS!J70</f>
        <v>0.12345678448734428</v>
      </c>
      <c r="L64" s="227">
        <f>(IS_NG!K6*(1-IS_NG!K13))/BS!AG70</f>
        <v>0.12233399950672573</v>
      </c>
      <c r="N64" s="227">
        <f>(IS_NG!Q6*4*(1-IS_NG!Q13))/BS!Q70</f>
        <v>0.48702903999920399</v>
      </c>
      <c r="O64" s="227">
        <f>(IS_NG!R6*4*(1-IS_NG!R13))/BS!R70</f>
        <v>0.61167488860769137</v>
      </c>
      <c r="P64" s="227">
        <f>(IS_NG!S6*4*(1-IS_NG!S13))/BS!S70</f>
        <v>0.55730238833243673</v>
      </c>
      <c r="Q64" s="227">
        <f>(IS_NG!T6*4*(1-IS_NG!T13))/BS!T70</f>
        <v>0.30448300070203588</v>
      </c>
      <c r="R64" s="227">
        <f>(IS_NG!U6*4*(1-IS_NG!U13))/BS!U70</f>
        <v>0.18471312570882331</v>
      </c>
      <c r="S64" s="227">
        <f>(IS_NG!V6*4*(1-IS_NG!V13))/BS!V70</f>
        <v>0.22762705454836876</v>
      </c>
      <c r="T64" s="227">
        <f>(IS_NG!W6*4*(1-IS_NG!W13))/BS!W70</f>
        <v>0.20692111049494732</v>
      </c>
      <c r="U64" s="227">
        <f>(IS_NG!X6*4*(1-IS_NG!X13))/BS!X70</f>
        <v>0.11606700890944431</v>
      </c>
      <c r="V64" s="227">
        <f>(IS_NG!Y6*4*(1-IS_NG!Y13))/BS!Y70</f>
        <v>0.10080393530717345</v>
      </c>
      <c r="W64" s="227">
        <f>(IS_NG!Z6*4*(1-IS_NG!Z13))/BS!Z70</f>
        <v>0.20954293280732292</v>
      </c>
      <c r="X64" s="227">
        <f>(IS_NG!AA6*4*(1-IS_NG!AA13))/BS!AA70</f>
        <v>0.14819486379150193</v>
      </c>
      <c r="Y64" s="227">
        <f>(IS_NG!AB6*4*(1-IS_NG!AB13))/BS!AB70</f>
        <v>0.12043829549446033</v>
      </c>
      <c r="Z64" s="227">
        <f>(IS_NG!AC6*4*(1-IS_NG!AC13))/BS!AC70</f>
        <v>0.10275902398779339</v>
      </c>
      <c r="AA64" s="227">
        <f>(IS_NG!AD6*4*(1-IS_NG!AD13))/BS!AD70</f>
        <v>0.19260079476989853</v>
      </c>
      <c r="AB64" s="227">
        <f>(IS_NG!AE6*4*(1-IS_NG!AE13))/BS!AE70</f>
        <v>0.13612718083366998</v>
      </c>
      <c r="AC64" s="227">
        <f>(IS_NG!AF6*4*(1-IS_NG!AF13))/BS!AF70</f>
        <v>0.11152144285976624</v>
      </c>
      <c r="AD64" s="227">
        <f>(IS_NG!AG6*4*(1-IS_NG!AG13))/BS!AG70</f>
        <v>7.4915475852312105E-2</v>
      </c>
    </row>
    <row r="65" spans="1:30" s="228" customFormat="1" x14ac:dyDescent="0.2">
      <c r="A65" s="242"/>
      <c r="B65" s="284" t="s">
        <v>422</v>
      </c>
      <c r="C65" s="285"/>
      <c r="D65" s="241" t="s">
        <v>421</v>
      </c>
      <c r="E65" s="227">
        <f>IS_NG!D6/(AVERAGE(BS!C30:D30)-AVERAGE(BS!C40:D40))</f>
        <v>9.5702796379176905E-2</v>
      </c>
      <c r="F65" s="227">
        <f>IS_NG!E6/(AVERAGE(BS!D30:E30)-AVERAGE(BS!D40:E40))</f>
        <v>0.15084591934095087</v>
      </c>
      <c r="G65" s="227">
        <f>IS_NG!F6/(AVERAGE(BS!E30:F30)-AVERAGE(BS!E40:F40))</f>
        <v>0.17405177294014718</v>
      </c>
      <c r="H65" s="227">
        <f>IS_NG!G6/(AVERAGE(BS!F30:G30)-AVERAGE(BS!F40:G40))</f>
        <v>0.22540267054509447</v>
      </c>
      <c r="I65" s="227">
        <f>IS_NG!H6/(AVERAGE(BS!G30:H30)-AVERAGE(BS!G40:H40))</f>
        <v>0.16637124023707972</v>
      </c>
      <c r="J65" s="227">
        <f>IS_NG!I6/(AVERAGE(BS!H30:I30)-AVERAGE(BS!H40:I40))</f>
        <v>0.13270256184099746</v>
      </c>
      <c r="K65" s="227">
        <f>IS_NG!J6/(AVERAGE(BS!I30:J30)-AVERAGE(BS!I40:J40))</f>
        <v>8.6321032148264948E-2</v>
      </c>
      <c r="L65" s="227">
        <f>IS_NG!K6/(AVERAGE(BS!AF30:AG30)-AVERAGE(BS!AF40:AG40))</f>
        <v>8.00268514300784E-2</v>
      </c>
      <c r="N65" s="227">
        <f>IS_NG!Q6*4/(AVERAGE(BS!P30:Q30)-AVERAGE(BS!P40:Q40))</f>
        <v>0.19582304064675499</v>
      </c>
      <c r="O65" s="227">
        <f>IS_NG!R6*4/(AVERAGE(BS!Q30:R30)-AVERAGE(BS!Q40:R40))</f>
        <v>0.25404015670910873</v>
      </c>
      <c r="P65" s="227">
        <f>IS_NG!S6*4/(AVERAGE(BS!R30:S30)-AVERAGE(BS!R40:S40))</f>
        <v>0.25694228000653041</v>
      </c>
      <c r="Q65" s="227">
        <f>IS_NG!T6*4/(AVERAGE(BS!S30:T30)-AVERAGE(BS!S40:T40))</f>
        <v>0.17507640851161987</v>
      </c>
      <c r="R65" s="227">
        <f>IS_NG!U6*4/(AVERAGE(BS!T30:U30)-AVERAGE(BS!T40:U40))</f>
        <v>0.16577863540796636</v>
      </c>
      <c r="S65" s="227">
        <f>IS_NG!V6*4/(AVERAGE(BS!U30:V30)-AVERAGE(BS!U40:V40))</f>
        <v>0.20529632874544274</v>
      </c>
      <c r="T65" s="227">
        <f>IS_NG!W6*4/(AVERAGE(BS!V30:W30)-AVERAGE(BS!V40:W40))</f>
        <v>0.18979768666877553</v>
      </c>
      <c r="U65" s="227">
        <f>IS_NG!X6*4/(AVERAGE(BS!W30:X30)-AVERAGE(BS!W40:X40))</f>
        <v>0.11116968787596145</v>
      </c>
      <c r="V65" s="227">
        <f>IS_NG!Y6*4/(AVERAGE(BS!X30:Y30)-AVERAGE(BS!X40:Y40))</f>
        <v>9.183468686030799E-2</v>
      </c>
      <c r="W65" s="227">
        <f>IS_NG!Z6*4/(AVERAGE(BS!Y30:Z30)-AVERAGE(BS!Y40:Z40))</f>
        <v>0.19333467444511501</v>
      </c>
      <c r="X65" s="227">
        <f>IS_NG!AA6*4/(AVERAGE(BS!Z30:AA30)-AVERAGE(BS!Z40:AA40))</f>
        <v>0.14672084824672355</v>
      </c>
      <c r="Y65" s="227">
        <f>IS_NG!AB6*4/(AVERAGE(BS!AA30:AB30)-AVERAGE(BS!AA40:AB40))</f>
        <v>0.1010185048509816</v>
      </c>
      <c r="Z65" s="227">
        <f>IS_NG!AC6*4/(AVERAGE(BS!AB30:AC30)-AVERAGE(BS!AB40:AC40))</f>
        <v>6.7409327127912186E-2</v>
      </c>
      <c r="AA65" s="227">
        <f>IS_NG!AD6*4/(AVERAGE(BS!AC30:AD30)-AVERAGE(BS!AC40:AD40))</f>
        <v>0.13070266528210453</v>
      </c>
      <c r="AB65" s="227">
        <f>IS_NG!AE6*4/(AVERAGE(BS!AD30:AE30)-AVERAGE(BS!AD40:AE40))</f>
        <v>9.5902547065337768E-2</v>
      </c>
      <c r="AC65" s="227">
        <f>IS_NG!AF6*4/(AVERAGE(BS!AE30:AF30)-AVERAGE(BS!AE40:AF40))</f>
        <v>7.9115410493709612E-2</v>
      </c>
      <c r="AD65" s="227">
        <f>IS_NG!AG6*4/(AVERAGE(BS!AF30:AG30)-AVERAGE(BS!AF40:AG40))</f>
        <v>4.9195655822205177E-2</v>
      </c>
    </row>
    <row r="66" spans="1:30" s="228" customFormat="1" x14ac:dyDescent="0.2">
      <c r="A66" s="286"/>
      <c r="B66" s="258" t="s">
        <v>420</v>
      </c>
      <c r="C66" s="242"/>
      <c r="D66" s="241" t="s">
        <v>419</v>
      </c>
      <c r="E66" s="227">
        <f>1-(CF!D59/IS!D43)</f>
        <v>1</v>
      </c>
      <c r="F66" s="227">
        <f>1-(CF!E59/IS!E43)</f>
        <v>1</v>
      </c>
      <c r="G66" s="227">
        <f>1-(CF!F59/IS!F43)</f>
        <v>0.94910941475826971</v>
      </c>
      <c r="H66" s="227">
        <f>1-(CF!G59/IS!G43)</f>
        <v>0.96386630532971995</v>
      </c>
      <c r="I66" s="227">
        <f>1-(CF!H59/IS!H43)</f>
        <v>0.91397849462365588</v>
      </c>
      <c r="J66" s="227">
        <f>1-(CF!I59/IS!I43)</f>
        <v>0.84674329501915713</v>
      </c>
      <c r="K66" s="227">
        <f>1-(CF!J59/IS!J43)</f>
        <v>0.86798679867986794</v>
      </c>
      <c r="L66" s="227">
        <f>1-(CF!K59/IS!K43)</f>
        <v>0.86928104575163401</v>
      </c>
      <c r="N66" s="227">
        <f>1-(CF!Q59/IS!Q43)</f>
        <v>0.92489342914070571</v>
      </c>
      <c r="O66" s="227">
        <f>1-(CF!R59/IS!R43)</f>
        <v>0.95895252737234582</v>
      </c>
      <c r="P66" s="227">
        <f>1-(CF!S59/IS!S43)</f>
        <v>0.96106286829991294</v>
      </c>
      <c r="Q66" s="227">
        <f>1-(CF!T59/IS!T43)</f>
        <v>0.97803989333976193</v>
      </c>
      <c r="R66" s="227">
        <f>1-(CF!U59/IS!U43)</f>
        <v>0.91228070175438591</v>
      </c>
      <c r="S66" s="227">
        <f>1-(CF!V59/IS!V43)</f>
        <v>0.94047619047619047</v>
      </c>
      <c r="T66" s="227">
        <f>1-(CF!W59/IS!W43)</f>
        <v>0.9285714285714286</v>
      </c>
      <c r="U66" s="227">
        <f>1-(CF!X59/IS!X43)</f>
        <v>0.76744186046511653</v>
      </c>
      <c r="V66" s="227">
        <f>1-(CF!Y59/IS!Y43)</f>
        <v>0.85074626865671643</v>
      </c>
      <c r="W66" s="227">
        <f>1-(CF!Z59/IS!Z43)</f>
        <v>0.94285714285714284</v>
      </c>
      <c r="X66" s="227">
        <f>1-(CF!AA59/IS!AA43)</f>
        <v>0.92647058823529416</v>
      </c>
      <c r="Y66" s="227">
        <f>1-(CF!AB59/IS!AB43)</f>
        <v>1.0819672131147542</v>
      </c>
      <c r="Z66" s="227">
        <f>1-(CF!AC59/IS!AC43)</f>
        <v>0.70588235294117641</v>
      </c>
      <c r="AA66" s="227">
        <f>1-(CF!AD59/IS!AD43)</f>
        <v>0.91803278688524592</v>
      </c>
      <c r="AB66" s="227">
        <f>1-(CF!AE59/IS!AE43)</f>
        <v>0.86486486486486491</v>
      </c>
      <c r="AC66" s="227">
        <f>1-(CF!AF59/IS!AF43)</f>
        <v>0.85507246376811596</v>
      </c>
      <c r="AD66" s="227">
        <f>1-(CF!AG59/IS!AG43)</f>
        <v>0.75609756097560976</v>
      </c>
    </row>
    <row r="67" spans="1:30" s="228" customFormat="1" x14ac:dyDescent="0.2">
      <c r="A67" s="242"/>
      <c r="B67" s="284" t="s">
        <v>418</v>
      </c>
      <c r="C67" s="285"/>
      <c r="D67" s="241" t="s">
        <v>417</v>
      </c>
      <c r="E67" s="227">
        <f>IS_NG!D14/(BS!D19+BS!D11-BS!D40)</f>
        <v>3.5505539562069269E-2</v>
      </c>
      <c r="F67" s="227">
        <f>IS_NG!E14/(BS!E19+BS!E11-BS!E40)</f>
        <v>9.8553802588996764E-2</v>
      </c>
      <c r="G67" s="227">
        <f>IS_NG!F14/(BS!F19+BS!F11-BS!F40)</f>
        <v>0.1952403173121792</v>
      </c>
      <c r="H67" s="227">
        <f>IS_NG!G14/(BS!G19+BS!G11-BS!G40)</f>
        <v>0.26241105064880704</v>
      </c>
      <c r="I67" s="227">
        <f>IS_NG!H14/(BS!H19+BS!H11-BS!H40)</f>
        <v>0.11491796747673029</v>
      </c>
      <c r="J67" s="227">
        <f>IS_NG!I14/(BS!I19+BS!I11-BS!I40)</f>
        <v>9.2756942456341251E-2</v>
      </c>
      <c r="K67" s="227">
        <f>IS_NG!J14/(BS!J19+BS!J11-BS!J40)</f>
        <v>8.5920694833394207E-2</v>
      </c>
      <c r="L67" s="227">
        <f>IS_NG!K14/(BS!AG19+BS!AG11-BS!AG40)</f>
        <v>8.6065044152487613E-2</v>
      </c>
      <c r="N67" s="227">
        <f>IS_NG!Q14*4/(BS!Q19+BS!Q11-BS!Q40)</f>
        <v>0.20770323335282814</v>
      </c>
      <c r="O67" s="227">
        <f>IS_NG!R14*4/(BS!R19+BS!R11-BS!R40)</f>
        <v>0.30453350854139288</v>
      </c>
      <c r="P67" s="227">
        <f>IS_NG!S14*4/(BS!S19+BS!S11-BS!S40)</f>
        <v>0.29182954677400624</v>
      </c>
      <c r="Q67" s="227">
        <f>IS_NG!T14*4/(BS!T19+BS!T11-BS!T40)</f>
        <v>0.21532021766429468</v>
      </c>
      <c r="R67" s="227">
        <f>IS_NG!U14*4/(BS!U19+BS!U11-BS!U40)</f>
        <v>0.12666611474459807</v>
      </c>
      <c r="S67" s="227">
        <f>IS_NG!V14*4/(BS!V19+BS!V11-BS!V40)</f>
        <v>0.15472602210371744</v>
      </c>
      <c r="T67" s="227">
        <f>IS_NG!W14*4/(BS!W19+BS!W11-BS!W40)</f>
        <v>0.13915507662478094</v>
      </c>
      <c r="U67" s="227">
        <f>IS_NG!X14*4/(BS!X19+BS!X11-BS!X40)</f>
        <v>6.8813154177682814E-2</v>
      </c>
      <c r="V67" s="227">
        <f>IS_NG!Y14*4/(BS!Y19+BS!Y11-BS!Y40)</f>
        <v>5.9932684303861603E-2</v>
      </c>
      <c r="W67" s="227">
        <f>IS_NG!Z14*4/(BS!Z19+BS!Z11-BS!Z40)</f>
        <v>0.14410151629207441</v>
      </c>
      <c r="X67" s="227">
        <f>IS_NG!AA14*4/(BS!AA19+BS!AA11-BS!AA40)</f>
        <v>0.10412054559737199</v>
      </c>
      <c r="Y67" s="227">
        <f>IS_NG!AB14*4/(BS!AB19+BS!AB11-BS!AB40)</f>
        <v>6.3555682794159754E-2</v>
      </c>
      <c r="Z67" s="227">
        <f>IS_NG!AC14*4/(BS!AC19+BS!AC11-BS!AC40)</f>
        <v>5.2300170382991333E-2</v>
      </c>
      <c r="AA67" s="227">
        <f>IS_NG!AD14*4/(BS!AD19+BS!AD11-BS!AD40)</f>
        <v>0.11243548327206565</v>
      </c>
      <c r="AB67" s="227">
        <f>IS_NG!AE14*4/(BS!AE19+BS!AE11-BS!AE40)</f>
        <v>7.6425674935155077E-2</v>
      </c>
      <c r="AC67" s="227">
        <f>IS_NG!AF14*4/(BS!AF19+BS!AF11-BS!AF40)</f>
        <v>7.8087584723405976E-2</v>
      </c>
      <c r="AD67" s="227">
        <f>IS_NG!AG14*4/(BS!AG19+BS!AG11-BS!AG40)</f>
        <v>4.0835666594874004E-2</v>
      </c>
    </row>
    <row r="68" spans="1:30" s="228" customFormat="1" ht="4.5" customHeight="1" x14ac:dyDescent="0.2">
      <c r="A68" s="247"/>
      <c r="B68" s="242"/>
      <c r="C68" s="246"/>
      <c r="D68" s="241"/>
      <c r="E68" s="245"/>
      <c r="F68" s="245"/>
      <c r="G68" s="245"/>
      <c r="H68" s="245"/>
      <c r="I68" s="245"/>
      <c r="J68" s="245"/>
      <c r="K68" s="245"/>
      <c r="L68" s="245"/>
      <c r="N68" s="245"/>
      <c r="O68" s="245"/>
      <c r="P68" s="245"/>
      <c r="Q68" s="245"/>
      <c r="R68" s="245"/>
      <c r="S68" s="245"/>
      <c r="T68" s="245"/>
      <c r="U68" s="245"/>
      <c r="V68" s="245"/>
      <c r="W68" s="245"/>
      <c r="X68" s="245"/>
      <c r="Y68" s="245"/>
      <c r="Z68" s="245"/>
      <c r="AA68" s="245"/>
      <c r="AB68" s="245"/>
      <c r="AC68" s="245"/>
      <c r="AD68" s="245"/>
    </row>
    <row r="69" spans="1:30" s="248" customFormat="1" x14ac:dyDescent="0.2">
      <c r="A69" s="243" t="s">
        <v>416</v>
      </c>
      <c r="B69" s="258"/>
      <c r="C69" s="83"/>
      <c r="D69" s="241"/>
      <c r="E69" s="227"/>
      <c r="F69" s="227"/>
      <c r="G69" s="227"/>
      <c r="H69" s="227"/>
      <c r="I69" s="227"/>
      <c r="J69" s="227"/>
      <c r="K69" s="227"/>
      <c r="L69" s="227"/>
      <c r="M69" s="228"/>
      <c r="N69" s="227"/>
      <c r="O69" s="227"/>
      <c r="P69" s="227"/>
      <c r="Q69" s="227"/>
      <c r="R69" s="227"/>
      <c r="S69" s="227"/>
      <c r="T69" s="227"/>
      <c r="U69" s="227"/>
      <c r="V69" s="227"/>
      <c r="W69" s="227"/>
      <c r="X69" s="227"/>
      <c r="Y69" s="227"/>
      <c r="Z69" s="227"/>
      <c r="AA69" s="227"/>
      <c r="AB69" s="227"/>
      <c r="AC69" s="227"/>
      <c r="AD69" s="227"/>
    </row>
    <row r="70" spans="1:30" s="248" customFormat="1" x14ac:dyDescent="0.2">
      <c r="A70" s="83"/>
      <c r="B70" s="284" t="s">
        <v>415</v>
      </c>
      <c r="C70" s="283"/>
      <c r="D70" s="241"/>
      <c r="E70" s="253">
        <f t="shared" ref="E70:L70" si="4">E75*E74*E73*E72*E71</f>
        <v>-5.3914425751755202E-2</v>
      </c>
      <c r="F70" s="253">
        <f t="shared" si="4"/>
        <v>-0.3636872550849039</v>
      </c>
      <c r="G70" s="253">
        <f t="shared" si="4"/>
        <v>-11.785915492957749</v>
      </c>
      <c r="H70" s="253">
        <f t="shared" si="4"/>
        <v>1.6376698014629045</v>
      </c>
      <c r="I70" s="253">
        <f t="shared" si="4"/>
        <v>0.67367303609341833</v>
      </c>
      <c r="J70" s="253">
        <f t="shared" si="4"/>
        <v>1.7251247920133106</v>
      </c>
      <c r="K70" s="253">
        <f t="shared" si="4"/>
        <v>-4.4615384615384617</v>
      </c>
      <c r="L70" s="253">
        <f t="shared" si="4"/>
        <v>-4.9639751552795026</v>
      </c>
      <c r="M70" s="228"/>
      <c r="N70" s="253">
        <f t="shared" ref="N70:AD70" si="5">N75*N74*N73*N72*N71</f>
        <v>2.0781609195402302</v>
      </c>
      <c r="O70" s="253">
        <f t="shared" si="5"/>
        <v>2.3175000000000003</v>
      </c>
      <c r="P70" s="253">
        <f t="shared" si="5"/>
        <v>2.0383887537172214</v>
      </c>
      <c r="Q70" s="253">
        <f t="shared" si="5"/>
        <v>1.0948174949451954</v>
      </c>
      <c r="R70" s="253">
        <f t="shared" si="5"/>
        <v>0.59159014016433065</v>
      </c>
      <c r="S70" s="253">
        <f t="shared" si="5"/>
        <v>0.88760806916426516</v>
      </c>
      <c r="T70" s="253">
        <f t="shared" si="5"/>
        <v>0.85763529817304396</v>
      </c>
      <c r="U70" s="253">
        <f t="shared" si="5"/>
        <v>0.46477495107632094</v>
      </c>
      <c r="V70" s="253">
        <f t="shared" si="5"/>
        <v>0.45733222866611428</v>
      </c>
      <c r="W70" s="253">
        <f t="shared" si="5"/>
        <v>1.1210262130507529</v>
      </c>
      <c r="X70" s="253">
        <f t="shared" si="5"/>
        <v>0.76105963721779968</v>
      </c>
      <c r="Y70" s="253">
        <f t="shared" si="5"/>
        <v>1.1212121212121213</v>
      </c>
      <c r="Z70" s="253">
        <f t="shared" si="5"/>
        <v>-1.5706340378197994</v>
      </c>
      <c r="AA70" s="253">
        <f t="shared" si="5"/>
        <v>-3.2093269740328574</v>
      </c>
      <c r="AB70" s="253">
        <f t="shared" si="5"/>
        <v>-2.9116214335421011</v>
      </c>
      <c r="AC70" s="253">
        <f t="shared" si="5"/>
        <v>-5.221166892808685</v>
      </c>
      <c r="AD70" s="253">
        <f t="shared" si="5"/>
        <v>-2.35527950310559</v>
      </c>
    </row>
    <row r="71" spans="1:30" s="248" customFormat="1" x14ac:dyDescent="0.2">
      <c r="A71" s="279"/>
      <c r="B71" s="258" t="s">
        <v>414</v>
      </c>
      <c r="C71" s="83"/>
      <c r="D71" s="241"/>
      <c r="E71" s="253">
        <f>100%-(IS_NG!D12/IS_NG!D10)</f>
        <v>0.76074766355140189</v>
      </c>
      <c r="F71" s="253">
        <f>100%-(IS_NG!E12/IS_NG!E10)</f>
        <v>0.88792710706150346</v>
      </c>
      <c r="G71" s="253">
        <f>100%-(IS_NG!F12/IS_NG!F10)</f>
        <v>1.0038387715930903</v>
      </c>
      <c r="H71" s="253">
        <f>100%-(IS_NG!G12/IS_NG!G10)</f>
        <v>0.99666136724960253</v>
      </c>
      <c r="I71" s="253">
        <f>100%-(IS_NG!H12/IS_NG!H10)</f>
        <v>0.62571484914218101</v>
      </c>
      <c r="J71" s="253">
        <f>100%-(IS_NG!I12/IS_NG!I10)</f>
        <v>0.62442784871115387</v>
      </c>
      <c r="K71" s="253">
        <f>100%-(IS_NG!J12/IS_NG!J10)</f>
        <v>0.75878136200716839</v>
      </c>
      <c r="L71" s="253">
        <f>100%-(IS_NG!K12/IS_NG!K10)</f>
        <v>0.75767918088737196</v>
      </c>
      <c r="M71" s="228"/>
      <c r="N71" s="253">
        <f>100%-(IS_NG!Q12/IS_NG!Q10)</f>
        <v>0.99839357429718878</v>
      </c>
      <c r="O71" s="253">
        <f>100%-(IS_NG!R12/IS_NG!R10)</f>
        <v>0.99570354457572507</v>
      </c>
      <c r="P71" s="253">
        <f>100%-(IS_NG!S12/IS_NG!S10)</f>
        <v>0.99472295514511877</v>
      </c>
      <c r="Q71" s="253">
        <f>100%-(IS_NG!T12/IS_NG!T10)</f>
        <v>1</v>
      </c>
      <c r="R71" s="253">
        <f>100%-(IS_NG!U12/IS_NG!U10)</f>
        <v>0.62653562653562656</v>
      </c>
      <c r="S71" s="253">
        <f>100%-(IS_NG!V12/IS_NG!V10)</f>
        <v>0.62797992471769137</v>
      </c>
      <c r="T71" s="253">
        <f>100%-(IS_NG!W12/IS_NG!W10)</f>
        <v>0.62913014160485503</v>
      </c>
      <c r="U71" s="253">
        <f>100%-(IS_NG!X12/IS_NG!X10)</f>
        <v>0.61448900388098315</v>
      </c>
      <c r="V71" s="253">
        <f>100%-(IS_NG!Y12/IS_NG!Y10)</f>
        <v>0.62632375189107414</v>
      </c>
      <c r="W71" s="253">
        <f>100%-(IS_NG!Z12/IS_NG!Z10)</f>
        <v>0.63048933500627347</v>
      </c>
      <c r="X71" s="253">
        <f>100%-(IS_NG!AA12/IS_NG!AA10)</f>
        <v>0.62148337595907921</v>
      </c>
      <c r="Y71" s="253">
        <f>100%-(IS_NG!AB12/IS_NG!AB10)</f>
        <v>0.61495844875346262</v>
      </c>
      <c r="Z71" s="253">
        <f>100%-(IS_NG!AC12/IS_NG!AC10)</f>
        <v>0.76241900647948158</v>
      </c>
      <c r="AA71" s="253">
        <f>100%-(IS_NG!AD12/IS_NG!AD10)</f>
        <v>0.75624375624375628</v>
      </c>
      <c r="AB71" s="253">
        <f>100%-(IS_NG!AE12/IS_NG!AE10)</f>
        <v>0.76017441860465118</v>
      </c>
      <c r="AC71" s="253">
        <f>100%-(IS_NG!AF12/IS_NG!AF10)</f>
        <v>0.75867507886435326</v>
      </c>
      <c r="AD71" s="253">
        <f>100%-(IS_NG!AG12/IS_NG!AG10)</f>
        <v>0.75477707006369421</v>
      </c>
    </row>
    <row r="72" spans="1:30" s="248" customFormat="1" x14ac:dyDescent="0.2">
      <c r="A72" s="83"/>
      <c r="B72" s="258" t="s">
        <v>413</v>
      </c>
      <c r="C72" s="83"/>
      <c r="D72" s="241"/>
      <c r="E72" s="253">
        <f>IS_NG!D10/IS_NG!D6</f>
        <v>0.37623066104078762</v>
      </c>
      <c r="F72" s="253">
        <f>IS_NG!E10/IS_NG!E6</f>
        <v>0.67726010490589328</v>
      </c>
      <c r="G72" s="253">
        <f>IS_NG!F10/IS_NG!F6</f>
        <v>0.82160457323082992</v>
      </c>
      <c r="H72" s="253">
        <f>IS_NG!G10/IS_NG!G6</f>
        <v>0.86353651839648549</v>
      </c>
      <c r="I72" s="253">
        <f>IS_NG!H10/IS_NG!H6</f>
        <v>0.84418178791410026</v>
      </c>
      <c r="J72" s="253">
        <f>IS_NG!I10/IS_NG!I6</f>
        <v>0.83605236656596171</v>
      </c>
      <c r="K72" s="253">
        <f>IS_NG!J10/IS_NG!J6</f>
        <v>0.80893012467381853</v>
      </c>
      <c r="L72" s="253">
        <f>IS_NG!K10/IS_NG!K6</f>
        <v>0.7899940083882564</v>
      </c>
      <c r="M72" s="228"/>
      <c r="N72" s="253">
        <f>IS_NG!Q10/IS_NG!Q6</f>
        <v>0.81585845347313235</v>
      </c>
      <c r="O72" s="253">
        <f>IS_NG!R10/IS_NG!R6</f>
        <v>0.89734939759036147</v>
      </c>
      <c r="P72" s="253">
        <f>IS_NG!S10/IS_NG!S6</f>
        <v>0.87569316081330872</v>
      </c>
      <c r="Q72" s="253">
        <f>IS_NG!T10/IS_NG!T6</f>
        <v>0.84716732542819495</v>
      </c>
      <c r="R72" s="253">
        <f>IS_NG!U10/IS_NG!U6</f>
        <v>0.84850590687977767</v>
      </c>
      <c r="S72" s="253">
        <f>IS_NG!V10/IS_NG!V6</f>
        <v>0.8777533039647577</v>
      </c>
      <c r="T72" s="253">
        <f>IS_NG!W10/IS_NG!W6</f>
        <v>0.85971014492753628</v>
      </c>
      <c r="U72" s="253">
        <f>IS_NG!X10/IS_NG!X6</f>
        <v>0.75194552529182879</v>
      </c>
      <c r="V72" s="253">
        <f>IS_NG!Y10/IS_NG!Y6</f>
        <v>0.77039627039627034</v>
      </c>
      <c r="W72" s="253">
        <f>IS_NG!Z10/IS_NG!Z6</f>
        <v>0.88457269700332963</v>
      </c>
      <c r="X72" s="253">
        <f>IS_NG!AA10/IS_NG!AA6</f>
        <v>0.86060161408657376</v>
      </c>
      <c r="Y72" s="253">
        <f>IS_NG!AB10/IS_NG!AB6</f>
        <v>0.76726886291179597</v>
      </c>
      <c r="Z72" s="253">
        <f>IS_NG!AC10/IS_NG!AC6</f>
        <v>0.74557165861513686</v>
      </c>
      <c r="AA72" s="253">
        <f>IS_NG!AD10/IS_NG!AD6</f>
        <v>0.84830508474576272</v>
      </c>
      <c r="AB72" s="253">
        <f>IS_NG!AE10/IS_NG!AE6</f>
        <v>0.79445727482678985</v>
      </c>
      <c r="AC72" s="253">
        <f>IS_NG!AF10/IS_NG!AF6</f>
        <v>0.81386392811296537</v>
      </c>
      <c r="AD72" s="253">
        <f>IS_NG!AG10/IS_NG!AG6</f>
        <v>0.61208576998050679</v>
      </c>
    </row>
    <row r="73" spans="1:30" s="248" customFormat="1" x14ac:dyDescent="0.2">
      <c r="A73" s="83"/>
      <c r="B73" s="258" t="s">
        <v>412</v>
      </c>
      <c r="C73" s="83"/>
      <c r="D73" s="241"/>
      <c r="E73" s="253">
        <f>IS_NG!D6/IS_NG!D4</f>
        <v>3.6820300362506476E-2</v>
      </c>
      <c r="F73" s="253">
        <f>IS_NG!E6/IS_NG!E4</f>
        <v>8.0246607903337625E-2</v>
      </c>
      <c r="G73" s="253">
        <f>IS_NG!F6/IS_NG!F4</f>
        <v>0.11894490035169988</v>
      </c>
      <c r="H73" s="253">
        <f>IS_NG!G6/IS_NG!G4</f>
        <v>0.1777018785069529</v>
      </c>
      <c r="I73" s="253">
        <f>IS_NG!H6/IS_NG!H4</f>
        <v>0.14950223992035838</v>
      </c>
      <c r="J73" s="253">
        <f>IS_NG!I6/IS_NG!I4</f>
        <v>0.1164891370653653</v>
      </c>
      <c r="K73" s="253">
        <f>IS_NG!J6/IS_NG!J4</f>
        <v>7.7434274039648865E-2</v>
      </c>
      <c r="L73" s="253">
        <f>IS_NG!K6/IS_NG!K4</f>
        <v>7.463554243806457E-2</v>
      </c>
      <c r="M73" s="228"/>
      <c r="N73" s="253">
        <f>IS_NG!Q6/IS_NG!Q4</f>
        <v>0.15528645568332147</v>
      </c>
      <c r="O73" s="253">
        <f>IS_NG!R6/IS_NG!R4</f>
        <v>0.19165050337120162</v>
      </c>
      <c r="P73" s="253">
        <f>IS_NG!S6/IS_NG!S4</f>
        <v>0.20212964692695684</v>
      </c>
      <c r="Q73" s="253">
        <f>IS_NG!T6/IS_NG!T4</f>
        <v>0.15763239875389409</v>
      </c>
      <c r="R73" s="253">
        <f>IS_NG!U6/IS_NG!U4</f>
        <v>0.1525172231054584</v>
      </c>
      <c r="S73" s="253">
        <f>IS_NG!V6/IS_NG!V4</f>
        <v>0.17523883045450159</v>
      </c>
      <c r="T73" s="253">
        <f>IS_NG!W6/IS_NG!W4</f>
        <v>0.16282801585803286</v>
      </c>
      <c r="U73" s="253">
        <f>IS_NG!X6/IS_NG!X4</f>
        <v>0.10501583409949944</v>
      </c>
      <c r="V73" s="253">
        <f>IS_NG!Y6/IS_NG!Y4</f>
        <v>8.7372708757637474E-2</v>
      </c>
      <c r="W73" s="253">
        <f>IS_NG!Z6/IS_NG!Z4</f>
        <v>0.16050592322080698</v>
      </c>
      <c r="X73" s="253">
        <f>IS_NG!AA6/IS_NG!AA4</f>
        <v>0.12430460556315549</v>
      </c>
      <c r="Y73" s="253">
        <f>IS_NG!AB6/IS_NG!AB4</f>
        <v>8.86815568749411E-2</v>
      </c>
      <c r="Z73" s="253">
        <f>IS_NG!AC6/IS_NG!AC4</f>
        <v>5.9705797519469285E-2</v>
      </c>
      <c r="AA73" s="253">
        <f>IS_NG!AD6/IS_NG!AD4</f>
        <v>0.10134844971227347</v>
      </c>
      <c r="AB73" s="253">
        <f>IS_NG!AE6/IS_NG!AE4</f>
        <v>7.491997577645125E-2</v>
      </c>
      <c r="AC73" s="253">
        <f>IS_NG!AF6/IS_NG!AF4</f>
        <v>7.1219601389650763E-2</v>
      </c>
      <c r="AD73" s="253">
        <f>IS_NG!AG6/IS_NG!AG4</f>
        <v>4.8469387755102039E-2</v>
      </c>
    </row>
    <row r="74" spans="1:30" s="248" customFormat="1" x14ac:dyDescent="0.2">
      <c r="A74" s="83"/>
      <c r="B74" s="284" t="s">
        <v>411</v>
      </c>
      <c r="C74" s="283"/>
      <c r="D74" s="241"/>
      <c r="E74" s="253">
        <f>IS_NG!D4/AVERAGE(BS!C30:D30)</f>
        <v>1.6309810380505934</v>
      </c>
      <c r="F74" s="253">
        <f>IS_NG!E4/AVERAGE(BS!D30:E30)</f>
        <v>1.2278227032285522</v>
      </c>
      <c r="G74" s="253">
        <f>IS_NG!F4/AVERAGE(BS!E30:F30)</f>
        <v>0.9976258142989135</v>
      </c>
      <c r="H74" s="253">
        <f>IS_NG!G4/AVERAGE(BS!F30:G30)</f>
        <v>0.89458751636839806</v>
      </c>
      <c r="I74" s="253">
        <f>IS_NG!H4/AVERAGE(BS!G30:H30)</f>
        <v>0.80610699274744457</v>
      </c>
      <c r="J74" s="253">
        <f>IS_NG!I4/AVERAGE(BS!H30:I30)</f>
        <v>0.81918911386809401</v>
      </c>
      <c r="K74" s="253">
        <f>IS_NG!J4/AVERAGE(BS!I30:J30)</f>
        <v>0.7857980858289596</v>
      </c>
      <c r="L74" s="253">
        <f>IS_NG!K4/AVERAGE(BS!AF30:AG30)</f>
        <v>0.73700429276491963</v>
      </c>
      <c r="M74" s="228"/>
      <c r="N74" s="253">
        <f>IS_NG!Q4*4/AVERAGE(BS!P30:Q30)</f>
        <v>0.87371497793929698</v>
      </c>
      <c r="O74" s="253">
        <f>IS_NG!R4*4/AVERAGE(BS!Q30:R30)</f>
        <v>0.91538965568261077</v>
      </c>
      <c r="P74" s="253">
        <f>IS_NG!S4*4/AVERAGE(BS!R30:S30)</f>
        <v>0.88678131762318424</v>
      </c>
      <c r="Q74" s="253">
        <f>IS_NG!T4*4/AVERAGE(BS!S30:T30)</f>
        <v>0.7931638010913209</v>
      </c>
      <c r="R74" s="253">
        <f>IS_NG!U4*4/AVERAGE(BS!T30:U30)</f>
        <v>0.7676660835604735</v>
      </c>
      <c r="S74" s="253">
        <f>IS_NG!V4*4/AVERAGE(BS!U30:V30)</f>
        <v>0.82115689381933443</v>
      </c>
      <c r="T74" s="253">
        <f>IS_NG!W4*4/AVERAGE(BS!V30:W30)</f>
        <v>0.82960874714905197</v>
      </c>
      <c r="U74" s="253">
        <f>IS_NG!X4*4/AVERAGE(BS!W30:X30)</f>
        <v>0.76490008009220367</v>
      </c>
      <c r="V74" s="253">
        <f>IS_NG!Y4*4/AVERAGE(BS!X30:Y30)</f>
        <v>0.75610436858163055</v>
      </c>
      <c r="W74" s="253">
        <f>IS_NG!Z4*4/AVERAGE(BS!Y30:Z30)</f>
        <v>0.84761662089597312</v>
      </c>
      <c r="X74" s="253">
        <f>IS_NG!AA4*4/AVERAGE(BS!Z30:AA30)</f>
        <v>0.82960553070353804</v>
      </c>
      <c r="Y74" s="253">
        <f>IS_NG!AB4*4/AVERAGE(BS!AA30:AB30)</f>
        <v>0.80702755119502601</v>
      </c>
      <c r="Z74" s="253">
        <f>IS_NG!AC4*4/AVERAGE(BS!AB30:AC30)</f>
        <v>0.78450007071135619</v>
      </c>
      <c r="AA74" s="253">
        <f>IS_NG!AD4*4/AVERAGE(BS!AC30:AD30)</f>
        <v>0.8795301316311307</v>
      </c>
      <c r="AB74" s="253">
        <f>IS_NG!AE4*4/AVERAGE(BS!AD30:AE30)</f>
        <v>0.87853539432056771</v>
      </c>
      <c r="AC74" s="253">
        <f>IS_NG!AF4*4/AVERAGE(BS!AE30:AF30)</f>
        <v>0.77290111734310829</v>
      </c>
      <c r="AD74" s="253">
        <f>IS_NG!AG4*4/AVERAGE(BS!AF30:AG30)</f>
        <v>0.69765257442303097</v>
      </c>
    </row>
    <row r="75" spans="1:30" s="248" customFormat="1" x14ac:dyDescent="0.2">
      <c r="A75" s="83"/>
      <c r="B75" s="258" t="s">
        <v>410</v>
      </c>
      <c r="C75" s="83"/>
      <c r="D75" s="241" t="s">
        <v>409</v>
      </c>
      <c r="E75" s="253">
        <f>AVERAGE(BS!C30:D30)/AVERAGE(BS!C60:D60)</f>
        <v>-3.1367068485892173</v>
      </c>
      <c r="F75" s="253">
        <f>AVERAGE(BS!D30:E30)/AVERAGE(BS!D60:E60)</f>
        <v>-6.1380854637059157</v>
      </c>
      <c r="G75" s="253">
        <f>AVERAGE(BS!E30:F30)/AVERAGE(BS!E60:F60)</f>
        <v>-120.42676056338028</v>
      </c>
      <c r="H75" s="253">
        <f>AVERAGE(BS!F30:G30)/AVERAGE(BS!F60:G60)</f>
        <v>11.969696969696969</v>
      </c>
      <c r="I75" s="253">
        <f>AVERAGE(BS!G30:H30)/AVERAGE(BS!G60:H60)</f>
        <v>10.582696390658175</v>
      </c>
      <c r="J75" s="253">
        <f>AVERAGE(BS!H30:I30)/AVERAGE(BS!H60:I60)</f>
        <v>34.628618968386021</v>
      </c>
      <c r="K75" s="253">
        <f>AVERAGE(BS!I30:J30)/AVERAGE(BS!I60:J60)</f>
        <v>-119.45732349841938</v>
      </c>
      <c r="L75" s="253">
        <f>AVERAGE(BS!AF30:AG30)/AVERAGE(BS!AF60:AG60)</f>
        <v>-150.7664596273292</v>
      </c>
      <c r="M75" s="228"/>
      <c r="N75" s="253">
        <f>AVERAGE(BS!P30:Q30)/AVERAGE(BS!P60:Q60)</f>
        <v>18.804388714733541</v>
      </c>
      <c r="O75" s="253">
        <f>AVERAGE(BS!Q30:R30)/AVERAGE(BS!Q60:R60)</f>
        <v>14.7846875</v>
      </c>
      <c r="P75" s="253">
        <f>AVERAGE(BS!R30:S30)/AVERAGE(BS!R60:S60)</f>
        <v>13.055285212219518</v>
      </c>
      <c r="Q75" s="253">
        <f>AVERAGE(BS!S30:T30)/AVERAGE(BS!S60:T60)</f>
        <v>10.336277535383633</v>
      </c>
      <c r="R75" s="253">
        <f>AVERAGE(BS!T30:U30)/AVERAGE(BS!T60:U60)</f>
        <v>9.5044949250845825</v>
      </c>
      <c r="S75" s="253">
        <f>AVERAGE(BS!U30:V30)/AVERAGE(BS!U60:V60)</f>
        <v>11.190423409443582</v>
      </c>
      <c r="T75" s="253">
        <f>AVERAGE(BS!V30:W30)/AVERAGE(BS!V60:W60)</f>
        <v>11.738366080661841</v>
      </c>
      <c r="U75" s="253">
        <f>AVERAGE(BS!W30:X30)/AVERAGE(BS!W60:X60)</f>
        <v>12.522260273972602</v>
      </c>
      <c r="V75" s="253">
        <f>AVERAGE(BS!X30:Y30)/AVERAGE(BS!X60:Y60)</f>
        <v>14.347003590168462</v>
      </c>
      <c r="W75" s="253">
        <f>AVERAGE(BS!Y30:Z30)/AVERAGE(BS!Y60:Z60)</f>
        <v>14.774539877300613</v>
      </c>
      <c r="X75" s="253">
        <f>AVERAGE(BS!Z30:AA30)/AVERAGE(BS!Z60:AA60)</f>
        <v>13.798381834790552</v>
      </c>
      <c r="Y75" s="253">
        <f>AVERAGE(BS!AA30:AB30)/AVERAGE(BS!AA60:AB60)</f>
        <v>33.202651515151516</v>
      </c>
      <c r="Z75" s="253">
        <f>AVERAGE(BS!AB30:AC30)/AVERAGE(BS!AB60:AC60)</f>
        <v>-58.990545050055616</v>
      </c>
      <c r="AA75" s="253">
        <f>AVERAGE(BS!AC30:AD30)/AVERAGE(BS!AC60:AD60)</f>
        <v>-56.12188659247483</v>
      </c>
      <c r="AB75" s="253">
        <f>AVERAGE(BS!AD30:AE30)/AVERAGE(BS!AD60:AE60)</f>
        <v>-73.247738343771744</v>
      </c>
      <c r="AC75" s="253">
        <f>AVERAGE(BS!AE30:AF30)/AVERAGE(BS!AE60:AF60)</f>
        <v>-153.61601085481684</v>
      </c>
      <c r="AD75" s="253">
        <f>AVERAGE(BS!AF30:AG30)/AVERAGE(BS!AF60:AG60)</f>
        <v>-150.7664596273292</v>
      </c>
    </row>
    <row r="76" spans="1:30" s="228" customFormat="1" ht="4.5" customHeight="1" x14ac:dyDescent="0.2">
      <c r="A76" s="247"/>
      <c r="B76" s="242"/>
      <c r="C76" s="246"/>
      <c r="D76" s="241"/>
      <c r="E76" s="245"/>
      <c r="F76" s="245"/>
      <c r="G76" s="245"/>
      <c r="H76" s="245"/>
      <c r="I76" s="245"/>
      <c r="J76" s="245"/>
      <c r="K76" s="245"/>
      <c r="L76" s="245"/>
      <c r="N76" s="245"/>
      <c r="O76" s="245"/>
      <c r="P76" s="245"/>
      <c r="Q76" s="245"/>
      <c r="R76" s="245"/>
      <c r="S76" s="245"/>
      <c r="T76" s="245"/>
      <c r="U76" s="245"/>
      <c r="V76" s="245"/>
      <c r="W76" s="245"/>
      <c r="X76" s="245"/>
      <c r="Y76" s="245"/>
      <c r="Z76" s="245"/>
      <c r="AA76" s="245"/>
      <c r="AB76" s="245"/>
      <c r="AC76" s="245"/>
      <c r="AD76" s="245"/>
    </row>
    <row r="77" spans="1:30" s="248" customFormat="1" x14ac:dyDescent="0.2">
      <c r="A77" s="83" t="s">
        <v>408</v>
      </c>
      <c r="B77" s="258"/>
      <c r="C77" s="83"/>
      <c r="D77" s="241"/>
      <c r="E77" s="227"/>
      <c r="F77" s="227"/>
      <c r="G77" s="227"/>
      <c r="H77" s="227"/>
      <c r="I77" s="227"/>
      <c r="J77" s="227"/>
      <c r="K77" s="227"/>
      <c r="L77" s="227"/>
      <c r="M77" s="228"/>
      <c r="N77" s="227"/>
      <c r="O77" s="227"/>
      <c r="P77" s="227"/>
      <c r="Q77" s="227"/>
      <c r="R77" s="227"/>
      <c r="S77" s="227"/>
      <c r="T77" s="227"/>
      <c r="U77" s="227"/>
      <c r="V77" s="227"/>
      <c r="W77" s="227"/>
      <c r="X77" s="227"/>
      <c r="Y77" s="227"/>
      <c r="Z77" s="227"/>
      <c r="AA77" s="227"/>
      <c r="AB77" s="227"/>
      <c r="AC77" s="227"/>
      <c r="AD77" s="227"/>
    </row>
    <row r="78" spans="1:30" s="248" customFormat="1" x14ac:dyDescent="0.2">
      <c r="A78" s="251"/>
      <c r="B78" s="276" t="s">
        <v>407</v>
      </c>
      <c r="C78" s="275"/>
      <c r="D78" s="250" t="s">
        <v>406</v>
      </c>
      <c r="E78" s="281">
        <f>RATIO!E89/IS_NG!D16</f>
        <v>8.2754668304668311</v>
      </c>
      <c r="F78" s="281">
        <f>RATIO!F89/IS_NG!E16</f>
        <v>3.6302607747562856</v>
      </c>
      <c r="G78" s="281">
        <f>RATIO!G89/IS_NG!F16</f>
        <v>9.4087721052631572</v>
      </c>
      <c r="H78" s="281">
        <f>RATIO!H89/IS_NG!G16</f>
        <v>4.6436401315789473</v>
      </c>
      <c r="I78" s="281">
        <f>RATIO!I89/IS_NG!H16</f>
        <v>8.1768824868651482</v>
      </c>
      <c r="J78" s="281">
        <f>RATIO!J89/IS_NG!I16</f>
        <v>9.8728650853889945</v>
      </c>
      <c r="K78" s="281">
        <f>RATIO!K89/IS_NG!J16</f>
        <v>7.0571428571428569</v>
      </c>
      <c r="L78" s="281">
        <f>RATIO!L89/IS_NG!K16</f>
        <v>7.4328703703703694</v>
      </c>
      <c r="M78" s="228"/>
      <c r="N78" s="281">
        <f>RATIO!N89/SUM(IS_NG!N16:Q16)</f>
        <v>7.6603772133526835</v>
      </c>
      <c r="O78" s="281">
        <f>RATIO!O89/SUM(IS_NG!O16:R16)</f>
        <v>5.3041167330677288</v>
      </c>
      <c r="P78" s="281">
        <f>RATIO!P89/SUM(IS_NG!P16:S16)</f>
        <v>4.4942131944444439</v>
      </c>
      <c r="Q78" s="281">
        <f>RATIO!Q89/SUM(IS_NG!Q16:T16)</f>
        <v>4.6436401315789473</v>
      </c>
      <c r="R78" s="281">
        <f>RATIO!R89/SUM(IS_NG!R16:U16)</f>
        <v>4.7465275462962966</v>
      </c>
      <c r="S78" s="281">
        <f>RATIO!S89/SUM(IS_NG!S16:V16)</f>
        <v>3.6341462130937106</v>
      </c>
      <c r="T78" s="281">
        <f>RATIO!T89/SUM(IS_NG!T16:W16)</f>
        <v>5.3997051622418883</v>
      </c>
      <c r="U78" s="281">
        <f>RATIO!U89/SUM(IS_NG!U16:X16)</f>
        <v>8.1912278947368424</v>
      </c>
      <c r="V78" s="281">
        <f>RATIO!V89/SUM(IS_NG!V16:Y16)</f>
        <v>8.026565275142314</v>
      </c>
      <c r="W78" s="281">
        <f>RATIO!W89/SUM(IS_NG!W16:Z16)</f>
        <v>9.0830324909747286</v>
      </c>
      <c r="X78" s="281">
        <f>RATIO!X89/SUM(IS_NG!X16:AA16)</f>
        <v>8.9943185606060592</v>
      </c>
      <c r="Y78" s="281">
        <f>RATIO!Y89/SUM(IS_NG!Y16:AB16)</f>
        <v>9.8355385633270327</v>
      </c>
      <c r="Z78" s="281">
        <f>RATIO!Z89/SUM(IS_NG!Z16:AC16)</f>
        <v>9.9731284069097903</v>
      </c>
      <c r="AA78" s="281">
        <f>RATIO!AA89/SUM(IS_NG!AA16:AD16)</f>
        <v>7.9083331250000013</v>
      </c>
      <c r="AB78" s="281">
        <f>RATIO!AB89/SUM(IS_NG!AB16:AE16)</f>
        <v>9.3295715575620779</v>
      </c>
      <c r="AC78" s="281">
        <f>RATIO!AC89/SUM(IS_NG!AC16:AF16)</f>
        <v>7.0726872246696031</v>
      </c>
      <c r="AD78" s="281">
        <f>RATIO!AD89/SUM(IS_NG!AD16:AG16)</f>
        <v>7.3310185185185182</v>
      </c>
    </row>
    <row r="79" spans="1:30" s="248" customFormat="1" x14ac:dyDescent="0.2">
      <c r="A79" s="251"/>
      <c r="B79" s="252" t="s">
        <v>405</v>
      </c>
      <c r="C79" s="251"/>
      <c r="D79" s="250" t="s">
        <v>404</v>
      </c>
      <c r="E79" s="281">
        <f t="shared" ref="E79:L79" si="6">E89/E131</f>
        <v>-0.42169963690997875</v>
      </c>
      <c r="F79" s="281">
        <f t="shared" si="6"/>
        <v>-2.5907646466495793</v>
      </c>
      <c r="G79" s="281">
        <f t="shared" si="6"/>
        <v>19.478119155871351</v>
      </c>
      <c r="H79" s="281">
        <f t="shared" si="6"/>
        <v>5.1658354703265301</v>
      </c>
      <c r="I79" s="281">
        <f t="shared" si="6"/>
        <v>6.8597785347162485</v>
      </c>
      <c r="J79" s="281">
        <f t="shared" si="6"/>
        <v>-32.798377267061539</v>
      </c>
      <c r="K79" s="281">
        <f t="shared" si="6"/>
        <v>-88.475400000000008</v>
      </c>
      <c r="L79" s="281">
        <f t="shared" si="6"/>
        <v>-23.242755341981134</v>
      </c>
      <c r="M79" s="228"/>
      <c r="N79" s="281">
        <f t="shared" ref="N79:AD79" si="7">N89/N131</f>
        <v>13.690146412109261</v>
      </c>
      <c r="O79" s="281">
        <f t="shared" si="7"/>
        <v>7.7728225061575902</v>
      </c>
      <c r="P79" s="281">
        <f t="shared" si="7"/>
        <v>7.0263415022535893</v>
      </c>
      <c r="Q79" s="281">
        <f t="shared" si="7"/>
        <v>4.841051945291925</v>
      </c>
      <c r="R79" s="281">
        <f t="shared" si="7"/>
        <v>5.3242296511728249</v>
      </c>
      <c r="S79" s="281">
        <f t="shared" si="7"/>
        <v>3.7162782546289423</v>
      </c>
      <c r="T79" s="281">
        <f t="shared" si="7"/>
        <v>4.4064567589410153</v>
      </c>
      <c r="U79" s="281">
        <f t="shared" si="7"/>
        <v>6.3942231180031728</v>
      </c>
      <c r="V79" s="281">
        <f t="shared" si="7"/>
        <v>6.2134256847564364</v>
      </c>
      <c r="W79" s="281">
        <f t="shared" si="7"/>
        <v>6.6772540511440104</v>
      </c>
      <c r="X79" s="281">
        <f t="shared" si="7"/>
        <v>5.8535517282801415</v>
      </c>
      <c r="Y79" s="281">
        <f t="shared" si="7"/>
        <v>-31.829351888249999</v>
      </c>
      <c r="Z79" s="281">
        <f t="shared" si="7"/>
        <v>-24.224078197840868</v>
      </c>
      <c r="AA79" s="281">
        <f t="shared" si="7"/>
        <v>-20.295625794455699</v>
      </c>
      <c r="AB79" s="281">
        <f t="shared" si="7"/>
        <v>-33.581135973616199</v>
      </c>
      <c r="AC79" s="281">
        <f t="shared" si="7"/>
        <v>-87.763850000000005</v>
      </c>
      <c r="AD79" s="281">
        <f t="shared" si="7"/>
        <v>-22.578767971698113</v>
      </c>
    </row>
    <row r="80" spans="1:30" s="248" customFormat="1" x14ac:dyDescent="0.2">
      <c r="A80" s="251"/>
      <c r="B80" s="276" t="s">
        <v>403</v>
      </c>
      <c r="C80" s="275"/>
      <c r="D80" s="250" t="s">
        <v>402</v>
      </c>
      <c r="E80" s="281">
        <f>RATIO!E89/(IS_NG!D4/IS_NG!D18)</f>
        <v>8.7211677887105127E-2</v>
      </c>
      <c r="F80" s="281">
        <f>RATIO!F89/(IS_NG!E4/IS_NG!E18)</f>
        <v>0.17518516019609787</v>
      </c>
      <c r="G80" s="281">
        <f>RATIO!G89/(IS_NG!F4/IS_NG!F18)</f>
        <v>0.92298426293120739</v>
      </c>
      <c r="H80" s="281">
        <f>RATIO!H89/(IS_NG!G4/IS_NG!G18)</f>
        <v>0.71016059710392776</v>
      </c>
      <c r="I80" s="281">
        <f>RATIO!I89/(IS_NG!H4/IS_NG!H18)</f>
        <v>0.64619864992287213</v>
      </c>
      <c r="J80" s="281">
        <f>RATIO!J89/(IS_NG!I4/IS_NG!I18)</f>
        <v>0.60022369359269856</v>
      </c>
      <c r="K80" s="281">
        <f>RATIO!K89/(IS_NG!J4/IS_NG!J18)</f>
        <v>0.33569840371792281</v>
      </c>
      <c r="L80" s="281">
        <f>RATIO!L89/(IS_NG!K4/IS_NG!K18)</f>
        <v>0.33052482777703246</v>
      </c>
      <c r="M80" s="228"/>
      <c r="N80" s="281">
        <f>RATIO!N89/(SUM(IS_NG!N4:Q4)/IS_NG!Q18)</f>
        <v>0.89074091200936878</v>
      </c>
      <c r="O80" s="281">
        <f>RATIO!O89/(SUM(IS_NG!O4:R4)/IS_NG!R18)</f>
        <v>0.67365820399945175</v>
      </c>
      <c r="P80" s="281">
        <f>RATIO!P89/(SUM(IS_NG!P4:S4)/IS_NG!S18)</f>
        <v>0.63663527773309248</v>
      </c>
      <c r="Q80" s="281">
        <f>RATIO!Q89/(SUM(IS_NG!Q4:T4)/IS_NG!T18)</f>
        <v>0.6655117763288606</v>
      </c>
      <c r="R80" s="281">
        <f>RATIO!R89/(SUM(IS_NG!R4:U4)/IS_NG!U18)</f>
        <v>0.61769352325296822</v>
      </c>
      <c r="S80" s="281">
        <f>RATIO!S89/(SUM(IS_NG!S4:V4)/IS_NG!V18)</f>
        <v>0.39927721717147557</v>
      </c>
      <c r="T80" s="281">
        <f>RATIO!T89/(SUM(IS_NG!T4:W4)/IS_NG!W18)</f>
        <v>0.48345289162235766</v>
      </c>
      <c r="U80" s="281">
        <f>RATIO!U89/(SUM(IS_NG!U4:X4)/IS_NG!X18)</f>
        <v>0.60232782911430793</v>
      </c>
      <c r="V80" s="281">
        <f>RATIO!V89/(SUM(IS_NG!V4:Y4)/IS_NG!Y18)</f>
        <v>0.52950284948486426</v>
      </c>
      <c r="W80" s="281">
        <f>RATIO!W89/(SUM(IS_NG!W4:Z4)/IS_NG!Z18)</f>
        <v>0.59874484190200339</v>
      </c>
      <c r="X80" s="281">
        <f>RATIO!X89/(SUM(IS_NG!X4:AA4)/IS_NG!AA18)</f>
        <v>0.55285333420851168</v>
      </c>
      <c r="Y80" s="281">
        <f>RATIO!Y89/(SUM(IS_NG!Y4:AB4)/IS_NG!AB18)</f>
        <v>0.58247646746674331</v>
      </c>
      <c r="Z80" s="281">
        <f>RATIO!Z89/(SUM(IS_NG!Z4:AC4)/IS_NG!AC18)</f>
        <v>0.5707830665077771</v>
      </c>
      <c r="AA80" s="281">
        <f>RATIO!AA89/(SUM(IS_NG!AA4:AD4)/IS_NG!AD18)</f>
        <v>0.40433055514401656</v>
      </c>
      <c r="AB80" s="281">
        <f>RATIO!AB89/(SUM(IS_NG!AB4:AE4)/IS_NG!AE18)</f>
        <v>0.43140374616668931</v>
      </c>
      <c r="AC80" s="281">
        <f>RATIO!AC89/(SUM(IS_NG!AC4:AF4)/IS_NG!AF18)</f>
        <v>0.33299860016613908</v>
      </c>
      <c r="AD80" s="281">
        <f>RATIO!AD89/(SUM(IS_NG!AD4:AG4)/IS_NG!AG18)</f>
        <v>0.321082560370271</v>
      </c>
    </row>
    <row r="81" spans="1:30" s="248" customFormat="1" x14ac:dyDescent="0.2">
      <c r="A81" s="251"/>
      <c r="B81" s="276" t="s">
        <v>401</v>
      </c>
      <c r="C81" s="275"/>
      <c r="D81" s="250" t="s">
        <v>400</v>
      </c>
      <c r="E81" s="281">
        <f>RATIO!E89/(CF!D26/IS_NG!D18)</f>
        <v>2.621101167315175</v>
      </c>
      <c r="F81" s="281">
        <f>RATIO!F89/(CF!E26/IS_NG!E18)</f>
        <v>10.482041851851854</v>
      </c>
      <c r="G81" s="281">
        <f>RATIO!G89/(CF!F26/IS_NG!F18)</f>
        <v>12.780934679875324</v>
      </c>
      <c r="H81" s="281">
        <f>RATIO!H89/(CF!G26/IS_NG!G18)</f>
        <v>4.65826258205953</v>
      </c>
      <c r="I81" s="281">
        <f>RATIO!I89/(CF!H26/IS_NG!H18)</f>
        <v>3.9798071357910794</v>
      </c>
      <c r="J81" s="281">
        <f>RATIO!J89/(CF!I26/IS_NG!I18)</f>
        <v>5.3926505624595276</v>
      </c>
      <c r="K81" s="281">
        <f>RATIO!K89/(CF!J26/IS_NG!J18)</f>
        <v>4.2321943390885934</v>
      </c>
      <c r="L81" s="281">
        <f>RATIO!L89/(CF!K26/IS_NG!K18)</f>
        <v>4.3683192664007091</v>
      </c>
      <c r="M81" s="228"/>
      <c r="N81" s="281">
        <f>RATIO!N89/(SUM(CF!N26:Q26)/IS_NG!Q18)</f>
        <v>8.7632155356808692</v>
      </c>
      <c r="O81" s="281">
        <f>RATIO!O89/(SUM(CF!O26:R26)/IS_NG!R18)</f>
        <v>5.3485962589683949</v>
      </c>
      <c r="P81" s="281">
        <f>RATIO!P89/(SUM(CF!P26:S26)/IS_NG!S18)</f>
        <v>3.872981206077363</v>
      </c>
      <c r="Q81" s="281">
        <f>RATIO!Q89/(SUM(CF!Q26:T26)/IS_NG!T18)</f>
        <v>4.365390896418627</v>
      </c>
      <c r="R81" s="281">
        <f>RATIO!R89/(SUM(CF!R26:U26)/IS_NG!U18)</f>
        <v>3.933666142278275</v>
      </c>
      <c r="S81" s="281">
        <f>RATIO!S89/(SUM(CF!S26:V26)/IS_NG!V18)</f>
        <v>2.5676320836340332</v>
      </c>
      <c r="T81" s="281">
        <f>RATIO!T89/(SUM(CF!T26:W26)/IS_NG!W18)</f>
        <v>3.1589798577159178</v>
      </c>
      <c r="U81" s="281">
        <f>RATIO!U89/(SUM(CF!U26:X26)/IS_NG!X18)</f>
        <v>3.7097079248378306</v>
      </c>
      <c r="V81" s="281">
        <f>RATIO!V89/(SUM(CF!V26:Y26)/IS_NG!Y18)</f>
        <v>3.4903822866758207</v>
      </c>
      <c r="W81" s="281">
        <f>RATIO!W89/(SUM(CF!W26:Z26)/IS_NG!Z18)</f>
        <v>4.40682160241606</v>
      </c>
      <c r="X81" s="281">
        <f>RATIO!X89/(SUM(CF!X26:AA26)/IS_NG!AA18)</f>
        <v>4.6837904789724361</v>
      </c>
      <c r="Y81" s="281">
        <f>RATIO!Y89/(SUM(CF!Y26:AB26)/IS_NG!AB18)</f>
        <v>5.2333251418286251</v>
      </c>
      <c r="Z81" s="281">
        <f>RATIO!Z89/(SUM(CF!Z26:AC26)/IS_NG!AC18)</f>
        <v>5.7429230566842113</v>
      </c>
      <c r="AA81" s="281">
        <f>RATIO!AA89/(SUM(CF!AA26:AD26)/IS_NG!AD18)</f>
        <v>4.7809430239582547</v>
      </c>
      <c r="AB81" s="281">
        <f>RATIO!AB89/(SUM(CF!AB26:AE26)/IS_NG!AE18)</f>
        <v>5.8852469092915767</v>
      </c>
      <c r="AC81" s="281">
        <f>RATIO!AC89/(SUM(CF!AC26:AF26)/IS_NG!AF18)</f>
        <v>4.198157557316728</v>
      </c>
      <c r="AD81" s="281">
        <f>RATIO!AD89/(SUM(CF!AD26:AG26)/IS_NG!AG18)</f>
        <v>4.2435273138297873</v>
      </c>
    </row>
    <row r="82" spans="1:30" s="248" customFormat="1" x14ac:dyDescent="0.2">
      <c r="A82" s="83"/>
      <c r="B82" s="284" t="s">
        <v>399</v>
      </c>
      <c r="C82" s="283"/>
      <c r="D82" s="241" t="s">
        <v>398</v>
      </c>
      <c r="E82" s="253">
        <f>CF!D59/RATIO!E89</f>
        <v>0</v>
      </c>
      <c r="F82" s="253">
        <f>CF!E59/RATIO!F89</f>
        <v>0</v>
      </c>
      <c r="G82" s="253">
        <f>CF!F59/RATIO!G89</f>
        <v>3.7292559438885709E-3</v>
      </c>
      <c r="H82" s="253">
        <f>CF!G59/RATIO!H89</f>
        <v>9.4451008002408889E-3</v>
      </c>
      <c r="I82" s="253">
        <f>CF!H59/RATIO!I89</f>
        <v>8.5671451824190451E-3</v>
      </c>
      <c r="J82" s="253">
        <f>CF!I59/RATIO!J89</f>
        <v>7.6878725290769282E-3</v>
      </c>
      <c r="K82" s="253">
        <f>CF!J59/RATIO!K89</f>
        <v>1.2457178449081284E-2</v>
      </c>
      <c r="L82" s="253">
        <f>CF!K59/RATIO!L89</f>
        <v>1.2457178449081284E-2</v>
      </c>
      <c r="M82" s="228"/>
      <c r="N82" s="253">
        <f>SUM(CF!N59:Q59)/RATIO!N89</f>
        <v>5.5876068069639698E-3</v>
      </c>
      <c r="O82" s="253">
        <f>SUM(CF!O59:R59)/RATIO!O89</f>
        <v>9.8607486373897494E-3</v>
      </c>
      <c r="P82" s="253">
        <f>SUM(CF!P59:S59)/RATIO!P89</f>
        <v>1.0117400469389509E-2</v>
      </c>
      <c r="Q82" s="253">
        <f>SUM(CF!Q59:T59)/RATIO!Q89</f>
        <v>9.5700914078805255E-3</v>
      </c>
      <c r="R82" s="253">
        <f>SUM(CF!R59:U59)/RATIO!R89</f>
        <v>9.9403762435315117E-3</v>
      </c>
      <c r="S82" s="253">
        <f>SUM(CF!S59:V59)/RATIO!S89</f>
        <v>1.4437669207753358E-2</v>
      </c>
      <c r="T82" s="253">
        <f>SUM(CF!T59:W59)/RATIO!T89</f>
        <v>1.1247662705625484E-2</v>
      </c>
      <c r="U82" s="253">
        <f>SUM(CF!U59:X59)/RATIO!U89</f>
        <v>8.5671451824190469E-3</v>
      </c>
      <c r="V82" s="253">
        <f>SUM(CF!V59:Y59)/RATIO!V89</f>
        <v>9.4562649989660755E-3</v>
      </c>
      <c r="W82" s="253">
        <f>SUM(CF!W59:Z59)/RATIO!W89</f>
        <v>7.9491255961844209E-3</v>
      </c>
      <c r="X82" s="253">
        <f>SUM(CF!X59:AA59)/RATIO!X89</f>
        <v>8.4228255033554234E-3</v>
      </c>
      <c r="Y82" s="253">
        <f>SUM(CF!Y59:AB59)/RATIO!Y89</f>
        <v>7.6878725290769282E-3</v>
      </c>
      <c r="Z82" s="253">
        <f>SUM(CF!Z59:AC59)/RATIO!Z89</f>
        <v>7.6982295553931785E-3</v>
      </c>
      <c r="AA82" s="253">
        <f>SUM(CF!AA59:AD59)/RATIO!AA89</f>
        <v>1.0537408075274184E-2</v>
      </c>
      <c r="AB82" s="253">
        <f>SUM(CF!AB59:AE59)/RATIO!AB89</f>
        <v>9.6781993864892626E-3</v>
      </c>
      <c r="AC82" s="253">
        <f>SUM(CF!AC59:AF59)/RATIO!AC89</f>
        <v>1.2457178449081284E-2</v>
      </c>
      <c r="AD82" s="253">
        <f>SUM(CF!AD59:AG59)/RATIO!AD89</f>
        <v>1.2630249447426587E-2</v>
      </c>
    </row>
    <row r="83" spans="1:30" s="248" customFormat="1" x14ac:dyDescent="0.2">
      <c r="A83" s="251"/>
      <c r="B83" s="276" t="s">
        <v>397</v>
      </c>
      <c r="C83" s="275"/>
      <c r="D83" s="250" t="s">
        <v>396</v>
      </c>
      <c r="E83" s="281">
        <f>RATIO!E89/(IS_NG!D8/IS_NG!D18)</f>
        <v>1.3820742716454659</v>
      </c>
      <c r="F83" s="281">
        <f>RATIO!F89/(IS_NG!E8/IS_NG!E18)</f>
        <v>1.6604971250880076</v>
      </c>
      <c r="G83" s="281">
        <f>RATIO!G89/(IS_NG!F8/IS_NG!F18)</f>
        <v>5.9771149125441845</v>
      </c>
      <c r="H83" s="281">
        <f>RATIO!H89/(IS_NG!G8/IS_NG!G18)</f>
        <v>3.2733029208692233</v>
      </c>
      <c r="I83" s="281">
        <f>RATIO!I89/(IS_NG!H8/IS_NG!H18)</f>
        <v>3.3181165180704157</v>
      </c>
      <c r="J83" s="281">
        <f>RATIO!J89/(IS_NG!I8/IS_NG!I18)</f>
        <v>3.6640982910782007</v>
      </c>
      <c r="K83" s="281">
        <f>RATIO!K89/(IS_NG!J8/IS_NG!J18)</f>
        <v>2.6662522467902994</v>
      </c>
      <c r="L83" s="281">
        <f>RATIO!L89/(IS_NG!K8/IS_NG!K18)</f>
        <v>4.4285177943379272</v>
      </c>
      <c r="M83" s="228"/>
      <c r="N83" s="281"/>
      <c r="O83" s="281"/>
      <c r="P83" s="281"/>
      <c r="Q83" s="281"/>
      <c r="R83" s="281"/>
      <c r="S83" s="281"/>
      <c r="T83" s="281"/>
      <c r="U83" s="281"/>
      <c r="V83" s="281"/>
      <c r="W83" s="281"/>
      <c r="X83" s="281"/>
      <c r="Y83" s="281"/>
      <c r="Z83" s="281"/>
      <c r="AA83" s="281"/>
      <c r="AB83" s="281"/>
      <c r="AC83" s="281"/>
      <c r="AD83" s="281"/>
    </row>
    <row r="84" spans="1:30" s="248" customFormat="1" x14ac:dyDescent="0.2">
      <c r="A84" s="251"/>
      <c r="B84" s="276" t="s">
        <v>395</v>
      </c>
      <c r="C84" s="275"/>
      <c r="D84" s="250" t="s">
        <v>394</v>
      </c>
      <c r="E84" s="281">
        <f>RATIO!E89/(CF!D58/IS_NG!D18)</f>
        <v>-5.5855970149253737</v>
      </c>
      <c r="F84" s="281">
        <f>RATIO!F89/(CF!E58/IS_NG!E18)</f>
        <v>-2.9009340918409183</v>
      </c>
      <c r="G84" s="281">
        <f>RATIO!G89/(CF!F58/IS_NG!F18)</f>
        <v>-17.644678984319139</v>
      </c>
      <c r="H84" s="281">
        <f>RATIO!H89/(CF!G58/IS_NG!G18)</f>
        <v>297.03553954377554</v>
      </c>
      <c r="I84" s="281">
        <f>RATIO!I89/(CF!H58/IS_NG!H18)</f>
        <v>32.741818100757889</v>
      </c>
      <c r="J84" s="281">
        <f>RATIO!J89/(CF!I58/IS_NG!I18)</f>
        <v>-20.849824179550122</v>
      </c>
      <c r="K84" s="281">
        <f>RATIO!K89/(CF!J58/IS_NG!J18)</f>
        <v>-70.529917924528306</v>
      </c>
      <c r="L84" s="281">
        <f>RATIO!L89/(CF!K58/IS_NG!K18)</f>
        <v>-16.665605859639232</v>
      </c>
      <c r="M84" s="228"/>
      <c r="N84" s="281">
        <f>RATIO!N89/(SUM(CF!N58:Q58)/IS_NG!Q18)</f>
        <v>-27.925877994885607</v>
      </c>
      <c r="O84" s="281">
        <f>RATIO!O89/(SUM(CF!O58:R58)/IS_NG!R18)</f>
        <v>-57.913898836862707</v>
      </c>
      <c r="P84" s="281">
        <f>RATIO!P89/(SUM(CF!P58:S58)/IS_NG!S18)</f>
        <v>29.40277723189989</v>
      </c>
      <c r="Q84" s="281">
        <f>RATIO!Q89/(SUM(CF!Q58:T58)/IS_NG!T18)</f>
        <v>278.36048685428568</v>
      </c>
      <c r="R84" s="281">
        <f>RATIO!R89/(SUM(CF!R58:U58)/IS_NG!U18)</f>
        <v>329.96212706610532</v>
      </c>
      <c r="S84" s="281">
        <f>RATIO!S89/(SUM(CF!S58:V58)/IS_NG!V18)</f>
        <v>96.533685746746983</v>
      </c>
      <c r="T84" s="281">
        <f>RATIO!T89/(SUM(CF!T58:W58)/IS_NG!W18)</f>
        <v>59.718369223796294</v>
      </c>
      <c r="U84" s="281">
        <f>RATIO!U89/(SUM(CF!U58:X58)/IS_NG!X18)</f>
        <v>30.519715638892823</v>
      </c>
      <c r="V84" s="281">
        <f>RATIO!V89/(SUM(CF!V58:Y58)/IS_NG!Y18)</f>
        <v>80.751175158657887</v>
      </c>
      <c r="W84" s="281">
        <f>RATIO!W89/(SUM(CF!W58:Z58)/IS_NG!Z18)</f>
        <v>-106.46351416309012</v>
      </c>
      <c r="X84" s="281">
        <f>RATIO!X89/(SUM(CF!X58:AA58)/IS_NG!AA18)</f>
        <v>-21.221140700872358</v>
      </c>
      <c r="Y84" s="281">
        <f>RATIO!Y89/(SUM(CF!Y58:AB58)/IS_NG!AB18)</f>
        <v>-20.233817826271395</v>
      </c>
      <c r="Z84" s="281">
        <f>RATIO!Z89/(SUM(CF!Z58:AC58)/IS_NG!AC18)</f>
        <v>-33.23465175930189</v>
      </c>
      <c r="AA84" s="281">
        <f>RATIO!AA89/(SUM(CF!AA58:AD58)/IS_NG!AD18)</f>
        <v>-21.534674988256413</v>
      </c>
      <c r="AB84" s="281">
        <f>RATIO!AB89/(SUM(CF!AB58:AE58)/IS_NG!AE18)</f>
        <v>-21.123017976759691</v>
      </c>
      <c r="AC84" s="281">
        <f>RATIO!AC89/(SUM(CF!AC58:AF58)/IS_NG!AF18)</f>
        <v>-69.962691745283024</v>
      </c>
      <c r="AD84" s="281">
        <f>RATIO!AD89/(SUM(CF!AD58:AG58)/IS_NG!AG18)</f>
        <v>-16.189511195039458</v>
      </c>
    </row>
    <row r="85" spans="1:30" s="248" customFormat="1" x14ac:dyDescent="0.2">
      <c r="A85" s="282"/>
      <c r="B85" s="252" t="s">
        <v>393</v>
      </c>
      <c r="C85" s="251"/>
      <c r="D85" s="250" t="s">
        <v>392</v>
      </c>
      <c r="E85" s="281"/>
      <c r="F85" s="281">
        <f>RATIO!F78/IS_NG!E17/100</f>
        <v>1.1123290248088891E-2</v>
      </c>
      <c r="G85" s="281">
        <f>RATIO!G78/IS_NG!F17/100</f>
        <v>-0.52127435559975244</v>
      </c>
      <c r="H85" s="281">
        <f>RATIO!H78/IS_NG!G17/100</f>
        <v>7.7394002192982467E-2</v>
      </c>
      <c r="I85" s="281">
        <f>RATIO!I78/IS_NG!H17/100</f>
        <v>-0.21868964305046965</v>
      </c>
      <c r="J85" s="281">
        <f>RATIO!J78/IS_NG!I17/100</f>
        <v>-1.2812286281266159</v>
      </c>
      <c r="K85" s="281">
        <f>RATIO!K78/IS_NG!J17/100</f>
        <v>-0.51654365079365083</v>
      </c>
      <c r="L85" s="281">
        <f>RATIO!L78/IS_NG!K17/100</f>
        <v>-1.5338741582491602</v>
      </c>
      <c r="M85" s="228"/>
      <c r="N85" s="281">
        <f>RATIO!N78/IS_NG!Q17/100</f>
        <v>3.4761375590003779E-2</v>
      </c>
      <c r="O85" s="281">
        <f>RATIO!O78/IS_NG!R17/100</f>
        <v>0.16409611142928282</v>
      </c>
      <c r="P85" s="281">
        <f>RATIO!P78/IS_NG!S17/100</f>
        <v>6.7210755880880865E-2</v>
      </c>
      <c r="Q85" s="281">
        <f>RATIO!Q78/IS_NG!T17/100</f>
        <v>0.14704860416666662</v>
      </c>
      <c r="R85" s="281">
        <f>RATIO!R78/IS_NG!U17/100</f>
        <v>-0.17107276364776236</v>
      </c>
      <c r="S85" s="281">
        <f>RATIO!S78/IS_NG!V17/100</f>
        <v>-0.11201721268594729</v>
      </c>
      <c r="T85" s="281">
        <f>RATIO!T78/IS_NG!W17/100</f>
        <v>-0.14809092375653499</v>
      </c>
      <c r="U85" s="281">
        <f>RATIO!U78/IS_NG!X17/100</f>
        <v>-0.15168940545808968</v>
      </c>
      <c r="V85" s="281">
        <f>RATIO!V78/IS_NG!Y17/100</f>
        <v>-0.23333038590529978</v>
      </c>
      <c r="W85" s="281">
        <f>RATIO!W78/IS_NG!Z17/100</f>
        <v>0.59544324107500979</v>
      </c>
      <c r="X85" s="281">
        <f>RATIO!X78/IS_NG!AA17/100</f>
        <v>-0.60884617948717945</v>
      </c>
      <c r="Y85" s="281">
        <f>RATIO!Y78/IS_NG!AB17/100</f>
        <v>9.0486954782608304</v>
      </c>
      <c r="Z85" s="281">
        <f>RATIO!Z78/IS_NG!AC17/100</f>
        <v>-1.0222456617082536</v>
      </c>
      <c r="AA85" s="281">
        <f>RATIO!AA78/IS_NG!AD17/100</f>
        <v>-0.39348779451219507</v>
      </c>
      <c r="AB85" s="281">
        <f>RATIO!AB78/IS_NG!AE17/100</f>
        <v>-0.37822587395521934</v>
      </c>
      <c r="AC85" s="281">
        <f>RATIO!AC78/IS_NG!AF17/100</f>
        <v>0.59796355626752151</v>
      </c>
      <c r="AD85" s="281">
        <f>RATIO!AD78/IS_NG!AG17/100</f>
        <v>-0.24658880471380473</v>
      </c>
    </row>
    <row r="86" spans="1:30" s="228" customFormat="1" ht="4.5" customHeight="1" x14ac:dyDescent="0.2">
      <c r="A86" s="247"/>
      <c r="B86" s="242"/>
      <c r="C86" s="246"/>
      <c r="D86" s="241"/>
      <c r="E86" s="245"/>
      <c r="F86" s="245"/>
      <c r="G86" s="245"/>
      <c r="H86" s="245"/>
      <c r="I86" s="245"/>
      <c r="J86" s="245"/>
      <c r="K86" s="245"/>
      <c r="L86" s="245"/>
      <c r="N86" s="245"/>
      <c r="O86" s="245"/>
      <c r="P86" s="245"/>
      <c r="Q86" s="245"/>
      <c r="R86" s="245"/>
      <c r="S86" s="245"/>
      <c r="T86" s="245"/>
      <c r="U86" s="245"/>
      <c r="V86" s="245"/>
      <c r="W86" s="245"/>
      <c r="X86" s="245"/>
      <c r="Y86" s="245"/>
      <c r="Z86" s="245"/>
      <c r="AA86" s="245"/>
      <c r="AB86" s="245"/>
      <c r="AC86" s="245"/>
      <c r="AD86" s="245"/>
    </row>
    <row r="87" spans="1:30" s="248" customFormat="1" x14ac:dyDescent="0.2">
      <c r="A87" s="83" t="s">
        <v>391</v>
      </c>
      <c r="B87" s="258"/>
      <c r="C87" s="83"/>
      <c r="D87" s="241"/>
      <c r="E87" s="227"/>
      <c r="F87" s="227"/>
      <c r="G87" s="227"/>
      <c r="H87" s="227"/>
      <c r="I87" s="227"/>
      <c r="J87" s="227"/>
      <c r="K87" s="227"/>
      <c r="L87" s="227"/>
      <c r="M87" s="228"/>
      <c r="N87" s="227"/>
      <c r="O87" s="227"/>
      <c r="P87" s="227"/>
      <c r="Q87" s="227"/>
      <c r="R87" s="227"/>
      <c r="S87" s="227"/>
      <c r="T87" s="227"/>
      <c r="U87" s="227"/>
      <c r="V87" s="227"/>
      <c r="W87" s="227"/>
      <c r="X87" s="227"/>
      <c r="Y87" s="227"/>
      <c r="Z87" s="227"/>
      <c r="AA87" s="227"/>
      <c r="AB87" s="227"/>
      <c r="AC87" s="227"/>
      <c r="AD87" s="227"/>
    </row>
    <row r="88" spans="1:30" s="248" customFormat="1" x14ac:dyDescent="0.2">
      <c r="A88" s="83"/>
      <c r="B88" s="258" t="s">
        <v>390</v>
      </c>
      <c r="C88" s="83"/>
      <c r="D88" s="257"/>
      <c r="E88" s="278">
        <f>IS_NG!D18</f>
        <v>249.49</v>
      </c>
      <c r="F88" s="278">
        <f>IS_NG!E18</f>
        <v>280.21300000000002</v>
      </c>
      <c r="G88" s="278">
        <f>IS_NG!F18</f>
        <v>734.01599999999996</v>
      </c>
      <c r="H88" s="278">
        <f>IS_NG!G18</f>
        <v>687.35500000000002</v>
      </c>
      <c r="I88" s="278">
        <f>IS_NG!H18</f>
        <v>556.09900000000005</v>
      </c>
      <c r="J88" s="278">
        <f>IS_NG!I18</f>
        <v>491.69200000000001</v>
      </c>
      <c r="K88" s="278">
        <f>IS_NG!J18</f>
        <v>465.66</v>
      </c>
      <c r="L88" s="278">
        <f>IS_NG!K18</f>
        <v>460.36725000000001</v>
      </c>
      <c r="M88" s="228"/>
      <c r="N88" s="278">
        <f>IS_NG!Q18</f>
        <v>716.93</v>
      </c>
      <c r="O88" s="278">
        <f>IS_NG!R18</f>
        <v>707.61099999999999</v>
      </c>
      <c r="P88" s="278">
        <f>IS_NG!S18</f>
        <v>680.73900000000003</v>
      </c>
      <c r="Q88" s="278">
        <f>IS_NG!T18</f>
        <v>644.14</v>
      </c>
      <c r="R88" s="278">
        <f>IS_NG!U18</f>
        <v>611.48800000000006</v>
      </c>
      <c r="S88" s="278">
        <f>IS_NG!V18</f>
        <v>566.04</v>
      </c>
      <c r="T88" s="278">
        <f>IS_NG!W18</f>
        <v>528.51</v>
      </c>
      <c r="U88" s="278">
        <f>IS_NG!X18</f>
        <v>518.35800000000017</v>
      </c>
      <c r="V88" s="278">
        <f>IS_NG!Y18</f>
        <v>507.79700000000003</v>
      </c>
      <c r="W88" s="278">
        <f>IS_NG!Z18</f>
        <v>492.96499999999997</v>
      </c>
      <c r="X88" s="278">
        <f>IS_NG!AA18</f>
        <v>486.625</v>
      </c>
      <c r="Y88" s="278">
        <f>IS_NG!AB18</f>
        <v>477.16500000000002</v>
      </c>
      <c r="Z88" s="278">
        <f>IS_NG!AC18</f>
        <v>474.59800000000001</v>
      </c>
      <c r="AA88" s="278">
        <f>IS_NG!AD18</f>
        <v>464.61799999999999</v>
      </c>
      <c r="AB88" s="278">
        <f>IS_NG!AE18</f>
        <v>461.50700000000001</v>
      </c>
      <c r="AC88" s="278">
        <f>IS_NG!AF18</f>
        <v>461.91500000000002</v>
      </c>
      <c r="AD88" s="278">
        <f>IS_NG!AG18</f>
        <v>453.42899999999997</v>
      </c>
    </row>
    <row r="89" spans="1:30" s="260" customFormat="1" x14ac:dyDescent="0.2">
      <c r="A89" s="263"/>
      <c r="B89" s="264" t="s">
        <v>389</v>
      </c>
      <c r="C89" s="263"/>
      <c r="D89" s="241"/>
      <c r="E89" s="280">
        <v>13.5</v>
      </c>
      <c r="F89" s="280">
        <v>25.25</v>
      </c>
      <c r="G89" s="280">
        <v>53.630001</v>
      </c>
      <c r="H89" s="280">
        <v>42.349997999999999</v>
      </c>
      <c r="I89" s="280">
        <v>46.689999</v>
      </c>
      <c r="J89" s="280">
        <v>52.029998999999997</v>
      </c>
      <c r="K89" s="280">
        <v>32.11</v>
      </c>
      <c r="L89" s="280">
        <f>AC89</f>
        <v>32.11</v>
      </c>
      <c r="M89" s="228"/>
      <c r="N89" s="280">
        <v>52.779998999999997</v>
      </c>
      <c r="O89" s="280">
        <v>39.939999</v>
      </c>
      <c r="P89" s="280">
        <v>38.830002</v>
      </c>
      <c r="Q89" s="280">
        <v>42.349997999999999</v>
      </c>
      <c r="R89" s="280">
        <v>41.009998000000003</v>
      </c>
      <c r="S89" s="280">
        <v>28.309999000000001</v>
      </c>
      <c r="T89" s="280">
        <v>36.610000999999997</v>
      </c>
      <c r="U89" s="280">
        <v>46.689999</v>
      </c>
      <c r="V89" s="280">
        <v>42.299999</v>
      </c>
      <c r="W89" s="280">
        <v>50.32</v>
      </c>
      <c r="X89" s="280">
        <v>47.490001999999997</v>
      </c>
      <c r="Y89" s="280">
        <v>52.029998999999997</v>
      </c>
      <c r="Z89" s="280">
        <v>51.959999000000003</v>
      </c>
      <c r="AA89" s="280">
        <v>37.959999000000003</v>
      </c>
      <c r="AB89" s="280">
        <v>41.330002</v>
      </c>
      <c r="AC89" s="280">
        <v>32.11</v>
      </c>
      <c r="AD89" s="280">
        <v>31.67</v>
      </c>
    </row>
    <row r="90" spans="1:30" s="248" customFormat="1" x14ac:dyDescent="0.2">
      <c r="A90" s="83"/>
      <c r="B90" s="258" t="s">
        <v>388</v>
      </c>
      <c r="C90" s="83"/>
      <c r="D90" s="257"/>
      <c r="E90" s="278">
        <f>IS_NG!D18*RATIO!E89</f>
        <v>3368.1150000000002</v>
      </c>
      <c r="F90" s="278">
        <f>IS_NG!E18*RATIO!F89</f>
        <v>7075.3782500000007</v>
      </c>
      <c r="G90" s="278">
        <f>IS_NG!F18*RATIO!G89</f>
        <v>39365.278814015997</v>
      </c>
      <c r="H90" s="278">
        <f>IS_NG!G18*RATIO!H89</f>
        <v>29109.482875289999</v>
      </c>
      <c r="I90" s="278">
        <f>IS_NG!H18*RATIO!I89</f>
        <v>25964.261753901003</v>
      </c>
      <c r="J90" s="278">
        <f>IS_NG!I18*RATIO!J89</f>
        <v>25582.734268307999</v>
      </c>
      <c r="K90" s="278">
        <f>IS_NG!J18*RATIO!K89</f>
        <v>14952.3426</v>
      </c>
      <c r="L90" s="278">
        <f>IS_NG!K18*RATIO!L89</f>
        <v>14782.3923975</v>
      </c>
      <c r="M90" s="228"/>
      <c r="N90" s="278">
        <f>IS_NG!Q18*RATIO!N89</f>
        <v>37839.564683069992</v>
      </c>
      <c r="O90" s="278">
        <f>IS_NG!R18*RATIO!O89</f>
        <v>28261.982632389001</v>
      </c>
      <c r="P90" s="278">
        <f>IS_NG!S18*RATIO!P89</f>
        <v>26433.096731478003</v>
      </c>
      <c r="Q90" s="278">
        <f>IS_NG!T18*RATIO!Q89</f>
        <v>27279.327711719998</v>
      </c>
      <c r="R90" s="278">
        <f>IS_NG!U18*RATIO!R89</f>
        <v>25077.121657024003</v>
      </c>
      <c r="S90" s="278">
        <f>IS_NG!V18*RATIO!S89</f>
        <v>16024.591833959999</v>
      </c>
      <c r="T90" s="278">
        <f>IS_NG!W18*RATIO!T89</f>
        <v>19348.751628509999</v>
      </c>
      <c r="U90" s="278">
        <f>IS_NG!X18*RATIO!U89</f>
        <v>24202.134501642009</v>
      </c>
      <c r="V90" s="278">
        <f>IS_NG!Y18*RATIO!V89</f>
        <v>21479.812592203001</v>
      </c>
      <c r="W90" s="278">
        <f>IS_NG!Z18*RATIO!W89</f>
        <v>24805.998799999998</v>
      </c>
      <c r="X90" s="278">
        <f>IS_NG!AA18*RATIO!X89</f>
        <v>23109.822223249997</v>
      </c>
      <c r="Y90" s="278">
        <f>IS_NG!AB18*RATIO!Y89</f>
        <v>24826.894472835</v>
      </c>
      <c r="Z90" s="278">
        <f>IS_NG!AC18*RATIO!Z89</f>
        <v>24660.111605402002</v>
      </c>
      <c r="AA90" s="278">
        <f>IS_NG!AD18*RATIO!AA89</f>
        <v>17636.898815382003</v>
      </c>
      <c r="AB90" s="278">
        <f>IS_NG!AE18*RATIO!AB89</f>
        <v>19074.085233014001</v>
      </c>
      <c r="AC90" s="278">
        <f>IS_NG!AF18*RATIO!AC89</f>
        <v>14832.09065</v>
      </c>
      <c r="AD90" s="278">
        <f>IS_NG!AG18*RATIO!AD89</f>
        <v>14360.09643</v>
      </c>
    </row>
    <row r="91" spans="1:30" s="248" customFormat="1" x14ac:dyDescent="0.2">
      <c r="A91" s="83"/>
      <c r="B91" s="258" t="s">
        <v>306</v>
      </c>
      <c r="C91" s="83"/>
      <c r="D91" s="257"/>
      <c r="E91" s="278"/>
      <c r="F91" s="278"/>
      <c r="G91" s="278"/>
      <c r="H91" s="278"/>
      <c r="I91" s="278"/>
      <c r="J91" s="278"/>
      <c r="K91" s="278"/>
      <c r="L91" s="278"/>
      <c r="M91" s="228"/>
      <c r="N91" s="278"/>
      <c r="O91" s="278"/>
      <c r="P91" s="278"/>
      <c r="Q91" s="278"/>
      <c r="R91" s="278"/>
      <c r="S91" s="278"/>
      <c r="T91" s="278"/>
      <c r="U91" s="278"/>
      <c r="V91" s="278"/>
      <c r="W91" s="278"/>
      <c r="X91" s="278"/>
      <c r="Y91" s="278"/>
      <c r="Z91" s="278"/>
      <c r="AA91" s="278"/>
      <c r="AB91" s="278"/>
      <c r="AC91" s="278"/>
      <c r="AD91" s="278"/>
    </row>
    <row r="92" spans="1:30" s="248" customFormat="1" x14ac:dyDescent="0.2">
      <c r="A92" s="279"/>
      <c r="B92" s="258" t="s">
        <v>305</v>
      </c>
      <c r="C92" s="83"/>
      <c r="D92" s="257"/>
      <c r="E92" s="278"/>
      <c r="F92" s="278"/>
      <c r="G92" s="278"/>
      <c r="H92" s="278"/>
      <c r="I92" s="278"/>
      <c r="J92" s="278"/>
      <c r="K92" s="278"/>
      <c r="L92" s="278"/>
      <c r="M92" s="228"/>
      <c r="N92" s="278"/>
      <c r="O92" s="278"/>
      <c r="P92" s="278"/>
      <c r="Q92" s="278"/>
      <c r="R92" s="278"/>
      <c r="S92" s="278"/>
      <c r="T92" s="278"/>
      <c r="U92" s="278"/>
      <c r="V92" s="278"/>
      <c r="W92" s="278"/>
      <c r="X92" s="278"/>
      <c r="Y92" s="278"/>
      <c r="Z92" s="278"/>
      <c r="AA92" s="278"/>
      <c r="AB92" s="278"/>
      <c r="AC92" s="278"/>
      <c r="AD92" s="278"/>
    </row>
    <row r="93" spans="1:30" s="248" customFormat="1" x14ac:dyDescent="0.2">
      <c r="A93" s="83"/>
      <c r="B93" s="258" t="s">
        <v>75</v>
      </c>
      <c r="C93" s="83"/>
      <c r="D93" s="257"/>
      <c r="E93" s="278">
        <f>BS!D68</f>
        <v>8535</v>
      </c>
      <c r="F93" s="278">
        <f>BS!E68</f>
        <v>16799</v>
      </c>
      <c r="G93" s="278">
        <f>BS!F68</f>
        <v>17720</v>
      </c>
      <c r="H93" s="278">
        <f>BS!G68</f>
        <v>20561</v>
      </c>
      <c r="I93" s="278">
        <f>BS!H68</f>
        <v>24344</v>
      </c>
      <c r="J93" s="278">
        <f>BS!I68</f>
        <v>25065</v>
      </c>
      <c r="K93" s="278">
        <f>BS!J68</f>
        <v>26127</v>
      </c>
      <c r="L93" s="278">
        <f>BS!AG68</f>
        <v>25659</v>
      </c>
      <c r="M93" s="228"/>
      <c r="N93" s="278">
        <f>BS!Q68</f>
        <v>18922</v>
      </c>
      <c r="O93" s="278">
        <f>BS!R68</f>
        <v>18794</v>
      </c>
      <c r="P93" s="278">
        <f>BS!S68</f>
        <v>20561</v>
      </c>
      <c r="Q93" s="278">
        <f>BS!T68</f>
        <v>20561</v>
      </c>
      <c r="R93" s="278">
        <f>BS!U68</f>
        <v>21744</v>
      </c>
      <c r="S93" s="278">
        <f>BS!V68</f>
        <v>22846</v>
      </c>
      <c r="T93" s="278">
        <f>BS!W68</f>
        <v>23343</v>
      </c>
      <c r="U93" s="278">
        <f>BS!X68</f>
        <v>24344</v>
      </c>
      <c r="V93" s="278">
        <f>BS!Y68</f>
        <v>24543</v>
      </c>
      <c r="W93" s="278">
        <f>BS!Z68</f>
        <v>24859</v>
      </c>
      <c r="X93" s="278">
        <f>BS!AA68</f>
        <v>24684</v>
      </c>
      <c r="Y93" s="278">
        <f>BS!AB68</f>
        <v>25065</v>
      </c>
      <c r="Z93" s="278">
        <f>BS!AC68</f>
        <v>24739</v>
      </c>
      <c r="AA93" s="278">
        <f>BS!AD68</f>
        <v>24076</v>
      </c>
      <c r="AB93" s="278">
        <f>BS!AE68</f>
        <v>24767</v>
      </c>
      <c r="AC93" s="278">
        <f>BS!AF68</f>
        <v>26127</v>
      </c>
      <c r="AD93" s="278">
        <f>BS!AG68</f>
        <v>25659</v>
      </c>
    </row>
    <row r="94" spans="1:30" s="248" customFormat="1" x14ac:dyDescent="0.2">
      <c r="A94" s="83"/>
      <c r="B94" s="258" t="s">
        <v>387</v>
      </c>
      <c r="C94" s="83"/>
      <c r="D94" s="257"/>
      <c r="E94" s="278">
        <f>BS!D65</f>
        <v>3892</v>
      </c>
      <c r="F94" s="278">
        <f>BS!E65</f>
        <v>9251</v>
      </c>
      <c r="G94" s="278">
        <f>BS!F65</f>
        <v>7303</v>
      </c>
      <c r="H94" s="278">
        <f>BS!G65</f>
        <v>6254</v>
      </c>
      <c r="I94" s="278">
        <f>BS!H65</f>
        <v>6359</v>
      </c>
      <c r="J94" s="278">
        <f>BS!I65</f>
        <v>5066</v>
      </c>
      <c r="K94" s="278">
        <f>BS!J65</f>
        <v>4760</v>
      </c>
      <c r="L94" s="278">
        <f>BS!AG65</f>
        <v>4349</v>
      </c>
      <c r="M94" s="228"/>
      <c r="N94" s="278">
        <f>BS!Q65</f>
        <v>9173</v>
      </c>
      <c r="O94" s="278">
        <f>BS!R65</f>
        <v>8919</v>
      </c>
      <c r="P94" s="278">
        <f>BS!S65</f>
        <v>8873</v>
      </c>
      <c r="Q94" s="278">
        <f>BS!T65</f>
        <v>6254</v>
      </c>
      <c r="R94" s="278">
        <f>BS!U65</f>
        <v>6930</v>
      </c>
      <c r="S94" s="278">
        <f>BS!V65</f>
        <v>7118</v>
      </c>
      <c r="T94" s="278">
        <f>BS!W65</f>
        <v>6755</v>
      </c>
      <c r="U94" s="278">
        <f>BS!X65</f>
        <v>6359</v>
      </c>
      <c r="V94" s="278">
        <f>BS!Y65</f>
        <v>6676</v>
      </c>
      <c r="W94" s="278">
        <f>BS!Z65</f>
        <v>6886</v>
      </c>
      <c r="X94" s="278">
        <f>BS!AA65</f>
        <v>5768</v>
      </c>
      <c r="Y94" s="278">
        <f>BS!AB65</f>
        <v>5066</v>
      </c>
      <c r="Z94" s="278">
        <f>BS!AC65</f>
        <v>5291</v>
      </c>
      <c r="AA94" s="278">
        <f>BS!AD65</f>
        <v>4674</v>
      </c>
      <c r="AB94" s="278">
        <f>BS!AE65</f>
        <v>4855</v>
      </c>
      <c r="AC94" s="278">
        <f>BS!AF65</f>
        <v>4760</v>
      </c>
      <c r="AD94" s="278">
        <f>BS!AG65</f>
        <v>4349</v>
      </c>
    </row>
    <row r="95" spans="1:30" s="248" customFormat="1" x14ac:dyDescent="0.2">
      <c r="A95" s="83"/>
      <c r="B95" s="258" t="s">
        <v>386</v>
      </c>
      <c r="C95" s="83"/>
      <c r="D95" s="257" t="s">
        <v>385</v>
      </c>
      <c r="E95" s="277">
        <f t="shared" ref="E95:L95" si="8">SUM(E90:E93)-E94</f>
        <v>8011.1149999999998</v>
      </c>
      <c r="F95" s="277">
        <f t="shared" si="8"/>
        <v>14623.378250000002</v>
      </c>
      <c r="G95" s="277">
        <f t="shared" si="8"/>
        <v>49782.278814015997</v>
      </c>
      <c r="H95" s="277">
        <f t="shared" si="8"/>
        <v>43416.482875289999</v>
      </c>
      <c r="I95" s="277">
        <f t="shared" si="8"/>
        <v>43949.261753901003</v>
      </c>
      <c r="J95" s="277">
        <f t="shared" si="8"/>
        <v>45581.734268307999</v>
      </c>
      <c r="K95" s="277">
        <f t="shared" si="8"/>
        <v>36319.342600000004</v>
      </c>
      <c r="L95" s="277">
        <f t="shared" si="8"/>
        <v>36092.3923975</v>
      </c>
      <c r="M95" s="228"/>
      <c r="N95" s="277">
        <f t="shared" ref="N95:AD95" si="9">SUM(N90:N93)-N94</f>
        <v>47588.564683069992</v>
      </c>
      <c r="O95" s="277">
        <f t="shared" si="9"/>
        <v>38136.982632389001</v>
      </c>
      <c r="P95" s="277">
        <f t="shared" si="9"/>
        <v>38121.096731477999</v>
      </c>
      <c r="Q95" s="277">
        <f t="shared" si="9"/>
        <v>41586.327711719998</v>
      </c>
      <c r="R95" s="277">
        <f t="shared" si="9"/>
        <v>39891.121657024007</v>
      </c>
      <c r="S95" s="277">
        <f t="shared" si="9"/>
        <v>31752.591833960003</v>
      </c>
      <c r="T95" s="277">
        <f t="shared" si="9"/>
        <v>35936.751628509999</v>
      </c>
      <c r="U95" s="277">
        <f t="shared" si="9"/>
        <v>42187.134501642009</v>
      </c>
      <c r="V95" s="277">
        <f t="shared" si="9"/>
        <v>39346.812592203001</v>
      </c>
      <c r="W95" s="277">
        <f t="shared" si="9"/>
        <v>42778.998800000001</v>
      </c>
      <c r="X95" s="277">
        <f t="shared" si="9"/>
        <v>42025.822223249997</v>
      </c>
      <c r="Y95" s="277">
        <f t="shared" si="9"/>
        <v>44825.894472835003</v>
      </c>
      <c r="Z95" s="277">
        <f t="shared" si="9"/>
        <v>44108.111605402002</v>
      </c>
      <c r="AA95" s="277">
        <f t="shared" si="9"/>
        <v>37038.898815382003</v>
      </c>
      <c r="AB95" s="277">
        <f t="shared" si="9"/>
        <v>38986.085233014004</v>
      </c>
      <c r="AC95" s="277">
        <f t="shared" si="9"/>
        <v>36199.090649999998</v>
      </c>
      <c r="AD95" s="277">
        <f t="shared" si="9"/>
        <v>35670.096429999998</v>
      </c>
    </row>
    <row r="96" spans="1:30" s="248" customFormat="1" x14ac:dyDescent="0.2">
      <c r="A96" s="251"/>
      <c r="B96" s="252" t="s">
        <v>384</v>
      </c>
      <c r="C96" s="251"/>
      <c r="D96" s="250" t="s">
        <v>383</v>
      </c>
      <c r="E96" s="249">
        <f>E90/AVERAGE(BS!C30:D30)</f>
        <v>0.14224059293044472</v>
      </c>
      <c r="F96" s="249">
        <f>F90/AVERAGE(BS!D30:E30)</f>
        <v>0.21509631695749987</v>
      </c>
      <c r="G96" s="249">
        <f>G90/AVERAGE(BS!E30:F30)</f>
        <v>0.92079292689182834</v>
      </c>
      <c r="H96" s="249">
        <f>H90/AVERAGE(BS!F30:G30)</f>
        <v>0.63530080478590134</v>
      </c>
      <c r="I96" s="249">
        <f>I90/AVERAGE(BS!G30:H30)</f>
        <v>0.52090525040678515</v>
      </c>
      <c r="J96" s="249">
        <f>J90/AVERAGE(BS!H30:I30)</f>
        <v>0.49169671567683715</v>
      </c>
      <c r="K96" s="249">
        <f>K90/AVERAGE(BS!I30:J30)</f>
        <v>0.26379116305738104</v>
      </c>
      <c r="L96" s="249">
        <f>L90/AVERAGE(BS!AF30:AG30)</f>
        <v>0.24359821693705866</v>
      </c>
      <c r="M96" s="228"/>
      <c r="N96" s="249">
        <f>N90/AVERAGE(BS!P30:Q30)</f>
        <v>0.84107546612142814</v>
      </c>
      <c r="O96" s="249">
        <f>O90/AVERAGE(BS!Q30:R30)</f>
        <v>0.5973659959076959</v>
      </c>
      <c r="P96" s="249">
        <f>P90/AVERAGE(BS!R30:S30)</f>
        <v>0.54736541071364531</v>
      </c>
      <c r="Q96" s="249">
        <f>Q90/AVERAGE(BS!S30:T30)</f>
        <v>0.56170756124204668</v>
      </c>
      <c r="R96" s="249">
        <f>R90/AVERAGE(BS!T30:U30)</f>
        <v>0.51009156781709453</v>
      </c>
      <c r="S96" s="249">
        <f>S90/AVERAGE(BS!U30:V30)</f>
        <v>0.31744437072028525</v>
      </c>
      <c r="T96" s="249">
        <f>T90/AVERAGE(BS!V30:W30)</f>
        <v>0.37879680945408628</v>
      </c>
      <c r="U96" s="249">
        <f>U90/AVERAGE(BS!W30:X30)</f>
        <v>0.47278104552835476</v>
      </c>
      <c r="V96" s="249">
        <f>V90/AVERAGE(BS!X30:Y30)</f>
        <v>0.413466907771879</v>
      </c>
      <c r="W96" s="249">
        <f>W90/AVERAGE(BS!Y30:Z30)</f>
        <v>0.46820114190802448</v>
      </c>
      <c r="X96" s="249">
        <f>X90/AVERAGE(BS!Z30:AA30)</f>
        <v>0.43711893137217811</v>
      </c>
      <c r="Y96" s="249">
        <f>Y90/AVERAGE(BS!AA30:AB30)</f>
        <v>0.47205701277422851</v>
      </c>
      <c r="Z96" s="249">
        <f>Z90/AVERAGE(BS!AB30:AC30)</f>
        <v>0.46499998313113661</v>
      </c>
      <c r="AA96" s="249">
        <f>AA90/AVERAGE(BS!AC30:AD30)</f>
        <v>0.33307961729489532</v>
      </c>
      <c r="AB96" s="249">
        <f>AB90/AVERAGE(BS!AD30:AE30)</f>
        <v>0.36242882151332456</v>
      </c>
      <c r="AC96" s="249">
        <f>AC90/AVERAGE(BS!AE30:AF30)</f>
        <v>0.2620163520734885</v>
      </c>
      <c r="AD96" s="249">
        <f>AD90/AVERAGE(BS!AF30:AG30)</f>
        <v>0.23663922532484119</v>
      </c>
    </row>
    <row r="97" spans="1:30" s="248" customFormat="1" x14ac:dyDescent="0.2">
      <c r="A97" s="251"/>
      <c r="B97" s="276" t="s">
        <v>382</v>
      </c>
      <c r="C97" s="275"/>
      <c r="D97" s="250" t="s">
        <v>381</v>
      </c>
      <c r="E97" s="249">
        <f>E95/IS_NG!D4</f>
        <v>0.20743436043500776</v>
      </c>
      <c r="F97" s="249">
        <f>F95/IS_NG!E4</f>
        <v>0.3620723544122017</v>
      </c>
      <c r="G97" s="249">
        <f>G95/IS_NG!F4</f>
        <v>1.1672281081832589</v>
      </c>
      <c r="H97" s="249">
        <f>H95/IS_NG!G4</f>
        <v>1.0591969474332763</v>
      </c>
      <c r="I97" s="249">
        <f>I95/IS_NG!H4</f>
        <v>1.0938094015405924</v>
      </c>
      <c r="J97" s="249">
        <f>J95/IS_NG!I4</f>
        <v>1.0694414684507532</v>
      </c>
      <c r="K97" s="249">
        <f>K95/IS_NG!J4</f>
        <v>0.81541372218854546</v>
      </c>
      <c r="L97" s="249">
        <f>L95/IS_NG!K4</f>
        <v>0.80700278144843929</v>
      </c>
      <c r="M97" s="228"/>
      <c r="N97" s="249">
        <f>N95/(IS_NG!Q4*4)</f>
        <v>1.2106585092874222</v>
      </c>
      <c r="O97" s="249">
        <f>O95/(IS_NG!R4*4)</f>
        <v>0.88059902633206344</v>
      </c>
      <c r="P97" s="249">
        <f>P95/(IS_NG!S4*4)</f>
        <v>0.89018066344755276</v>
      </c>
      <c r="Q97" s="249">
        <f>Q95/(IS_NG!T4*4)</f>
        <v>1.0796035231495327</v>
      </c>
      <c r="R97" s="249">
        <f>R95/(IS_NG!U4*4)</f>
        <v>1.0569984540811872</v>
      </c>
      <c r="S97" s="249">
        <f>S95/(IS_NG!V4*4)</f>
        <v>0.76600868073820327</v>
      </c>
      <c r="T97" s="249">
        <f>T95/(IS_NG!W4*4)</f>
        <v>0.84804492232655271</v>
      </c>
      <c r="U97" s="249">
        <f>U95/(IS_NG!X4*4)</f>
        <v>1.0774117504760958</v>
      </c>
      <c r="V97" s="249">
        <f>V95/(IS_NG!Y4*4)</f>
        <v>1.0017009315733962</v>
      </c>
      <c r="W97" s="249">
        <f>W95/(IS_NG!Z4*4)</f>
        <v>0.95259193907544315</v>
      </c>
      <c r="X97" s="249">
        <f>X95/(IS_NG!AA4*4)</f>
        <v>0.95818108124144996</v>
      </c>
      <c r="Y97" s="249">
        <f>Y95/(IS_NG!AB4*4)</f>
        <v>1.0561185202345444</v>
      </c>
      <c r="Z97" s="249">
        <f>Z95/(IS_NG!AC4*4)</f>
        <v>1.0601892030910971</v>
      </c>
      <c r="AA97" s="249">
        <f>AA95/(IS_NG!AD4*4)</f>
        <v>0.79530401991286614</v>
      </c>
      <c r="AB97" s="249">
        <f>AB95/(IS_NG!AE4*4)</f>
        <v>0.8431976216154945</v>
      </c>
      <c r="AC97" s="249">
        <f>AC95/(IS_NG!AF4*4)</f>
        <v>0.82736996365880411</v>
      </c>
      <c r="AD97" s="249">
        <f>AD95/(IS_NG!AG4*4)</f>
        <v>0.84254762920445947</v>
      </c>
    </row>
    <row r="98" spans="1:30" s="248" customFormat="1" x14ac:dyDescent="0.2">
      <c r="A98" s="251"/>
      <c r="B98" s="276" t="s">
        <v>380</v>
      </c>
      <c r="C98" s="275"/>
      <c r="D98" s="250" t="s">
        <v>379</v>
      </c>
      <c r="E98" s="249">
        <f>E95/IS_NG!D8</f>
        <v>3.2872855970455479</v>
      </c>
      <c r="F98" s="249">
        <f>F95/IS_NG!E8</f>
        <v>3.4319122858483926</v>
      </c>
      <c r="G98" s="249">
        <f>G95/IS_NG!F8</f>
        <v>7.558803342547221</v>
      </c>
      <c r="H98" s="249">
        <f>H95/IS_NG!G8</f>
        <v>4.8820963539064435</v>
      </c>
      <c r="I98" s="249">
        <f>I95/IS_NG!H8</f>
        <v>5.6165190739809585</v>
      </c>
      <c r="J98" s="249">
        <f>J95/IS_NG!I8</f>
        <v>6.5284638023930102</v>
      </c>
      <c r="K98" s="249">
        <f>K95/IS_NG!J8</f>
        <v>6.47634497146933</v>
      </c>
      <c r="L98" s="249">
        <f>L95/IS_NG!K8</f>
        <v>10.812580107100059</v>
      </c>
      <c r="M98" s="228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49"/>
      <c r="AC98" s="249"/>
      <c r="AD98" s="249"/>
    </row>
    <row r="99" spans="1:30" s="248" customFormat="1" x14ac:dyDescent="0.2">
      <c r="A99" s="251"/>
      <c r="B99" s="276" t="s">
        <v>378</v>
      </c>
      <c r="C99" s="275"/>
      <c r="D99" s="250" t="s">
        <v>377</v>
      </c>
      <c r="E99" s="249">
        <f>E95/IS_NG!D6</f>
        <v>5.6336954992967652</v>
      </c>
      <c r="F99" s="249">
        <f>F95/IS_NG!E6</f>
        <v>4.5119957574822589</v>
      </c>
      <c r="G99" s="249">
        <f>G95/IS_NG!F6</f>
        <v>9.8131832868156899</v>
      </c>
      <c r="H99" s="249">
        <f>H95/IS_NG!G6</f>
        <v>5.9605275776070838</v>
      </c>
      <c r="I99" s="249">
        <f>I95/IS_NG!H6</f>
        <v>7.3163412275513569</v>
      </c>
      <c r="J99" s="249">
        <f>J95/IS_NG!I6</f>
        <v>9.1806111315826779</v>
      </c>
      <c r="K99" s="249">
        <f>K95/IS_NG!J6</f>
        <v>10.530397970426211</v>
      </c>
      <c r="L99" s="249">
        <f>L95/IS_NG!K6</f>
        <v>10.812580107100059</v>
      </c>
      <c r="M99" s="228"/>
      <c r="N99" s="249">
        <f>N95/(IS_NG!Q6*4)</f>
        <v>7.7962917239629741</v>
      </c>
      <c r="O99" s="249">
        <f>O95/(IS_NG!R6*4)</f>
        <v>4.5948171846251809</v>
      </c>
      <c r="P99" s="249">
        <f>P95/(IS_NG!S6*4)</f>
        <v>4.4040084024350739</v>
      </c>
      <c r="Q99" s="249">
        <f>Q95/(IS_NG!T6*4)</f>
        <v>6.8488682002173906</v>
      </c>
      <c r="R99" s="249">
        <f>R95/(IS_NG!U6*4)</f>
        <v>6.9303547006643518</v>
      </c>
      <c r="S99" s="249">
        <f>S95/(IS_NG!V6*4)</f>
        <v>4.3712268493887665</v>
      </c>
      <c r="T99" s="249">
        <f>T95/(IS_NG!W6*4)</f>
        <v>5.2082248736971017</v>
      </c>
      <c r="U99" s="249">
        <f>U95/(IS_NG!X6*4)</f>
        <v>10.259517145340956</v>
      </c>
      <c r="V99" s="249">
        <f>V95/(IS_NG!Y6*4)</f>
        <v>11.464688983742134</v>
      </c>
      <c r="W99" s="249">
        <f>W95/(IS_NG!Z6*4)</f>
        <v>5.9349332408435078</v>
      </c>
      <c r="X99" s="249">
        <f>X95/(IS_NG!AA6*4)</f>
        <v>7.7083312955337489</v>
      </c>
      <c r="Y99" s="249">
        <f>Y95/(IS_NG!AB6*4)</f>
        <v>11.909111177692616</v>
      </c>
      <c r="Z99" s="249">
        <f>Z95/(IS_NG!AC6*4)</f>
        <v>17.756888730033012</v>
      </c>
      <c r="AA99" s="249">
        <f>AA95/(IS_NG!AD6*4)</f>
        <v>7.8472243252927969</v>
      </c>
      <c r="AB99" s="249">
        <f>AB95/(IS_NG!AE6*4)</f>
        <v>11.254643543017899</v>
      </c>
      <c r="AC99" s="249">
        <f>AC95/(IS_NG!AF6*4)</f>
        <v>11.617166447368421</v>
      </c>
      <c r="AD99" s="249">
        <f>AD95/(IS_NG!AG6*4)</f>
        <v>17.3830879288499</v>
      </c>
    </row>
    <row r="100" spans="1:30" s="248" customFormat="1" x14ac:dyDescent="0.2">
      <c r="A100" s="251"/>
      <c r="B100" s="276" t="s">
        <v>376</v>
      </c>
      <c r="C100" s="275"/>
      <c r="D100" s="250"/>
      <c r="E100" s="249">
        <f>E95/IS_NG!D14</f>
        <v>19.68332923832924</v>
      </c>
      <c r="F100" s="249">
        <f>F95/IS_NG!E14</f>
        <v>7.5030160338635206</v>
      </c>
      <c r="G100" s="249">
        <f>G95/IS_NG!F14</f>
        <v>11.898250194554493</v>
      </c>
      <c r="H100" s="249">
        <f>H95/IS_NG!G14</f>
        <v>6.9255834862482057</v>
      </c>
      <c r="I100" s="249">
        <f>I95/IS_NG!H14</f>
        <v>13.851012213646708</v>
      </c>
      <c r="J100" s="249">
        <f>J95/IS_NG!I14</f>
        <v>17.585545628205246</v>
      </c>
      <c r="K100" s="249">
        <f>K95/IS_NG!J14</f>
        <v>17.156042796410016</v>
      </c>
      <c r="L100" s="249">
        <f>L95/IS_NG!K14</f>
        <v>18.064260459209208</v>
      </c>
      <c r="M100" s="228"/>
      <c r="N100" s="249">
        <f>N95/(IS_NG!Q14*4)</f>
        <v>9.5713122854123078</v>
      </c>
      <c r="O100" s="249">
        <f>O95/(IS_NG!R14*4)</f>
        <v>5.1425273236770499</v>
      </c>
      <c r="P100" s="249">
        <f>P95/(IS_NG!S14*4)</f>
        <v>5.0558483728750661</v>
      </c>
      <c r="Q100" s="249">
        <f>Q95/(IS_NG!T14*4)</f>
        <v>8.0844338475349922</v>
      </c>
      <c r="R100" s="249">
        <f>R95/(IS_NG!U14*4)</f>
        <v>13.036314267001309</v>
      </c>
      <c r="S100" s="249">
        <f>S95/(IS_NG!V14*4)</f>
        <v>7.9302177407492511</v>
      </c>
      <c r="T100" s="249">
        <f>T95/(IS_NG!W14*4)</f>
        <v>9.6293546700187562</v>
      </c>
      <c r="U100" s="249">
        <f>U95/(IS_NG!X14*4)</f>
        <v>22.203755000864216</v>
      </c>
      <c r="V100" s="249">
        <f>V95/(IS_NG!Y14*4)</f>
        <v>23.760152531523552</v>
      </c>
      <c r="W100" s="249">
        <f>W95/(IS_NG!Z14*4)</f>
        <v>10.641541990049751</v>
      </c>
      <c r="X100" s="249">
        <f>X95/(IS_NG!AA14*4)</f>
        <v>14.412147538837448</v>
      </c>
      <c r="Y100" s="249">
        <f>Y95/(IS_NG!AB14*4)</f>
        <v>25.239805446416106</v>
      </c>
      <c r="Z100" s="249">
        <f>Z95/(IS_NG!AC14*4)</f>
        <v>31.238039380596319</v>
      </c>
      <c r="AA100" s="249">
        <f>AA95/(IS_NG!AD14*4)</f>
        <v>12.232133030178996</v>
      </c>
      <c r="AB100" s="249">
        <f>AB95/(IS_NG!AE14*4)</f>
        <v>18.635796000484707</v>
      </c>
      <c r="AC100" s="249">
        <f>AC95/(IS_NG!AF14*4)</f>
        <v>18.814496179833679</v>
      </c>
      <c r="AD100" s="249">
        <f>AD95/(IS_NG!AG14*4)</f>
        <v>37.626683997890296</v>
      </c>
    </row>
    <row r="101" spans="1:30" s="248" customFormat="1" x14ac:dyDescent="0.2">
      <c r="A101" s="251"/>
      <c r="B101" s="276" t="s">
        <v>375</v>
      </c>
      <c r="C101" s="275"/>
      <c r="D101" s="250"/>
      <c r="E101" s="249">
        <f>E95/CF!D26</f>
        <v>6.2343307392996108</v>
      </c>
      <c r="F101" s="249">
        <f>F95/CF!E26</f>
        <v>21.664264074074076</v>
      </c>
      <c r="G101" s="249">
        <f>G95/CF!F26</f>
        <v>16.163077537018182</v>
      </c>
      <c r="H101" s="249">
        <f>H95/CF!G26</f>
        <v>6.9477488998703789</v>
      </c>
      <c r="I101" s="249">
        <f>I95/CF!H26</f>
        <v>6.7365514644238198</v>
      </c>
      <c r="J101" s="249">
        <f>J95/CF!I26</f>
        <v>9.6082913719030358</v>
      </c>
      <c r="K101" s="249">
        <f>K95/CF!J26</f>
        <v>10.280029040475517</v>
      </c>
      <c r="L101" s="249">
        <f>L95/CF!K26</f>
        <v>10.665600590277778</v>
      </c>
      <c r="M101" s="228"/>
      <c r="N101" s="249">
        <f>N95/(CF!Q26*4)</f>
        <v>4.7703052007888926</v>
      </c>
      <c r="O101" s="249">
        <f>O95/(CF!R26*4)</f>
        <v>4.0623117418394763</v>
      </c>
      <c r="P101" s="249">
        <f>P95/(CF!S26*4)</f>
        <v>8.0765035448046607</v>
      </c>
      <c r="Q101" s="249">
        <f>Q95/(CF!T26*4)</f>
        <v>45.599043543552632</v>
      </c>
      <c r="R101" s="249">
        <f>R95/(CF!U26*4)</f>
        <v>3.8064047382656496</v>
      </c>
      <c r="S101" s="249">
        <f>S95/(CF!V26*4)</f>
        <v>3.5870528506507009</v>
      </c>
      <c r="T101" s="249">
        <f>T95/(CF!W26*4)</f>
        <v>8.4437856269995297</v>
      </c>
      <c r="U101" s="249">
        <f>U95/(CF!X26*4)</f>
        <v>16.821026515806224</v>
      </c>
      <c r="V101" s="249">
        <f>V95/(CF!Y26*4)</f>
        <v>4.3718680658003333</v>
      </c>
      <c r="W101" s="249">
        <f>W95/(CF!Z26*4)</f>
        <v>6.3357521919431283</v>
      </c>
      <c r="X101" s="249">
        <f>X95/(CF!AA26*4)</f>
        <v>28.472779284044712</v>
      </c>
      <c r="Y101" s="249">
        <f>Y95/(CF!AB26*4)</f>
        <v>25.644104389493709</v>
      </c>
      <c r="Z101" s="249">
        <f>Z95/(CF!AC26*4)</f>
        <v>6.1261266118613893</v>
      </c>
      <c r="AA101" s="249">
        <f>AA95/(CF!AD26*4)</f>
        <v>8.5500689786200379</v>
      </c>
      <c r="AB101" s="249">
        <f>AB95/(CF!AE26*4)</f>
        <v>-123.37368744624685</v>
      </c>
      <c r="AC101" s="249">
        <f>AC95/(CF!AF26*4)</f>
        <v>12.413954269547325</v>
      </c>
      <c r="AD101" s="249">
        <f>AD95/(CF!AG26*4)</f>
        <v>5.4012865581465777</v>
      </c>
    </row>
    <row r="102" spans="1:30" s="248" customFormat="1" x14ac:dyDescent="0.2">
      <c r="A102" s="251"/>
      <c r="B102" s="276" t="s">
        <v>374</v>
      </c>
      <c r="C102" s="275"/>
      <c r="D102" s="250"/>
      <c r="E102" s="249">
        <f>E95/CF!D58</f>
        <v>-13.285431177446103</v>
      </c>
      <c r="F102" s="249">
        <f>F95/CF!E58</f>
        <v>-5.9956450389503901</v>
      </c>
      <c r="G102" s="249">
        <f>G95/CF!F58</f>
        <v>-22.313885618115641</v>
      </c>
      <c r="H102" s="249">
        <f>H95/CF!G58</f>
        <v>443.02533546214283</v>
      </c>
      <c r="I102" s="249">
        <f>I95/CF!H58</f>
        <v>55.421515452586384</v>
      </c>
      <c r="J102" s="249">
        <f>J95/CF!I58</f>
        <v>-37.1489276840326</v>
      </c>
      <c r="K102" s="249">
        <f>K95/CF!J58</f>
        <v>-171.31765377358494</v>
      </c>
      <c r="L102" s="249">
        <f>L95/CF!K58</f>
        <v>-40.69040856538895</v>
      </c>
      <c r="M102" s="228"/>
      <c r="N102" s="249">
        <f>N95/(CF!Q58*4)</f>
        <v>10.965107069831795</v>
      </c>
      <c r="O102" s="249">
        <f>O95/(CF!R58*4)</f>
        <v>15.45258615574919</v>
      </c>
      <c r="P102" s="249">
        <f>P95/(CF!S58*4)</f>
        <v>-31.557199281024833</v>
      </c>
      <c r="Q102" s="249">
        <f>Q95/(CF!T58*4)</f>
        <v>-7.9850859661520737</v>
      </c>
      <c r="R102" s="249">
        <f>R95/(CF!U58*4)</f>
        <v>9.3817313398457216</v>
      </c>
      <c r="S102" s="249">
        <f>S95/(CF!V58*4)</f>
        <v>11.227932048783593</v>
      </c>
      <c r="T102" s="249">
        <f>T95/(CF!W58*4)</f>
        <v>-62.390193799496529</v>
      </c>
      <c r="U102" s="249">
        <f>U95/(CF!X58*4)</f>
        <v>-12.661204832425573</v>
      </c>
      <c r="V102" s="249">
        <f>V95/(CF!Y58*4)</f>
        <v>18.352058112034982</v>
      </c>
      <c r="W102" s="249">
        <f>W95/(CF!Z58*4)</f>
        <v>51.417065865384615</v>
      </c>
      <c r="X102" s="249">
        <f>X95/(CF!AA58*4)</f>
        <v>-10.506455555812499</v>
      </c>
      <c r="Y102" s="249">
        <f>Y95/(CF!AB58*4)</f>
        <v>-11.541167474983265</v>
      </c>
      <c r="Z102" s="249">
        <f>Z95/(CF!AC58*4)</f>
        <v>10.800223213859452</v>
      </c>
      <c r="AA102" s="249">
        <f>AA95/(CF!AD58*4)</f>
        <v>70.684921403400764</v>
      </c>
      <c r="AB102" s="249">
        <f>AB95/(CF!AE58*4)</f>
        <v>-8.9912558194220491</v>
      </c>
      <c r="AC102" s="249">
        <f>AC95/(CF!AF58*4)</f>
        <v>-32.320616651785713</v>
      </c>
      <c r="AD102" s="249">
        <f>AD95/(CF!AG58*4)</f>
        <v>25.773191062138725</v>
      </c>
    </row>
    <row r="103" spans="1:30" s="248" customFormat="1" x14ac:dyDescent="0.2">
      <c r="A103" s="251"/>
      <c r="B103" s="252" t="s">
        <v>373</v>
      </c>
      <c r="C103" s="251"/>
      <c r="D103" s="250"/>
      <c r="E103" s="249">
        <f>E95/BS!D60</f>
        <v>-1.0030192813321648</v>
      </c>
      <c r="F103" s="249">
        <f>F95/BS!E60</f>
        <v>-5.3545874221896748</v>
      </c>
      <c r="G103" s="249">
        <f>G95/BS!F60</f>
        <v>24.632498176158336</v>
      </c>
      <c r="H103" s="249">
        <f>H95/BS!G60</f>
        <v>7.7047884428198756</v>
      </c>
      <c r="I103" s="249">
        <f>I95/BS!H60</f>
        <v>11.611429789670014</v>
      </c>
      <c r="J103" s="249">
        <f>J95/BS!I60</f>
        <v>-58.438120856805128</v>
      </c>
      <c r="K103" s="249">
        <f>K95/BS!J60</f>
        <v>-214.90735266272191</v>
      </c>
      <c r="L103" s="249">
        <f>L95/BS!AG60</f>
        <v>-56.749044650157231</v>
      </c>
      <c r="M103" s="228"/>
      <c r="N103" s="249">
        <f>N95/BS!Q60</f>
        <v>17.217280999663529</v>
      </c>
      <c r="O103" s="249">
        <f>O95/BS!R60</f>
        <v>10.488719095816556</v>
      </c>
      <c r="P103" s="249">
        <f>P95/BS!S60</f>
        <v>10.133199556480063</v>
      </c>
      <c r="Q103" s="249">
        <f>Q95/BS!T60</f>
        <v>7.3800049177852705</v>
      </c>
      <c r="R103" s="249">
        <f>R95/BS!U60</f>
        <v>8.469452581109131</v>
      </c>
      <c r="S103" s="249">
        <f>S95/BS!V60</f>
        <v>7.3637736164100192</v>
      </c>
      <c r="T103" s="249">
        <f>T95/BS!W60</f>
        <v>8.1841839281507625</v>
      </c>
      <c r="U103" s="249">
        <f>U95/BS!X60</f>
        <v>11.145874372956937</v>
      </c>
      <c r="V103" s="249">
        <f>V95/BS!Y60</f>
        <v>11.381779748973965</v>
      </c>
      <c r="W103" s="249">
        <f>W95/BS!Z60</f>
        <v>11.515208290713325</v>
      </c>
      <c r="X103" s="249">
        <f>X95/BS!AA60</f>
        <v>10.644838455737082</v>
      </c>
      <c r="Y103" s="249">
        <f>Y95/BS!AB60</f>
        <v>-57.469095477993591</v>
      </c>
      <c r="Z103" s="249">
        <f>Z95/BS!AC60</f>
        <v>-43.32820393457957</v>
      </c>
      <c r="AA103" s="249">
        <f>AA95/BS!AD60</f>
        <v>-42.622438222533951</v>
      </c>
      <c r="AB103" s="249">
        <f>AB95/BS!AE60</f>
        <v>-68.637474001785222</v>
      </c>
      <c r="AC103" s="249">
        <f>AC95/BS!AF60</f>
        <v>-214.19580266272189</v>
      </c>
      <c r="AD103" s="249">
        <f>AD95/BS!AG60</f>
        <v>-56.085057279874214</v>
      </c>
    </row>
    <row r="104" spans="1:30" s="248" customFormat="1" x14ac:dyDescent="0.2">
      <c r="A104" s="251"/>
      <c r="B104" s="252" t="s">
        <v>372</v>
      </c>
      <c r="C104" s="251"/>
      <c r="D104" s="250"/>
      <c r="E104" s="249">
        <f t="shared" ref="E104:L104" si="10">E95/E90</f>
        <v>2.3785158760909288</v>
      </c>
      <c r="F104" s="249">
        <f t="shared" si="10"/>
        <v>2.0667980895579681</v>
      </c>
      <c r="G104" s="249">
        <f t="shared" si="10"/>
        <v>1.2646240624692597</v>
      </c>
      <c r="H104" s="249">
        <f t="shared" si="10"/>
        <v>1.4914893219262477</v>
      </c>
      <c r="I104" s="249">
        <f t="shared" si="10"/>
        <v>1.6926828950681736</v>
      </c>
      <c r="J104" s="249">
        <f t="shared" si="10"/>
        <v>1.7817381750618755</v>
      </c>
      <c r="K104" s="249">
        <f t="shared" si="10"/>
        <v>2.4290068500704365</v>
      </c>
      <c r="L104" s="249">
        <f t="shared" si="10"/>
        <v>2.4415799166313534</v>
      </c>
      <c r="M104" s="228"/>
      <c r="N104" s="249">
        <f t="shared" ref="N104:AD104" si="11">N95/N90</f>
        <v>1.2576403846517255</v>
      </c>
      <c r="O104" s="249">
        <f t="shared" si="11"/>
        <v>1.349409315278645</v>
      </c>
      <c r="P104" s="249">
        <f t="shared" si="11"/>
        <v>1.4421729364036744</v>
      </c>
      <c r="Q104" s="249">
        <f t="shared" si="11"/>
        <v>1.5244630714947309</v>
      </c>
      <c r="R104" s="249">
        <f t="shared" si="11"/>
        <v>1.5907376533323416</v>
      </c>
      <c r="S104" s="249">
        <f t="shared" si="11"/>
        <v>1.9814914578147667</v>
      </c>
      <c r="T104" s="249">
        <f t="shared" si="11"/>
        <v>1.8573162919491877</v>
      </c>
      <c r="U104" s="249">
        <f t="shared" si="11"/>
        <v>1.7431162734336427</v>
      </c>
      <c r="V104" s="249">
        <f t="shared" si="11"/>
        <v>1.8318042777750108</v>
      </c>
      <c r="W104" s="249">
        <f t="shared" si="11"/>
        <v>1.7245424844574291</v>
      </c>
      <c r="X104" s="249">
        <f t="shared" si="11"/>
        <v>1.8185264177830525</v>
      </c>
      <c r="Y104" s="249">
        <f t="shared" si="11"/>
        <v>1.8055377212757091</v>
      </c>
      <c r="Z104" s="249">
        <f t="shared" si="11"/>
        <v>1.7886420106768599</v>
      </c>
      <c r="AA104" s="249">
        <f t="shared" si="11"/>
        <v>2.1000800199113558</v>
      </c>
      <c r="AB104" s="249">
        <f t="shared" si="11"/>
        <v>2.0439294863554305</v>
      </c>
      <c r="AC104" s="249">
        <f t="shared" si="11"/>
        <v>2.4405925977805425</v>
      </c>
      <c r="AD104" s="249">
        <f t="shared" si="11"/>
        <v>2.4839733217585365</v>
      </c>
    </row>
    <row r="105" spans="1:30" s="248" customFormat="1" x14ac:dyDescent="0.2">
      <c r="A105" s="251"/>
      <c r="B105" s="252" t="s">
        <v>371</v>
      </c>
      <c r="C105" s="251"/>
      <c r="D105" s="250"/>
      <c r="E105" s="249">
        <f>BS!D68/E95</f>
        <v>1.0653947671453974</v>
      </c>
      <c r="F105" s="249">
        <f>BS!E68/F95</f>
        <v>1.1487769592501649</v>
      </c>
      <c r="G105" s="249">
        <f>BS!F68/G95</f>
        <v>0.35594995693549902</v>
      </c>
      <c r="H105" s="249">
        <f>BS!G68/H95</f>
        <v>0.4735759010940534</v>
      </c>
      <c r="I105" s="249">
        <f>BS!H68/I95</f>
        <v>0.55391146582431938</v>
      </c>
      <c r="J105" s="249">
        <f>BS!I68/J95</f>
        <v>0.54989131945835501</v>
      </c>
      <c r="K105" s="249">
        <f>BS!J68/K95</f>
        <v>0.71936874760502956</v>
      </c>
      <c r="L105" s="249">
        <f>BS!AG68/L95</f>
        <v>0.71092544150044523</v>
      </c>
      <c r="M105" s="228"/>
      <c r="N105" s="249">
        <f>BS!Q68/N95</f>
        <v>0.39761653090435928</v>
      </c>
      <c r="O105" s="249">
        <f>BS!R68/O95</f>
        <v>0.49280248993895548</v>
      </c>
      <c r="P105" s="249">
        <f>BS!S68/P95</f>
        <v>0.53936013816260486</v>
      </c>
      <c r="Q105" s="249">
        <f>BS!T68/Q95</f>
        <v>0.49441730326684824</v>
      </c>
      <c r="R105" s="249">
        <f>BS!U68/R95</f>
        <v>0.5450836952380187</v>
      </c>
      <c r="S105" s="249">
        <f>BS!V68/S95</f>
        <v>0.71950032046095103</v>
      </c>
      <c r="T105" s="249">
        <f>BS!W68/T95</f>
        <v>0.64955787438175427</v>
      </c>
      <c r="U105" s="249">
        <f>BS!X68/U95</f>
        <v>0.57704796231307154</v>
      </c>
      <c r="V105" s="249">
        <f>BS!Y68/V95</f>
        <v>0.62376081779146353</v>
      </c>
      <c r="W105" s="249">
        <f>BS!Z68/W95</f>
        <v>0.58110289388072356</v>
      </c>
      <c r="X105" s="249">
        <f>BS!AA68/X95</f>
        <v>0.58735317226807382</v>
      </c>
      <c r="Y105" s="249">
        <f>BS!AB68/Y95</f>
        <v>0.55916340978292522</v>
      </c>
      <c r="Z105" s="249">
        <f>BS!AC68/Z95</f>
        <v>0.56087189180346064</v>
      </c>
      <c r="AA105" s="249">
        <f>BS!AD68/AA95</f>
        <v>0.65001932481862557</v>
      </c>
      <c r="AB105" s="249">
        <f>BS!AE68/AB95</f>
        <v>0.63527794216760525</v>
      </c>
      <c r="AC105" s="249">
        <f>BS!AF68/AC95</f>
        <v>0.72175846218391126</v>
      </c>
      <c r="AD105" s="249">
        <f>BS!AG68/AD95</f>
        <v>0.71934204187964401</v>
      </c>
    </row>
    <row r="106" spans="1:30" s="228" customFormat="1" ht="4.5" customHeight="1" x14ac:dyDescent="0.2">
      <c r="A106" s="247"/>
      <c r="B106" s="242"/>
      <c r="C106" s="246"/>
      <c r="D106" s="241"/>
      <c r="E106" s="245"/>
      <c r="F106" s="245"/>
      <c r="G106" s="245"/>
      <c r="H106" s="245"/>
      <c r="I106" s="245"/>
      <c r="J106" s="245"/>
      <c r="K106" s="245"/>
      <c r="L106" s="245"/>
      <c r="N106" s="245"/>
      <c r="O106" s="245"/>
      <c r="P106" s="245"/>
      <c r="Q106" s="245"/>
      <c r="R106" s="245"/>
      <c r="S106" s="245"/>
      <c r="T106" s="245"/>
      <c r="U106" s="245"/>
      <c r="V106" s="245"/>
      <c r="W106" s="245"/>
      <c r="X106" s="245"/>
      <c r="Y106" s="245"/>
      <c r="Z106" s="245"/>
      <c r="AA106" s="245"/>
      <c r="AB106" s="245"/>
      <c r="AC106" s="245"/>
      <c r="AD106" s="245"/>
    </row>
    <row r="107" spans="1:30" s="248" customFormat="1" x14ac:dyDescent="0.2">
      <c r="A107" s="83" t="s">
        <v>370</v>
      </c>
      <c r="B107" s="243"/>
      <c r="C107" s="83"/>
      <c r="D107" s="241"/>
      <c r="E107" s="227"/>
      <c r="F107" s="227"/>
      <c r="G107" s="227"/>
      <c r="H107" s="227"/>
      <c r="I107" s="227"/>
      <c r="J107" s="227"/>
      <c r="K107" s="227"/>
      <c r="L107" s="227"/>
      <c r="M107" s="228"/>
      <c r="N107" s="227"/>
      <c r="O107" s="227"/>
      <c r="P107" s="227"/>
      <c r="Q107" s="227"/>
      <c r="R107" s="227"/>
      <c r="S107" s="227"/>
      <c r="T107" s="227"/>
      <c r="U107" s="227"/>
      <c r="V107" s="227"/>
      <c r="W107" s="227"/>
      <c r="X107" s="227"/>
      <c r="Y107" s="227"/>
      <c r="Z107" s="227"/>
      <c r="AA107" s="227"/>
      <c r="AB107" s="227"/>
      <c r="AC107" s="227"/>
      <c r="AD107" s="227"/>
    </row>
    <row r="108" spans="1:30" s="248" customFormat="1" x14ac:dyDescent="0.2">
      <c r="A108" s="269"/>
      <c r="B108" s="268" t="s">
        <v>369</v>
      </c>
      <c r="C108" s="267"/>
      <c r="D108" s="266" t="s">
        <v>368</v>
      </c>
      <c r="E108" s="265"/>
      <c r="F108" s="265"/>
      <c r="G108" s="265"/>
      <c r="H108" s="265"/>
      <c r="I108" s="265"/>
      <c r="J108" s="265"/>
      <c r="K108" s="265"/>
      <c r="L108" s="265"/>
      <c r="M108" s="228"/>
      <c r="N108" s="265"/>
      <c r="O108" s="265"/>
      <c r="P108" s="265"/>
      <c r="Q108" s="265"/>
      <c r="R108" s="265"/>
      <c r="S108" s="265"/>
      <c r="T108" s="265"/>
      <c r="U108" s="265"/>
      <c r="V108" s="265"/>
      <c r="W108" s="265"/>
      <c r="X108" s="265"/>
      <c r="Y108" s="265"/>
      <c r="Z108" s="265"/>
      <c r="AA108" s="265"/>
      <c r="AB108" s="265"/>
      <c r="AC108" s="265"/>
      <c r="AD108" s="265"/>
    </row>
    <row r="109" spans="1:30" s="248" customFormat="1" x14ac:dyDescent="0.2">
      <c r="A109" s="272"/>
      <c r="B109" s="273" t="s">
        <v>367</v>
      </c>
      <c r="C109" s="272"/>
      <c r="D109" s="271"/>
      <c r="E109" s="270"/>
      <c r="F109" s="270"/>
      <c r="G109" s="270"/>
      <c r="H109" s="270"/>
      <c r="I109" s="270"/>
      <c r="J109" s="270"/>
      <c r="K109" s="270"/>
      <c r="L109" s="270"/>
      <c r="M109" s="228"/>
      <c r="N109" s="270"/>
      <c r="O109" s="270"/>
      <c r="P109" s="270"/>
      <c r="Q109" s="270"/>
      <c r="R109" s="270"/>
      <c r="S109" s="270"/>
      <c r="T109" s="270"/>
      <c r="U109" s="270"/>
      <c r="V109" s="270"/>
      <c r="W109" s="270"/>
      <c r="X109" s="270"/>
      <c r="Y109" s="270"/>
      <c r="Z109" s="270"/>
      <c r="AA109" s="270"/>
      <c r="AB109" s="270"/>
      <c r="AC109" s="270"/>
      <c r="AD109" s="270"/>
    </row>
    <row r="110" spans="1:30" s="248" customFormat="1" x14ac:dyDescent="0.2">
      <c r="A110" s="274"/>
      <c r="B110" s="268" t="s">
        <v>366</v>
      </c>
      <c r="C110" s="267"/>
      <c r="D110" s="266" t="s">
        <v>365</v>
      </c>
      <c r="E110" s="265">
        <f>IS_NG!D4/AVERAGE(BS!C8:D8)</f>
        <v>38.124383020730505</v>
      </c>
      <c r="F110" s="265">
        <f>IS_NG!E4/AVERAGE(BS!D8:E8)</f>
        <v>30.095380029806261</v>
      </c>
      <c r="G110" s="265">
        <f>IS_NG!F4/AVERAGE(BS!E8:F8)</f>
        <v>25.607925547883518</v>
      </c>
      <c r="H110" s="265">
        <f>IS_NG!G4/AVERAGE(BS!F8:G8)</f>
        <v>25.650813516896122</v>
      </c>
      <c r="I110" s="265">
        <f>IS_NG!H4/AVERAGE(BS!G8:H8)</f>
        <v>26.618085458761179</v>
      </c>
      <c r="J110" s="265">
        <f>IS_NG!I4/AVERAGE(BS!H8:I8)</f>
        <v>25.476389719067544</v>
      </c>
      <c r="K110" s="265">
        <f>IS_NG!J4/AVERAGE(BS!I8:J8)</f>
        <v>25.761133603238868</v>
      </c>
      <c r="L110" s="265">
        <f>IS_NG!K4/AVERAGE(BS!AF8:AG8)</f>
        <v>24.971524288107204</v>
      </c>
      <c r="M110" s="228"/>
      <c r="N110" s="265">
        <f>IS_NG!Q4*4/AVERAGE(BS!P8:Q8)</f>
        <v>21.855991103697527</v>
      </c>
      <c r="O110" s="265">
        <f>IS_NG!R4*4/AVERAGE(BS!Q8:R8)</f>
        <v>23.296395911780529</v>
      </c>
      <c r="P110" s="265">
        <f>IS_NG!S4*4/AVERAGE(BS!R8:S8)</f>
        <v>23.023655913978494</v>
      </c>
      <c r="Q110" s="265">
        <f>IS_NG!T4*4/AVERAGE(BS!S8:T8)</f>
        <v>23.68275438057178</v>
      </c>
      <c r="R110" s="265">
        <f>IS_NG!U4*4/AVERAGE(BS!T8:U8)</f>
        <v>26.25391304347826</v>
      </c>
      <c r="S110" s="265">
        <f>IS_NG!V4*4/AVERAGE(BS!U8:V8)</f>
        <v>27.244166940519225</v>
      </c>
      <c r="T110" s="265">
        <f>IS_NG!W4*4/AVERAGE(BS!V8:W8)</f>
        <v>25.71359223300971</v>
      </c>
      <c r="U110" s="265">
        <f>IS_NG!X4*4/AVERAGE(BS!W8:X8)</f>
        <v>23.752502274795269</v>
      </c>
      <c r="V110" s="265">
        <f>IS_NG!Y4*4/AVERAGE(BS!X8:Y8)</f>
        <v>26.265463055834168</v>
      </c>
      <c r="W110" s="265">
        <f>IS_NG!Z4*4/AVERAGE(BS!Y8:Z8)</f>
        <v>30.549659863945578</v>
      </c>
      <c r="X110" s="265">
        <f>IS_NG!AA4*4/AVERAGE(BS!Z8:AA8)</f>
        <v>27.049028677150787</v>
      </c>
      <c r="Y110" s="265">
        <f>IS_NG!AB4*4/AVERAGE(BS!AA8:AB8)</f>
        <v>24.590961761297798</v>
      </c>
      <c r="Z110" s="265">
        <f>IS_NG!AC4*4/AVERAGE(BS!AB8:AC8)</f>
        <v>23.3664700926706</v>
      </c>
      <c r="AA110" s="265">
        <f>IS_NG!AD4*4/AVERAGE(BS!AC8:AD8)</f>
        <v>24.8384</v>
      </c>
      <c r="AB110" s="265">
        <f>IS_NG!AE4*4/AVERAGE(BS!AD8:AE8)</f>
        <v>22.493797129652151</v>
      </c>
      <c r="AC110" s="265">
        <f>IS_NG!AF4*4/AVERAGE(BS!AE8:AF8)</f>
        <v>22.575851393188856</v>
      </c>
      <c r="AD110" s="265">
        <f>IS_NG!AG4*4/AVERAGE(BS!AF8:AG8)</f>
        <v>23.638190954773869</v>
      </c>
    </row>
    <row r="111" spans="1:30" s="248" customFormat="1" x14ac:dyDescent="0.2">
      <c r="A111" s="272"/>
      <c r="B111" s="273" t="s">
        <v>364</v>
      </c>
      <c r="C111" s="272"/>
      <c r="D111" s="271"/>
      <c r="E111" s="270">
        <f t="shared" ref="E111:L111" si="12">365/E110</f>
        <v>9.5739254272397716</v>
      </c>
      <c r="F111" s="270">
        <f t="shared" si="12"/>
        <v>12.128107358621373</v>
      </c>
      <c r="G111" s="270">
        <f t="shared" si="12"/>
        <v>14.253399765533413</v>
      </c>
      <c r="H111" s="270">
        <f t="shared" si="12"/>
        <v>14.229568187362771</v>
      </c>
      <c r="I111" s="270">
        <f t="shared" si="12"/>
        <v>13.712481333997014</v>
      </c>
      <c r="J111" s="270">
        <f t="shared" si="12"/>
        <v>14.326990755947632</v>
      </c>
      <c r="K111" s="270">
        <f t="shared" si="12"/>
        <v>14.168631148829167</v>
      </c>
      <c r="L111" s="270">
        <f t="shared" si="12"/>
        <v>14.616648779178963</v>
      </c>
      <c r="M111" s="228"/>
      <c r="N111" s="270">
        <f t="shared" ref="N111:AD111" si="13">365/N110</f>
        <v>16.700226417014349</v>
      </c>
      <c r="O111" s="270">
        <f t="shared" si="13"/>
        <v>15.667659554816661</v>
      </c>
      <c r="P111" s="270">
        <f t="shared" si="13"/>
        <v>15.853259854287316</v>
      </c>
      <c r="Q111" s="270">
        <f t="shared" si="13"/>
        <v>15.412058670820354</v>
      </c>
      <c r="R111" s="270">
        <f t="shared" si="13"/>
        <v>13.902689454160043</v>
      </c>
      <c r="S111" s="270">
        <f t="shared" si="13"/>
        <v>13.397363215285148</v>
      </c>
      <c r="T111" s="270">
        <f t="shared" si="13"/>
        <v>14.194827260713611</v>
      </c>
      <c r="U111" s="270">
        <f t="shared" si="13"/>
        <v>15.366802022678517</v>
      </c>
      <c r="V111" s="270">
        <f t="shared" si="13"/>
        <v>13.896575865580449</v>
      </c>
      <c r="W111" s="270">
        <f t="shared" si="13"/>
        <v>11.947759864612095</v>
      </c>
      <c r="X111" s="270">
        <f t="shared" si="13"/>
        <v>13.494015047879616</v>
      </c>
      <c r="Y111" s="270">
        <f t="shared" si="13"/>
        <v>14.842851757610028</v>
      </c>
      <c r="Z111" s="270">
        <f t="shared" si="13"/>
        <v>15.620673492933371</v>
      </c>
      <c r="AA111" s="270">
        <f t="shared" si="13"/>
        <v>14.694988405050244</v>
      </c>
      <c r="AB111" s="270">
        <f t="shared" si="13"/>
        <v>16.226695648412495</v>
      </c>
      <c r="AC111" s="270">
        <f t="shared" si="13"/>
        <v>16.167718047174986</v>
      </c>
      <c r="AD111" s="270">
        <f t="shared" si="13"/>
        <v>15.441113945578232</v>
      </c>
    </row>
    <row r="112" spans="1:30" s="248" customFormat="1" x14ac:dyDescent="0.2">
      <c r="A112" s="269"/>
      <c r="B112" s="268" t="s">
        <v>363</v>
      </c>
      <c r="C112" s="267"/>
      <c r="D112" s="266" t="s">
        <v>362</v>
      </c>
      <c r="E112" s="265"/>
      <c r="F112" s="265"/>
      <c r="G112" s="265"/>
      <c r="H112" s="265"/>
      <c r="I112" s="265"/>
      <c r="J112" s="265"/>
      <c r="K112" s="265"/>
      <c r="L112" s="265"/>
      <c r="M112" s="228"/>
      <c r="N112" s="265"/>
      <c r="O112" s="265"/>
      <c r="P112" s="265"/>
      <c r="Q112" s="265"/>
      <c r="R112" s="265"/>
      <c r="S112" s="265"/>
      <c r="T112" s="265"/>
      <c r="U112" s="265"/>
      <c r="V112" s="265"/>
      <c r="W112" s="265"/>
      <c r="X112" s="265"/>
      <c r="Y112" s="265"/>
      <c r="Z112" s="265"/>
      <c r="AA112" s="265"/>
      <c r="AB112" s="265"/>
      <c r="AC112" s="265"/>
      <c r="AD112" s="265"/>
    </row>
    <row r="113" spans="1:30" s="248" customFormat="1" x14ac:dyDescent="0.2">
      <c r="A113" s="272"/>
      <c r="B113" s="273" t="s">
        <v>361</v>
      </c>
      <c r="C113" s="272"/>
      <c r="D113" s="271"/>
      <c r="E113" s="270"/>
      <c r="F113" s="270"/>
      <c r="G113" s="270"/>
      <c r="H113" s="270"/>
      <c r="I113" s="270"/>
      <c r="J113" s="270"/>
      <c r="K113" s="270"/>
      <c r="L113" s="270"/>
      <c r="M113" s="228"/>
      <c r="N113" s="270"/>
      <c r="O113" s="270"/>
      <c r="P113" s="270"/>
      <c r="Q113" s="270"/>
      <c r="R113" s="270"/>
      <c r="S113" s="270"/>
      <c r="T113" s="270"/>
      <c r="U113" s="270"/>
      <c r="V113" s="270"/>
      <c r="W113" s="270"/>
      <c r="X113" s="270"/>
      <c r="Y113" s="270"/>
      <c r="Z113" s="270"/>
      <c r="AA113" s="270"/>
      <c r="AB113" s="270"/>
      <c r="AC113" s="270"/>
      <c r="AD113" s="270"/>
    </row>
    <row r="114" spans="1:30" s="248" customFormat="1" x14ac:dyDescent="0.2">
      <c r="A114" s="272"/>
      <c r="B114" s="273" t="s">
        <v>360</v>
      </c>
      <c r="C114" s="272"/>
      <c r="D114" s="271"/>
      <c r="E114" s="270"/>
      <c r="F114" s="270"/>
      <c r="G114" s="270"/>
      <c r="H114" s="270"/>
      <c r="I114" s="270"/>
      <c r="J114" s="270"/>
      <c r="K114" s="270"/>
      <c r="L114" s="270"/>
      <c r="M114" s="228"/>
      <c r="N114" s="270"/>
      <c r="O114" s="270"/>
      <c r="P114" s="270"/>
      <c r="Q114" s="270"/>
      <c r="R114" s="270"/>
      <c r="S114" s="270"/>
      <c r="T114" s="270"/>
      <c r="U114" s="270"/>
      <c r="V114" s="270"/>
      <c r="W114" s="270"/>
      <c r="X114" s="270"/>
      <c r="Y114" s="270"/>
      <c r="Z114" s="270"/>
      <c r="AA114" s="270"/>
      <c r="AB114" s="270"/>
      <c r="AC114" s="270"/>
      <c r="AD114" s="270"/>
    </row>
    <row r="115" spans="1:30" s="248" customFormat="1" x14ac:dyDescent="0.2">
      <c r="A115" s="269"/>
      <c r="B115" s="268" t="s">
        <v>359</v>
      </c>
      <c r="C115" s="267"/>
      <c r="D115" s="266"/>
      <c r="E115" s="265">
        <f>IS_NG!D4/AVERAGE(BS!C17:D17)</f>
        <v>1.5735327072340946</v>
      </c>
      <c r="F115" s="265">
        <f>IS_NG!E4/AVERAGE(BS!D17:E17)</f>
        <v>1.4787368421052631</v>
      </c>
      <c r="G115" s="265">
        <f>IS_NG!F4/AVERAGE(BS!E17:F17)</f>
        <v>1.2976344413174108</v>
      </c>
      <c r="H115" s="265">
        <f>IS_NG!G4/AVERAGE(BS!F17:G17)</f>
        <v>1.0787267918470467</v>
      </c>
      <c r="I115" s="265">
        <f>IS_NG!H4/AVERAGE(BS!G17:H17)</f>
        <v>0.93434255351308615</v>
      </c>
      <c r="J115" s="265">
        <f>IS_NG!I4/AVERAGE(BS!H17:I17)</f>
        <v>0.89584362356155745</v>
      </c>
      <c r="K115" s="265">
        <f>IS_NG!J4/AVERAGE(BS!I17:J17)</f>
        <v>0.87901483082205978</v>
      </c>
      <c r="L115" s="265">
        <f>IS_NG!K4/AVERAGE(BS!AF17:AG17)</f>
        <v>0.86259004599940214</v>
      </c>
      <c r="M115" s="228"/>
      <c r="N115" s="265">
        <f>IS_NG!Q4*4/AVERAGE(BS!P17:Q17)</f>
        <v>1.0934987620663754</v>
      </c>
      <c r="O115" s="265">
        <f>IS_NG!R4*4/AVERAGE(BS!Q17:R17)</f>
        <v>1.1605123532879575</v>
      </c>
      <c r="P115" s="265">
        <f>IS_NG!S4*4/AVERAGE(BS!R17:S17)</f>
        <v>1.1081095068053615</v>
      </c>
      <c r="Q115" s="265">
        <f>IS_NG!T4*4/AVERAGE(BS!S17:T17)</f>
        <v>0.96467612476678233</v>
      </c>
      <c r="R115" s="265">
        <f>IS_NG!U4*4/AVERAGE(BS!T17:U17)</f>
        <v>0.91291727140783741</v>
      </c>
      <c r="S115" s="265">
        <f>IS_NG!V4*4/AVERAGE(BS!U17:V17)</f>
        <v>0.97030699547055865</v>
      </c>
      <c r="T115" s="265">
        <f>IS_NG!W4*4/AVERAGE(BS!V17:W17)</f>
        <v>0.96596685586632924</v>
      </c>
      <c r="U115" s="265">
        <f>IS_NG!X4*4/AVERAGE(BS!W17:X17)</f>
        <v>0.87327713100495119</v>
      </c>
      <c r="V115" s="265">
        <f>IS_NG!Y4*4/AVERAGE(BS!X17:Y17)</f>
        <v>0.85128516319188596</v>
      </c>
      <c r="W115" s="265">
        <f>IS_NG!Z4*4/AVERAGE(BS!Y17:Z17)</f>
        <v>0.94491436266464668</v>
      </c>
      <c r="X115" s="265">
        <f>IS_NG!AA4*4/AVERAGE(BS!Z17:AA17)</f>
        <v>0.90574921526515773</v>
      </c>
      <c r="Y115" s="265">
        <f>IS_NG!AB4*4/AVERAGE(BS!AA17:AB17)</f>
        <v>0.86155345126815452</v>
      </c>
      <c r="Z115" s="265">
        <f>IS_NG!AC4*4/AVERAGE(BS!AB17:AC17)</f>
        <v>0.82964085588370196</v>
      </c>
      <c r="AA115" s="265">
        <f>IS_NG!AD4*4/AVERAGE(BS!AC17:AD17)</f>
        <v>0.91640184571186822</v>
      </c>
      <c r="AB115" s="265">
        <f>IS_NG!AE4*4/AVERAGE(BS!AD17:AE17)</f>
        <v>0.90085631618427842</v>
      </c>
      <c r="AC115" s="265">
        <f>IS_NG!AF4*4/AVERAGE(BS!AE17:AF17)</f>
        <v>0.84921536087576788</v>
      </c>
      <c r="AD115" s="265">
        <f>IS_NG!AG4*4/AVERAGE(BS!AF17:AG17)</f>
        <v>0.81653278301204468</v>
      </c>
    </row>
    <row r="116" spans="1:30" s="248" customFormat="1" x14ac:dyDescent="0.2">
      <c r="A116" s="269"/>
      <c r="B116" s="268" t="s">
        <v>358</v>
      </c>
      <c r="C116" s="267"/>
      <c r="D116" s="266"/>
      <c r="E116" s="265">
        <f>IS_NG!D4/AVERAGE(BS!C19:D19)</f>
        <v>2.7876425581059623</v>
      </c>
      <c r="F116" s="265">
        <f>IS_NG!E4/AVERAGE(BS!D19:E19)</f>
        <v>2.4731637120725023</v>
      </c>
      <c r="G116" s="265">
        <f>IS_NG!F4/AVERAGE(BS!E19:F19)</f>
        <v>2.0145006258413432</v>
      </c>
      <c r="H116" s="265">
        <f>IS_NG!G4/AVERAGE(BS!F19:G19)</f>
        <v>1.6203502391587936</v>
      </c>
      <c r="I116" s="265">
        <f>IS_NG!H4/AVERAGE(BS!G19:H19)</f>
        <v>1.3697182498423359</v>
      </c>
      <c r="J116" s="265">
        <f>IS_NG!I4/AVERAGE(BS!H19:I19)</f>
        <v>1.305121335068514</v>
      </c>
      <c r="K116" s="265">
        <f>IS_NG!J4/AVERAGE(BS!I19:J19)</f>
        <v>1.3051542766724296</v>
      </c>
      <c r="L116" s="265">
        <f>IS_NG!K4/AVERAGE(BS!AF19:AG19)</f>
        <v>1.3056577334033981</v>
      </c>
      <c r="M116" s="228"/>
      <c r="N116" s="265">
        <f>IS_NG!Q4*4/AVERAGE(BS!P19:Q19)</f>
        <v>1.6682086321775664</v>
      </c>
      <c r="O116" s="265">
        <f>IS_NG!R4*4/AVERAGE(BS!Q19:R19)</f>
        <v>1.755848368132982</v>
      </c>
      <c r="P116" s="265">
        <f>IS_NG!S4*4/AVERAGE(BS!R19:S19)</f>
        <v>1.6604885614579294</v>
      </c>
      <c r="Q116" s="265">
        <f>IS_NG!T4*4/AVERAGE(BS!S19:T19)</f>
        <v>1.4319170291067247</v>
      </c>
      <c r="R116" s="265">
        <f>IS_NG!U4*4/AVERAGE(BS!T19:U19)</f>
        <v>1.3444240599896693</v>
      </c>
      <c r="S116" s="265">
        <f>IS_NG!V4*4/AVERAGE(BS!U19:V19)</f>
        <v>1.4233912506009203</v>
      </c>
      <c r="T116" s="265">
        <f>IS_NG!W4*4/AVERAGE(BS!V19:W19)</f>
        <v>1.4145372611199198</v>
      </c>
      <c r="U116" s="265">
        <f>IS_NG!X4*4/AVERAGE(BS!W19:X19)</f>
        <v>1.2741324048614613</v>
      </c>
      <c r="V116" s="265">
        <f>IS_NG!Y4*4/AVERAGE(BS!X19:Y19)</f>
        <v>1.238140267927502</v>
      </c>
      <c r="W116" s="265">
        <f>IS_NG!Z4*4/AVERAGE(BS!Y19:Z19)</f>
        <v>1.3757735432877887</v>
      </c>
      <c r="X116" s="265">
        <f>IS_NG!AA4*4/AVERAGE(BS!Z19:AA19)</f>
        <v>1.3229971042471043</v>
      </c>
      <c r="Y116" s="265">
        <f>IS_NG!AB4*4/AVERAGE(BS!AA19:AB19)</f>
        <v>1.2582151273956157</v>
      </c>
      <c r="Z116" s="265">
        <f>IS_NG!AC4*4/AVERAGE(BS!AB19:AC19)</f>
        <v>1.2149104235716683</v>
      </c>
      <c r="AA116" s="265">
        <f>IS_NG!AD4*4/AVERAGE(BS!AC19:AD19)</f>
        <v>1.3546838867315327</v>
      </c>
      <c r="AB116" s="265">
        <f>IS_NG!AE4*4/AVERAGE(BS!AD19:AE19)</f>
        <v>1.3470654216498901</v>
      </c>
      <c r="AC116" s="265">
        <f>IS_NG!AF4*4/AVERAGE(BS!AE19:AF19)</f>
        <v>1.280777506184043</v>
      </c>
      <c r="AD116" s="265">
        <f>IS_NG!AG4*4/AVERAGE(BS!AF19:AG19)</f>
        <v>1.2359432475039411</v>
      </c>
    </row>
    <row r="117" spans="1:30" s="248" customFormat="1" x14ac:dyDescent="0.2">
      <c r="A117" s="269"/>
      <c r="B117" s="268" t="s">
        <v>357</v>
      </c>
      <c r="C117" s="267"/>
      <c r="D117" s="266" t="s">
        <v>356</v>
      </c>
      <c r="E117" s="265">
        <f>IS_NG!D4/AVERAGE(BS!C30:D30)</f>
        <v>1.6309810380505934</v>
      </c>
      <c r="F117" s="265">
        <f>IS_NG!E4/AVERAGE(BS!D30:E30)</f>
        <v>1.2278227032285522</v>
      </c>
      <c r="G117" s="265">
        <f>IS_NG!F4/AVERAGE(BS!E30:F30)</f>
        <v>0.9976258142989135</v>
      </c>
      <c r="H117" s="265">
        <f>IS_NG!G4/AVERAGE(BS!F30:G30)</f>
        <v>0.89458751636839806</v>
      </c>
      <c r="I117" s="265">
        <f>IS_NG!H4/AVERAGE(BS!G30:H30)</f>
        <v>0.80610699274744457</v>
      </c>
      <c r="J117" s="265">
        <f>IS_NG!I4/AVERAGE(BS!H30:I30)</f>
        <v>0.81918911386809401</v>
      </c>
      <c r="K117" s="265">
        <f>IS_NG!J4/AVERAGE(BS!I30:J30)</f>
        <v>0.7857980858289596</v>
      </c>
      <c r="L117" s="265">
        <f>IS_NG!K4/AVERAGE(BS!AF30:AG30)</f>
        <v>0.73700429276491963</v>
      </c>
      <c r="M117" s="228"/>
      <c r="N117" s="265">
        <f>IS_NG!Q4*4/AVERAGE(BS!P30:Q30)</f>
        <v>0.87371497793929698</v>
      </c>
      <c r="O117" s="265">
        <f>IS_NG!R4*4/AVERAGE(BS!Q30:R30)</f>
        <v>0.91538965568261077</v>
      </c>
      <c r="P117" s="265">
        <f>IS_NG!S4*4/AVERAGE(BS!R30:S30)</f>
        <v>0.88678131762318424</v>
      </c>
      <c r="Q117" s="265">
        <f>IS_NG!T4*4/AVERAGE(BS!S30:T30)</f>
        <v>0.7931638010913209</v>
      </c>
      <c r="R117" s="265">
        <f>IS_NG!U4*4/AVERAGE(BS!T30:U30)</f>
        <v>0.7676660835604735</v>
      </c>
      <c r="S117" s="265">
        <f>IS_NG!V4*4/AVERAGE(BS!U30:V30)</f>
        <v>0.82115689381933443</v>
      </c>
      <c r="T117" s="265">
        <f>IS_NG!W4*4/AVERAGE(BS!V30:W30)</f>
        <v>0.82960874714905197</v>
      </c>
      <c r="U117" s="265">
        <f>IS_NG!X4*4/AVERAGE(BS!W30:X30)</f>
        <v>0.76490008009220367</v>
      </c>
      <c r="V117" s="265">
        <f>IS_NG!Y4*4/AVERAGE(BS!X30:Y30)</f>
        <v>0.75610436858163055</v>
      </c>
      <c r="W117" s="265">
        <f>IS_NG!Z4*4/AVERAGE(BS!Y30:Z30)</f>
        <v>0.84761662089597312</v>
      </c>
      <c r="X117" s="265">
        <f>IS_NG!AA4*4/AVERAGE(BS!Z30:AA30)</f>
        <v>0.82960553070353804</v>
      </c>
      <c r="Y117" s="265">
        <f>IS_NG!AB4*4/AVERAGE(BS!AA30:AB30)</f>
        <v>0.80702755119502601</v>
      </c>
      <c r="Z117" s="265">
        <f>IS_NG!AC4*4/AVERAGE(BS!AB30:AC30)</f>
        <v>0.78450007071135619</v>
      </c>
      <c r="AA117" s="265">
        <f>IS_NG!AD4*4/AVERAGE(BS!AC30:AD30)</f>
        <v>0.8795301316311307</v>
      </c>
      <c r="AB117" s="265">
        <f>IS_NG!AE4*4/AVERAGE(BS!AD30:AE30)</f>
        <v>0.87853539432056771</v>
      </c>
      <c r="AC117" s="265">
        <f>IS_NG!AF4*4/AVERAGE(BS!AE30:AF30)</f>
        <v>0.77290111734310829</v>
      </c>
      <c r="AD117" s="265">
        <f>IS_NG!AG4*4/AVERAGE(BS!AF30:AG30)</f>
        <v>0.69765257442303097</v>
      </c>
    </row>
    <row r="118" spans="1:30" s="228" customFormat="1" ht="4.5" customHeight="1" x14ac:dyDescent="0.2">
      <c r="A118" s="247"/>
      <c r="B118" s="242"/>
      <c r="C118" s="246"/>
      <c r="D118" s="241"/>
      <c r="E118" s="245"/>
      <c r="F118" s="245"/>
      <c r="G118" s="245"/>
      <c r="H118" s="245"/>
      <c r="I118" s="245"/>
      <c r="J118" s="245"/>
      <c r="K118" s="245"/>
      <c r="L118" s="245"/>
      <c r="N118" s="245"/>
      <c r="O118" s="245"/>
      <c r="P118" s="245"/>
      <c r="Q118" s="245"/>
      <c r="R118" s="245"/>
      <c r="S118" s="245"/>
      <c r="T118" s="245"/>
      <c r="U118" s="245"/>
      <c r="V118" s="245"/>
      <c r="W118" s="245"/>
      <c r="X118" s="245"/>
      <c r="Y118" s="245"/>
      <c r="Z118" s="245"/>
      <c r="AA118" s="245"/>
      <c r="AB118" s="245"/>
      <c r="AC118" s="245"/>
      <c r="AD118" s="245"/>
    </row>
    <row r="119" spans="1:30" s="248" customFormat="1" x14ac:dyDescent="0.2">
      <c r="A119" s="259" t="s">
        <v>355</v>
      </c>
      <c r="B119" s="258"/>
      <c r="C119" s="83"/>
      <c r="D119" s="241"/>
      <c r="E119" s="227"/>
      <c r="F119" s="227"/>
      <c r="G119" s="227"/>
      <c r="H119" s="227"/>
      <c r="I119" s="227"/>
      <c r="J119" s="227"/>
      <c r="K119" s="227"/>
      <c r="L119" s="227"/>
      <c r="M119" s="228"/>
      <c r="N119" s="227"/>
      <c r="O119" s="227"/>
      <c r="P119" s="227"/>
      <c r="Q119" s="227"/>
      <c r="R119" s="227"/>
      <c r="S119" s="227"/>
      <c r="T119" s="227"/>
      <c r="U119" s="227"/>
      <c r="V119" s="227"/>
      <c r="W119" s="227"/>
      <c r="X119" s="227"/>
      <c r="Y119" s="227"/>
      <c r="Z119" s="227"/>
      <c r="AA119" s="227"/>
      <c r="AB119" s="227"/>
      <c r="AC119" s="227"/>
      <c r="AD119" s="227"/>
    </row>
    <row r="120" spans="1:30" s="260" customFormat="1" x14ac:dyDescent="0.2">
      <c r="A120" s="263"/>
      <c r="B120" s="264" t="s">
        <v>354</v>
      </c>
      <c r="C120" s="263"/>
      <c r="D120" s="262"/>
      <c r="E120" s="261">
        <f>CF!D26/IS_NG!D18</f>
        <v>5.1505070343500741</v>
      </c>
      <c r="F120" s="261">
        <f>CF!E26/IS_NG!E18</f>
        <v>2.4088818149050897</v>
      </c>
      <c r="G120" s="261">
        <f>CF!F26/IS_NG!F18</f>
        <v>4.1960938181184062</v>
      </c>
      <c r="H120" s="261">
        <f>CF!G26/IS_NG!G18</f>
        <v>9.0913719984578556</v>
      </c>
      <c r="I120" s="261">
        <f>CF!H26/IS_NG!H18</f>
        <v>11.731724027556243</v>
      </c>
      <c r="J120" s="261">
        <f>CF!I26/IS_NG!I18</f>
        <v>9.648316425729929</v>
      </c>
      <c r="K120" s="261">
        <f>CF!J26/IS_NG!J18</f>
        <v>7.587080702658592</v>
      </c>
      <c r="L120" s="261">
        <f>CF!K26/IS_NG!K18</f>
        <v>7.350653201330025</v>
      </c>
      <c r="M120" s="228"/>
      <c r="N120" s="261">
        <f>CF!Q26/IS_NG!Q18</f>
        <v>3.4787217720000561</v>
      </c>
      <c r="O120" s="261">
        <f>CF!R26/IS_NG!R18</f>
        <v>3.3167941142803037</v>
      </c>
      <c r="P120" s="261">
        <f>CF!S26/IS_NG!S18</f>
        <v>1.7334103085029651</v>
      </c>
      <c r="Q120" s="261">
        <f>CF!T26/IS_NG!T18</f>
        <v>0.35396031918527027</v>
      </c>
      <c r="R120" s="261">
        <f>CF!U26/IS_NG!U18</f>
        <v>4.2846302789261603</v>
      </c>
      <c r="S120" s="261">
        <f>CF!V26/IS_NG!V18</f>
        <v>3.9096176948625541</v>
      </c>
      <c r="T120" s="261">
        <f>CF!W26/IS_NG!W18</f>
        <v>2.0132069402660311</v>
      </c>
      <c r="U120" s="261">
        <f>CF!X26/IS_NG!X18</f>
        <v>1.2095887398284579</v>
      </c>
      <c r="V120" s="261">
        <f>CF!Y26/IS_NG!Y18</f>
        <v>4.4309044756073783</v>
      </c>
      <c r="W120" s="261">
        <f>CF!Z26/IS_NG!Z18</f>
        <v>3.42417818709239</v>
      </c>
      <c r="X120" s="261">
        <f>CF!AA26/IS_NG!AA18</f>
        <v>0.75828409966606725</v>
      </c>
      <c r="Y120" s="261">
        <f>CF!AB26/IS_NG!AB18</f>
        <v>0.91582576257688642</v>
      </c>
      <c r="Z120" s="261">
        <f>CF!AC26/IS_NG!AC18</f>
        <v>3.7926834921343957</v>
      </c>
      <c r="AA120" s="261">
        <f>CF!AD26/IS_NG!AD18</f>
        <v>2.3309471436750191</v>
      </c>
      <c r="AB120" s="261">
        <f>CF!AE26/IS_NG!AE18</f>
        <v>-0.17117833532319118</v>
      </c>
      <c r="AC120" s="261">
        <f>CF!AF26/IS_NG!AF18</f>
        <v>1.5782124416829935</v>
      </c>
      <c r="AD120" s="261">
        <f>CF!AG26/IS_NG!AG18</f>
        <v>3.6411433763610179</v>
      </c>
    </row>
    <row r="121" spans="1:30" s="260" customFormat="1" x14ac:dyDescent="0.2">
      <c r="A121" s="263"/>
      <c r="B121" s="264" t="s">
        <v>353</v>
      </c>
      <c r="C121" s="263"/>
      <c r="D121" s="262"/>
      <c r="E121" s="261">
        <f>CF!D58/IS_NG!D18</f>
        <v>-2.4169305382981281</v>
      </c>
      <c r="F121" s="261">
        <f>CF!E58/IS_NG!E18</f>
        <v>-8.7040929578570587</v>
      </c>
      <c r="G121" s="261">
        <f>CF!F58/IS_NG!F18</f>
        <v>-3.0394432818903132</v>
      </c>
      <c r="H121" s="261">
        <f>CF!G58/IS_NG!G18</f>
        <v>0.14257552501982235</v>
      </c>
      <c r="I121" s="261">
        <f>CF!H58/IS_NG!H18</f>
        <v>1.4260050818289547</v>
      </c>
      <c r="J121" s="261">
        <f>CF!I58/IS_NG!I18</f>
        <v>-2.4954646404659826</v>
      </c>
      <c r="K121" s="261">
        <f>CF!J58/IS_NG!J18</f>
        <v>-0.45526779195120903</v>
      </c>
      <c r="L121" s="261">
        <f>CF!K58/IS_NG!K18</f>
        <v>-1.9267226328545308</v>
      </c>
      <c r="M121" s="228"/>
      <c r="N121" s="261">
        <f>CF!Q58/IS_NG!Q18</f>
        <v>1.5133974028147799</v>
      </c>
      <c r="O121" s="261">
        <f>CF!R58/IS_NG!R18</f>
        <v>0.87194800533061245</v>
      </c>
      <c r="P121" s="261">
        <f>CF!S58/IS_NG!S18</f>
        <v>-0.44363551963380971</v>
      </c>
      <c r="Q121" s="261">
        <f>CF!T58/IS_NG!T18</f>
        <v>-2.0212997174527279</v>
      </c>
      <c r="R121" s="261">
        <f>CF!U58/IS_NG!U18</f>
        <v>1.7383824375948504</v>
      </c>
      <c r="S121" s="261">
        <f>CF!V58/IS_NG!V18</f>
        <v>1.2490283372199846</v>
      </c>
      <c r="T121" s="261">
        <f>CF!W58/IS_NG!W18</f>
        <v>-0.27246409717886133</v>
      </c>
      <c r="U121" s="261">
        <f>CF!X58/IS_NG!X18</f>
        <v>-1.6069974805057503</v>
      </c>
      <c r="V121" s="261">
        <f>CF!Y58/IS_NG!Y18</f>
        <v>1.0555399106335799</v>
      </c>
      <c r="W121" s="261">
        <f>CF!Z58/IS_NG!Z18</f>
        <v>0.42193664864645564</v>
      </c>
      <c r="X121" s="261">
        <f>CF!AA58/IS_NG!AA18</f>
        <v>-2.0549704597996405</v>
      </c>
      <c r="Y121" s="261">
        <f>CF!AB58/IS_NG!AB18</f>
        <v>-2.0349355044900612</v>
      </c>
      <c r="Z121" s="261">
        <f>CF!AC58/IS_NG!AC18</f>
        <v>2.1512943585940101</v>
      </c>
      <c r="AA121" s="261">
        <f>CF!AD58/IS_NG!AD18</f>
        <v>0.28195205523677513</v>
      </c>
      <c r="AB121" s="261">
        <f>CF!AE58/IS_NG!AE18</f>
        <v>-2.3488267783587249</v>
      </c>
      <c r="AC121" s="261">
        <f>CF!AF58/IS_NG!AF18</f>
        <v>-0.60617213123626634</v>
      </c>
      <c r="AD121" s="261">
        <f>CF!AG58/IS_NG!AG18</f>
        <v>0.76307426300479242</v>
      </c>
    </row>
    <row r="122" spans="1:30" s="260" customFormat="1" x14ac:dyDescent="0.2">
      <c r="A122" s="263"/>
      <c r="B122" s="264" t="s">
        <v>352</v>
      </c>
      <c r="C122" s="263"/>
      <c r="D122" s="262"/>
      <c r="E122" s="261">
        <f>IS_NG!D4/IS_NG!D18</f>
        <v>154.79578339813219</v>
      </c>
      <c r="F122" s="261">
        <f>IS_NG!E4/IS_NG!E18</f>
        <v>144.13321294872114</v>
      </c>
      <c r="G122" s="261">
        <f>IS_NG!F4/IS_NG!F18</f>
        <v>58.105000435957805</v>
      </c>
      <c r="H122" s="261">
        <f>IS_NG!G4/IS_NG!G18</f>
        <v>59.634395617984886</v>
      </c>
      <c r="I122" s="261">
        <f>IS_NG!H4/IS_NG!H18</f>
        <v>72.253321800614629</v>
      </c>
      <c r="J122" s="261">
        <f>IS_NG!I4/IS_NG!I18</f>
        <v>86.684347111606456</v>
      </c>
      <c r="K122" s="261">
        <f>IS_NG!J4/IS_NG!J18</f>
        <v>95.651333591032085</v>
      </c>
      <c r="L122" s="261">
        <f>IS_NG!K4/IS_NG!K18</f>
        <v>97.148526529634765</v>
      </c>
      <c r="M122" s="228"/>
      <c r="N122" s="261">
        <f>IS_NG!Q4/IS_NG!Q18</f>
        <v>13.707056476922434</v>
      </c>
      <c r="O122" s="261">
        <f>IS_NG!R4/IS_NG!R18</f>
        <v>15.300779665663763</v>
      </c>
      <c r="P122" s="261">
        <f>IS_NG!S4/IS_NG!S18</f>
        <v>15.72702607019724</v>
      </c>
      <c r="Q122" s="261">
        <f>IS_NG!T4/IS_NG!T18</f>
        <v>14.950166112956811</v>
      </c>
      <c r="R122" s="261">
        <f>IS_NG!U4/IS_NG!U18</f>
        <v>15.429575069339053</v>
      </c>
      <c r="S122" s="261">
        <f>IS_NG!V4/IS_NG!V18</f>
        <v>18.307893435092929</v>
      </c>
      <c r="T122" s="261">
        <f>IS_NG!W4/IS_NG!W18</f>
        <v>20.045032260505952</v>
      </c>
      <c r="U122" s="261">
        <f>IS_NG!X4/IS_NG!X18</f>
        <v>18.884631856747646</v>
      </c>
      <c r="V122" s="261">
        <f>IS_NG!Y4/IS_NG!Y18</f>
        <v>19.338436422428646</v>
      </c>
      <c r="W122" s="261">
        <f>IS_NG!Z4/IS_NG!Z18</f>
        <v>22.774436319008451</v>
      </c>
      <c r="X122" s="261">
        <f>IS_NG!AA4/IS_NG!AA18</f>
        <v>22.532751091703055</v>
      </c>
      <c r="Y122" s="261">
        <f>IS_NG!AB4/IS_NG!AB18</f>
        <v>22.237590770488193</v>
      </c>
      <c r="Z122" s="261">
        <f>IS_NG!AC4/IS_NG!AC18</f>
        <v>21.915389445383251</v>
      </c>
      <c r="AA122" s="261">
        <f>IS_NG!AD4/IS_NG!AD18</f>
        <v>25.059296023830331</v>
      </c>
      <c r="AB122" s="261">
        <f>IS_NG!AE4/IS_NG!AE18</f>
        <v>25.046207316465406</v>
      </c>
      <c r="AC122" s="261">
        <f>IS_NG!AF4/IS_NG!AF18</f>
        <v>23.679681326651007</v>
      </c>
      <c r="AD122" s="261">
        <f>IS_NG!AG4/IS_NG!AG18</f>
        <v>23.342132946944286</v>
      </c>
    </row>
    <row r="123" spans="1:30" s="260" customFormat="1" x14ac:dyDescent="0.2">
      <c r="A123" s="263"/>
      <c r="B123" s="264" t="s">
        <v>351</v>
      </c>
      <c r="C123" s="263"/>
      <c r="D123" s="262"/>
      <c r="E123" s="261">
        <f>IS_NG!D6/IS_NG!D18</f>
        <v>5.69962723956872</v>
      </c>
      <c r="F123" s="261">
        <f>IS_NG!E6/IS_NG!E18</f>
        <v>11.566201425344291</v>
      </c>
      <c r="G123" s="261">
        <f>IS_NG!F6/IS_NG!F18</f>
        <v>6.9112934867904787</v>
      </c>
      <c r="H123" s="261">
        <f>IS_NG!G6/IS_NG!G18</f>
        <v>10.597144124942714</v>
      </c>
      <c r="I123" s="261">
        <f>IS_NG!H6/IS_NG!H18</f>
        <v>10.80203345087835</v>
      </c>
      <c r="J123" s="261">
        <f>IS_NG!I6/IS_NG!I18</f>
        <v>10.097784792105626</v>
      </c>
      <c r="K123" s="261">
        <f>IS_NG!J6/IS_NG!J18</f>
        <v>7.4066915775458488</v>
      </c>
      <c r="L123" s="261">
        <f>IS_NG!K6/IS_NG!K18</f>
        <v>7.2507329745979971</v>
      </c>
      <c r="M123" s="228"/>
      <c r="N123" s="261">
        <f>IS_NG!Q6/IS_NG!Q18</f>
        <v>2.1285202181524001</v>
      </c>
      <c r="O123" s="261">
        <f>IS_NG!R6/IS_NG!R18</f>
        <v>2.9324021248963059</v>
      </c>
      <c r="P123" s="261">
        <f>IS_NG!S6/IS_NG!S18</f>
        <v>3.1788982267800141</v>
      </c>
      <c r="Q123" s="261">
        <f>IS_NG!T6/IS_NG!T18</f>
        <v>2.3566305461545629</v>
      </c>
      <c r="R123" s="261">
        <f>IS_NG!U6/IS_NG!U18</f>
        <v>2.353275943272803</v>
      </c>
      <c r="S123" s="261">
        <f>IS_NG!V6/IS_NG!V18</f>
        <v>3.2082538336513324</v>
      </c>
      <c r="T123" s="261">
        <f>IS_NG!W6/IS_NG!W18</f>
        <v>3.2638928307884432</v>
      </c>
      <c r="U123" s="261">
        <f>IS_NG!X6/IS_NG!X18</f>
        <v>1.983185366098333</v>
      </c>
      <c r="V123" s="261">
        <f>IS_NG!Y6/IS_NG!Y18</f>
        <v>1.6896515733649469</v>
      </c>
      <c r="W123" s="261">
        <f>IS_NG!Z6/IS_NG!Z18</f>
        <v>3.6554319272159281</v>
      </c>
      <c r="X123" s="261">
        <f>IS_NG!AA6/IS_NG!AA18</f>
        <v>2.8009247367069099</v>
      </c>
      <c r="Y123" s="261">
        <f>IS_NG!AB6/IS_NG!AB18</f>
        <v>1.9720641706747142</v>
      </c>
      <c r="Z123" s="261">
        <f>IS_NG!AC6/IS_NG!AC18</f>
        <v>1.3084758047863665</v>
      </c>
      <c r="AA123" s="261">
        <f>IS_NG!AD6/IS_NG!AD18</f>
        <v>2.5397208028961429</v>
      </c>
      <c r="AB123" s="261">
        <f>IS_NG!AE6/IS_NG!AE18</f>
        <v>1.8764612454415643</v>
      </c>
      <c r="AC123" s="261">
        <f>IS_NG!AF6/IS_NG!AF18</f>
        <v>1.6864574651180411</v>
      </c>
      <c r="AD123" s="261">
        <f>IS_NG!AG6/IS_NG!AG18</f>
        <v>1.1313788928365853</v>
      </c>
    </row>
    <row r="124" spans="1:30" s="260" customFormat="1" x14ac:dyDescent="0.2">
      <c r="A124" s="263"/>
      <c r="B124" s="264" t="s">
        <v>350</v>
      </c>
      <c r="C124" s="263"/>
      <c r="D124" s="262"/>
      <c r="E124" s="261">
        <f>IS_NG!D10/IS_NG!D18</f>
        <v>2.1443745240290193</v>
      </c>
      <c r="F124" s="261">
        <f>IS_NG!E10/IS_NG!E18</f>
        <v>7.8333267906913662</v>
      </c>
      <c r="G124" s="261">
        <f>IS_NG!F10/IS_NG!F18</f>
        <v>5.6783503356875054</v>
      </c>
      <c r="H124" s="261">
        <f>IS_NG!G10/IS_NG!G18</f>
        <v>9.1510209425988016</v>
      </c>
      <c r="I124" s="261">
        <f>IS_NG!H10/IS_NG!H18</f>
        <v>9.1188799116704029</v>
      </c>
      <c r="J124" s="261">
        <f>IS_NG!I10/IS_NG!I18</f>
        <v>8.4422768725136876</v>
      </c>
      <c r="K124" s="261">
        <f>IS_NG!J10/IS_NG!J18</f>
        <v>5.9914959412446844</v>
      </c>
      <c r="L124" s="261">
        <f>IS_NG!K10/IS_NG!K18</f>
        <v>5.7280356063555775</v>
      </c>
      <c r="M124" s="228"/>
      <c r="N124" s="261">
        <f>IS_NG!Q10/IS_NG!Q18</f>
        <v>1.7365712133681113</v>
      </c>
      <c r="O124" s="261">
        <f>IS_NG!R10/IS_NG!R18</f>
        <v>2.631389280268396</v>
      </c>
      <c r="P124" s="261">
        <f>IS_NG!S10/IS_NG!S18</f>
        <v>2.7837394361128127</v>
      </c>
      <c r="Q124" s="261">
        <f>IS_NG!T10/IS_NG!T18</f>
        <v>1.9964603968081474</v>
      </c>
      <c r="R124" s="261">
        <f>IS_NG!U10/IS_NG!U18</f>
        <v>1.996768538385054</v>
      </c>
      <c r="S124" s="261">
        <f>IS_NG!V10/IS_NG!V18</f>
        <v>2.8160554024450573</v>
      </c>
      <c r="T124" s="261">
        <f>IS_NG!W10/IS_NG!W18</f>
        <v>2.8060017785850788</v>
      </c>
      <c r="U124" s="261">
        <f>IS_NG!X10/IS_NG!X18</f>
        <v>1.4912473618618787</v>
      </c>
      <c r="V124" s="261">
        <f>IS_NG!Y10/IS_NG!Y18</f>
        <v>1.3017012703895454</v>
      </c>
      <c r="W124" s="261">
        <f>IS_NG!Z10/IS_NG!Z18</f>
        <v>3.2334952785694728</v>
      </c>
      <c r="X124" s="261">
        <f>IS_NG!AA10/IS_NG!AA18</f>
        <v>2.410480349344978</v>
      </c>
      <c r="Y124" s="261">
        <f>IS_NG!AB10/IS_NG!AB18</f>
        <v>1.5131034338226819</v>
      </c>
      <c r="Z124" s="261">
        <f>IS_NG!AC10/IS_NG!AC18</f>
        <v>0.97556247603234736</v>
      </c>
      <c r="AA124" s="261">
        <f>IS_NG!AD10/IS_NG!AD18</f>
        <v>2.1544580709313887</v>
      </c>
      <c r="AB124" s="261">
        <f>IS_NG!AE10/IS_NG!AE18</f>
        <v>1.4907682873715891</v>
      </c>
      <c r="AC124" s="261">
        <f>IS_NG!AF10/IS_NG!AF18</f>
        <v>1.3725468971564032</v>
      </c>
      <c r="AD124" s="261">
        <f>IS_NG!AG10/IS_NG!AG18</f>
        <v>0.69250092076157466</v>
      </c>
    </row>
    <row r="125" spans="1:30" s="260" customFormat="1" x14ac:dyDescent="0.2">
      <c r="A125" s="263"/>
      <c r="B125" s="264" t="s">
        <v>209</v>
      </c>
      <c r="C125" s="263"/>
      <c r="D125" s="262" t="s">
        <v>349</v>
      </c>
      <c r="E125" s="261">
        <f>IS_NG!D14/IS_NG!D18</f>
        <v>1.6313279089342259</v>
      </c>
      <c r="F125" s="261">
        <f>IS_NG!E14/IS_NG!E18</f>
        <v>6.955423195925956</v>
      </c>
      <c r="G125" s="261">
        <f>IS_NG!F14/IS_NG!F18</f>
        <v>5.7001482256517573</v>
      </c>
      <c r="H125" s="261">
        <f>IS_NG!G14/IS_NG!G18</f>
        <v>9.1204690443802683</v>
      </c>
      <c r="I125" s="261">
        <f>IS_NG!H14/IS_NG!H18</f>
        <v>5.705818568276511</v>
      </c>
      <c r="J125" s="261">
        <f>IS_NG!I14/IS_NG!I18</f>
        <v>5.271592785727651</v>
      </c>
      <c r="K125" s="261">
        <f>IS_NG!J14/IS_NG!J18</f>
        <v>4.546235450758064</v>
      </c>
      <c r="L125" s="261">
        <f>IS_NG!K14/IS_NG!K18</f>
        <v>4.3400133263171954</v>
      </c>
      <c r="M125" s="228"/>
      <c r="N125" s="261">
        <f>IS_NG!Q14/IS_NG!Q18</f>
        <v>1.7337815407361947</v>
      </c>
      <c r="O125" s="261">
        <f>IS_NG!R14/IS_NG!R18</f>
        <v>2.6200836335218081</v>
      </c>
      <c r="P125" s="261">
        <f>IS_NG!S14/IS_NG!S18</f>
        <v>2.7690495182441435</v>
      </c>
      <c r="Q125" s="261">
        <f>IS_NG!T14/IS_NG!T18</f>
        <v>1.9964603968081474</v>
      </c>
      <c r="R125" s="261">
        <f>IS_NG!U14/IS_NG!U18</f>
        <v>1.2510466272437071</v>
      </c>
      <c r="S125" s="261">
        <f>IS_NG!V14/IS_NG!V18</f>
        <v>1.7684262596282949</v>
      </c>
      <c r="T125" s="261">
        <f>IS_NG!W14/IS_NG!W18</f>
        <v>1.7653402963047058</v>
      </c>
      <c r="U125" s="261">
        <f>IS_NG!X14/IS_NG!X18</f>
        <v>0.91635510593064995</v>
      </c>
      <c r="V125" s="261">
        <f>IS_NG!Y14/IS_NG!Y18</f>
        <v>0.81528642351175762</v>
      </c>
      <c r="W125" s="261">
        <f>IS_NG!Z14/IS_NG!Z18</f>
        <v>2.0386842879311922</v>
      </c>
      <c r="X125" s="261">
        <f>IS_NG!AA14/IS_NG!AA18</f>
        <v>1.4980734651939378</v>
      </c>
      <c r="Y125" s="261">
        <f>IS_NG!AB14/IS_NG!AB18</f>
        <v>0.93049574046713401</v>
      </c>
      <c r="Z125" s="261">
        <f>IS_NG!AC14/IS_NG!AC18</f>
        <v>0.74378737373524539</v>
      </c>
      <c r="AA125" s="261">
        <f>IS_NG!AD14/IS_NG!AD18</f>
        <v>1.6292954642308306</v>
      </c>
      <c r="AB125" s="261">
        <f>IS_NG!AE14/IS_NG!AE18</f>
        <v>1.1332439161269494</v>
      </c>
      <c r="AC125" s="261">
        <f>IS_NG!AF14/IS_NG!AF18</f>
        <v>1.0413171254451576</v>
      </c>
      <c r="AD125" s="261">
        <f>IS_NG!AG14/IS_NG!AG18</f>
        <v>0.52268381598883185</v>
      </c>
    </row>
    <row r="126" spans="1:30" s="260" customFormat="1" x14ac:dyDescent="0.2">
      <c r="A126" s="263"/>
      <c r="B126" s="264" t="s">
        <v>348</v>
      </c>
      <c r="C126" s="263"/>
      <c r="D126" s="262"/>
      <c r="E126" s="261">
        <f>IS!D42</f>
        <v>-7.52</v>
      </c>
      <c r="F126" s="261">
        <f>IS!E42</f>
        <v>-6.54</v>
      </c>
      <c r="G126" s="261">
        <f>IS!F42</f>
        <v>4.0199999999999996</v>
      </c>
      <c r="H126" s="261">
        <f>IS!G42</f>
        <v>11.39</v>
      </c>
      <c r="I126" s="261">
        <f>IS!H42</f>
        <v>4.68</v>
      </c>
      <c r="J126" s="261">
        <f>IS!I42</f>
        <v>2.62</v>
      </c>
      <c r="K126" s="261">
        <f>IS!J42</f>
        <v>3.04</v>
      </c>
      <c r="L126" s="261">
        <f>IS!K42</f>
        <v>3.06</v>
      </c>
      <c r="M126" s="228"/>
      <c r="N126" s="261">
        <f>IS!Q42</f>
        <v>1.34</v>
      </c>
      <c r="O126" s="261">
        <f>IS!R42</f>
        <v>2.4700000000000002</v>
      </c>
      <c r="P126" s="261">
        <f>IS!S42</f>
        <v>2.56</v>
      </c>
      <c r="Q126" s="261">
        <f>IS!T42</f>
        <v>5.24</v>
      </c>
      <c r="R126" s="261">
        <f>IS!U42</f>
        <v>1.1499999999999999</v>
      </c>
      <c r="S126" s="261">
        <f>IS!V42</f>
        <v>1.69</v>
      </c>
      <c r="T126" s="261">
        <f>IS!W42</f>
        <v>1.4</v>
      </c>
      <c r="U126" s="261">
        <f>IS!X42</f>
        <v>0.43999999999999995</v>
      </c>
      <c r="V126" s="261">
        <f>IS!Y42</f>
        <v>0.67</v>
      </c>
      <c r="W126" s="261">
        <f>IS!Z42</f>
        <v>1.76</v>
      </c>
      <c r="X126" s="261">
        <f>IS!AA42</f>
        <v>1.36</v>
      </c>
      <c r="Y126" s="261">
        <f>IS!AB42</f>
        <v>-1.22</v>
      </c>
      <c r="Z126" s="261">
        <f>IS!AC42</f>
        <v>0.34</v>
      </c>
      <c r="AA126" s="261">
        <f>IS!AD42</f>
        <v>1.22</v>
      </c>
      <c r="AB126" s="261">
        <f>IS!AE42</f>
        <v>0.74</v>
      </c>
      <c r="AC126" s="261">
        <f>IS!AF42</f>
        <v>0.69</v>
      </c>
      <c r="AD126" s="261">
        <f>IS!AG42</f>
        <v>0.41</v>
      </c>
    </row>
    <row r="127" spans="1:30" s="260" customFormat="1" x14ac:dyDescent="0.2">
      <c r="A127" s="263"/>
      <c r="B127" s="264" t="s">
        <v>347</v>
      </c>
      <c r="C127" s="263"/>
      <c r="D127" s="262" t="s">
        <v>346</v>
      </c>
      <c r="E127" s="261">
        <f>IS!D43</f>
        <v>-7.52</v>
      </c>
      <c r="F127" s="261">
        <f>IS!E43</f>
        <v>-6.54</v>
      </c>
      <c r="G127" s="261">
        <f>IS!F43</f>
        <v>3.93</v>
      </c>
      <c r="H127" s="261">
        <f>IS!G43</f>
        <v>11.07</v>
      </c>
      <c r="I127" s="261">
        <f>IS!H43</f>
        <v>4.6500000000000004</v>
      </c>
      <c r="J127" s="261">
        <f>IS!I43</f>
        <v>2.61</v>
      </c>
      <c r="K127" s="261">
        <f>IS!J43</f>
        <v>3.03</v>
      </c>
      <c r="L127" s="261">
        <f>IS!K43</f>
        <v>3.06</v>
      </c>
      <c r="M127" s="228"/>
      <c r="N127" s="261">
        <f>IS!Q43</f>
        <v>1.3</v>
      </c>
      <c r="O127" s="261">
        <f>IS!R43</f>
        <v>2.41</v>
      </c>
      <c r="P127" s="261">
        <f>IS!S43</f>
        <v>2.4900000000000002</v>
      </c>
      <c r="Q127" s="261">
        <f>IS!T43</f>
        <v>5.09</v>
      </c>
      <c r="R127" s="261">
        <f>IS!U43</f>
        <v>1.1399999999999999</v>
      </c>
      <c r="S127" s="261">
        <f>IS!V43</f>
        <v>1.68</v>
      </c>
      <c r="T127" s="261">
        <f>IS!W43</f>
        <v>1.4</v>
      </c>
      <c r="U127" s="261">
        <f>IS!X43</f>
        <v>0.4300000000000006</v>
      </c>
      <c r="V127" s="261">
        <f>IS!Y43</f>
        <v>0.67</v>
      </c>
      <c r="W127" s="261">
        <f>IS!Z43</f>
        <v>1.75</v>
      </c>
      <c r="X127" s="261">
        <f>IS!AA43</f>
        <v>1.36</v>
      </c>
      <c r="Y127" s="261">
        <f>IS!AB43</f>
        <v>-1.22</v>
      </c>
      <c r="Z127" s="261">
        <f>IS!AC43</f>
        <v>0.34</v>
      </c>
      <c r="AA127" s="261">
        <f>IS!AD43</f>
        <v>1.22</v>
      </c>
      <c r="AB127" s="261">
        <f>IS!AE43</f>
        <v>0.74</v>
      </c>
      <c r="AC127" s="261">
        <f>IS!AF43</f>
        <v>0.69</v>
      </c>
      <c r="AD127" s="261">
        <f>IS!AG43</f>
        <v>0.41</v>
      </c>
    </row>
    <row r="128" spans="1:30" s="260" customFormat="1" x14ac:dyDescent="0.2">
      <c r="A128" s="263"/>
      <c r="B128" s="264" t="s">
        <v>317</v>
      </c>
      <c r="C128" s="263"/>
      <c r="D128" s="262"/>
      <c r="E128" s="261">
        <f>BS!D65/IS_NG!D18</f>
        <v>15.599823640226061</v>
      </c>
      <c r="F128" s="261">
        <f>BS!E65/IS_NG!E18</f>
        <v>33.014171362499241</v>
      </c>
      <c r="G128" s="261">
        <f>BS!F65/IS_NG!F18</f>
        <v>9.9493744005580265</v>
      </c>
      <c r="H128" s="261">
        <f>BS!G65/IS_NG!G18</f>
        <v>9.0986462599384588</v>
      </c>
      <c r="I128" s="261">
        <f>BS!H65/IS_NG!H18</f>
        <v>11.435014269042021</v>
      </c>
      <c r="J128" s="261">
        <f>BS!I65/IS_NG!I18</f>
        <v>10.30319793691986</v>
      </c>
      <c r="K128" s="261">
        <f>BS!J65/IS_NG!J18</f>
        <v>10.222050423055448</v>
      </c>
      <c r="L128" s="261">
        <f>BS!AG65/IS_NG!K18</f>
        <v>9.4468057838606025</v>
      </c>
      <c r="M128" s="228"/>
      <c r="N128" s="261">
        <f>BS!Q65/IS_NG!Q18</f>
        <v>12.794833526285691</v>
      </c>
      <c r="O128" s="261">
        <f>BS!R65/IS_NG!R18</f>
        <v>12.604382916602484</v>
      </c>
      <c r="P128" s="261">
        <f>BS!S65/IS_NG!S18</f>
        <v>13.034364124870176</v>
      </c>
      <c r="Q128" s="261">
        <f>BS!T65/IS_NG!T18</f>
        <v>9.7090694569503526</v>
      </c>
      <c r="R128" s="261">
        <f>BS!U65/IS_NG!U18</f>
        <v>11.333010623266523</v>
      </c>
      <c r="S128" s="261">
        <f>BS!V65/IS_NG!V18</f>
        <v>12.575083033001203</v>
      </c>
      <c r="T128" s="261">
        <f>BS!W65/IS_NG!W18</f>
        <v>12.781215114188946</v>
      </c>
      <c r="U128" s="261">
        <f>BS!X65/IS_NG!X18</f>
        <v>12.267583407606322</v>
      </c>
      <c r="V128" s="261">
        <f>BS!Y65/IS_NG!Y18</f>
        <v>13.146985901846604</v>
      </c>
      <c r="W128" s="261">
        <f>BS!Z65/IS_NG!Z18</f>
        <v>13.96853732009372</v>
      </c>
      <c r="X128" s="261">
        <f>BS!AA65/IS_NG!AA18</f>
        <v>11.853069612124326</v>
      </c>
      <c r="Y128" s="261">
        <f>BS!AB65/IS_NG!AB18</f>
        <v>10.616872570284912</v>
      </c>
      <c r="Z128" s="261">
        <f>BS!AC65/IS_NG!AC18</f>
        <v>11.148382420490604</v>
      </c>
      <c r="AA128" s="261">
        <f>BS!AD65/IS_NG!AD18</f>
        <v>10.059877146386924</v>
      </c>
      <c r="AB128" s="261">
        <f>BS!AE65/IS_NG!AE18</f>
        <v>10.519883772077129</v>
      </c>
      <c r="AC128" s="261">
        <f>BS!AF65/IS_NG!AF18</f>
        <v>10.304926231016529</v>
      </c>
      <c r="AD128" s="261">
        <f>BS!AG65/IS_NG!AG18</f>
        <v>9.591358294242319</v>
      </c>
    </row>
    <row r="129" spans="1:30" s="260" customFormat="1" x14ac:dyDescent="0.2">
      <c r="A129" s="263"/>
      <c r="B129" s="264" t="s">
        <v>345</v>
      </c>
      <c r="C129" s="263"/>
      <c r="D129" s="262" t="s">
        <v>344</v>
      </c>
      <c r="E129" s="261">
        <f>CF!D59</f>
        <v>0</v>
      </c>
      <c r="F129" s="261">
        <f>CF!E59</f>
        <v>0</v>
      </c>
      <c r="G129" s="261">
        <f>CF!F59</f>
        <v>0.2</v>
      </c>
      <c r="H129" s="261">
        <f>CF!G59</f>
        <v>0.4</v>
      </c>
      <c r="I129" s="261">
        <f>CF!H59</f>
        <v>0.4</v>
      </c>
      <c r="J129" s="261">
        <f>CF!I59</f>
        <v>0.4</v>
      </c>
      <c r="K129" s="261">
        <f>CF!J59</f>
        <v>0.4</v>
      </c>
      <c r="L129" s="261">
        <f>CF!K59</f>
        <v>0.4</v>
      </c>
      <c r="M129" s="228"/>
      <c r="N129" s="261">
        <f>CF!Q59</f>
        <v>9.7638542117082561E-2</v>
      </c>
      <c r="O129" s="261">
        <f>CF!R59</f>
        <v>9.8924409032646474E-2</v>
      </c>
      <c r="P129" s="261">
        <f>CF!S59</f>
        <v>9.6953457933216691E-2</v>
      </c>
      <c r="Q129" s="261">
        <f>CF!T59</f>
        <v>0.11177694290061167</v>
      </c>
      <c r="R129" s="261">
        <f>CF!U59</f>
        <v>0.1</v>
      </c>
      <c r="S129" s="261">
        <f>CF!V59</f>
        <v>0.1</v>
      </c>
      <c r="T129" s="261">
        <f>CF!W59</f>
        <v>0.1</v>
      </c>
      <c r="U129" s="261">
        <f>CF!X59</f>
        <v>0.10000000000000003</v>
      </c>
      <c r="V129" s="261">
        <f>CF!Y59</f>
        <v>0.1</v>
      </c>
      <c r="W129" s="261">
        <f>CF!Z59</f>
        <v>0.1</v>
      </c>
      <c r="X129" s="261">
        <f>CF!AA59</f>
        <v>0.1</v>
      </c>
      <c r="Y129" s="261">
        <f>CF!AB59</f>
        <v>0.1</v>
      </c>
      <c r="Z129" s="261">
        <f>CF!AC59</f>
        <v>0.1</v>
      </c>
      <c r="AA129" s="261">
        <f>CF!AD59</f>
        <v>0.1</v>
      </c>
      <c r="AB129" s="261">
        <f>CF!AE59</f>
        <v>0.1</v>
      </c>
      <c r="AC129" s="261">
        <f>CF!AF59</f>
        <v>0.1</v>
      </c>
      <c r="AD129" s="261">
        <f>CF!AG59</f>
        <v>0.1</v>
      </c>
    </row>
    <row r="130" spans="1:30" s="260" customFormat="1" x14ac:dyDescent="0.2">
      <c r="A130" s="263"/>
      <c r="B130" s="264" t="s">
        <v>223</v>
      </c>
      <c r="C130" s="263"/>
      <c r="D130" s="262"/>
      <c r="E130" s="261">
        <f>IS_NG!D8/IS_NG!D18</f>
        <v>9.7679265702032136</v>
      </c>
      <c r="F130" s="261">
        <f>IS_NG!E8/IS_NG!E18</f>
        <v>15.206289501200871</v>
      </c>
      <c r="G130" s="261">
        <f>IS_NG!F8/IS_NG!F18</f>
        <v>8.972556456535008</v>
      </c>
      <c r="H130" s="261">
        <f>IS_NG!G8/IS_NG!G18</f>
        <v>12.938001469400819</v>
      </c>
      <c r="I130" s="261">
        <f>IS_NG!H8/IS_NG!H18</f>
        <v>14.071235517416861</v>
      </c>
      <c r="J130" s="261">
        <f>IS_NG!I8/IS_NG!I18</f>
        <v>14.199946307851256</v>
      </c>
      <c r="K130" s="261">
        <f>IS_NG!J8/IS_NG!J18</f>
        <v>12.043121590860284</v>
      </c>
      <c r="L130" s="261">
        <f>IS_NG!K8/IS_NG!K18</f>
        <v>7.2507329745979971</v>
      </c>
      <c r="M130" s="228"/>
      <c r="N130" s="261"/>
      <c r="O130" s="261"/>
      <c r="P130" s="261"/>
      <c r="Q130" s="261"/>
      <c r="R130" s="261"/>
      <c r="S130" s="261"/>
      <c r="T130" s="261"/>
      <c r="U130" s="261"/>
      <c r="V130" s="261"/>
      <c r="W130" s="261"/>
      <c r="X130" s="261"/>
      <c r="Y130" s="261"/>
      <c r="Z130" s="261"/>
      <c r="AA130" s="261"/>
      <c r="AB130" s="261"/>
      <c r="AC130" s="261"/>
      <c r="AD130" s="261"/>
    </row>
    <row r="131" spans="1:30" s="260" customFormat="1" x14ac:dyDescent="0.2">
      <c r="A131" s="263"/>
      <c r="B131" s="264" t="s">
        <v>343</v>
      </c>
      <c r="C131" s="263"/>
      <c r="D131" s="262" t="s">
        <v>342</v>
      </c>
      <c r="E131" s="261">
        <f>BS!D60/IS_NG!D18</f>
        <v>-32.013307146579017</v>
      </c>
      <c r="F131" s="261">
        <f>BS!E60/IS_NG!E18</f>
        <v>-9.7461573874159999</v>
      </c>
      <c r="G131" s="261">
        <f>BS!F60/IS_NG!F18</f>
        <v>2.7533459761095127</v>
      </c>
      <c r="H131" s="261">
        <f>BS!G60/IS_NG!G18</f>
        <v>8.198092688639786</v>
      </c>
      <c r="I131" s="261">
        <f>BS!H60/IS_NG!H18</f>
        <v>6.806342036220169</v>
      </c>
      <c r="J131" s="261">
        <f>BS!I60/IS_NG!I18</f>
        <v>-1.5863589401495244</v>
      </c>
      <c r="K131" s="261">
        <f>BS!J60/IS_NG!J18</f>
        <v>-0.36292573981016191</v>
      </c>
      <c r="L131" s="261">
        <f>BS!AG60/IS_NG!K18</f>
        <v>-1.3815057435123805</v>
      </c>
      <c r="M131" s="228"/>
      <c r="N131" s="261">
        <f>BS!Q60/IS_NG!Q18</f>
        <v>3.8553275773088029</v>
      </c>
      <c r="O131" s="261">
        <f>BS!R60/IS_NG!R18</f>
        <v>5.1384164463243227</v>
      </c>
      <c r="P131" s="261">
        <f>BS!S60/IS_NG!S18</f>
        <v>5.526347102193351</v>
      </c>
      <c r="Q131" s="261">
        <f>BS!T60/IS_NG!T18</f>
        <v>8.7480982395131495</v>
      </c>
      <c r="R131" s="261">
        <f>BS!U60/IS_NG!U18</f>
        <v>7.7025223716573334</v>
      </c>
      <c r="S131" s="261">
        <f>BS!V60/IS_NG!V18</f>
        <v>7.6178361953218863</v>
      </c>
      <c r="T131" s="261">
        <f>BS!W60/IS_NG!W18</f>
        <v>8.3082628521693067</v>
      </c>
      <c r="U131" s="261">
        <f>BS!X60/IS_NG!X18</f>
        <v>7.3019033177842312</v>
      </c>
      <c r="V131" s="261">
        <f>BS!Y60/IS_NG!Y18</f>
        <v>6.8078385654109805</v>
      </c>
      <c r="W131" s="261">
        <f>BS!Z60/IS_NG!Z18</f>
        <v>7.5360319698153013</v>
      </c>
      <c r="X131" s="261">
        <f>BS!AA60/IS_NG!AA18</f>
        <v>8.1130233752889804</v>
      </c>
      <c r="Y131" s="261">
        <f>BS!AB60/IS_NG!AB18</f>
        <v>-1.6346546791990191</v>
      </c>
      <c r="Z131" s="261">
        <f>BS!AC60/IS_NG!AC18</f>
        <v>-2.1449732194404527</v>
      </c>
      <c r="AA131" s="261">
        <f>BS!AD60/IS_NG!AD18</f>
        <v>-1.8703537099294474</v>
      </c>
      <c r="AB131" s="261">
        <f>BS!AE60/IS_NG!AE18</f>
        <v>-1.2307505628300328</v>
      </c>
      <c r="AC131" s="261">
        <f>BS!AF60/IS_NG!AF18</f>
        <v>-0.36586817921046078</v>
      </c>
      <c r="AD131" s="261">
        <f>BS!AG60/IS_NG!AG18</f>
        <v>-1.4026451770839536</v>
      </c>
    </row>
    <row r="132" spans="1:30" s="260" customFormat="1" x14ac:dyDescent="0.2">
      <c r="A132" s="263"/>
      <c r="B132" s="264" t="s">
        <v>341</v>
      </c>
      <c r="C132" s="263"/>
      <c r="D132" s="262"/>
      <c r="E132" s="261">
        <f>(BS!D30-BS!D25)/IS_NG!D18</f>
        <v>90.749128221572008</v>
      </c>
      <c r="F132" s="261">
        <f>(BS!E30-BS!E25)/IS_NG!E18</f>
        <v>128.04901985275487</v>
      </c>
      <c r="G132" s="261">
        <f>(BS!F30-BS!F25)/IS_NG!F18</f>
        <v>50.263209521318338</v>
      </c>
      <c r="H132" s="261">
        <f>(BS!G30-BS!G25)/IS_NG!G18</f>
        <v>61.212910359275774</v>
      </c>
      <c r="I132" s="261">
        <f>(BS!H30-BS!H25)/IS_NG!H18</f>
        <v>80.938825640758211</v>
      </c>
      <c r="J132" s="261">
        <f>(BS!I30-BS!I25)/IS_NG!I18</f>
        <v>94.553094213450692</v>
      </c>
      <c r="K132" s="261">
        <f>(BS!J30-BS!J25)/IS_NG!J18</f>
        <v>116.72035390628355</v>
      </c>
      <c r="L132" s="261">
        <f>(BS!AG30-BS!AG25)/IS_NG!K18</f>
        <v>118.55969337523466</v>
      </c>
      <c r="M132" s="228"/>
      <c r="N132" s="261">
        <f>(BS!Q30-BS!Q25)/IS_NG!Q18</f>
        <v>56.326280111028971</v>
      </c>
      <c r="O132" s="261">
        <f>(BS!R30-BS!R25)/IS_NG!R18</f>
        <v>58.652282115456089</v>
      </c>
      <c r="P132" s="261">
        <f>(BS!S30-BS!S25)/IS_NG!S18</f>
        <v>62.23089906704331</v>
      </c>
      <c r="Q132" s="261">
        <f>(BS!T30-BS!T25)/IS_NG!T18</f>
        <v>65.319651007544948</v>
      </c>
      <c r="R132" s="261">
        <f>(BS!U30-BS!U25)/IS_NG!U18</f>
        <v>71.272044586320575</v>
      </c>
      <c r="S132" s="261">
        <f>(BS!V30-BS!V25)/IS_NG!V18</f>
        <v>79.052717122464855</v>
      </c>
      <c r="T132" s="261">
        <f>(BS!W30-BS!W25)/IS_NG!W18</f>
        <v>84.819587141208302</v>
      </c>
      <c r="U132" s="261">
        <f>(BS!X30-BS!X25)/IS_NG!X18</f>
        <v>86.831880669344329</v>
      </c>
      <c r="V132" s="261">
        <f>(BS!Y30-BS!Y25)/IS_NG!Y18</f>
        <v>91.178167653609606</v>
      </c>
      <c r="W132" s="261">
        <f>(BS!Z30-BS!Z25)/IS_NG!Z18</f>
        <v>95.384053634639386</v>
      </c>
      <c r="X132" s="261">
        <f>(BS!AA30-BS!AA25)/IS_NG!AA18</f>
        <v>94.725918314924229</v>
      </c>
      <c r="Y132" s="261">
        <f>(BS!AB30-BS!AB25)/IS_NG!AB18</f>
        <v>97.43170601364308</v>
      </c>
      <c r="Z132" s="261">
        <f>(BS!AC30-BS!AC25)/IS_NG!AC18</f>
        <v>99.022751886860036</v>
      </c>
      <c r="AA132" s="261">
        <f>(BS!AD30-BS!AD25)/IS_NG!AD18</f>
        <v>99.811027553818406</v>
      </c>
      <c r="AB132" s="261">
        <f>(BS!AE30-BS!AE25)/IS_NG!AE18</f>
        <v>100.53368637962154</v>
      </c>
      <c r="AC132" s="261">
        <f>(BS!AF30-BS!AF25)/IS_NG!AF18</f>
        <v>117.6666702748341</v>
      </c>
      <c r="AD132" s="261">
        <f>(BS!AG30-BS!AG25)/IS_NG!AG18</f>
        <v>120.37386228053346</v>
      </c>
    </row>
    <row r="133" spans="1:30" s="260" customFormat="1" x14ac:dyDescent="0.2">
      <c r="A133" s="263"/>
      <c r="B133" s="264" t="s">
        <v>75</v>
      </c>
      <c r="C133" s="263"/>
      <c r="D133" s="262"/>
      <c r="E133" s="261">
        <f>BS!D68/IS_NG!D18</f>
        <v>34.209787967453607</v>
      </c>
      <c r="F133" s="261">
        <f>BS!E68/IS_NG!E18</f>
        <v>59.950823123837935</v>
      </c>
      <c r="G133" s="261">
        <f>BS!F68/IS_NG!F18</f>
        <v>24.141163135408494</v>
      </c>
      <c r="H133" s="261">
        <f>BS!G68/IS_NG!G18</f>
        <v>29.913218060536405</v>
      </c>
      <c r="I133" s="261">
        <f>BS!H68/IS_NG!H18</f>
        <v>43.776377947092151</v>
      </c>
      <c r="J133" s="261">
        <f>BS!I68/IS_NG!I18</f>
        <v>50.977034403651068</v>
      </c>
      <c r="K133" s="261">
        <f>BS!J68/IS_NG!J18</f>
        <v>56.107460378817159</v>
      </c>
      <c r="L133" s="261">
        <f>BS!AG68/IS_NG!K18</f>
        <v>55.73593690689335</v>
      </c>
      <c r="M133" s="228"/>
      <c r="N133" s="261">
        <f>BS!Q68/IS_NG!Q18</f>
        <v>26.393092770563378</v>
      </c>
      <c r="O133" s="261">
        <f>BS!R68/IS_NG!R18</f>
        <v>26.559790619422255</v>
      </c>
      <c r="P133" s="261">
        <f>BS!S68/IS_NG!S18</f>
        <v>30.203940129770732</v>
      </c>
      <c r="Q133" s="261">
        <f>BS!T68/IS_NG!T18</f>
        <v>31.920079485826065</v>
      </c>
      <c r="R133" s="261">
        <f>BS!U68/IS_NG!U18</f>
        <v>35.559160604950542</v>
      </c>
      <c r="S133" s="261">
        <f>BS!V68/IS_NG!V18</f>
        <v>40.361105222245783</v>
      </c>
      <c r="T133" s="261">
        <f>BS!W68/IS_NG!W18</f>
        <v>44.167565419764998</v>
      </c>
      <c r="U133" s="261">
        <f>BS!X68/IS_NG!X18</f>
        <v>46.963681471106824</v>
      </c>
      <c r="V133" s="261">
        <f>BS!Y68/IS_NG!Y18</f>
        <v>48.332306019925284</v>
      </c>
      <c r="W133" s="261">
        <f>BS!Z68/IS_NG!Z18</f>
        <v>50.427515137991541</v>
      </c>
      <c r="X133" s="261">
        <f>BS!AA68/IS_NG!AA18</f>
        <v>50.724890829694324</v>
      </c>
      <c r="Y133" s="261">
        <f>BS!AB68/IS_NG!AB18</f>
        <v>52.528999402722327</v>
      </c>
      <c r="Z133" s="261">
        <f>BS!AC68/IS_NG!AC18</f>
        <v>52.126220506618232</v>
      </c>
      <c r="AA133" s="261">
        <f>BS!AD68/IS_NG!AD18</f>
        <v>51.818913602141976</v>
      </c>
      <c r="AB133" s="261">
        <f>BS!AE68/IS_NG!AE18</f>
        <v>53.665491531006033</v>
      </c>
      <c r="AC133" s="261">
        <f>BS!AF68/IS_NG!AF18</f>
        <v>56.562354545749756</v>
      </c>
      <c r="AD133" s="261">
        <f>BS!AG68/IS_NG!AG18</f>
        <v>56.58879339433517</v>
      </c>
    </row>
    <row r="134" spans="1:30" s="228" customFormat="1" ht="4.5" customHeight="1" x14ac:dyDescent="0.2">
      <c r="A134" s="247"/>
      <c r="B134" s="242"/>
      <c r="C134" s="246"/>
      <c r="D134" s="241"/>
      <c r="E134" s="245"/>
      <c r="F134" s="245"/>
      <c r="G134" s="245"/>
      <c r="H134" s="245"/>
      <c r="I134" s="245"/>
      <c r="J134" s="245"/>
      <c r="K134" s="245"/>
      <c r="L134" s="245"/>
      <c r="N134" s="245"/>
      <c r="O134" s="245"/>
      <c r="P134" s="245"/>
      <c r="Q134" s="245"/>
      <c r="R134" s="245"/>
      <c r="S134" s="245"/>
      <c r="T134" s="245"/>
      <c r="U134" s="245"/>
      <c r="V134" s="245"/>
      <c r="W134" s="245"/>
      <c r="X134" s="245"/>
      <c r="Y134" s="245"/>
      <c r="Z134" s="245"/>
      <c r="AA134" s="245"/>
      <c r="AB134" s="245"/>
      <c r="AC134" s="245"/>
      <c r="AD134" s="245"/>
    </row>
    <row r="135" spans="1:30" s="248" customFormat="1" x14ac:dyDescent="0.2">
      <c r="A135" s="259" t="s">
        <v>340</v>
      </c>
      <c r="B135" s="258"/>
      <c r="C135" s="83"/>
      <c r="D135" s="241"/>
      <c r="E135" s="227"/>
      <c r="F135" s="227"/>
      <c r="G135" s="227"/>
      <c r="H135" s="227"/>
      <c r="I135" s="227"/>
      <c r="J135" s="227"/>
      <c r="K135" s="227"/>
      <c r="L135" s="227"/>
      <c r="M135" s="228"/>
      <c r="N135" s="227"/>
      <c r="O135" s="227"/>
      <c r="P135" s="227"/>
      <c r="Q135" s="227"/>
      <c r="R135" s="227"/>
      <c r="S135" s="227"/>
      <c r="T135" s="227"/>
      <c r="U135" s="227"/>
      <c r="V135" s="227"/>
      <c r="W135" s="227"/>
      <c r="X135" s="227"/>
      <c r="Y135" s="227"/>
      <c r="Z135" s="227"/>
      <c r="AA135" s="227"/>
      <c r="AB135" s="227"/>
      <c r="AC135" s="227"/>
      <c r="AD135" s="227"/>
    </row>
    <row r="136" spans="1:30" s="248" customFormat="1" x14ac:dyDescent="0.2">
      <c r="A136" s="83"/>
      <c r="B136" s="258" t="s">
        <v>339</v>
      </c>
      <c r="C136" s="83"/>
      <c r="D136" s="241"/>
      <c r="E136" s="256">
        <f>RD!D16</f>
        <v>95786</v>
      </c>
      <c r="F136" s="256">
        <f>RD!E16</f>
        <v>91500</v>
      </c>
      <c r="G136" s="256">
        <f>RD!F16</f>
        <v>94400</v>
      </c>
      <c r="H136" s="256">
        <f>RD!G16</f>
        <v>98900</v>
      </c>
      <c r="I136" s="256">
        <f>RD!H16</f>
        <v>101500</v>
      </c>
      <c r="J136" s="256">
        <f>RD!I16</f>
        <v>103100</v>
      </c>
      <c r="K136" s="256">
        <f>RD!J16</f>
        <v>102900</v>
      </c>
      <c r="L136" s="257">
        <f>AD136</f>
        <v>103500</v>
      </c>
      <c r="M136" s="228"/>
      <c r="N136" s="256">
        <f>RD!P16</f>
        <v>97500</v>
      </c>
      <c r="O136" s="256">
        <f>RD!Q16</f>
        <v>100700</v>
      </c>
      <c r="P136" s="256">
        <f>RD!R16</f>
        <v>99700</v>
      </c>
      <c r="Q136" s="256">
        <f>RD!S16</f>
        <v>98900</v>
      </c>
      <c r="R136" s="256">
        <f>RD!T16</f>
        <v>100200</v>
      </c>
      <c r="S136" s="256">
        <f>RD!U16</f>
        <v>103100</v>
      </c>
      <c r="T136" s="256">
        <f>RD!V16</f>
        <v>101200</v>
      </c>
      <c r="U136" s="256">
        <f>RD!W16</f>
        <v>101500</v>
      </c>
      <c r="V136" s="256">
        <f>RD!X16</f>
        <v>102900</v>
      </c>
      <c r="W136" s="256">
        <f>RD!Y16</f>
        <v>106100</v>
      </c>
      <c r="X136" s="256">
        <f>RD!Z16</f>
        <v>105000</v>
      </c>
      <c r="Y136" s="256">
        <f>RD!AA16</f>
        <v>103100</v>
      </c>
      <c r="Z136" s="256">
        <f>RD!AB16</f>
        <v>104400</v>
      </c>
      <c r="AA136" s="256">
        <f>RD!AC16</f>
        <v>106600</v>
      </c>
      <c r="AB136" s="256">
        <f>RD!AD16</f>
        <v>105100</v>
      </c>
      <c r="AC136" s="256">
        <f>RD!AE16</f>
        <v>102900</v>
      </c>
      <c r="AD136" s="256">
        <f>RD!AF16</f>
        <v>103500</v>
      </c>
    </row>
    <row r="137" spans="1:30" s="248" customFormat="1" x14ac:dyDescent="0.2">
      <c r="A137" s="254"/>
      <c r="B137" s="255" t="s">
        <v>338</v>
      </c>
      <c r="C137" s="254"/>
      <c r="D137" s="229"/>
      <c r="E137" s="253"/>
      <c r="F137" s="253">
        <f t="shared" ref="F137:L137" si="14">(F136/E136)-1</f>
        <v>-4.474557868582052E-2</v>
      </c>
      <c r="G137" s="253">
        <f t="shared" si="14"/>
        <v>3.1693989071038153E-2</v>
      </c>
      <c r="H137" s="253">
        <f t="shared" si="14"/>
        <v>4.7669491525423657E-2</v>
      </c>
      <c r="I137" s="253">
        <f t="shared" si="14"/>
        <v>2.628918099089983E-2</v>
      </c>
      <c r="J137" s="253">
        <f t="shared" si="14"/>
        <v>1.5763546798029493E-2</v>
      </c>
      <c r="K137" s="253">
        <f t="shared" si="14"/>
        <v>-1.9398642095053154E-3</v>
      </c>
      <c r="L137" s="253">
        <f t="shared" si="14"/>
        <v>5.8309037900874383E-3</v>
      </c>
      <c r="M137" s="228"/>
      <c r="N137" s="253"/>
      <c r="O137" s="253">
        <f t="shared" ref="O137:AD137" si="15">(O136/N136)-1</f>
        <v>3.2820512820512793E-2</v>
      </c>
      <c r="P137" s="253">
        <f t="shared" si="15"/>
        <v>-9.930486593843102E-3</v>
      </c>
      <c r="Q137" s="253">
        <f t="shared" si="15"/>
        <v>-8.0240722166499134E-3</v>
      </c>
      <c r="R137" s="253">
        <f t="shared" si="15"/>
        <v>1.3144590495449915E-2</v>
      </c>
      <c r="S137" s="253">
        <f t="shared" si="15"/>
        <v>2.8942115768463061E-2</v>
      </c>
      <c r="T137" s="253">
        <f t="shared" si="15"/>
        <v>-1.8428709990300662E-2</v>
      </c>
      <c r="U137" s="253">
        <f t="shared" si="15"/>
        <v>2.9644268774704496E-3</v>
      </c>
      <c r="V137" s="253">
        <f t="shared" si="15"/>
        <v>1.379310344827589E-2</v>
      </c>
      <c r="W137" s="253">
        <f t="shared" si="15"/>
        <v>3.1098153547133078E-2</v>
      </c>
      <c r="X137" s="253">
        <f t="shared" si="15"/>
        <v>-1.0367577756833168E-2</v>
      </c>
      <c r="Y137" s="253">
        <f t="shared" si="15"/>
        <v>-1.8095238095238053E-2</v>
      </c>
      <c r="Z137" s="253">
        <f t="shared" si="15"/>
        <v>1.2609117361784605E-2</v>
      </c>
      <c r="AA137" s="253">
        <f t="shared" si="15"/>
        <v>2.1072796934865856E-2</v>
      </c>
      <c r="AB137" s="253">
        <f t="shared" si="15"/>
        <v>-1.407129455909939E-2</v>
      </c>
      <c r="AC137" s="253">
        <f t="shared" si="15"/>
        <v>-2.0932445290199775E-2</v>
      </c>
      <c r="AD137" s="253">
        <f t="shared" si="15"/>
        <v>5.8309037900874383E-3</v>
      </c>
    </row>
    <row r="138" spans="1:30" s="248" customFormat="1" x14ac:dyDescent="0.2">
      <c r="A138" s="251"/>
      <c r="B138" s="252" t="s">
        <v>337</v>
      </c>
      <c r="C138" s="251"/>
      <c r="D138" s="250"/>
      <c r="E138" s="249">
        <f>IS_NG!D14/E136</f>
        <v>4.2490551855177165E-3</v>
      </c>
      <c r="F138" s="249">
        <f>IS_NG!E14/F136</f>
        <v>2.1300546448087432E-2</v>
      </c>
      <c r="G138" s="249">
        <f>IS_NG!F14/G136</f>
        <v>4.4322033898305087E-2</v>
      </c>
      <c r="H138" s="249">
        <f>IS_NG!G14/H136</f>
        <v>6.3387259858442874E-2</v>
      </c>
      <c r="I138" s="249">
        <f>IS_NG!H14/I136</f>
        <v>3.1261083743842365E-2</v>
      </c>
      <c r="J138" s="249">
        <f>IS_NG!I14/J136</f>
        <v>2.5140640155189138E-2</v>
      </c>
      <c r="K138" s="249">
        <f>IS_NG!J14/K136</f>
        <v>2.0573372206025266E-2</v>
      </c>
      <c r="L138" s="249">
        <f>IS_NG!K14/L136</f>
        <v>1.9304347826086955E-2</v>
      </c>
      <c r="M138" s="228"/>
      <c r="N138" s="249">
        <f>IS_NG!Q14/N136</f>
        <v>1.2748717948717949E-2</v>
      </c>
      <c r="O138" s="249">
        <f>IS_NG!R14/O136</f>
        <v>1.8411122144985106E-2</v>
      </c>
      <c r="P138" s="249">
        <f>IS_NG!S14/P136</f>
        <v>1.8906720160481446E-2</v>
      </c>
      <c r="Q138" s="249">
        <f>IS_NG!T14/Q136</f>
        <v>1.3003033367037412E-2</v>
      </c>
      <c r="R138" s="249">
        <f>IS_NG!U14/R136</f>
        <v>7.6347305389221553E-3</v>
      </c>
      <c r="S138" s="249">
        <f>IS_NG!V14/S136</f>
        <v>9.7090203685741994E-3</v>
      </c>
      <c r="T138" s="249">
        <f>IS_NG!W14/T136</f>
        <v>9.2193675889328062E-3</v>
      </c>
      <c r="U138" s="249">
        <f>IS_NG!X14/U136</f>
        <v>4.6798029556650248E-3</v>
      </c>
      <c r="V138" s="249">
        <f>IS_NG!Y14/V136</f>
        <v>4.0233236151603503E-3</v>
      </c>
      <c r="W138" s="249">
        <f>IS_NG!Z14/W136</f>
        <v>9.4721960414703103E-3</v>
      </c>
      <c r="X138" s="249">
        <f>IS_NG!AA14/X136</f>
        <v>6.942857142857143E-3</v>
      </c>
      <c r="Y138" s="249">
        <f>IS_NG!AB14/Y136</f>
        <v>4.3064985451018428E-3</v>
      </c>
      <c r="Z138" s="249">
        <f>IS_NG!AC14/Z136</f>
        <v>3.3812260536398467E-3</v>
      </c>
      <c r="AA138" s="249">
        <f>IS_NG!AD14/AA136</f>
        <v>7.101313320825516E-3</v>
      </c>
      <c r="AB138" s="249">
        <f>IS_NG!AE14/AB136</f>
        <v>4.9762131303520453E-3</v>
      </c>
      <c r="AC138" s="249">
        <f>IS_NG!AF14/AC136</f>
        <v>4.6744412050534496E-3</v>
      </c>
      <c r="AD138" s="249">
        <f>IS_NG!AG14/AD136</f>
        <v>2.289855072463768E-3</v>
      </c>
    </row>
    <row r="139" spans="1:30" s="248" customFormat="1" x14ac:dyDescent="0.2">
      <c r="A139" s="251"/>
      <c r="B139" s="252" t="s">
        <v>336</v>
      </c>
      <c r="C139" s="251"/>
      <c r="D139" s="250" t="s">
        <v>335</v>
      </c>
      <c r="E139" s="249">
        <f>IS_NG!D4/E136</f>
        <v>0.40319044536779908</v>
      </c>
      <c r="F139" s="249">
        <f>IS_NG!E4/F136</f>
        <v>0.44139890710382512</v>
      </c>
      <c r="G139" s="249">
        <f>IS_NG!F4/G136</f>
        <v>0.45180084745762711</v>
      </c>
      <c r="H139" s="249">
        <f>IS_NG!G4/H136</f>
        <v>0.41445904954499496</v>
      </c>
      <c r="I139" s="249">
        <f>IS_NG!H4/I136</f>
        <v>0.39586206896551723</v>
      </c>
      <c r="J139" s="249">
        <f>IS_NG!I4/J136</f>
        <v>0.41340446168768186</v>
      </c>
      <c r="K139" s="249">
        <f>IS_NG!J4/K136</f>
        <v>0.43285714285714288</v>
      </c>
      <c r="L139" s="249">
        <f>IS_NG!K4/L136</f>
        <v>0.43211594202898551</v>
      </c>
      <c r="M139" s="228"/>
      <c r="N139" s="249">
        <f>IS_NG!Q4/N136</f>
        <v>0.10078974358974359</v>
      </c>
      <c r="O139" s="249">
        <f>IS_NG!R4/O136</f>
        <v>0.10751737835153923</v>
      </c>
      <c r="P139" s="249">
        <f>IS_NG!S4/P136</f>
        <v>0.10738214643931795</v>
      </c>
      <c r="Q139" s="249">
        <f>IS_NG!T4/Q136</f>
        <v>9.7371081900910011E-2</v>
      </c>
      <c r="R139" s="249">
        <f>IS_NG!U4/R136</f>
        <v>9.4161676646706591E-2</v>
      </c>
      <c r="S139" s="249">
        <f>IS_NG!V4/S136</f>
        <v>0.10051406401551892</v>
      </c>
      <c r="T139" s="249">
        <f>IS_NG!W4/T136</f>
        <v>0.10468379446640316</v>
      </c>
      <c r="U139" s="249">
        <f>IS_NG!X4/U136</f>
        <v>9.6443349753694577E-2</v>
      </c>
      <c r="V139" s="249">
        <f>IS_NG!Y4/V136</f>
        <v>9.5432458697764816E-2</v>
      </c>
      <c r="W139" s="249">
        <f>IS_NG!Z4/W136</f>
        <v>0.10581526861451461</v>
      </c>
      <c r="X139" s="249">
        <f>IS_NG!AA4/X136</f>
        <v>0.10442857142857143</v>
      </c>
      <c r="Y139" s="249">
        <f>IS_NG!AB4/Y136</f>
        <v>0.10291949563530553</v>
      </c>
      <c r="Z139" s="249">
        <f>IS_NG!AC4/Z136</f>
        <v>9.9626436781609193E-2</v>
      </c>
      <c r="AA139" s="249">
        <f>IS_NG!AD4/AA136</f>
        <v>0.10922138836772984</v>
      </c>
      <c r="AB139" s="249">
        <f>IS_NG!AE4/AB136</f>
        <v>0.10998097050428164</v>
      </c>
      <c r="AC139" s="249">
        <f>IS_NG!AF4/AC136</f>
        <v>0.10629737609329445</v>
      </c>
      <c r="AD139" s="249">
        <f>IS_NG!AG4/AD136</f>
        <v>0.10226086956521739</v>
      </c>
    </row>
    <row r="140" spans="1:30" s="248" customFormat="1" x14ac:dyDescent="0.2">
      <c r="A140" s="251"/>
      <c r="B140" s="252" t="s">
        <v>334</v>
      </c>
      <c r="C140" s="251"/>
      <c r="D140" s="250"/>
      <c r="E140" s="249">
        <f>BS!D30/E136</f>
        <v>0.24544296661307499</v>
      </c>
      <c r="F140" s="249">
        <f>BS!E30/F136</f>
        <v>0.46205464480874314</v>
      </c>
      <c r="G140" s="249">
        <f>BS!F30/G136</f>
        <v>0.45789194915254239</v>
      </c>
      <c r="H140" s="249">
        <f>BS!G30/H136</f>
        <v>0.48953488372093024</v>
      </c>
      <c r="I140" s="249">
        <f>BS!H30/I136</f>
        <v>0.50516256157635464</v>
      </c>
      <c r="J140" s="249">
        <f>BS!I30/J136</f>
        <v>0.51197866149369542</v>
      </c>
      <c r="K140" s="249">
        <f>BS!J30/K136</f>
        <v>0.58872691933916421</v>
      </c>
      <c r="L140" s="249">
        <f>BS!AG30/L136</f>
        <v>0.58731400966183578</v>
      </c>
      <c r="M140" s="228"/>
      <c r="N140" s="249">
        <f>BS!Q30/N136</f>
        <v>0.47952820512820515</v>
      </c>
      <c r="O140" s="249">
        <f>BS!R30/O136</f>
        <v>0.47535253227408142</v>
      </c>
      <c r="P140" s="249">
        <f>BS!S30/P136</f>
        <v>0.48861584754262788</v>
      </c>
      <c r="Q140" s="249">
        <f>BS!T30/Q136</f>
        <v>0.48953488372093024</v>
      </c>
      <c r="R140" s="249">
        <f>BS!U30/R136</f>
        <v>0.49809381237524952</v>
      </c>
      <c r="S140" s="249">
        <f>BS!V30/S136</f>
        <v>0.49516003879728421</v>
      </c>
      <c r="T140" s="249">
        <f>BS!W30/T136</f>
        <v>0.50501976284584982</v>
      </c>
      <c r="U140" s="249">
        <f>BS!X30/U136</f>
        <v>0.50516256157635464</v>
      </c>
      <c r="V140" s="249">
        <f>BS!Y30/V136</f>
        <v>0.51143828960155491</v>
      </c>
      <c r="W140" s="249">
        <f>BS!Z30/W136</f>
        <v>0.50269557021677658</v>
      </c>
      <c r="X140" s="249">
        <f>BS!AA30/X136</f>
        <v>0.49905714285714287</v>
      </c>
      <c r="Y140" s="249">
        <f>BS!AB30/Y136</f>
        <v>0.51197866149369542</v>
      </c>
      <c r="Z140" s="249">
        <f>BS!AC30/Z136</f>
        <v>0.51034482758620692</v>
      </c>
      <c r="AA140" s="249">
        <f>BS!AD30/AA136</f>
        <v>0.49363977485928706</v>
      </c>
      <c r="AB140" s="249">
        <f>BS!AE30/AB136</f>
        <v>0.50080875356803045</v>
      </c>
      <c r="AC140" s="249">
        <f>BS!AF30/AC136</f>
        <v>0.58872691933916421</v>
      </c>
      <c r="AD140" s="249">
        <f>BS!AG30/AD136</f>
        <v>0.58731400966183578</v>
      </c>
    </row>
    <row r="141" spans="1:30" s="228" customFormat="1" ht="4.5" customHeight="1" x14ac:dyDescent="0.2">
      <c r="A141" s="247"/>
      <c r="B141" s="242"/>
      <c r="C141" s="246"/>
      <c r="D141" s="241"/>
      <c r="E141" s="245"/>
      <c r="F141" s="245"/>
      <c r="G141" s="245"/>
      <c r="H141" s="245"/>
      <c r="I141" s="245"/>
      <c r="J141" s="245"/>
      <c r="K141" s="245"/>
      <c r="L141" s="245"/>
      <c r="N141" s="245"/>
      <c r="O141" s="245"/>
      <c r="P141" s="245"/>
      <c r="Q141" s="245"/>
      <c r="R141" s="245"/>
      <c r="S141" s="245"/>
      <c r="T141" s="245"/>
      <c r="U141" s="245"/>
      <c r="V141" s="245"/>
      <c r="W141" s="245"/>
      <c r="X141" s="245"/>
      <c r="Y141" s="245"/>
      <c r="Z141" s="245"/>
      <c r="AA141" s="245"/>
      <c r="AB141" s="245"/>
      <c r="AC141" s="245"/>
      <c r="AD141" s="245"/>
    </row>
    <row r="142" spans="1:30" s="228" customFormat="1" x14ac:dyDescent="0.2">
      <c r="A142" s="243" t="s">
        <v>333</v>
      </c>
      <c r="B142" s="244"/>
      <c r="C142" s="242"/>
      <c r="D142" s="241"/>
    </row>
    <row r="143" spans="1:30" s="228" customFormat="1" x14ac:dyDescent="0.2">
      <c r="A143" s="243"/>
      <c r="B143" s="243" t="s">
        <v>321</v>
      </c>
      <c r="C143" s="242"/>
      <c r="D143" s="241"/>
    </row>
    <row r="144" spans="1:30" s="226" customFormat="1" x14ac:dyDescent="0.2">
      <c r="A144" s="232"/>
      <c r="B144" s="231"/>
      <c r="C144" s="235" t="s">
        <v>332</v>
      </c>
      <c r="D144" s="229"/>
      <c r="E144" s="227">
        <f>IS_NG!D4/IS_NG!D4</f>
        <v>1</v>
      </c>
      <c r="F144" s="227">
        <f>IS_NG!E4/IS_NG!E4</f>
        <v>1</v>
      </c>
      <c r="G144" s="227">
        <f>IS_NG!F4/IS_NG!F4</f>
        <v>1</v>
      </c>
      <c r="H144" s="227">
        <f>IS_NG!G4/IS_NG!G4</f>
        <v>1</v>
      </c>
      <c r="I144" s="227">
        <f>IS_NG!H4/IS_NG!H4</f>
        <v>1</v>
      </c>
      <c r="J144" s="227">
        <f>IS_NG!I4/IS_NG!I4</f>
        <v>1</v>
      </c>
      <c r="K144" s="227">
        <f>IS_NG!J4/IS_NG!J4</f>
        <v>1</v>
      </c>
      <c r="L144" s="227">
        <f>IS_NG!K4/IS_NG!K4</f>
        <v>1</v>
      </c>
      <c r="M144" s="228"/>
      <c r="N144" s="227">
        <f>IS_NG!Q4/IS_NG!Q4</f>
        <v>1</v>
      </c>
      <c r="O144" s="227">
        <f>IS_NG!R4/IS_NG!R4</f>
        <v>1</v>
      </c>
      <c r="P144" s="227">
        <f>IS_NG!S4/IS_NG!S4</f>
        <v>1</v>
      </c>
      <c r="Q144" s="227">
        <f>IS_NG!T4/IS_NG!T4</f>
        <v>1</v>
      </c>
      <c r="R144" s="227">
        <f>IS_NG!U4/IS_NG!U4</f>
        <v>1</v>
      </c>
      <c r="S144" s="227">
        <f>IS_NG!V4/IS_NG!V4</f>
        <v>1</v>
      </c>
      <c r="T144" s="227">
        <f>IS_NG!W4/IS_NG!W4</f>
        <v>1</v>
      </c>
      <c r="U144" s="227">
        <f>IS_NG!X4/IS_NG!X4</f>
        <v>1</v>
      </c>
      <c r="V144" s="227">
        <f>IS_NG!Y4/IS_NG!Y4</f>
        <v>1</v>
      </c>
      <c r="W144" s="227">
        <f>IS_NG!Z4/IS_NG!Z4</f>
        <v>1</v>
      </c>
      <c r="X144" s="227">
        <f>IS_NG!AA4/IS_NG!AA4</f>
        <v>1</v>
      </c>
      <c r="Y144" s="227">
        <f>IS_NG!AB4/IS_NG!AB4</f>
        <v>1</v>
      </c>
      <c r="Z144" s="227">
        <f>IS_NG!AC4/IS_NG!AC4</f>
        <v>1</v>
      </c>
      <c r="AA144" s="227">
        <f>IS_NG!AD4/IS_NG!AD4</f>
        <v>1</v>
      </c>
      <c r="AB144" s="227">
        <f>IS_NG!AE4/IS_NG!AE4</f>
        <v>1</v>
      </c>
      <c r="AC144" s="227">
        <f>IS_NG!AF4/IS_NG!AF4</f>
        <v>1</v>
      </c>
      <c r="AD144" s="227">
        <f>IS_NG!AG4/IS_NG!AG4</f>
        <v>1</v>
      </c>
    </row>
    <row r="145" spans="1:30" s="226" customFormat="1" x14ac:dyDescent="0.2">
      <c r="A145" s="232"/>
      <c r="B145" s="231"/>
      <c r="C145" s="235" t="s">
        <v>331</v>
      </c>
      <c r="D145" s="229"/>
      <c r="E145" s="227"/>
      <c r="F145" s="227"/>
      <c r="G145" s="227"/>
      <c r="H145" s="227"/>
      <c r="I145" s="227"/>
      <c r="J145" s="227"/>
      <c r="K145" s="227"/>
      <c r="L145" s="227"/>
      <c r="M145" s="228"/>
      <c r="N145" s="227"/>
      <c r="O145" s="227"/>
      <c r="P145" s="227"/>
      <c r="Q145" s="227"/>
      <c r="R145" s="227"/>
      <c r="S145" s="227"/>
      <c r="T145" s="227"/>
      <c r="U145" s="227"/>
      <c r="V145" s="227"/>
      <c r="W145" s="227"/>
      <c r="X145" s="227"/>
      <c r="Y145" s="227"/>
      <c r="Z145" s="227"/>
      <c r="AA145" s="227"/>
      <c r="AB145" s="227"/>
      <c r="AC145" s="227"/>
      <c r="AD145" s="227"/>
    </row>
    <row r="146" spans="1:30" s="226" customFormat="1" x14ac:dyDescent="0.2">
      <c r="A146" s="232"/>
      <c r="B146" s="231"/>
      <c r="C146" s="235" t="s">
        <v>330</v>
      </c>
      <c r="D146" s="229"/>
      <c r="E146" s="227"/>
      <c r="F146" s="227"/>
      <c r="G146" s="227"/>
      <c r="H146" s="227"/>
      <c r="I146" s="227"/>
      <c r="J146" s="227"/>
      <c r="K146" s="227"/>
      <c r="L146" s="227"/>
      <c r="M146" s="228"/>
      <c r="N146" s="227"/>
      <c r="O146" s="227"/>
      <c r="P146" s="227"/>
      <c r="Q146" s="227"/>
      <c r="R146" s="227"/>
      <c r="S146" s="227"/>
      <c r="T146" s="227"/>
      <c r="U146" s="227"/>
      <c r="V146" s="227"/>
      <c r="W146" s="227"/>
      <c r="X146" s="227"/>
      <c r="Y146" s="227"/>
      <c r="Z146" s="227"/>
      <c r="AA146" s="227"/>
      <c r="AB146" s="227"/>
      <c r="AC146" s="227"/>
      <c r="AD146" s="227"/>
    </row>
    <row r="147" spans="1:30" s="226" customFormat="1" x14ac:dyDescent="0.2">
      <c r="A147" s="232"/>
      <c r="B147" s="231"/>
      <c r="C147" s="235" t="s">
        <v>329</v>
      </c>
      <c r="D147" s="229"/>
      <c r="E147" s="227"/>
      <c r="F147" s="227"/>
      <c r="G147" s="227"/>
      <c r="H147" s="227"/>
      <c r="I147" s="227"/>
      <c r="J147" s="227"/>
      <c r="K147" s="227"/>
      <c r="L147" s="227"/>
      <c r="M147" s="228"/>
      <c r="N147" s="227"/>
      <c r="O147" s="227"/>
      <c r="P147" s="227"/>
      <c r="Q147" s="227"/>
      <c r="R147" s="227"/>
      <c r="S147" s="227"/>
      <c r="T147" s="227"/>
      <c r="U147" s="227"/>
      <c r="V147" s="227"/>
      <c r="W147" s="227"/>
      <c r="X147" s="227"/>
      <c r="Y147" s="227"/>
      <c r="Z147" s="227"/>
      <c r="AA147" s="227"/>
      <c r="AB147" s="227"/>
      <c r="AC147" s="227"/>
      <c r="AD147" s="227"/>
    </row>
    <row r="148" spans="1:30" s="226" customFormat="1" x14ac:dyDescent="0.2">
      <c r="A148" s="232"/>
      <c r="B148" s="231"/>
      <c r="C148" s="235" t="s">
        <v>328</v>
      </c>
      <c r="D148" s="229"/>
      <c r="E148" s="227"/>
      <c r="F148" s="227"/>
      <c r="G148" s="227"/>
      <c r="H148" s="227"/>
      <c r="I148" s="227"/>
      <c r="J148" s="227"/>
      <c r="K148" s="227"/>
      <c r="L148" s="227"/>
      <c r="M148" s="228"/>
      <c r="N148" s="227"/>
      <c r="O148" s="227"/>
      <c r="P148" s="227"/>
      <c r="Q148" s="227"/>
      <c r="R148" s="227"/>
      <c r="S148" s="227"/>
      <c r="T148" s="227"/>
      <c r="U148" s="227"/>
      <c r="V148" s="227"/>
      <c r="W148" s="227"/>
      <c r="X148" s="227"/>
      <c r="Y148" s="227"/>
      <c r="Z148" s="227"/>
      <c r="AA148" s="227"/>
      <c r="AB148" s="227"/>
      <c r="AC148" s="227"/>
      <c r="AD148" s="227"/>
    </row>
    <row r="149" spans="1:30" s="226" customFormat="1" x14ac:dyDescent="0.2">
      <c r="A149" s="232"/>
      <c r="B149" s="231"/>
      <c r="C149" s="235" t="s">
        <v>327</v>
      </c>
      <c r="D149" s="229"/>
      <c r="E149" s="227"/>
      <c r="F149" s="227"/>
      <c r="G149" s="227"/>
      <c r="H149" s="227"/>
      <c r="I149" s="227"/>
      <c r="J149" s="227"/>
      <c r="K149" s="227"/>
      <c r="L149" s="227"/>
      <c r="M149" s="228"/>
      <c r="N149" s="227"/>
      <c r="O149" s="227"/>
      <c r="P149" s="227"/>
      <c r="Q149" s="227"/>
      <c r="R149" s="227"/>
      <c r="S149" s="227"/>
      <c r="T149" s="227"/>
      <c r="U149" s="227"/>
      <c r="V149" s="227"/>
      <c r="W149" s="227"/>
      <c r="X149" s="227"/>
      <c r="Y149" s="227"/>
      <c r="Z149" s="227"/>
      <c r="AA149" s="227"/>
      <c r="AB149" s="227"/>
      <c r="AC149" s="227"/>
      <c r="AD149" s="227"/>
    </row>
    <row r="150" spans="1:30" s="226" customFormat="1" x14ac:dyDescent="0.2">
      <c r="A150" s="232"/>
      <c r="B150" s="231"/>
      <c r="C150" s="235" t="s">
        <v>326</v>
      </c>
      <c r="D150" s="229"/>
      <c r="E150" s="227"/>
      <c r="F150" s="227"/>
      <c r="G150" s="227"/>
      <c r="H150" s="227"/>
      <c r="I150" s="227"/>
      <c r="J150" s="227"/>
      <c r="K150" s="227"/>
      <c r="L150" s="227"/>
      <c r="M150" s="228"/>
      <c r="N150" s="227"/>
      <c r="O150" s="227"/>
      <c r="P150" s="227"/>
      <c r="Q150" s="227"/>
      <c r="R150" s="227"/>
      <c r="S150" s="227"/>
      <c r="T150" s="227"/>
      <c r="U150" s="227"/>
      <c r="V150" s="227"/>
      <c r="W150" s="227"/>
      <c r="X150" s="227"/>
      <c r="Y150" s="227"/>
      <c r="Z150" s="227"/>
      <c r="AA150" s="227"/>
      <c r="AB150" s="227"/>
      <c r="AC150" s="227"/>
      <c r="AD150" s="227"/>
    </row>
    <row r="151" spans="1:30" s="226" customFormat="1" x14ac:dyDescent="0.2">
      <c r="A151" s="232"/>
      <c r="B151" s="231"/>
      <c r="C151" s="235" t="s">
        <v>223</v>
      </c>
      <c r="D151" s="229"/>
      <c r="E151" s="227">
        <f>IS_NG!D8/IS_NG!D4</f>
        <v>6.3102019678922844E-2</v>
      </c>
      <c r="F151" s="227">
        <f>IS_NG!E8/IS_NG!E4</f>
        <v>0.10550163414875706</v>
      </c>
      <c r="G151" s="227">
        <f>IS_NG!F8/IS_NG!F4</f>
        <v>0.15441969519343493</v>
      </c>
      <c r="H151" s="227">
        <f>IS_NG!G8/IS_NG!G4</f>
        <v>0.21695535496462551</v>
      </c>
      <c r="I151" s="227">
        <f>IS_NG!H8/IS_NG!H4</f>
        <v>0.194748631159781</v>
      </c>
      <c r="J151" s="227">
        <f>IS_NG!I8/IS_NG!I4</f>
        <v>0.16381211580873728</v>
      </c>
      <c r="K151" s="227">
        <f>IS_NG!J8/IS_NG!J4</f>
        <v>0.12590646819784018</v>
      </c>
      <c r="L151" s="227">
        <f>IS_NG!K8/IS_NG!K4</f>
        <v>7.463554243806457E-2</v>
      </c>
      <c r="M151" s="228"/>
      <c r="N151" s="227"/>
      <c r="O151" s="227"/>
      <c r="P151" s="227"/>
      <c r="Q151" s="227"/>
      <c r="R151" s="227"/>
      <c r="S151" s="227"/>
      <c r="T151" s="227"/>
      <c r="U151" s="227"/>
      <c r="V151" s="227"/>
      <c r="W151" s="227"/>
      <c r="X151" s="227"/>
      <c r="Y151" s="227"/>
      <c r="Z151" s="227"/>
      <c r="AA151" s="227"/>
      <c r="AB151" s="227"/>
      <c r="AC151" s="227"/>
      <c r="AD151" s="227"/>
    </row>
    <row r="152" spans="1:30" s="226" customFormat="1" x14ac:dyDescent="0.2">
      <c r="A152" s="232"/>
      <c r="B152" s="231"/>
      <c r="C152" s="235" t="s">
        <v>22</v>
      </c>
      <c r="D152" s="229"/>
      <c r="E152" s="227">
        <f>CF!D7/IS_NG!D4</f>
        <v>2.6281719316416364E-2</v>
      </c>
      <c r="F152" s="227">
        <f>CF!E7/IS_NG!E4</f>
        <v>2.5255026245419431E-2</v>
      </c>
      <c r="G152" s="227">
        <f>CF!F7/IS_NG!F4</f>
        <v>3.5474794841735054E-2</v>
      </c>
      <c r="H152" s="227">
        <f>CF!G7/IS_NG!G4</f>
        <v>3.9253476457672604E-2</v>
      </c>
      <c r="I152" s="227">
        <f>CF!H7/IS_NG!H4</f>
        <v>4.5246391239422597E-2</v>
      </c>
      <c r="J152" s="227">
        <f>CF!I7/IS_NG!I4</f>
        <v>4.732297874337197E-2</v>
      </c>
      <c r="K152" s="227">
        <f>CF!J7/IS_NG!J4</f>
        <v>4.8472194158191331E-2</v>
      </c>
      <c r="L152" s="227"/>
      <c r="M152" s="228"/>
      <c r="N152" s="227"/>
      <c r="O152" s="227"/>
      <c r="P152" s="227"/>
      <c r="Q152" s="227"/>
      <c r="R152" s="227"/>
      <c r="S152" s="227"/>
      <c r="T152" s="227"/>
      <c r="U152" s="227"/>
      <c r="V152" s="227"/>
      <c r="W152" s="227"/>
      <c r="X152" s="227"/>
      <c r="Y152" s="227"/>
      <c r="Z152" s="227"/>
      <c r="AA152" s="227"/>
      <c r="AB152" s="227"/>
      <c r="AC152" s="227"/>
      <c r="AD152" s="227"/>
    </row>
    <row r="153" spans="1:30" s="226" customFormat="1" x14ac:dyDescent="0.2">
      <c r="A153" s="232"/>
      <c r="B153" s="231"/>
      <c r="C153" s="235" t="s">
        <v>325</v>
      </c>
      <c r="D153" s="229"/>
      <c r="E153" s="227">
        <f>IS_NG!D6/IS_NG!D4</f>
        <v>3.6820300362506476E-2</v>
      </c>
      <c r="F153" s="227">
        <f>IS_NG!E6/IS_NG!E4</f>
        <v>8.0246607903337625E-2</v>
      </c>
      <c r="G153" s="227">
        <f>IS_NG!F6/IS_NG!F4</f>
        <v>0.11894490035169988</v>
      </c>
      <c r="H153" s="227">
        <f>IS_NG!G6/IS_NG!G4</f>
        <v>0.1777018785069529</v>
      </c>
      <c r="I153" s="227">
        <f>IS_NG!H6/IS_NG!H4</f>
        <v>0.14950223992035838</v>
      </c>
      <c r="J153" s="227">
        <f>IS_NG!I6/IS_NG!I4</f>
        <v>0.1164891370653653</v>
      </c>
      <c r="K153" s="227">
        <f>IS_NG!J6/IS_NG!J4</f>
        <v>7.7434274039648865E-2</v>
      </c>
      <c r="L153" s="227">
        <f>IS_NG!K6/IS_NG!K4</f>
        <v>7.463554243806457E-2</v>
      </c>
      <c r="M153" s="228"/>
      <c r="N153" s="227">
        <f>IS_NG!Q6/IS_NG!Q4</f>
        <v>0.15528645568332147</v>
      </c>
      <c r="O153" s="227">
        <f>IS_NG!R6/IS_NG!R4</f>
        <v>0.19165050337120162</v>
      </c>
      <c r="P153" s="227">
        <f>IS_NG!S6/IS_NG!S4</f>
        <v>0.20212964692695684</v>
      </c>
      <c r="Q153" s="227">
        <f>IS_NG!T6/IS_NG!T4</f>
        <v>0.15763239875389409</v>
      </c>
      <c r="R153" s="227">
        <f>IS_NG!U6/IS_NG!U4</f>
        <v>0.1525172231054584</v>
      </c>
      <c r="S153" s="227">
        <f>IS_NG!V6/IS_NG!V4</f>
        <v>0.17523883045450159</v>
      </c>
      <c r="T153" s="227">
        <f>IS_NG!W6/IS_NG!W4</f>
        <v>0.16282801585803286</v>
      </c>
      <c r="U153" s="227">
        <f>IS_NG!X6/IS_NG!X4</f>
        <v>0.10501583409949944</v>
      </c>
      <c r="V153" s="227">
        <f>IS_NG!Y6/IS_NG!Y4</f>
        <v>8.7372708757637474E-2</v>
      </c>
      <c r="W153" s="227">
        <f>IS_NG!Z6/IS_NG!Z4</f>
        <v>0.16050592322080698</v>
      </c>
      <c r="X153" s="227">
        <f>IS_NG!AA6/IS_NG!AA4</f>
        <v>0.12430460556315549</v>
      </c>
      <c r="Y153" s="227">
        <f>IS_NG!AB6/IS_NG!AB4</f>
        <v>8.86815568749411E-2</v>
      </c>
      <c r="Z153" s="227">
        <f>IS_NG!AC6/IS_NG!AC4</f>
        <v>5.9705797519469285E-2</v>
      </c>
      <c r="AA153" s="227">
        <f>IS_NG!AD6/IS_NG!AD4</f>
        <v>0.10134844971227347</v>
      </c>
      <c r="AB153" s="227">
        <f>IS_NG!AE6/IS_NG!AE4</f>
        <v>7.491997577645125E-2</v>
      </c>
      <c r="AC153" s="227">
        <f>IS_NG!AF6/IS_NG!AF4</f>
        <v>7.1219601389650763E-2</v>
      </c>
      <c r="AD153" s="227">
        <f>IS_NG!AG6/IS_NG!AG4</f>
        <v>4.8469387755102039E-2</v>
      </c>
    </row>
    <row r="154" spans="1:30" s="226" customFormat="1" x14ac:dyDescent="0.2">
      <c r="A154" s="232"/>
      <c r="B154" s="231"/>
      <c r="C154" s="235" t="s">
        <v>324</v>
      </c>
      <c r="D154" s="229"/>
      <c r="E154" s="227">
        <f>IS_NG!D10/IS_NG!D4</f>
        <v>1.3852925945106162E-2</v>
      </c>
      <c r="F154" s="227">
        <f>IS_NG!E10/IS_NG!E4</f>
        <v>5.434782608695652E-2</v>
      </c>
      <c r="G154" s="227">
        <f>IS_NG!F10/IS_NG!F4</f>
        <v>9.7725674091441964E-2</v>
      </c>
      <c r="H154" s="227">
        <f>IS_NG!G10/IS_NG!G4</f>
        <v>0.15345206147840937</v>
      </c>
      <c r="I154" s="227">
        <f>IS_NG!H10/IS_NG!H4</f>
        <v>0.12620706819313091</v>
      </c>
      <c r="J154" s="227">
        <f>IS_NG!I10/IS_NG!I4</f>
        <v>9.7391018722725348E-2</v>
      </c>
      <c r="K154" s="227">
        <f>IS_NG!J10/IS_NG!J4</f>
        <v>6.2638916952919788E-2</v>
      </c>
      <c r="L154" s="227">
        <f>IS_NG!K10/IS_NG!K4</f>
        <v>5.8961631338878454E-2</v>
      </c>
      <c r="M154" s="228"/>
      <c r="N154" s="227">
        <f>IS_NG!Q10/IS_NG!Q4</f>
        <v>0.12669176757911876</v>
      </c>
      <c r="O154" s="227">
        <f>IS_NG!R10/IS_NG!R4</f>
        <v>0.17197746374803732</v>
      </c>
      <c r="P154" s="227">
        <f>IS_NG!S10/IS_NG!S4</f>
        <v>0.17700354941154492</v>
      </c>
      <c r="Q154" s="227">
        <f>IS_NG!T10/IS_NG!T4</f>
        <v>0.1335410176531672</v>
      </c>
      <c r="R154" s="227">
        <f>IS_NG!U10/IS_NG!U4</f>
        <v>0.12941176470588237</v>
      </c>
      <c r="S154" s="227">
        <f>IS_NG!V10/IS_NG!V4</f>
        <v>0.15381646241435878</v>
      </c>
      <c r="T154" s="227">
        <f>IS_NG!W10/IS_NG!W4</f>
        <v>0.13998489711157258</v>
      </c>
      <c r="U154" s="227">
        <f>IS_NG!X10/IS_NG!X4</f>
        <v>7.8966186535907645E-2</v>
      </c>
      <c r="V154" s="227">
        <f>IS_NG!Y10/IS_NG!Y4</f>
        <v>6.7311608961303462E-2</v>
      </c>
      <c r="W154" s="227">
        <f>IS_NG!Z10/IS_NG!Z4</f>
        <v>0.14197915738843858</v>
      </c>
      <c r="X154" s="227">
        <f>IS_NG!AA10/IS_NG!AA4</f>
        <v>0.10697674418604651</v>
      </c>
      <c r="Y154" s="227">
        <f>IS_NG!AB10/IS_NG!AB4</f>
        <v>6.8042597304683816E-2</v>
      </c>
      <c r="Z154" s="227">
        <f>IS_NG!AC10/IS_NG!AC4</f>
        <v>4.4514950485530239E-2</v>
      </c>
      <c r="AA154" s="227">
        <f>IS_NG!AD10/IS_NG!AD4</f>
        <v>8.5974405222021821E-2</v>
      </c>
      <c r="AB154" s="227">
        <f>IS_NG!AE10/IS_NG!AE4</f>
        <v>5.9520719785448567E-2</v>
      </c>
      <c r="AC154" s="227">
        <f>IS_NG!AF10/IS_NG!AF4</f>
        <v>5.7963064545620772E-2</v>
      </c>
      <c r="AD154" s="227">
        <f>IS_NG!AG10/IS_NG!AG4</f>
        <v>2.9667422524565383E-2</v>
      </c>
    </row>
    <row r="155" spans="1:30" s="226" customFormat="1" x14ac:dyDescent="0.2">
      <c r="A155" s="232"/>
      <c r="B155" s="231"/>
      <c r="C155" s="235" t="s">
        <v>323</v>
      </c>
      <c r="D155" s="229"/>
      <c r="E155" s="227">
        <f>IS_NG!D12/IS_NG!D4</f>
        <v>3.3143448990160538E-3</v>
      </c>
      <c r="F155" s="227">
        <f>IS_NG!E12/IS_NG!E4</f>
        <v>6.0909180944835103E-3</v>
      </c>
      <c r="G155" s="227">
        <f>IS_NG!F12/IS_NG!F4</f>
        <v>-3.7514654161781947E-4</v>
      </c>
      <c r="H155" s="227">
        <f>IS_NG!G12/IS_NG!G4</f>
        <v>5.1232007806782144E-4</v>
      </c>
      <c r="I155" s="227">
        <f>IS_NG!H12/IS_NG!H4</f>
        <v>4.7237431557989047E-2</v>
      </c>
      <c r="J155" s="227">
        <f>IS_NG!I12/IS_NG!I4</f>
        <v>3.6577354417906244E-2</v>
      </c>
      <c r="K155" s="227">
        <f>IS_NG!J12/IS_NG!J4</f>
        <v>1.5109674232729395E-2</v>
      </c>
      <c r="L155" s="227">
        <f>IS_NG!K12/IS_NG!K4</f>
        <v>1.4287630802253823E-2</v>
      </c>
      <c r="M155" s="228"/>
      <c r="N155" s="227">
        <f>IS_NG!Q12/IS_NG!Q4</f>
        <v>2.0352091177368474E-4</v>
      </c>
      <c r="O155" s="227">
        <f>IS_NG!R12/IS_NG!R4</f>
        <v>7.3889350697330743E-4</v>
      </c>
      <c r="P155" s="227">
        <f>IS_NG!S12/IS_NG!S4</f>
        <v>9.3405566971791517E-4</v>
      </c>
      <c r="Q155" s="227">
        <f>IS_NG!T12/IS_NG!T4</f>
        <v>0</v>
      </c>
      <c r="R155" s="227">
        <f>IS_NG!U12/IS_NG!U4</f>
        <v>4.8330683624801273E-2</v>
      </c>
      <c r="S155" s="227">
        <f>IS_NG!V12/IS_NG!V4</f>
        <v>5.7222811927048152E-2</v>
      </c>
      <c r="T155" s="227">
        <f>IS_NG!W12/IS_NG!W4</f>
        <v>5.1916178969227865E-2</v>
      </c>
      <c r="U155" s="227">
        <f>IS_NG!X12/IS_NG!X4</f>
        <v>3.0442333231177853E-2</v>
      </c>
      <c r="V155" s="227">
        <f>IS_NG!Y12/IS_NG!Y4</f>
        <v>2.5152749490835031E-2</v>
      </c>
      <c r="W155" s="227">
        <f>IS_NG!Z12/IS_NG!Z4</f>
        <v>5.2462812861850894E-2</v>
      </c>
      <c r="X155" s="227">
        <f>IS_NG!AA12/IS_NG!AA4</f>
        <v>4.0492476060191518E-2</v>
      </c>
      <c r="Y155" s="227">
        <f>IS_NG!AB12/IS_NG!AB4</f>
        <v>2.6199227217038924E-2</v>
      </c>
      <c r="Z155" s="227">
        <f>IS_NG!AC12/IS_NG!AC4</f>
        <v>1.0575906162868956E-2</v>
      </c>
      <c r="AA155" s="227">
        <f>IS_NG!AD12/IS_NG!AD4</f>
        <v>2.0956798076097224E-2</v>
      </c>
      <c r="AB155" s="227">
        <f>IS_NG!AE12/IS_NG!AE4</f>
        <v>1.4274591227614845E-2</v>
      </c>
      <c r="AC155" s="227">
        <f>IS_NG!AF12/IS_NG!AF4</f>
        <v>1.3987931980252331E-2</v>
      </c>
      <c r="AD155" s="227">
        <f>IS_NG!AG12/IS_NG!AG4</f>
        <v>7.2751322751322747E-3</v>
      </c>
    </row>
    <row r="156" spans="1:30" s="226" customFormat="1" x14ac:dyDescent="0.2">
      <c r="A156" s="232"/>
      <c r="B156" s="231"/>
      <c r="C156" s="235" t="s">
        <v>209</v>
      </c>
      <c r="D156" s="229"/>
      <c r="E156" s="227">
        <f>IS_NG!D14/IS_NG!D4</f>
        <v>1.0538581046090109E-2</v>
      </c>
      <c r="F156" s="227">
        <f>IS_NG!E14/IS_NG!E4</f>
        <v>4.8256907992473015E-2</v>
      </c>
      <c r="G156" s="227">
        <f>IS_NG!F14/IS_NG!F4</f>
        <v>9.810082063305979E-2</v>
      </c>
      <c r="H156" s="227">
        <f>IS_NG!G14/IS_NG!G4</f>
        <v>0.15293974140034156</v>
      </c>
      <c r="I156" s="227">
        <f>IS_NG!H14/IS_NG!H4</f>
        <v>7.8969636635141865E-2</v>
      </c>
      <c r="J156" s="227">
        <f>IS_NG!I14/IS_NG!I4</f>
        <v>6.0813664304819111E-2</v>
      </c>
      <c r="K156" s="227">
        <f>IS_NG!J14/IS_NG!J4</f>
        <v>4.7529242720190386E-2</v>
      </c>
      <c r="L156" s="227">
        <f>IS_NG!K14/IS_NG!K4</f>
        <v>4.4674000536624632E-2</v>
      </c>
      <c r="M156" s="228"/>
      <c r="N156" s="227">
        <f>IS_NG!Q14/IS_NG!Q4</f>
        <v>0.12648824666734507</v>
      </c>
      <c r="O156" s="227">
        <f>IS_NG!R14/IS_NG!R4</f>
        <v>0.17123857024106401</v>
      </c>
      <c r="P156" s="227">
        <f>IS_NG!S14/IS_NG!S4</f>
        <v>0.17606949374182701</v>
      </c>
      <c r="Q156" s="227">
        <f>IS_NG!T14/IS_NG!T4</f>
        <v>0.1335410176531672</v>
      </c>
      <c r="R156" s="227">
        <f>IS_NG!U14/IS_NG!U4</f>
        <v>8.1081081081081086E-2</v>
      </c>
      <c r="S156" s="227">
        <f>IS_NG!V14/IS_NG!V4</f>
        <v>9.6593650487310626E-2</v>
      </c>
      <c r="T156" s="227">
        <f>IS_NG!W14/IS_NG!W4</f>
        <v>8.8068718142344724E-2</v>
      </c>
      <c r="U156" s="227">
        <f>IS_NG!X14/IS_NG!X4</f>
        <v>4.8523853304729796E-2</v>
      </c>
      <c r="V156" s="227">
        <f>IS_NG!Y14/IS_NG!Y4</f>
        <v>4.2158859470468435E-2</v>
      </c>
      <c r="W156" s="227">
        <f>IS_NG!Z14/IS_NG!Z4</f>
        <v>8.9516344526587688E-2</v>
      </c>
      <c r="X156" s="227">
        <f>IS_NG!AA14/IS_NG!AA4</f>
        <v>6.6484268125854992E-2</v>
      </c>
      <c r="Y156" s="227">
        <f>IS_NG!AB14/IS_NG!AB4</f>
        <v>4.1843370087644896E-2</v>
      </c>
      <c r="Z156" s="227">
        <f>IS_NG!AC14/IS_NG!AC4</f>
        <v>3.3939044322661281E-2</v>
      </c>
      <c r="AA156" s="227">
        <f>IS_NG!AD14/IS_NG!AD4</f>
        <v>6.5017607145924583E-2</v>
      </c>
      <c r="AB156" s="227">
        <f>IS_NG!AE14/IS_NG!AE4</f>
        <v>4.524612855783372E-2</v>
      </c>
      <c r="AC156" s="227">
        <f>IS_NG!AF14/IS_NG!AF4</f>
        <v>4.397513256536844E-2</v>
      </c>
      <c r="AD156" s="227">
        <f>IS_NG!AG14/IS_NG!AG4</f>
        <v>2.2392290249433108E-2</v>
      </c>
    </row>
    <row r="157" spans="1:30" s="226" customFormat="1" ht="4.5" customHeight="1" x14ac:dyDescent="0.2">
      <c r="A157" s="239"/>
      <c r="B157" s="231"/>
      <c r="C157" s="238"/>
      <c r="D157" s="229"/>
      <c r="E157" s="237"/>
      <c r="F157" s="237"/>
      <c r="G157" s="237"/>
      <c r="H157" s="237"/>
      <c r="I157" s="237"/>
      <c r="J157" s="237"/>
      <c r="K157" s="237"/>
      <c r="L157" s="237"/>
      <c r="M157" s="228"/>
      <c r="N157" s="237"/>
      <c r="O157" s="237"/>
      <c r="P157" s="237"/>
      <c r="Q157" s="237"/>
      <c r="R157" s="237"/>
      <c r="S157" s="237"/>
      <c r="T157" s="237"/>
      <c r="U157" s="237"/>
      <c r="V157" s="237"/>
      <c r="W157" s="237"/>
      <c r="X157" s="237"/>
      <c r="Y157" s="237"/>
      <c r="Z157" s="237"/>
      <c r="AA157" s="237"/>
      <c r="AB157" s="237"/>
      <c r="AC157" s="237"/>
      <c r="AD157" s="237"/>
    </row>
    <row r="158" spans="1:30" s="234" customFormat="1" x14ac:dyDescent="0.2">
      <c r="A158" s="236"/>
      <c r="B158" s="236" t="s">
        <v>319</v>
      </c>
      <c r="C158" s="235"/>
      <c r="D158" s="229"/>
      <c r="M158" s="228"/>
    </row>
    <row r="159" spans="1:30" s="226" customFormat="1" x14ac:dyDescent="0.2">
      <c r="A159" s="232"/>
      <c r="B159" s="231"/>
      <c r="C159" s="235" t="s">
        <v>332</v>
      </c>
      <c r="D159" s="229"/>
      <c r="E159" s="227"/>
      <c r="F159" s="227">
        <f>IS_NG!E4/IS_NG!D4-1</f>
        <v>4.5779388917659203E-2</v>
      </c>
      <c r="G159" s="227">
        <f>IS_NG!F4/IS_NG!E4-1</f>
        <v>5.6006734673665459E-2</v>
      </c>
      <c r="H159" s="227">
        <f>IS_NG!G4/IS_NG!F4-1</f>
        <v>-3.8921453692848718E-2</v>
      </c>
      <c r="I159" s="227">
        <f>IS_NG!H4/IS_NG!G4-1</f>
        <v>-1.9760917296901659E-2</v>
      </c>
      <c r="J159" s="227">
        <f>IS_NG!I4/IS_NG!H4-1</f>
        <v>6.077650572424087E-2</v>
      </c>
      <c r="K159" s="227">
        <f>IS_NG!J4/IS_NG!I4-1</f>
        <v>4.502369668246442E-2</v>
      </c>
      <c r="L159" s="227">
        <f>IS_NG!K4/SUM(IS_NG!AC4:AF4)-1</f>
        <v>4.108574122718478E-3</v>
      </c>
      <c r="M159" s="228"/>
      <c r="N159" s="227">
        <f>IS_NG!Q4/IS_NG!P4-1</f>
        <v>-3.2775590551181066E-2</v>
      </c>
      <c r="O159" s="227">
        <f>IS_NG!R4/IS_NG!Q4-1</f>
        <v>0.10176045588684235</v>
      </c>
      <c r="P159" s="227">
        <f>IS_NG!S4/IS_NG!R4-1</f>
        <v>-1.1175764292971291E-2</v>
      </c>
      <c r="Q159" s="227">
        <f>IS_NG!T4/IS_NG!S4-1</f>
        <v>-0.10050439006164769</v>
      </c>
      <c r="R159" s="227">
        <f>IS_NG!U4/IS_NG!T4-1</f>
        <v>-2.024922118380057E-2</v>
      </c>
      <c r="S159" s="227">
        <f>IS_NG!V4/IS_NG!U4-1</f>
        <v>9.8357180710121783E-2</v>
      </c>
      <c r="T159" s="227">
        <f>IS_NG!W4/IS_NG!V4-1</f>
        <v>2.2290842420148671E-2</v>
      </c>
      <c r="U159" s="227">
        <f>IS_NG!X4/IS_NG!W4-1</f>
        <v>-7.598640740041529E-2</v>
      </c>
      <c r="V159" s="227">
        <f>IS_NG!Y4/IS_NG!X4-1</f>
        <v>3.1668198998875408E-3</v>
      </c>
      <c r="W159" s="227">
        <f>IS_NG!Z4/IS_NG!Y4-1</f>
        <v>0.14327902240325874</v>
      </c>
      <c r="X159" s="227">
        <f>IS_NG!AA4/IS_NG!Z4-1</f>
        <v>-2.3336599269617841E-2</v>
      </c>
      <c r="Y159" s="227">
        <f>IS_NG!AB4/IS_NG!AA4-1</f>
        <v>-3.2284541723666238E-2</v>
      </c>
      <c r="Z159" s="227">
        <f>IS_NG!AC4/IS_NG!AB4-1</f>
        <v>-1.979078314956173E-2</v>
      </c>
      <c r="AA159" s="227">
        <f>IS_NG!AD4/IS_NG!AC4-1</f>
        <v>0.1194115950389385</v>
      </c>
      <c r="AB159" s="227">
        <f>IS_NG!AE4/IS_NG!AD4-1</f>
        <v>-7.2146354032466276E-3</v>
      </c>
      <c r="AC159" s="227">
        <f>IS_NG!AF4/IS_NG!AE4-1</f>
        <v>-5.3724370620295891E-2</v>
      </c>
      <c r="AD159" s="227">
        <f>IS_NG!AG4/IS_NG!AF4-1</f>
        <v>-3.2364234777838674E-2</v>
      </c>
    </row>
    <row r="160" spans="1:30" s="226" customFormat="1" x14ac:dyDescent="0.2">
      <c r="A160" s="232"/>
      <c r="B160" s="231"/>
      <c r="C160" s="235" t="s">
        <v>331</v>
      </c>
      <c r="D160" s="229"/>
      <c r="E160" s="227"/>
      <c r="F160" s="227"/>
      <c r="G160" s="227"/>
      <c r="H160" s="227"/>
      <c r="I160" s="227"/>
      <c r="J160" s="227"/>
      <c r="K160" s="227"/>
      <c r="L160" s="227"/>
      <c r="M160" s="228"/>
      <c r="N160" s="227"/>
      <c r="O160" s="227"/>
      <c r="P160" s="227"/>
      <c r="Q160" s="227"/>
      <c r="R160" s="227"/>
      <c r="S160" s="227"/>
      <c r="T160" s="227"/>
      <c r="U160" s="227"/>
      <c r="V160" s="227"/>
      <c r="W160" s="227"/>
      <c r="X160" s="227"/>
      <c r="Y160" s="227"/>
      <c r="Z160" s="227"/>
      <c r="AA160" s="227"/>
      <c r="AB160" s="227"/>
      <c r="AC160" s="227"/>
      <c r="AD160" s="227"/>
    </row>
    <row r="161" spans="1:30" s="226" customFormat="1" x14ac:dyDescent="0.2">
      <c r="A161" s="232"/>
      <c r="B161" s="231"/>
      <c r="C161" s="235" t="s">
        <v>330</v>
      </c>
      <c r="D161" s="229"/>
      <c r="E161" s="227"/>
      <c r="F161" s="227"/>
      <c r="G161" s="227"/>
      <c r="H161" s="227"/>
      <c r="I161" s="227"/>
      <c r="J161" s="227"/>
      <c r="K161" s="227"/>
      <c r="L161" s="227"/>
      <c r="M161" s="228"/>
      <c r="N161" s="227"/>
      <c r="O161" s="227"/>
      <c r="P161" s="227"/>
      <c r="Q161" s="227"/>
      <c r="R161" s="227"/>
      <c r="S161" s="227"/>
      <c r="T161" s="227"/>
      <c r="U161" s="227"/>
      <c r="V161" s="227"/>
      <c r="W161" s="227"/>
      <c r="X161" s="227"/>
      <c r="Y161" s="227"/>
      <c r="Z161" s="227"/>
      <c r="AA161" s="227"/>
      <c r="AB161" s="227"/>
      <c r="AC161" s="227"/>
      <c r="AD161" s="227"/>
    </row>
    <row r="162" spans="1:30" s="226" customFormat="1" x14ac:dyDescent="0.2">
      <c r="A162" s="232"/>
      <c r="B162" s="231"/>
      <c r="C162" s="235" t="s">
        <v>329</v>
      </c>
      <c r="D162" s="229"/>
      <c r="E162" s="227"/>
      <c r="F162" s="227"/>
      <c r="G162" s="227"/>
      <c r="H162" s="227"/>
      <c r="I162" s="227"/>
      <c r="J162" s="227"/>
      <c r="K162" s="227"/>
      <c r="L162" s="227"/>
      <c r="M162" s="228"/>
      <c r="N162" s="227"/>
      <c r="O162" s="227"/>
      <c r="P162" s="227"/>
      <c r="Q162" s="227"/>
      <c r="R162" s="227"/>
      <c r="S162" s="227"/>
      <c r="T162" s="227"/>
      <c r="U162" s="227"/>
      <c r="V162" s="227"/>
      <c r="W162" s="227"/>
      <c r="X162" s="227"/>
      <c r="Y162" s="227"/>
      <c r="Z162" s="227"/>
      <c r="AA162" s="227"/>
      <c r="AB162" s="227"/>
      <c r="AC162" s="227"/>
      <c r="AD162" s="227"/>
    </row>
    <row r="163" spans="1:30" s="226" customFormat="1" x14ac:dyDescent="0.2">
      <c r="A163" s="232"/>
      <c r="B163" s="231"/>
      <c r="C163" s="235" t="s">
        <v>328</v>
      </c>
      <c r="D163" s="229"/>
      <c r="E163" s="227"/>
      <c r="F163" s="227"/>
      <c r="G163" s="227"/>
      <c r="H163" s="227"/>
      <c r="I163" s="227"/>
      <c r="J163" s="227"/>
      <c r="K163" s="227"/>
      <c r="L163" s="227"/>
      <c r="M163" s="228"/>
      <c r="N163" s="227"/>
      <c r="O163" s="227"/>
      <c r="P163" s="227"/>
      <c r="Q163" s="227"/>
      <c r="R163" s="227"/>
      <c r="S163" s="227"/>
      <c r="T163" s="227"/>
      <c r="U163" s="227"/>
      <c r="V163" s="227"/>
      <c r="W163" s="227"/>
      <c r="X163" s="227"/>
      <c r="Y163" s="227"/>
      <c r="Z163" s="227"/>
      <c r="AA163" s="227"/>
      <c r="AB163" s="227"/>
      <c r="AC163" s="227"/>
      <c r="AD163" s="227"/>
    </row>
    <row r="164" spans="1:30" s="226" customFormat="1" x14ac:dyDescent="0.2">
      <c r="A164" s="232"/>
      <c r="B164" s="231"/>
      <c r="C164" s="235" t="s">
        <v>327</v>
      </c>
      <c r="D164" s="229"/>
      <c r="E164" s="227"/>
      <c r="F164" s="227"/>
      <c r="G164" s="227"/>
      <c r="H164" s="227"/>
      <c r="I164" s="227"/>
      <c r="J164" s="227"/>
      <c r="K164" s="227"/>
      <c r="L164" s="227"/>
      <c r="M164" s="228"/>
      <c r="N164" s="227"/>
      <c r="O164" s="227"/>
      <c r="P164" s="227"/>
      <c r="Q164" s="227"/>
      <c r="R164" s="227"/>
      <c r="S164" s="227"/>
      <c r="T164" s="227"/>
      <c r="U164" s="227"/>
      <c r="V164" s="227"/>
      <c r="W164" s="227"/>
      <c r="X164" s="227"/>
      <c r="Y164" s="227"/>
      <c r="Z164" s="227"/>
      <c r="AA164" s="227"/>
      <c r="AB164" s="227"/>
      <c r="AC164" s="227"/>
      <c r="AD164" s="227"/>
    </row>
    <row r="165" spans="1:30" s="226" customFormat="1" x14ac:dyDescent="0.2">
      <c r="A165" s="232"/>
      <c r="B165" s="231"/>
      <c r="C165" s="235" t="s">
        <v>326</v>
      </c>
      <c r="D165" s="229"/>
      <c r="E165" s="227"/>
      <c r="F165" s="227"/>
      <c r="G165" s="227"/>
      <c r="H165" s="227"/>
      <c r="I165" s="227"/>
      <c r="J165" s="227"/>
      <c r="K165" s="227"/>
      <c r="L165" s="227"/>
      <c r="M165" s="227"/>
      <c r="N165" s="227"/>
      <c r="O165" s="227"/>
      <c r="P165" s="227"/>
      <c r="Q165" s="227"/>
      <c r="R165" s="227"/>
      <c r="S165" s="227"/>
      <c r="T165" s="227"/>
      <c r="U165" s="227"/>
      <c r="V165" s="227"/>
      <c r="W165" s="227"/>
      <c r="X165" s="227"/>
      <c r="Y165" s="227"/>
      <c r="Z165" s="227"/>
      <c r="AA165" s="227"/>
      <c r="AB165" s="227"/>
      <c r="AC165" s="227"/>
      <c r="AD165" s="227"/>
    </row>
    <row r="166" spans="1:30" s="226" customFormat="1" x14ac:dyDescent="0.2">
      <c r="A166" s="232"/>
      <c r="B166" s="231"/>
      <c r="C166" s="235" t="s">
        <v>223</v>
      </c>
      <c r="D166" s="229"/>
      <c r="E166" s="227"/>
      <c r="F166" s="227">
        <f>IS_NG!E8/IS_NG!D8-1</f>
        <v>0.74846122281493632</v>
      </c>
      <c r="G166" s="227">
        <f>IS_NG!F8/IS_NG!E8-1</f>
        <v>0.54564656183994376</v>
      </c>
      <c r="H166" s="227">
        <f>IS_NG!G8/IS_NG!F8-1</f>
        <v>0.35028849073792889</v>
      </c>
      <c r="I166" s="227">
        <f>IS_NG!H8/IS_NG!G8-1</f>
        <v>-0.12009445631395477</v>
      </c>
      <c r="J166" s="227">
        <f>IS_NG!I8/IS_NG!H8-1</f>
        <v>-0.10773162939297121</v>
      </c>
      <c r="K166" s="227">
        <f>IS_NG!J8/IS_NG!I8-1</f>
        <v>-0.19679175021483819</v>
      </c>
      <c r="L166" s="227"/>
      <c r="M166" s="228"/>
      <c r="N166" s="227"/>
      <c r="O166" s="227"/>
      <c r="P166" s="227"/>
      <c r="Q166" s="227"/>
      <c r="R166" s="227"/>
      <c r="S166" s="227"/>
      <c r="T166" s="227"/>
      <c r="U166" s="227"/>
      <c r="V166" s="227"/>
      <c r="W166" s="227"/>
      <c r="X166" s="227"/>
      <c r="Y166" s="227"/>
      <c r="Z166" s="227"/>
      <c r="AA166" s="227"/>
      <c r="AB166" s="227"/>
      <c r="AC166" s="227"/>
      <c r="AD166" s="227"/>
    </row>
    <row r="167" spans="1:30" s="226" customFormat="1" x14ac:dyDescent="0.2">
      <c r="A167" s="232"/>
      <c r="B167" s="231"/>
      <c r="C167" s="235" t="s">
        <v>22</v>
      </c>
      <c r="D167" s="229"/>
      <c r="E167" s="227">
        <f>CF!D7/CF!C7-1</f>
        <v>-6.5377532228360957E-2</v>
      </c>
      <c r="F167" s="227">
        <f>CF!E7/CF!D7-1</f>
        <v>4.9261083743843415E-3</v>
      </c>
      <c r="G167" s="227">
        <f>CF!F7/CF!E7-1</f>
        <v>0.48333333333333339</v>
      </c>
      <c r="H167" s="227">
        <f>CF!G7/CF!F7-1</f>
        <v>6.3450099140779814E-2</v>
      </c>
      <c r="I167" s="227">
        <f>CF!H7/CF!G7-1</f>
        <v>0.1298943443132381</v>
      </c>
      <c r="J167" s="227">
        <f>CF!I7/CF!H7-1</f>
        <v>0.10946094609460943</v>
      </c>
      <c r="K167" s="227">
        <f>CF!J7/CF!I7-1</f>
        <v>7.0401586514625691E-2</v>
      </c>
      <c r="L167" s="227"/>
      <c r="M167" s="228"/>
      <c r="N167" s="227"/>
      <c r="O167" s="227"/>
      <c r="P167" s="227"/>
      <c r="Q167" s="227"/>
      <c r="R167" s="227"/>
      <c r="S167" s="227"/>
      <c r="T167" s="227"/>
      <c r="U167" s="227"/>
      <c r="V167" s="227"/>
      <c r="W167" s="227"/>
      <c r="X167" s="227"/>
      <c r="Y167" s="227"/>
      <c r="Z167" s="227"/>
      <c r="AA167" s="227"/>
      <c r="AB167" s="227"/>
      <c r="AC167" s="227"/>
      <c r="AD167" s="227"/>
    </row>
    <row r="168" spans="1:30" s="226" customFormat="1" x14ac:dyDescent="0.2">
      <c r="A168" s="232"/>
      <c r="B168" s="231"/>
      <c r="C168" s="235" t="s">
        <v>325</v>
      </c>
      <c r="D168" s="229"/>
      <c r="E168" s="227"/>
      <c r="F168" s="227">
        <f>IS_NG!E6/IS_NG!D6-1</f>
        <v>1.2791842475386779</v>
      </c>
      <c r="G168" s="227">
        <f>IS_NG!F6/IS_NG!E6-1</f>
        <v>0.56525763653193462</v>
      </c>
      <c r="H168" s="227">
        <f>IS_NG!G6/IS_NG!F6-1</f>
        <v>0.43583678296865758</v>
      </c>
      <c r="I168" s="227">
        <f>IS_NG!H6/IS_NG!G6-1</f>
        <v>-0.17531576057111475</v>
      </c>
      <c r="J168" s="227">
        <f>IS_NG!I6/IS_NG!H6-1</f>
        <v>-0.17346429165973032</v>
      </c>
      <c r="K168" s="227">
        <f>IS_NG!J6/IS_NG!I6-1</f>
        <v>-0.305337361530715</v>
      </c>
      <c r="L168" s="227">
        <f>IS_NG!K6/SUM(IS_NG!AC6:AF6)-1</f>
        <v>-3.1340684852002365E-2</v>
      </c>
      <c r="M168" s="228"/>
      <c r="N168" s="227">
        <f>IS_NG!Q6/IS_NG!P6-1</f>
        <v>0.1371087928464978</v>
      </c>
      <c r="O168" s="227">
        <f>IS_NG!R6/IS_NG!Q6-1</f>
        <v>0.35976408912188718</v>
      </c>
      <c r="P168" s="227">
        <f>IS_NG!S6/IS_NG!R6-1</f>
        <v>4.2891566265060188E-2</v>
      </c>
      <c r="Q168" s="227">
        <f>IS_NG!T6/IS_NG!S6-1</f>
        <v>-0.29852125693160814</v>
      </c>
      <c r="R168" s="227">
        <f>IS_NG!U6/IS_NG!T6-1</f>
        <v>-5.204216073781287E-2</v>
      </c>
      <c r="S168" s="227">
        <f>IS_NG!V6/IS_NG!U6-1</f>
        <v>0.26198749131341215</v>
      </c>
      <c r="T168" s="227">
        <f>IS_NG!W6/IS_NG!V6-1</f>
        <v>-5.0110132158590281E-2</v>
      </c>
      <c r="U168" s="227">
        <f>IS_NG!X6/IS_NG!W6-1</f>
        <v>-0.4040579710144927</v>
      </c>
      <c r="V168" s="227">
        <f>IS_NG!Y6/IS_NG!X6-1</f>
        <v>-0.16536964980544744</v>
      </c>
      <c r="W168" s="227">
        <f>IS_NG!Z6/IS_NG!Y6-1</f>
        <v>1.1002331002331003</v>
      </c>
      <c r="X168" s="227">
        <f>IS_NG!AA6/IS_NG!Z6-1</f>
        <v>-0.24361820199778028</v>
      </c>
      <c r="Y168" s="227">
        <f>IS_NG!AB6/IS_NG!AA6-1</f>
        <v>-0.30961115187087307</v>
      </c>
      <c r="Z168" s="227">
        <f>IS_NG!AC6/IS_NG!AB6-1</f>
        <v>-0.34006376195536658</v>
      </c>
      <c r="AA168" s="227">
        <f>IS_NG!AD6/IS_NG!AC6-1</f>
        <v>0.90016103059581321</v>
      </c>
      <c r="AB168" s="227">
        <f>IS_NG!AE6/IS_NG!AD6-1</f>
        <v>-0.26610169491525426</v>
      </c>
      <c r="AC168" s="227">
        <f>IS_NG!AF6/IS_NG!AE6-1</f>
        <v>-0.10046189376443415</v>
      </c>
      <c r="AD168" s="227">
        <f>IS_NG!AG6/IS_NG!AF6-1</f>
        <v>-0.34146341463414631</v>
      </c>
    </row>
    <row r="169" spans="1:30" s="226" customFormat="1" x14ac:dyDescent="0.2">
      <c r="A169" s="232"/>
      <c r="B169" s="231"/>
      <c r="C169" s="235" t="s">
        <v>324</v>
      </c>
      <c r="D169" s="229"/>
      <c r="E169" s="227"/>
      <c r="F169" s="227">
        <f>IS_NG!E10/IS_NG!D10-1</f>
        <v>3.1028037383177569</v>
      </c>
      <c r="G169" s="227">
        <f>IS_NG!F10/IS_NG!E10-1</f>
        <v>0.89886104783599086</v>
      </c>
      <c r="H169" s="227">
        <f>IS_NG!G10/IS_NG!F10-1</f>
        <v>0.50911708253358934</v>
      </c>
      <c r="I169" s="227">
        <f>IS_NG!H10/IS_NG!G10-1</f>
        <v>-0.19379968203497611</v>
      </c>
      <c r="J169" s="227">
        <f>IS_NG!I10/IS_NG!H10-1</f>
        <v>-0.18142378229146128</v>
      </c>
      <c r="K169" s="227">
        <f>IS_NG!J10/IS_NG!I10-1</f>
        <v>-0.32787280173452182</v>
      </c>
      <c r="L169" s="227">
        <f>IS_NG!K10/SUM(IS_NG!AC10:AF10)-1</f>
        <v>-5.3481694185211759E-2</v>
      </c>
      <c r="M169" s="228"/>
      <c r="N169" s="227">
        <f>IS_NG!Q10/IS_NG!P10-1</f>
        <v>0.15277777777777768</v>
      </c>
      <c r="O169" s="227">
        <f>IS_NG!R10/IS_NG!Q10-1</f>
        <v>0.49558232931726898</v>
      </c>
      <c r="P169" s="227">
        <f>IS_NG!S10/IS_NG!R10-1</f>
        <v>1.772287862513422E-2</v>
      </c>
      <c r="Q169" s="227">
        <f>IS_NG!T10/IS_NG!S10-1</f>
        <v>-0.32137203166226913</v>
      </c>
      <c r="R169" s="227">
        <f>IS_NG!U10/IS_NG!T10-1</f>
        <v>-5.0544323483670328E-2</v>
      </c>
      <c r="S169" s="227">
        <f>IS_NG!V10/IS_NG!U10-1</f>
        <v>0.30548730548730552</v>
      </c>
      <c r="T169" s="227">
        <f>IS_NG!W10/IS_NG!V10-1</f>
        <v>-6.9636135508155617E-2</v>
      </c>
      <c r="U169" s="227">
        <f>IS_NG!X10/IS_NG!W10-1</f>
        <v>-0.47875927174645982</v>
      </c>
      <c r="V169" s="227">
        <f>IS_NG!Y10/IS_NG!X10-1</f>
        <v>-0.14489003880983187</v>
      </c>
      <c r="W169" s="227">
        <f>IS_NG!Z10/IS_NG!Y10-1</f>
        <v>1.4114977307110439</v>
      </c>
      <c r="X169" s="227">
        <f>IS_NG!AA10/IS_NG!Z10-1</f>
        <v>-0.26411543287327477</v>
      </c>
      <c r="Y169" s="227">
        <f>IS_NG!AB10/IS_NG!AA10-1</f>
        <v>-0.38448422847399832</v>
      </c>
      <c r="Z169" s="227">
        <f>IS_NG!AC10/IS_NG!AB10-1</f>
        <v>-0.3587257617728532</v>
      </c>
      <c r="AA169" s="227">
        <f>IS_NG!AD10/IS_NG!AC10-1</f>
        <v>1.161987041036717</v>
      </c>
      <c r="AB169" s="227">
        <f>IS_NG!AE10/IS_NG!AD10-1</f>
        <v>-0.31268731268731265</v>
      </c>
      <c r="AC169" s="227">
        <f>IS_NG!AF10/IS_NG!AE10-1</f>
        <v>-7.8488372093023284E-2</v>
      </c>
      <c r="AD169" s="227">
        <f>IS_NG!AG10/IS_NG!AF10-1</f>
        <v>-0.50473186119873814</v>
      </c>
    </row>
    <row r="170" spans="1:30" s="226" customFormat="1" x14ac:dyDescent="0.2">
      <c r="A170" s="232"/>
      <c r="B170" s="231"/>
      <c r="C170" s="235" t="s">
        <v>323</v>
      </c>
      <c r="D170" s="229"/>
      <c r="E170" s="227"/>
      <c r="F170" s="227">
        <f>IS_NG!E12/IS_NG!D12-1</f>
        <v>0.921875</v>
      </c>
      <c r="G170" s="227">
        <f>IS_NG!F12/IS_NG!E12-1</f>
        <v>-1.065040650406504</v>
      </c>
      <c r="H170" s="227">
        <f>IS_NG!G12/IS_NG!F12-1</f>
        <v>-2.3125</v>
      </c>
      <c r="I170" s="227">
        <f>IS_NG!H12/IS_NG!G12-1</f>
        <v>89.38095238095238</v>
      </c>
      <c r="J170" s="227">
        <f>IS_NG!I12/IS_NG!H12-1</f>
        <v>-0.17860906217070605</v>
      </c>
      <c r="K170" s="227">
        <f>IS_NG!J12/IS_NG!I12-1</f>
        <v>-0.568313021167415</v>
      </c>
      <c r="L170" s="227">
        <f>IS_NG!K12/SUM(IS_NG!AC12:AF12)-1</f>
        <v>-4.9107142857142905E-2</v>
      </c>
      <c r="M170" s="228"/>
      <c r="N170" s="227">
        <f>IS_NG!Q12/IS_NG!P12-1</f>
        <v>-1.0833333333333333</v>
      </c>
      <c r="O170" s="227">
        <f>IS_NG!R12/IS_NG!Q12-1</f>
        <v>3</v>
      </c>
      <c r="P170" s="227">
        <f>IS_NG!S12/IS_NG!R12-1</f>
        <v>0.25</v>
      </c>
      <c r="Q170" s="227"/>
      <c r="R170" s="227"/>
      <c r="S170" s="227">
        <f>IS_NG!V12/IS_NG!U12-1</f>
        <v>0.30043859649122817</v>
      </c>
      <c r="T170" s="227">
        <f>IS_NG!W12/IS_NG!V12-1</f>
        <v>-7.251264755480602E-2</v>
      </c>
      <c r="U170" s="227">
        <f>IS_NG!X12/IS_NG!W12-1</f>
        <v>-0.45818181818181813</v>
      </c>
      <c r="V170" s="227">
        <f>IS_NG!Y12/IS_NG!X12-1</f>
        <v>-0.17114093959731547</v>
      </c>
      <c r="W170" s="227">
        <f>IS_NG!Z12/IS_NG!Y12-1</f>
        <v>1.3846153846153846</v>
      </c>
      <c r="X170" s="227">
        <f>IS_NG!AA12/IS_NG!Z12-1</f>
        <v>-0.24617996604414261</v>
      </c>
      <c r="Y170" s="227">
        <f>IS_NG!AB12/IS_NG!AA12-1</f>
        <v>-0.37387387387387383</v>
      </c>
      <c r="Z170" s="227">
        <f>IS_NG!AC12/IS_NG!AB12-1</f>
        <v>-0.60431654676258995</v>
      </c>
      <c r="AA170" s="227">
        <f>IS_NG!AD12/IS_NG!AC12-1</f>
        <v>1.2181818181818183</v>
      </c>
      <c r="AB170" s="227">
        <f>IS_NG!AE12/IS_NG!AD12-1</f>
        <v>-0.32377049180327866</v>
      </c>
      <c r="AC170" s="227">
        <f>IS_NG!AF12/IS_NG!AE12-1</f>
        <v>-7.2727272727272751E-2</v>
      </c>
      <c r="AD170" s="227">
        <f>IS_NG!AG12/IS_NG!AF12-1</f>
        <v>-0.49673202614379086</v>
      </c>
    </row>
    <row r="171" spans="1:30" s="226" customFormat="1" x14ac:dyDescent="0.2">
      <c r="A171" s="232"/>
      <c r="B171" s="231"/>
      <c r="C171" s="235" t="s">
        <v>209</v>
      </c>
      <c r="D171" s="229"/>
      <c r="E171" s="227"/>
      <c r="F171" s="227">
        <f>IS_NG!E14/IS_NG!D14-1</f>
        <v>3.7886977886977888</v>
      </c>
      <c r="G171" s="227">
        <f>IS_NG!F14/IS_NG!E14-1</f>
        <v>1.1467419189327859</v>
      </c>
      <c r="H171" s="227">
        <f>IS_NG!G14/IS_NG!F14-1</f>
        <v>0.49832695984703634</v>
      </c>
      <c r="I171" s="227">
        <f>IS_NG!H14/IS_NG!G14-1</f>
        <v>-0.49385866964428138</v>
      </c>
      <c r="J171" s="227">
        <f>IS_NG!I14/IS_NG!H14-1</f>
        <v>-0.1831074692719824</v>
      </c>
      <c r="K171" s="227">
        <f>IS_NG!J14/IS_NG!I14-1</f>
        <v>-0.18325617283950613</v>
      </c>
      <c r="L171" s="227">
        <f>IS_NG!K14/SUM(IS_NG!AC14:AF14)-1</f>
        <v>-5.4872280037842946E-2</v>
      </c>
      <c r="M171" s="228"/>
      <c r="N171" s="227">
        <f>IS_NG!Q14/IS_NG!P14-1</f>
        <v>0.12590579710144922</v>
      </c>
      <c r="O171" s="227">
        <f>IS_NG!R14/IS_NG!Q14-1</f>
        <v>0.4915526950925182</v>
      </c>
      <c r="P171" s="227">
        <f>IS_NG!S14/IS_NG!R14-1</f>
        <v>1.6720604099244918E-2</v>
      </c>
      <c r="Q171" s="227">
        <f>IS_NG!T14/IS_NG!S14-1</f>
        <v>-0.31777188328912465</v>
      </c>
      <c r="R171" s="227">
        <f>IS_NG!U14/IS_NG!T14-1</f>
        <v>-0.40513219284603419</v>
      </c>
      <c r="S171" s="227">
        <f>IS_NG!V14/IS_NG!U14-1</f>
        <v>0.30849673202614381</v>
      </c>
      <c r="T171" s="227">
        <f>IS_NG!W14/IS_NG!V14-1</f>
        <v>-6.7932067932067963E-2</v>
      </c>
      <c r="U171" s="227">
        <f>IS_NG!X14/IS_NG!W14-1</f>
        <v>-0.49088960342979637</v>
      </c>
      <c r="V171" s="227">
        <f>IS_NG!Y14/IS_NG!X14-1</f>
        <v>-0.12842105263157899</v>
      </c>
      <c r="W171" s="227">
        <f>IS_NG!Z14/IS_NG!Y14-1</f>
        <v>1.4275362318840581</v>
      </c>
      <c r="X171" s="227">
        <f>IS_NG!AA14/IS_NG!Z14-1</f>
        <v>-0.27462686567164174</v>
      </c>
      <c r="Y171" s="227">
        <f>IS_NG!AB14/IS_NG!AA14-1</f>
        <v>-0.39094650205761317</v>
      </c>
      <c r="Z171" s="227">
        <f>IS_NG!AC14/IS_NG!AB14-1</f>
        <v>-0.20495495495495497</v>
      </c>
      <c r="AA171" s="227">
        <f>IS_NG!AD14/IS_NG!AC14-1</f>
        <v>1.1444759206798869</v>
      </c>
      <c r="AB171" s="227">
        <f>IS_NG!AE14/IS_NG!AD14-1</f>
        <v>-0.30911492734478208</v>
      </c>
      <c r="AC171" s="227">
        <f>IS_NG!AF14/IS_NG!AE14-1</f>
        <v>-8.0305927342256167E-2</v>
      </c>
      <c r="AD171" s="227">
        <f>IS_NG!AG14/IS_NG!AF14-1</f>
        <v>-0.5072765072765073</v>
      </c>
    </row>
    <row r="172" spans="1:30" s="226" customFormat="1" ht="4.5" customHeight="1" x14ac:dyDescent="0.2">
      <c r="A172" s="239"/>
      <c r="B172" s="231"/>
      <c r="C172" s="238"/>
      <c r="D172" s="229"/>
    </row>
    <row r="173" spans="1:30" s="234" customFormat="1" x14ac:dyDescent="0.2">
      <c r="A173" s="236" t="s">
        <v>322</v>
      </c>
      <c r="B173" s="235"/>
      <c r="C173" s="235"/>
      <c r="D173" s="229"/>
    </row>
    <row r="174" spans="1:30" s="234" customFormat="1" x14ac:dyDescent="0.2">
      <c r="A174" s="235"/>
      <c r="B174" s="236" t="s">
        <v>321</v>
      </c>
      <c r="C174" s="235"/>
      <c r="D174" s="229"/>
    </row>
    <row r="175" spans="1:30" s="226" customFormat="1" x14ac:dyDescent="0.2">
      <c r="A175" s="232"/>
      <c r="B175" s="231"/>
      <c r="C175" s="235" t="s">
        <v>317</v>
      </c>
      <c r="D175" s="229"/>
      <c r="E175" s="227">
        <f>BS!D5/BS!D30</f>
        <v>2.0416843896214378E-2</v>
      </c>
      <c r="F175" s="227">
        <f>BS!E5/BS!E30</f>
        <v>2.6964378636643173E-2</v>
      </c>
      <c r="G175" s="227">
        <f>BS!F5/BS!F30</f>
        <v>2.299595141700405E-2</v>
      </c>
      <c r="H175" s="227">
        <f>BS!G5/BS!G30</f>
        <v>8.055354745430135E-3</v>
      </c>
      <c r="I175" s="227">
        <f>BS!H5/BS!H30</f>
        <v>6.2799859577953735E-3</v>
      </c>
      <c r="J175" s="227">
        <f>BS!I5/BS!I30</f>
        <v>5.5887089135170974E-3</v>
      </c>
      <c r="K175" s="227">
        <f>BS!J5/BS!J30</f>
        <v>4.5394519643446683E-3</v>
      </c>
      <c r="L175" s="227">
        <f>BS!AG5/BS!AG30</f>
        <v>5.5439485416289664E-3</v>
      </c>
      <c r="M175" s="228"/>
      <c r="N175" s="227">
        <f>BS!Q5/BS!Q30</f>
        <v>2.2415194421867648E-2</v>
      </c>
      <c r="O175" s="227">
        <f>BS!R5/BS!R30</f>
        <v>1.9888025403192112E-2</v>
      </c>
      <c r="P175" s="227">
        <f>BS!S5/BS!S30</f>
        <v>2.0855999178897671E-2</v>
      </c>
      <c r="Q175" s="227">
        <f>BS!T5/BS!T30</f>
        <v>8.055354745430135E-3</v>
      </c>
      <c r="R175" s="227">
        <f>BS!U5/BS!U30</f>
        <v>9.9180508525516433E-3</v>
      </c>
      <c r="S175" s="227">
        <f>BS!V5/BS!V30</f>
        <v>8.7363616775381486E-3</v>
      </c>
      <c r="T175" s="227">
        <f>BS!W5/BS!W30</f>
        <v>7.4548015966189249E-3</v>
      </c>
      <c r="U175" s="227">
        <f>BS!X5/BS!X30</f>
        <v>6.2799859577953735E-3</v>
      </c>
      <c r="V175" s="227">
        <f>BS!Y5/BS!Y30</f>
        <v>7.1066182757899936E-3</v>
      </c>
      <c r="W175" s="227">
        <f>BS!Z5/BS!Z30</f>
        <v>7.2371381430928455E-3</v>
      </c>
      <c r="X175" s="227">
        <f>BS!AA5/BS!AA30</f>
        <v>6.4884257934008892E-3</v>
      </c>
      <c r="Y175" s="227">
        <f>BS!AB5/BS!AB30</f>
        <v>5.5887089135170974E-3</v>
      </c>
      <c r="Z175" s="227">
        <f>BS!AC5/BS!AC30</f>
        <v>5.5743243243243246E-3</v>
      </c>
      <c r="AA175" s="227">
        <f>BS!AD5/BS!AD30</f>
        <v>5.5680133784348756E-3</v>
      </c>
      <c r="AB175" s="227">
        <f>BS!AE5/BS!AE30</f>
        <v>5.7566258193217437E-3</v>
      </c>
      <c r="AC175" s="227">
        <f>BS!AF5/BS!AF30</f>
        <v>4.5394519643446683E-3</v>
      </c>
      <c r="AD175" s="227">
        <f>BS!AG5/BS!AG30</f>
        <v>5.5439485416289664E-3</v>
      </c>
    </row>
    <row r="176" spans="1:30" s="226" customFormat="1" x14ac:dyDescent="0.2">
      <c r="A176" s="232"/>
      <c r="B176" s="231"/>
      <c r="C176" s="235" t="s">
        <v>316</v>
      </c>
      <c r="D176" s="229"/>
      <c r="E176" s="227"/>
      <c r="F176" s="227"/>
      <c r="G176" s="227"/>
      <c r="H176" s="227"/>
      <c r="I176" s="227"/>
      <c r="J176" s="227"/>
      <c r="K176" s="227"/>
      <c r="L176" s="227"/>
      <c r="M176" s="228"/>
      <c r="N176" s="227"/>
      <c r="O176" s="227"/>
      <c r="P176" s="227"/>
      <c r="Q176" s="227"/>
      <c r="R176" s="227"/>
      <c r="S176" s="227"/>
      <c r="T176" s="227"/>
      <c r="U176" s="227"/>
      <c r="V176" s="227"/>
      <c r="W176" s="227"/>
      <c r="X176" s="227"/>
      <c r="Y176" s="227"/>
      <c r="Z176" s="227"/>
      <c r="AA176" s="227"/>
      <c r="AB176" s="227"/>
      <c r="AC176" s="227"/>
      <c r="AD176" s="227"/>
    </row>
    <row r="177" spans="1:30" s="226" customFormat="1" x14ac:dyDescent="0.2">
      <c r="A177" s="232"/>
      <c r="B177" s="231"/>
      <c r="C177" s="235" t="s">
        <v>315</v>
      </c>
      <c r="D177" s="229"/>
      <c r="E177" s="227"/>
      <c r="F177" s="227"/>
      <c r="G177" s="227"/>
      <c r="H177" s="227"/>
      <c r="I177" s="227"/>
      <c r="J177" s="227"/>
      <c r="K177" s="227"/>
      <c r="L177" s="227"/>
      <c r="M177" s="228"/>
      <c r="N177" s="227"/>
      <c r="O177" s="227"/>
      <c r="P177" s="227"/>
      <c r="Q177" s="227"/>
      <c r="R177" s="227"/>
      <c r="S177" s="227"/>
      <c r="T177" s="227"/>
      <c r="U177" s="227"/>
      <c r="V177" s="227"/>
      <c r="W177" s="227"/>
      <c r="X177" s="227"/>
      <c r="Y177" s="227"/>
      <c r="Z177" s="227"/>
      <c r="AA177" s="227"/>
      <c r="AB177" s="227"/>
      <c r="AC177" s="227"/>
      <c r="AD177" s="227"/>
    </row>
    <row r="178" spans="1:30" s="226" customFormat="1" x14ac:dyDescent="0.2">
      <c r="A178" s="232"/>
      <c r="B178" s="231"/>
      <c r="C178" s="235" t="s">
        <v>314</v>
      </c>
      <c r="D178" s="229"/>
      <c r="E178" s="227">
        <f>BS!D8/BS!D30</f>
        <v>4.7809442790301998E-2</v>
      </c>
      <c r="F178" s="227">
        <f>BS!E8/BS!E30</f>
        <v>3.6898623397511709E-2</v>
      </c>
      <c r="G178" s="227">
        <f>BS!F8/BS!F30</f>
        <v>4.097165991902834E-2</v>
      </c>
      <c r="H178" s="227">
        <f>BS!G8/BS!G30</f>
        <v>2.9433026954456265E-2</v>
      </c>
      <c r="I178" s="227">
        <f>BS!H8/BS!H30</f>
        <v>3.1087880797285174E-2</v>
      </c>
      <c r="J178" s="227">
        <f>BS!I8/BS!I30</f>
        <v>3.3191247513498154E-2</v>
      </c>
      <c r="K178" s="227">
        <f>BS!J8/BS!J30</f>
        <v>2.8161109276989105E-2</v>
      </c>
      <c r="L178" s="227">
        <f>BS!AG8/BS!AG30</f>
        <v>3.0861861911263923E-2</v>
      </c>
      <c r="M178" s="228"/>
      <c r="N178" s="227">
        <f>BS!Q8/BS!Q30</f>
        <v>3.9055481883902982E-2</v>
      </c>
      <c r="O178" s="227">
        <f>BS!R8/BS!R30</f>
        <v>3.9525361410545669E-2</v>
      </c>
      <c r="P178" s="227">
        <f>BS!S8/BS!S30</f>
        <v>3.7524376475418252E-2</v>
      </c>
      <c r="Q178" s="227">
        <f>BS!T8/BS!T30</f>
        <v>2.9433026954456265E-2</v>
      </c>
      <c r="R178" s="227">
        <f>BS!U8/BS!U30</f>
        <v>2.9052876234747241E-2</v>
      </c>
      <c r="S178" s="227">
        <f>BS!V8/BS!V30</f>
        <v>3.1204090027619438E-2</v>
      </c>
      <c r="T178" s="227">
        <f>BS!W8/BS!W30</f>
        <v>3.3321593488299286E-2</v>
      </c>
      <c r="U178" s="227">
        <f>BS!X8/BS!X30</f>
        <v>3.1087880797285174E-2</v>
      </c>
      <c r="V178" s="227">
        <f>BS!Y8/BS!Y30</f>
        <v>2.6545309441921447E-2</v>
      </c>
      <c r="W178" s="227">
        <f>BS!Z8/BS!Z30</f>
        <v>2.8929803509824509E-2</v>
      </c>
      <c r="X178" s="227">
        <f>BS!AA8/BS!AA30</f>
        <v>3.2442128967004449E-2</v>
      </c>
      <c r="Y178" s="227">
        <f>BS!AB8/BS!AB30</f>
        <v>3.3191247513498154E-2</v>
      </c>
      <c r="Z178" s="227">
        <f>BS!AC8/BS!AC30</f>
        <v>3.3952702702702703E-2</v>
      </c>
      <c r="AA178" s="227">
        <f>BS!AD8/BS!AD30</f>
        <v>3.6885713199802363E-2</v>
      </c>
      <c r="AB178" s="227">
        <f>BS!AE8/BS!AE30</f>
        <v>4.1227320224185425E-2</v>
      </c>
      <c r="AC178" s="227">
        <f>BS!AF8/BS!AF30</f>
        <v>2.8161109276989105E-2</v>
      </c>
      <c r="AD178" s="227">
        <f>BS!AG8/BS!AG30</f>
        <v>3.0861861911263923E-2</v>
      </c>
    </row>
    <row r="179" spans="1:30" s="226" customFormat="1" x14ac:dyDescent="0.2">
      <c r="A179" s="232"/>
      <c r="B179" s="231"/>
      <c r="C179" s="235" t="s">
        <v>313</v>
      </c>
      <c r="D179" s="229"/>
      <c r="E179" s="227">
        <f>BS!D11/BS!D30</f>
        <v>0.3008081667375585</v>
      </c>
      <c r="F179" s="227">
        <f>BS!E11/BS!E30</f>
        <v>0.33878139930933349</v>
      </c>
      <c r="G179" s="227">
        <f>BS!F11/BS!F30</f>
        <v>0.2718334297281666</v>
      </c>
      <c r="H179" s="227">
        <f>BS!G11/BS!G30</f>
        <v>0.20623773623876898</v>
      </c>
      <c r="I179" s="227">
        <f>BS!H11/BS!H30</f>
        <v>0.20134961188906658</v>
      </c>
      <c r="J179" s="227">
        <f>BS!I11/BS!I30</f>
        <v>0.17326892109500805</v>
      </c>
      <c r="K179" s="227">
        <f>BS!J11/BS!J30</f>
        <v>0.1425718058765269</v>
      </c>
      <c r="L179" s="227">
        <f>BS!AG11/BS!AG30</f>
        <v>0.14236596640729104</v>
      </c>
      <c r="M179" s="228"/>
      <c r="N179" s="227">
        <f>BS!Q11/BS!Q30</f>
        <v>0.3021987423535954</v>
      </c>
      <c r="O179" s="227">
        <f>BS!R11/BS!R30</f>
        <v>0.29474805715718227</v>
      </c>
      <c r="P179" s="227">
        <f>BS!S11/BS!S30</f>
        <v>0.2813507133326491</v>
      </c>
      <c r="Q179" s="227">
        <f>BS!T11/BS!T30</f>
        <v>0.20623773623876898</v>
      </c>
      <c r="R179" s="227">
        <f>BS!U11/BS!U30</f>
        <v>0.21643390971568255</v>
      </c>
      <c r="S179" s="227">
        <f>BS!V11/BS!V30</f>
        <v>0.21907504260445437</v>
      </c>
      <c r="T179" s="227">
        <f>BS!W11/BS!W30</f>
        <v>0.21616967989355873</v>
      </c>
      <c r="U179" s="227">
        <f>BS!X11/BS!X30</f>
        <v>0.20134961188906658</v>
      </c>
      <c r="V179" s="227">
        <f>BS!Y11/BS!Y30</f>
        <v>0.20191156630626864</v>
      </c>
      <c r="W179" s="227">
        <f>BS!Z11/BS!Z30</f>
        <v>0.20653967301634918</v>
      </c>
      <c r="X179" s="227">
        <f>BS!AA11/BS!AA30</f>
        <v>0.1908742199576344</v>
      </c>
      <c r="Y179" s="227">
        <f>BS!AB11/BS!AB30</f>
        <v>0.17326892109500805</v>
      </c>
      <c r="Z179" s="227">
        <f>BS!AC11/BS!AC30</f>
        <v>0.18155030030030031</v>
      </c>
      <c r="AA179" s="227">
        <f>BS!AD11/BS!AD30</f>
        <v>0.1743757363840219</v>
      </c>
      <c r="AB179" s="227">
        <f>BS!AE11/BS!AE30</f>
        <v>0.18045027073240238</v>
      </c>
      <c r="AC179" s="227">
        <f>BS!AF11/BS!AF30</f>
        <v>0.1425718058765269</v>
      </c>
      <c r="AD179" s="227">
        <f>BS!AG11/BS!AG30</f>
        <v>0.14236596640729104</v>
      </c>
    </row>
    <row r="180" spans="1:30" s="226" customFormat="1" x14ac:dyDescent="0.2">
      <c r="A180" s="232"/>
      <c r="B180" s="231"/>
      <c r="C180" s="235" t="s">
        <v>312</v>
      </c>
      <c r="D180" s="229"/>
      <c r="E180" s="227">
        <f>BS!D17/BS!D30</f>
        <v>1.0307528711186729</v>
      </c>
      <c r="F180" s="227">
        <f>BS!E17/BS!E30</f>
        <v>0.71886087326742043</v>
      </c>
      <c r="G180" s="227">
        <f>BS!F17/BS!F30</f>
        <v>0.81765182186234819</v>
      </c>
      <c r="H180" s="227">
        <f>BS!G17/BS!G30</f>
        <v>0.83969844056594034</v>
      </c>
      <c r="I180" s="227">
        <f>BS!H17/BS!H30</f>
        <v>0.88452237001209189</v>
      </c>
      <c r="J180" s="227">
        <f>BS!I17/BS!I30</f>
        <v>0.9434877332575542</v>
      </c>
      <c r="K180" s="227">
        <f>BS!J17/BS!J30</f>
        <v>0.85079234070650378</v>
      </c>
      <c r="L180" s="227">
        <f>BS!AG17/BS!AG30</f>
        <v>0.85801240396795364</v>
      </c>
      <c r="M180" s="228"/>
      <c r="N180" s="227">
        <f>BS!Q17/BS!Q30</f>
        <v>0.78177268255122556</v>
      </c>
      <c r="O180" s="227">
        <f>BS!R17/BS!R30</f>
        <v>0.79562547004261719</v>
      </c>
      <c r="P180" s="227">
        <f>BS!S17/BS!S30</f>
        <v>0.80482397618803247</v>
      </c>
      <c r="Q180" s="227">
        <f>BS!T17/BS!T30</f>
        <v>0.83969844056594034</v>
      </c>
      <c r="R180" s="227">
        <f>BS!U17/BS!U30</f>
        <v>0.84205253561481896</v>
      </c>
      <c r="S180" s="227">
        <f>BS!V17/BS!V30</f>
        <v>0.85042408571820338</v>
      </c>
      <c r="T180" s="227">
        <f>BS!W17/BS!W30</f>
        <v>0.86724191907333492</v>
      </c>
      <c r="U180" s="227">
        <f>BS!X17/BS!X30</f>
        <v>0.88452237001209189</v>
      </c>
      <c r="V180" s="227">
        <f>BS!Y17/BS!Y30</f>
        <v>0.89176658369278128</v>
      </c>
      <c r="W180" s="227">
        <f>BS!Z17/BS!Z30</f>
        <v>0.90222363881805911</v>
      </c>
      <c r="X180" s="227">
        <f>BS!AA17/BS!AA30</f>
        <v>0.92988683422072094</v>
      </c>
      <c r="Y180" s="227">
        <f>BS!AB17/BS!AB30</f>
        <v>0.9434877332575542</v>
      </c>
      <c r="Z180" s="227">
        <f>BS!AC17/BS!AC30</f>
        <v>0.94767267267267263</v>
      </c>
      <c r="AA180" s="227">
        <f>BS!AD17/BS!AD30</f>
        <v>0.9720079054387899</v>
      </c>
      <c r="AB180" s="227">
        <f>BS!AE17/BS!AE30</f>
        <v>0.97843640163389378</v>
      </c>
      <c r="AC180" s="227">
        <f>BS!AF17/BS!AF30</f>
        <v>0.85079234070650378</v>
      </c>
      <c r="AD180" s="227">
        <f>BS!AG17/BS!AG30</f>
        <v>0.85801240396795364</v>
      </c>
    </row>
    <row r="181" spans="1:30" s="226" customFormat="1" x14ac:dyDescent="0.2">
      <c r="A181" s="232"/>
      <c r="B181" s="231"/>
      <c r="C181" s="235" t="s">
        <v>311</v>
      </c>
      <c r="D181" s="229"/>
      <c r="E181" s="227">
        <f>BS!D18*-1/BS!D30</f>
        <v>0.46069757549978735</v>
      </c>
      <c r="F181" s="227">
        <f>BS!E18*-1/BS!E30</f>
        <v>0.26332844505416531</v>
      </c>
      <c r="G181" s="227">
        <f>BS!F18*-1/BS!F30</f>
        <v>0.28360902255639098</v>
      </c>
      <c r="H181" s="227">
        <f>BS!G18*-1/BS!G30</f>
        <v>0.27148610967675307</v>
      </c>
      <c r="I181" s="227">
        <f>BS!H18*-1/BS!H30</f>
        <v>0.27682646175449543</v>
      </c>
      <c r="J181" s="227">
        <f>BS!I18*-1/BS!I30</f>
        <v>0.29640996495216443</v>
      </c>
      <c r="K181" s="227">
        <f>BS!J18*-1/BS!J30</f>
        <v>0.28793331132386929</v>
      </c>
      <c r="L181" s="227">
        <f>BS!AG18*-1/BS!AG30</f>
        <v>0.2919374208301117</v>
      </c>
      <c r="M181" s="228"/>
      <c r="N181" s="227">
        <f>BS!Q18*-1/BS!Q30</f>
        <v>0.26754930059460152</v>
      </c>
      <c r="O181" s="227">
        <f>BS!R18*-1/BS!R30</f>
        <v>0.26733934987883345</v>
      </c>
      <c r="P181" s="227">
        <f>BS!S18*-1/BS!S30</f>
        <v>0.26511341475931438</v>
      </c>
      <c r="Q181" s="227">
        <f>BS!T18*-1/BS!T30</f>
        <v>0.27148610967675307</v>
      </c>
      <c r="R181" s="227">
        <f>BS!U18*-1/BS!U30</f>
        <v>0.26834839407722055</v>
      </c>
      <c r="S181" s="227">
        <f>BS!V18*-1/BS!V30</f>
        <v>0.2703962703962704</v>
      </c>
      <c r="T181" s="227">
        <f>BS!W18*-1/BS!W30</f>
        <v>0.27430147922047426</v>
      </c>
      <c r="U181" s="227">
        <f>BS!X18*-1/BS!X30</f>
        <v>0.27682646175449543</v>
      </c>
      <c r="V181" s="227">
        <f>BS!Y18*-1/BS!Y30</f>
        <v>0.2781842020255762</v>
      </c>
      <c r="W181" s="227">
        <f>BS!Z18*-1/BS!Z30</f>
        <v>0.28363581820908956</v>
      </c>
      <c r="X181" s="227">
        <f>BS!AA18*-1/BS!AA30</f>
        <v>0.29419285891490621</v>
      </c>
      <c r="Y181" s="227">
        <f>BS!AB18*-1/BS!AB30</f>
        <v>0.29640996495216443</v>
      </c>
      <c r="Z181" s="227">
        <f>BS!AC18*-1/BS!AC30</f>
        <v>0.30328453453453452</v>
      </c>
      <c r="AA181" s="227">
        <f>BS!AD18*-1/BS!AD30</f>
        <v>0.31783284557789515</v>
      </c>
      <c r="AB181" s="227">
        <f>BS!AE18*-1/BS!AE30</f>
        <v>0.32824166429182106</v>
      </c>
      <c r="AC181" s="227">
        <f>BS!AF18*-1/BS!AF30</f>
        <v>0.28793331132386929</v>
      </c>
      <c r="AD181" s="227">
        <f>BS!AG18*-1/BS!AG30</f>
        <v>0.2919374208301117</v>
      </c>
    </row>
    <row r="182" spans="1:30" s="226" customFormat="1" x14ac:dyDescent="0.2">
      <c r="A182" s="232"/>
      <c r="B182" s="231"/>
      <c r="C182" s="235" t="s">
        <v>310</v>
      </c>
      <c r="D182" s="229"/>
      <c r="E182" s="227">
        <f>BS!D19/BS!D30</f>
        <v>0.57005529561888557</v>
      </c>
      <c r="F182" s="227">
        <f>BS!E19/BS!E30</f>
        <v>0.45553242821325513</v>
      </c>
      <c r="G182" s="227">
        <f>BS!F19/BS!F30</f>
        <v>0.53404279930595722</v>
      </c>
      <c r="H182" s="227">
        <f>BS!G19/BS!G30</f>
        <v>0.56821233088918721</v>
      </c>
      <c r="I182" s="227">
        <f>BS!H19/BS!H30</f>
        <v>0.60769590825759645</v>
      </c>
      <c r="J182" s="227">
        <f>BS!I19/BS!I30</f>
        <v>0.64707776830538977</v>
      </c>
      <c r="K182" s="227">
        <f>BS!J19/BS!J30</f>
        <v>0.56285902938263455</v>
      </c>
      <c r="L182" s="227">
        <f>BS!AG19/BS!AG30</f>
        <v>0.56607498313784199</v>
      </c>
      <c r="M182" s="228"/>
      <c r="N182" s="227">
        <f>BS!Q19/BS!Q30</f>
        <v>0.51422338195662398</v>
      </c>
      <c r="O182" s="227">
        <f>BS!R19/BS!R30</f>
        <v>0.52828612016378373</v>
      </c>
      <c r="P182" s="227">
        <f>BS!S19/BS!S30</f>
        <v>0.53971056142871809</v>
      </c>
      <c r="Q182" s="227">
        <f>BS!T19/BS!T30</f>
        <v>0.56821233088918721</v>
      </c>
      <c r="R182" s="227">
        <f>BS!U19/BS!U30</f>
        <v>0.57370414153759841</v>
      </c>
      <c r="S182" s="227">
        <f>BS!V19/BS!V30</f>
        <v>0.58002781532193293</v>
      </c>
      <c r="T182" s="227">
        <f>BS!W19/BS!W30</f>
        <v>0.5929404398528606</v>
      </c>
      <c r="U182" s="227">
        <f>BS!X19/BS!X30</f>
        <v>0.60769590825759645</v>
      </c>
      <c r="V182" s="227">
        <f>BS!Y19/BS!Y30</f>
        <v>0.61358238166720502</v>
      </c>
      <c r="W182" s="227">
        <f>BS!Z19/BS!Z30</f>
        <v>0.61858782060896955</v>
      </c>
      <c r="X182" s="227">
        <f>BS!AA19/BS!AA30</f>
        <v>0.63569397530581473</v>
      </c>
      <c r="Y182" s="227">
        <f>BS!AB19/BS!AB30</f>
        <v>0.64707776830538977</v>
      </c>
      <c r="Z182" s="227">
        <f>BS!AC19/BS!AC30</f>
        <v>0.64438813813813811</v>
      </c>
      <c r="AA182" s="227">
        <f>BS!AD19/BS!AD30</f>
        <v>0.65417505986089464</v>
      </c>
      <c r="AB182" s="227">
        <f>BS!AE19/BS!AE30</f>
        <v>0.65019473734207278</v>
      </c>
      <c r="AC182" s="227">
        <f>BS!AF19/BS!AF30</f>
        <v>0.56285902938263455</v>
      </c>
      <c r="AD182" s="227">
        <f>BS!AG19/BS!AG30</f>
        <v>0.56607498313784199</v>
      </c>
    </row>
    <row r="183" spans="1:30" s="226" customFormat="1" x14ac:dyDescent="0.2">
      <c r="A183" s="232"/>
      <c r="B183" s="231"/>
      <c r="C183" s="235" t="s">
        <v>320</v>
      </c>
      <c r="D183" s="229"/>
      <c r="E183" s="227">
        <f>BS!D25/BS!D30</f>
        <v>3.6962994470438111E-2</v>
      </c>
      <c r="F183" s="227">
        <f>BS!E25/BS!E30</f>
        <v>0.15130800889351437</v>
      </c>
      <c r="G183" s="227">
        <f>BS!F25/BS!F30</f>
        <v>0.14646616541353383</v>
      </c>
      <c r="H183" s="227">
        <f>BS!G25/BS!G30</f>
        <v>0.13095115150263348</v>
      </c>
      <c r="I183" s="227">
        <f>BS!H25/BS!H30</f>
        <v>0.12216718024729882</v>
      </c>
      <c r="J183" s="227">
        <f>BS!I25/BS!I30</f>
        <v>0.11923842000568344</v>
      </c>
      <c r="K183" s="227">
        <f>BS!J25/BS!J30</f>
        <v>0.10280620666886761</v>
      </c>
      <c r="L183" s="227">
        <f>BS!AG25/BS!AG30</f>
        <v>0.10209419777255005</v>
      </c>
      <c r="M183" s="228"/>
      <c r="N183" s="227">
        <f>BS!Q25/BS!Q30</f>
        <v>0.13628780425204259</v>
      </c>
      <c r="O183" s="227">
        <f>BS!R25/BS!R30</f>
        <v>0.13296983370936744</v>
      </c>
      <c r="P183" s="227">
        <f>BS!S25/BS!S30</f>
        <v>0.13039104998460432</v>
      </c>
      <c r="Q183" s="227">
        <f>BS!T25/BS!T30</f>
        <v>0.13095115150263348</v>
      </c>
      <c r="R183" s="227">
        <f>BS!U25/BS!U30</f>
        <v>0.12677072271534193</v>
      </c>
      <c r="S183" s="227">
        <f>BS!V25/BS!V30</f>
        <v>0.12348435877847642</v>
      </c>
      <c r="T183" s="227">
        <f>BS!W25/BS!W30</f>
        <v>0.12287704468967676</v>
      </c>
      <c r="U183" s="227">
        <f>BS!X25/BS!X30</f>
        <v>0.12216718024729882</v>
      </c>
      <c r="V183" s="227">
        <f>BS!Y25/BS!Y30</f>
        <v>0.12022345944097136</v>
      </c>
      <c r="W183" s="227">
        <f>BS!Z25/BS!Z30</f>
        <v>0.11840032998350082</v>
      </c>
      <c r="X183" s="227">
        <f>BS!AA25/BS!AA30</f>
        <v>0.12032213125703708</v>
      </c>
      <c r="Y183" s="227">
        <f>BS!AB25/BS!AB30</f>
        <v>0.11923842000568344</v>
      </c>
      <c r="Z183" s="227">
        <f>BS!AC25/BS!AC30</f>
        <v>0.11794294294294294</v>
      </c>
      <c r="AA183" s="227">
        <f>BS!AD25/BS!AD30</f>
        <v>0.11873360951693208</v>
      </c>
      <c r="AB183" s="227">
        <f>BS!AE25/BS!AE30</f>
        <v>0.1185142965707229</v>
      </c>
      <c r="AC183" s="227">
        <f>BS!AF25/BS!AF30</f>
        <v>0.10280620666886761</v>
      </c>
      <c r="AD183" s="227">
        <f>BS!AG25/BS!AG30</f>
        <v>0.10209419777255005</v>
      </c>
    </row>
    <row r="184" spans="1:30" s="226" customFormat="1" x14ac:dyDescent="0.2">
      <c r="A184" s="232"/>
      <c r="B184" s="231"/>
      <c r="C184" s="235" t="s">
        <v>117</v>
      </c>
      <c r="D184" s="229"/>
      <c r="E184" s="227">
        <f>BS!D30/BS!D30</f>
        <v>1</v>
      </c>
      <c r="F184" s="227">
        <f>BS!E30/BS!E30</f>
        <v>1</v>
      </c>
      <c r="G184" s="227">
        <f>BS!F30/BS!F30</f>
        <v>1</v>
      </c>
      <c r="H184" s="227">
        <f>BS!G30/BS!G30</f>
        <v>1</v>
      </c>
      <c r="I184" s="227">
        <f>BS!H30/BS!H30</f>
        <v>1</v>
      </c>
      <c r="J184" s="227">
        <f>BS!I30/BS!I30</f>
        <v>1</v>
      </c>
      <c r="K184" s="227">
        <f>BS!J30/BS!J30</f>
        <v>1</v>
      </c>
      <c r="L184" s="227">
        <f>BS!AG30/BS!AG30</f>
        <v>1</v>
      </c>
      <c r="M184" s="228"/>
      <c r="N184" s="227">
        <f>BS!Q30/BS!Q30</f>
        <v>1</v>
      </c>
      <c r="O184" s="227">
        <f>BS!R30/BS!R30</f>
        <v>1</v>
      </c>
      <c r="P184" s="227">
        <f>BS!S30/BS!S30</f>
        <v>1</v>
      </c>
      <c r="Q184" s="227">
        <f>BS!T30/BS!T30</f>
        <v>1</v>
      </c>
      <c r="R184" s="227">
        <f>BS!U30/BS!U30</f>
        <v>1</v>
      </c>
      <c r="S184" s="227">
        <f>BS!V30/BS!V30</f>
        <v>1</v>
      </c>
      <c r="T184" s="227">
        <f>BS!W30/BS!W30</f>
        <v>1</v>
      </c>
      <c r="U184" s="227">
        <f>BS!X30/BS!X30</f>
        <v>1</v>
      </c>
      <c r="V184" s="227">
        <f>BS!Y30/BS!Y30</f>
        <v>1</v>
      </c>
      <c r="W184" s="227">
        <f>BS!Z30/BS!Z30</f>
        <v>1</v>
      </c>
      <c r="X184" s="227">
        <f>BS!AA30/BS!AA30</f>
        <v>1</v>
      </c>
      <c r="Y184" s="227">
        <f>BS!AB30/BS!AB30</f>
        <v>1</v>
      </c>
      <c r="Z184" s="227">
        <f>BS!AC30/BS!AC30</f>
        <v>1</v>
      </c>
      <c r="AA184" s="227">
        <f>BS!AD30/BS!AD30</f>
        <v>1</v>
      </c>
      <c r="AB184" s="227">
        <f>BS!AE30/BS!AE30</f>
        <v>1</v>
      </c>
      <c r="AC184" s="227">
        <f>BS!AF30/BS!AF30</f>
        <v>1</v>
      </c>
      <c r="AD184" s="227">
        <f>BS!AG30/BS!AG30</f>
        <v>1</v>
      </c>
    </row>
    <row r="185" spans="1:30" s="226" customFormat="1" x14ac:dyDescent="0.2">
      <c r="A185" s="232"/>
      <c r="B185" s="231"/>
      <c r="C185" s="235" t="s">
        <v>113</v>
      </c>
      <c r="D185" s="229"/>
      <c r="E185" s="227">
        <f>BS!D34/BS!D62</f>
        <v>4.147171416418545E-2</v>
      </c>
      <c r="F185" s="227">
        <f>BS!E34/BS!E62</f>
        <v>3.2357254363971806E-2</v>
      </c>
      <c r="G185" s="227">
        <f>BS!F34/BS!F62</f>
        <v>3.1856564488143432E-2</v>
      </c>
      <c r="H185" s="227">
        <f>BS!G34/BS!G62</f>
        <v>3.2283383248993082E-2</v>
      </c>
      <c r="I185" s="227">
        <f>BS!H34/BS!H62</f>
        <v>3.1048874673323713E-2</v>
      </c>
      <c r="J185" s="227">
        <f>BS!I34/BS!I62</f>
        <v>3.1978781850904615E-2</v>
      </c>
      <c r="K185" s="227">
        <f>BS!J34/BS!J62</f>
        <v>2.9267084846483989E-2</v>
      </c>
      <c r="L185" s="227">
        <f>BS!AG34/BS!AG62</f>
        <v>3.5188444897757742E-2</v>
      </c>
      <c r="M185" s="228"/>
      <c r="N185" s="227">
        <f>BS!Q34/BS!Q62</f>
        <v>3.3943619797236597E-2</v>
      </c>
      <c r="O185" s="227">
        <f>BS!R34/BS!R62</f>
        <v>3.5159187766357486E-2</v>
      </c>
      <c r="P185" s="227">
        <f>BS!S34/BS!S62</f>
        <v>3.1304526326593453E-2</v>
      </c>
      <c r="Q185" s="227">
        <f>BS!T34/BS!T62</f>
        <v>3.2283383248993082E-2</v>
      </c>
      <c r="R185" s="227">
        <f>BS!U34/BS!U62</f>
        <v>3.8329760163497567E-2</v>
      </c>
      <c r="S185" s="227">
        <f>BS!V34/BS!V62</f>
        <v>3.8079567491332199E-2</v>
      </c>
      <c r="T185" s="227">
        <f>BS!W34/BS!W62</f>
        <v>3.2734601236597008E-2</v>
      </c>
      <c r="U185" s="227">
        <f>BS!X34/BS!X62</f>
        <v>3.1048874673323713E-2</v>
      </c>
      <c r="V185" s="227">
        <f>BS!Y34/BS!Y62</f>
        <v>3.5761111216675849E-2</v>
      </c>
      <c r="W185" s="227">
        <f>BS!Z34/BS!Z62</f>
        <v>3.6073196340182988E-2</v>
      </c>
      <c r="X185" s="227">
        <f>BS!AA34/BS!AA62</f>
        <v>3.125894543997252E-2</v>
      </c>
      <c r="Y185" s="227">
        <f>BS!AB34/BS!AB62</f>
        <v>3.1978781850904615E-2</v>
      </c>
      <c r="Z185" s="227">
        <f>BS!AC34/BS!AC62</f>
        <v>3.6655405405405406E-2</v>
      </c>
      <c r="AA185" s="227">
        <f>BS!AD34/BS!AD62</f>
        <v>3.901410056630307E-2</v>
      </c>
      <c r="AB185" s="227">
        <f>BS!AE34/BS!AE62</f>
        <v>3.583167094138881E-2</v>
      </c>
      <c r="AC185" s="227">
        <f>BS!AF34/BS!AF62</f>
        <v>2.9267084846483989E-2</v>
      </c>
      <c r="AD185" s="227">
        <f>BS!AG34/BS!AG62</f>
        <v>3.5188444897757742E-2</v>
      </c>
    </row>
    <row r="186" spans="1:30" s="226" customFormat="1" x14ac:dyDescent="0.2">
      <c r="A186" s="232"/>
      <c r="B186" s="231"/>
      <c r="C186" s="235" t="s">
        <v>309</v>
      </c>
      <c r="D186" s="229"/>
      <c r="E186" s="227">
        <f>BS!D66/BS!D62</f>
        <v>6.0357294768183752E-2</v>
      </c>
      <c r="F186" s="227">
        <f>BS!E66/BS!E62</f>
        <v>3.4202185533847393E-2</v>
      </c>
      <c r="G186" s="227">
        <f>BS!F66/BS!F62</f>
        <v>3.879699248120301E-2</v>
      </c>
      <c r="H186" s="227">
        <f>BS!G66/BS!G62</f>
        <v>4.6080760095011879E-2</v>
      </c>
      <c r="I186" s="227">
        <f>BS!H66/BS!H62</f>
        <v>3.6178179974255958E-2</v>
      </c>
      <c r="J186" s="227">
        <f>BS!I66/BS!I62</f>
        <v>4.8384957847873451E-2</v>
      </c>
      <c r="K186" s="227">
        <f>BS!J66/BS!J62</f>
        <v>8.16771211620997E-2</v>
      </c>
      <c r="L186" s="227">
        <f>BS!AG66/BS!AG62</f>
        <v>8.2237978515143043E-2</v>
      </c>
      <c r="M186" s="228"/>
      <c r="N186" s="227">
        <f>BS!Q66/BS!Q62</f>
        <v>2.7462890875647003E-2</v>
      </c>
      <c r="O186" s="227">
        <f>BS!R66/BS!R62</f>
        <v>3.4302665663909084E-2</v>
      </c>
      <c r="P186" s="227">
        <f>BS!S66/BS!S62</f>
        <v>3.5143179718772455E-2</v>
      </c>
      <c r="Q186" s="227">
        <f>BS!T66/BS!T62</f>
        <v>4.6080760095011879E-2</v>
      </c>
      <c r="R186" s="227">
        <f>BS!U66/BS!U62</f>
        <v>5.2295177222545029E-2</v>
      </c>
      <c r="S186" s="227">
        <f>BS!V66/BS!V62</f>
        <v>3.3593857123268886E-2</v>
      </c>
      <c r="T186" s="227">
        <f>BS!W66/BS!W62</f>
        <v>3.5180402285356502E-2</v>
      </c>
      <c r="U186" s="227">
        <f>BS!X66/BS!X62</f>
        <v>3.6178179974255958E-2</v>
      </c>
      <c r="V186" s="227">
        <f>BS!Y66/BS!Y62</f>
        <v>3.2568833488513499E-2</v>
      </c>
      <c r="W186" s="227">
        <f>BS!Z66/BS!Z62</f>
        <v>4.3760311984400779E-2</v>
      </c>
      <c r="X186" s="227">
        <f>BS!AA66/BS!AA62</f>
        <v>4.7079254212705868E-2</v>
      </c>
      <c r="Y186" s="227">
        <f>BS!AB66/BS!AB62</f>
        <v>4.8384957847873451E-2</v>
      </c>
      <c r="Z186" s="227">
        <f>BS!AC66/BS!AC62</f>
        <v>5.242117117117117E-2</v>
      </c>
      <c r="AA186" s="227">
        <f>BS!AD66/BS!AD62</f>
        <v>4.2054653947018357E-2</v>
      </c>
      <c r="AB186" s="227">
        <f>BS!AE66/BS!AE62</f>
        <v>4.7363921345112567E-2</v>
      </c>
      <c r="AC186" s="227">
        <f>BS!AF66/BS!AF62</f>
        <v>8.16771211620997E-2</v>
      </c>
      <c r="AD186" s="227">
        <f>BS!AG66/BS!AG62</f>
        <v>8.2237978515143043E-2</v>
      </c>
    </row>
    <row r="187" spans="1:30" s="226" customFormat="1" x14ac:dyDescent="0.2">
      <c r="A187" s="232"/>
      <c r="B187" s="231"/>
      <c r="C187" s="235" t="s">
        <v>308</v>
      </c>
      <c r="D187" s="229"/>
      <c r="E187" s="227">
        <f>BS!D40/BS!D62</f>
        <v>0.3832837090599745</v>
      </c>
      <c r="F187" s="227">
        <f>BS!E40/BS!E62</f>
        <v>0.32655281706797862</v>
      </c>
      <c r="G187" s="227">
        <f>BS!F40/BS!F62</f>
        <v>0.31009832272990168</v>
      </c>
      <c r="H187" s="227">
        <f>BS!G40/BS!G62</f>
        <v>0.28100795208096663</v>
      </c>
      <c r="I187" s="227">
        <f>BS!H40/BS!H62</f>
        <v>0.2705464757967001</v>
      </c>
      <c r="J187" s="227">
        <f>BS!I40/BS!I62</f>
        <v>0.29095386947049351</v>
      </c>
      <c r="K187" s="227">
        <f>BS!J40/BS!J62</f>
        <v>0.29871244635193134</v>
      </c>
      <c r="L187" s="227">
        <f>BS!AG40/BS!AG62</f>
        <v>0.32653363383618206</v>
      </c>
      <c r="M187" s="228"/>
      <c r="N187" s="227">
        <f>BS!Q40/BS!Q62</f>
        <v>0.30442315096034561</v>
      </c>
      <c r="O187" s="227">
        <f>BS!R40/BS!R62</f>
        <v>0.3143018300325896</v>
      </c>
      <c r="P187" s="227">
        <f>BS!S40/BS!S62</f>
        <v>0.29069075233500974</v>
      </c>
      <c r="Q187" s="227">
        <f>BS!T40/BS!T62</f>
        <v>0.28100795208096663</v>
      </c>
      <c r="R187" s="227">
        <f>BS!U40/BS!U62</f>
        <v>0.30609709671602314</v>
      </c>
      <c r="S187" s="227">
        <f>BS!V40/BS!V62</f>
        <v>0.29219799808035102</v>
      </c>
      <c r="T187" s="227">
        <f>BS!W40/BS!W62</f>
        <v>0.28435861313297334</v>
      </c>
      <c r="U187" s="227">
        <f>BS!X40/BS!X62</f>
        <v>0.2705464757967001</v>
      </c>
      <c r="V187" s="227">
        <f>BS!Y40/BS!Y62</f>
        <v>0.29045926995648619</v>
      </c>
      <c r="W187" s="227">
        <f>BS!Z40/BS!Z62</f>
        <v>0.30208489575521225</v>
      </c>
      <c r="X187" s="227">
        <f>BS!AA40/BS!AA62</f>
        <v>0.292112745939963</v>
      </c>
      <c r="Y187" s="227">
        <f>BS!AB40/BS!AB62</f>
        <v>0.29095386947049351</v>
      </c>
      <c r="Z187" s="227">
        <f>BS!AC40/BS!AC62</f>
        <v>0.3192192192192192</v>
      </c>
      <c r="AA187" s="227">
        <f>BS!AD40/BS!AD62</f>
        <v>0.31676865189464481</v>
      </c>
      <c r="AB187" s="227">
        <f>BS!AE40/BS!AE62</f>
        <v>0.31059181153225041</v>
      </c>
      <c r="AC187" s="227">
        <f>BS!AF40/BS!AF62</f>
        <v>0.29871244635193134</v>
      </c>
      <c r="AD187" s="227">
        <f>BS!AG40/BS!AG62</f>
        <v>0.32653363383618206</v>
      </c>
    </row>
    <row r="188" spans="1:30" s="226" customFormat="1" x14ac:dyDescent="0.2">
      <c r="A188" s="232"/>
      <c r="B188" s="231"/>
      <c r="C188" s="235" t="s">
        <v>307</v>
      </c>
      <c r="D188" s="229"/>
      <c r="E188" s="227">
        <f>BS!D67/BS!D62</f>
        <v>0.30267971076137812</v>
      </c>
      <c r="F188" s="227">
        <f>BS!E67/BS!E62</f>
        <v>0.36314395193717774</v>
      </c>
      <c r="G188" s="227">
        <f>BS!F67/BS!F62</f>
        <v>0.37115095430884903</v>
      </c>
      <c r="H188" s="227">
        <f>BS!G67/BS!G62</f>
        <v>0.37860167303521636</v>
      </c>
      <c r="I188" s="227">
        <f>BS!H67/BS!H62</f>
        <v>0.43860436088465887</v>
      </c>
      <c r="J188" s="227">
        <f>BS!I67/BS!I62</f>
        <v>0.42646585204129961</v>
      </c>
      <c r="K188" s="227">
        <f>BS!J67/BS!J62</f>
        <v>0.34960382964674808</v>
      </c>
      <c r="L188" s="227">
        <f>BS!AG67/BS!AG62</f>
        <v>0.33987530228502805</v>
      </c>
      <c r="M188" s="228"/>
      <c r="N188" s="227">
        <f>BS!Q67/BS!Q62</f>
        <v>0.37725114428711981</v>
      </c>
      <c r="O188" s="227">
        <f>BS!R67/BS!R62</f>
        <v>0.35831870978524277</v>
      </c>
      <c r="P188" s="227">
        <f>BS!S67/BS!S62</f>
        <v>0.38692394539669506</v>
      </c>
      <c r="Q188" s="227">
        <f>BS!T67/BS!T62</f>
        <v>0.37860167303521636</v>
      </c>
      <c r="R188" s="227">
        <f>BS!U67/BS!U62</f>
        <v>0.38337774750045084</v>
      </c>
      <c r="S188" s="227">
        <f>BS!V67/BS!V62</f>
        <v>0.41391941391941389</v>
      </c>
      <c r="T188" s="227">
        <f>BS!W67/BS!W62</f>
        <v>0.42155826876418567</v>
      </c>
      <c r="U188" s="227">
        <f>BS!X67/BS!X62</f>
        <v>0.43860436088465887</v>
      </c>
      <c r="V188" s="227">
        <f>BS!Y67/BS!Y62</f>
        <v>0.43378873962034697</v>
      </c>
      <c r="W188" s="227">
        <f>BS!Z67/BS!Z62</f>
        <v>0.4223226338683066</v>
      </c>
      <c r="X188" s="227">
        <f>BS!AA67/BS!AA62</f>
        <v>0.4239804583881987</v>
      </c>
      <c r="Y188" s="227">
        <f>BS!AB67/BS!AB62</f>
        <v>0.42646585204129961</v>
      </c>
      <c r="Z188" s="227">
        <f>BS!AC67/BS!AC62</f>
        <v>0.4118993993993994</v>
      </c>
      <c r="AA188" s="227">
        <f>BS!AD67/BS!AD62</f>
        <v>0.41547261601611496</v>
      </c>
      <c r="AB188" s="227">
        <f>BS!AE67/BS!AE62</f>
        <v>0.42317849339792912</v>
      </c>
      <c r="AC188" s="227">
        <f>BS!AF67/BS!AF62</f>
        <v>0.34960382964674808</v>
      </c>
      <c r="AD188" s="227">
        <f>BS!AG67/BS!AG62</f>
        <v>0.33987530228502805</v>
      </c>
    </row>
    <row r="189" spans="1:30" s="226" customFormat="1" x14ac:dyDescent="0.2">
      <c r="A189" s="232"/>
      <c r="B189" s="231"/>
      <c r="C189" s="235" t="s">
        <v>97</v>
      </c>
      <c r="D189" s="229"/>
      <c r="E189" s="227">
        <f>BS!D52/BS!D62</f>
        <v>1.0587409612930667</v>
      </c>
      <c r="F189" s="227">
        <f>BS!E52/BS!E62</f>
        <v>1.0645962439093619</v>
      </c>
      <c r="G189" s="227">
        <f>BS!F52/BS!F62</f>
        <v>0.9532446500867553</v>
      </c>
      <c r="H189" s="227">
        <f>BS!G52/BS!G62</f>
        <v>0.88361045130641325</v>
      </c>
      <c r="I189" s="227">
        <f>BS!H52/BS!H62</f>
        <v>0.92618091040293327</v>
      </c>
      <c r="J189" s="227">
        <f>BS!I52/BS!I62</f>
        <v>1.0147769252628587</v>
      </c>
      <c r="K189" s="227">
        <f>BS!J52/BS!J62</f>
        <v>1.0027896995708154</v>
      </c>
      <c r="L189" s="227">
        <f>BS!AG52/BS!AG62</f>
        <v>1.0104627634198102</v>
      </c>
      <c r="M189" s="228"/>
      <c r="N189" s="227">
        <f>BS!Q52/BS!Q62</f>
        <v>0.94088206356675363</v>
      </c>
      <c r="O189" s="227">
        <f>BS!R52/BS!R62</f>
        <v>0.92404111306091752</v>
      </c>
      <c r="P189" s="227">
        <f>BS!S52/BS!S62</f>
        <v>0.92277532587498712</v>
      </c>
      <c r="Q189" s="227">
        <f>BS!T52/BS!T62</f>
        <v>0.88361045130641325</v>
      </c>
      <c r="R189" s="227">
        <f>BS!U52/BS!U62</f>
        <v>0.90562824340299342</v>
      </c>
      <c r="S189" s="227">
        <f>BS!V52/BS!V62</f>
        <v>0.91553544494720962</v>
      </c>
      <c r="T189" s="227">
        <f>BS!W52/BS!W62</f>
        <v>0.91408390075917667</v>
      </c>
      <c r="U189" s="227">
        <f>BS!X52/BS!X62</f>
        <v>0.92618091040293327</v>
      </c>
      <c r="V189" s="227">
        <f>BS!Y52/BS!Y62</f>
        <v>0.93431128508180217</v>
      </c>
      <c r="W189" s="227">
        <f>BS!Z52/BS!Z62</f>
        <v>0.93034723263836805</v>
      </c>
      <c r="X189" s="227">
        <f>BS!AA52/BS!AA62</f>
        <v>0.92465792637545086</v>
      </c>
      <c r="Y189" s="227">
        <f>BS!AB52/BS!AB62</f>
        <v>1.0147769252628587</v>
      </c>
      <c r="Z189" s="227">
        <f>BS!AC52/BS!AC62</f>
        <v>1.0191066066066066</v>
      </c>
      <c r="AA189" s="227">
        <f>BS!AD52/BS!AD62</f>
        <v>1.0165140055490098</v>
      </c>
      <c r="AB189" s="227">
        <f>BS!AE52/BS!AE62</f>
        <v>1.0107912985655931</v>
      </c>
      <c r="AC189" s="227">
        <f>BS!AF52/BS!AF62</f>
        <v>1.0027896995708154</v>
      </c>
      <c r="AD189" s="227">
        <f>BS!AG52/BS!AG62</f>
        <v>1.0104627634198102</v>
      </c>
    </row>
    <row r="190" spans="1:30" s="226" customFormat="1" x14ac:dyDescent="0.2">
      <c r="A190" s="232"/>
      <c r="B190" s="231"/>
      <c r="C190" s="235" t="s">
        <v>306</v>
      </c>
      <c r="D190" s="229"/>
      <c r="E190" s="227"/>
      <c r="F190" s="227"/>
      <c r="G190" s="227"/>
      <c r="H190" s="227"/>
      <c r="I190" s="227"/>
      <c r="J190" s="227"/>
      <c r="K190" s="227"/>
      <c r="L190" s="227"/>
      <c r="M190" s="228"/>
      <c r="N190" s="227"/>
      <c r="O190" s="227"/>
      <c r="P190" s="227"/>
      <c r="Q190" s="227"/>
      <c r="R190" s="227"/>
      <c r="S190" s="227"/>
      <c r="T190" s="227"/>
      <c r="U190" s="227"/>
      <c r="V190" s="227"/>
      <c r="W190" s="227"/>
      <c r="X190" s="227"/>
      <c r="Y190" s="227"/>
      <c r="Z190" s="227"/>
      <c r="AA190" s="227"/>
      <c r="AB190" s="227"/>
      <c r="AC190" s="227"/>
      <c r="AD190" s="227"/>
    </row>
    <row r="191" spans="1:30" s="226" customFormat="1" x14ac:dyDescent="0.2">
      <c r="A191" s="233"/>
      <c r="B191" s="231"/>
      <c r="C191" s="235" t="s">
        <v>305</v>
      </c>
      <c r="D191" s="229"/>
      <c r="E191" s="227"/>
      <c r="F191" s="227"/>
      <c r="G191" s="227"/>
      <c r="H191" s="227"/>
      <c r="I191" s="227"/>
      <c r="J191" s="227"/>
      <c r="K191" s="227"/>
      <c r="L191" s="227"/>
      <c r="M191" s="228"/>
      <c r="N191" s="227"/>
      <c r="O191" s="227"/>
      <c r="P191" s="227"/>
      <c r="Q191" s="227"/>
      <c r="R191" s="227"/>
      <c r="S191" s="227"/>
      <c r="T191" s="227"/>
      <c r="U191" s="227"/>
      <c r="V191" s="227"/>
      <c r="W191" s="227"/>
      <c r="X191" s="227"/>
      <c r="Y191" s="227"/>
      <c r="Z191" s="227"/>
      <c r="AA191" s="227"/>
      <c r="AB191" s="227"/>
      <c r="AC191" s="227"/>
      <c r="AD191" s="227"/>
    </row>
    <row r="192" spans="1:30" s="226" customFormat="1" x14ac:dyDescent="0.2">
      <c r="A192" s="232"/>
      <c r="B192" s="231"/>
      <c r="C192" s="235" t="s">
        <v>304</v>
      </c>
      <c r="D192" s="229"/>
      <c r="E192" s="227">
        <f>BS!D55/BS!D62</f>
        <v>5.4019566142067205E-3</v>
      </c>
      <c r="F192" s="227">
        <f>BS!E55/BS!E62</f>
        <v>1.1826481858176829E-4</v>
      </c>
      <c r="G192" s="227">
        <f>BS!F55/BS!F62</f>
        <v>1.6194331983805668E-4</v>
      </c>
      <c r="H192" s="227">
        <f>BS!G55/BS!G62</f>
        <v>1.23928534545079E-4</v>
      </c>
      <c r="I192" s="227">
        <f>BS!H55/BS!H62</f>
        <v>9.751530990365488E-5</v>
      </c>
      <c r="J192" s="227">
        <f>BS!I55/BS!I62</f>
        <v>9.4723879890120299E-5</v>
      </c>
      <c r="K192" s="227">
        <f>BS!J55/BS!J62</f>
        <v>8.2535490260812153E-5</v>
      </c>
      <c r="L192" s="227">
        <f>BS!AG55/BS!AG62</f>
        <v>8.2254429401023245E-5</v>
      </c>
      <c r="M192" s="228"/>
      <c r="N192" s="227">
        <f>BS!Q55/BS!Q62</f>
        <v>1.4971981006972666E-4</v>
      </c>
      <c r="O192" s="227">
        <f>BS!R55/BS!R62</f>
        <v>1.4623548090582434E-4</v>
      </c>
      <c r="P192" s="227">
        <f>BS!S55/BS!S62</f>
        <v>1.2316534948167914E-4</v>
      </c>
      <c r="Q192" s="227">
        <f>BS!T55/BS!T62</f>
        <v>1.23928534545079E-4</v>
      </c>
      <c r="R192" s="227">
        <f>BS!U55/BS!U62</f>
        <v>1.2021879821274719E-4</v>
      </c>
      <c r="S192" s="227">
        <f>BS!V55/BS!V62</f>
        <v>9.7941274411862648E-5</v>
      </c>
      <c r="T192" s="227">
        <f>BS!W55/BS!W62</f>
        <v>9.7832041950379593E-5</v>
      </c>
      <c r="U192" s="227">
        <f>BS!X55/BS!X62</f>
        <v>9.751530990365488E-5</v>
      </c>
      <c r="V192" s="227">
        <f>BS!Y55/BS!Y62</f>
        <v>9.5008265719117563E-5</v>
      </c>
      <c r="W192" s="227">
        <f>BS!Z55/BS!Z62</f>
        <v>9.3745312734363286E-5</v>
      </c>
      <c r="X192" s="227">
        <f>BS!AA55/BS!AA62</f>
        <v>9.5418026373542483E-5</v>
      </c>
      <c r="Y192" s="227">
        <f>BS!AB55/BS!AB62</f>
        <v>9.4723879890120299E-5</v>
      </c>
      <c r="Z192" s="227">
        <f>BS!AC55/BS!AC62</f>
        <v>9.3843843843843843E-5</v>
      </c>
      <c r="AA192" s="227">
        <f>BS!AD55/BS!AD62</f>
        <v>9.5017293147352816E-5</v>
      </c>
      <c r="AB192" s="227">
        <f>BS!AE55/BS!AE62</f>
        <v>9.4993825401348917E-5</v>
      </c>
      <c r="AC192" s="227">
        <f>BS!AF55/BS!AF62</f>
        <v>8.2535490260812153E-5</v>
      </c>
      <c r="AD192" s="227">
        <f>BS!AG55/BS!AG62</f>
        <v>8.2254429401023245E-5</v>
      </c>
    </row>
    <row r="193" spans="1:30" s="226" customFormat="1" x14ac:dyDescent="0.2">
      <c r="A193" s="232"/>
      <c r="B193" s="231"/>
      <c r="C193" s="235" t="s">
        <v>303</v>
      </c>
      <c r="D193" s="229"/>
      <c r="E193" s="227">
        <f>BS!D56/BS!D62</f>
        <v>0.19970225435984687</v>
      </c>
      <c r="F193" s="227">
        <f>BS!E56/BS!E62</f>
        <v>0.25053219168361796</v>
      </c>
      <c r="G193" s="227">
        <f>BS!F56/BS!F62</f>
        <v>0.35014459224985539</v>
      </c>
      <c r="H193" s="227">
        <f>BS!G56/BS!G62</f>
        <v>0.23940927398533512</v>
      </c>
      <c r="I193" s="227">
        <f>BS!H56/BS!H62</f>
        <v>0.14087061668681983</v>
      </c>
      <c r="J193" s="227">
        <f>BS!I56/BS!I62</f>
        <v>0.10825044993842947</v>
      </c>
      <c r="K193" s="227">
        <f>BS!J56/BS!J62</f>
        <v>8.1941234730934301E-2</v>
      </c>
      <c r="L193" s="227">
        <f>BS!AG56/BS!AG62</f>
        <v>7.1906822182374527E-2</v>
      </c>
      <c r="M193" s="228"/>
      <c r="N193" s="227">
        <f>BS!Q56/BS!Q62</f>
        <v>0.32187620310561665</v>
      </c>
      <c r="O193" s="227">
        <f>BS!R56/BS!R62</f>
        <v>0.29913512158435696</v>
      </c>
      <c r="P193" s="227">
        <f>BS!S56/BS!S62</f>
        <v>0.26382017858975676</v>
      </c>
      <c r="Q193" s="227">
        <f>BS!T56/BS!T62</f>
        <v>0.23940927398533512</v>
      </c>
      <c r="R193" s="227">
        <f>BS!U56/BS!U62</f>
        <v>0.20124626820813882</v>
      </c>
      <c r="S193" s="227">
        <f>BS!V56/BS!V62</f>
        <v>0.16358151652269298</v>
      </c>
      <c r="T193" s="227">
        <f>BS!W56/BS!W62</f>
        <v>0.1518548955153792</v>
      </c>
      <c r="U193" s="227">
        <f>BS!X56/BS!X62</f>
        <v>0.14087061668681983</v>
      </c>
      <c r="V193" s="227">
        <f>BS!Y56/BS!Y62</f>
        <v>0.12780511904535694</v>
      </c>
      <c r="W193" s="227">
        <f>BS!Z56/BS!Z62</f>
        <v>0.11708789560521973</v>
      </c>
      <c r="X193" s="227">
        <f>BS!AA56/BS!AA62</f>
        <v>0.1129367760157249</v>
      </c>
      <c r="Y193" s="227">
        <f>BS!AB56/BS!AB62</f>
        <v>0.10825044993842947</v>
      </c>
      <c r="Z193" s="227">
        <f>BS!AC56/BS!AC62</f>
        <v>9.9080330330330327E-2</v>
      </c>
      <c r="AA193" s="227">
        <f>BS!AD56/BS!AD62</f>
        <v>9.355402683288358E-2</v>
      </c>
      <c r="AB193" s="227">
        <f>BS!AE56/BS!AE62</f>
        <v>9.3967892087014337E-2</v>
      </c>
      <c r="AC193" s="227">
        <f>BS!AF56/BS!AF62</f>
        <v>8.1941234730934301E-2</v>
      </c>
      <c r="AD193" s="227">
        <f>BS!AG56/BS!AG62</f>
        <v>7.1906822182374527E-2</v>
      </c>
    </row>
    <row r="194" spans="1:30" s="226" customFormat="1" x14ac:dyDescent="0.2">
      <c r="A194" s="232"/>
      <c r="B194" s="231"/>
      <c r="C194" s="235" t="s">
        <v>302</v>
      </c>
      <c r="D194" s="229"/>
      <c r="E194" s="227">
        <f>BS!D59/BS!D62</f>
        <v>-0.40246703530412592</v>
      </c>
      <c r="F194" s="227">
        <f>BS!E59/BS!E62</f>
        <v>-0.26718387813993094</v>
      </c>
      <c r="G194" s="227">
        <f>BS!F59/BS!F62</f>
        <v>-0.19807981492192017</v>
      </c>
      <c r="H194" s="227">
        <f>BS!G59/BS!G62</f>
        <v>-2.5405349581741198E-2</v>
      </c>
      <c r="I194" s="227">
        <f>BS!H59/BS!H62</f>
        <v>3.1985021648398795E-2</v>
      </c>
      <c r="J194" s="227">
        <f>BS!I59/BS!I62</f>
        <v>-2.548072369044236E-2</v>
      </c>
      <c r="K194" s="227">
        <f>BS!J59/BS!J62</f>
        <v>1.2512380323539123E-2</v>
      </c>
      <c r="L194" s="227">
        <f>BS!AG59/BS!AG62</f>
        <v>1.4756444634543571E-2</v>
      </c>
      <c r="M194" s="228"/>
      <c r="N194" s="227">
        <f>BS!Q59/BS!Q62</f>
        <v>-0.16473456816529067</v>
      </c>
      <c r="O194" s="227">
        <f>BS!R59/BS!R62</f>
        <v>-0.12680705272833626</v>
      </c>
      <c r="P194" s="227">
        <f>BS!S59/BS!S62</f>
        <v>-9.1244996407677303E-2</v>
      </c>
      <c r="Q194" s="227">
        <f>BS!T59/BS!T62</f>
        <v>-2.5405349581741198E-2</v>
      </c>
      <c r="R194" s="227">
        <f>BS!U59/BS!U62</f>
        <v>-1.18415516239556E-2</v>
      </c>
      <c r="S194" s="227">
        <f>BS!V59/BS!V62</f>
        <v>1.4083955260425848E-2</v>
      </c>
      <c r="T194" s="227">
        <f>BS!W59/BS!W62</f>
        <v>2.7451670971276512E-2</v>
      </c>
      <c r="U194" s="227">
        <f>BS!X59/BS!X62</f>
        <v>3.1985021648398795E-2</v>
      </c>
      <c r="V194" s="227">
        <f>BS!Y59/BS!Y62</f>
        <v>3.4640013681190261E-2</v>
      </c>
      <c r="W194" s="227">
        <f>BS!Z59/BS!Z62</f>
        <v>4.8316334183290836E-2</v>
      </c>
      <c r="X194" s="227">
        <f>BS!AA59/BS!AA62</f>
        <v>6.0151523825881188E-2</v>
      </c>
      <c r="Y194" s="227">
        <f>BS!AB59/BS!AB62</f>
        <v>-2.548072369044236E-2</v>
      </c>
      <c r="Z194" s="227">
        <f>BS!AC59/BS!AC62</f>
        <v>-2.120870870870871E-2</v>
      </c>
      <c r="AA194" s="227">
        <f>BS!AD59/BS!AD62</f>
        <v>-1.1592109763977045E-2</v>
      </c>
      <c r="AB194" s="227">
        <f>BS!AE59/BS!AE62</f>
        <v>-6.0036097653652512E-3</v>
      </c>
      <c r="AC194" s="227">
        <f>BS!AF59/BS!AF62</f>
        <v>1.2512380323539123E-2</v>
      </c>
      <c r="AD194" s="227">
        <f>BS!AG59/BS!AG62</f>
        <v>1.4756444634543571E-2</v>
      </c>
    </row>
    <row r="195" spans="1:30" s="226" customFormat="1" x14ac:dyDescent="0.2">
      <c r="A195" s="232"/>
      <c r="B195" s="231"/>
      <c r="C195" s="235" t="s">
        <v>301</v>
      </c>
      <c r="D195" s="229"/>
      <c r="E195" s="227">
        <f>BS!D60/BS!D62</f>
        <v>-0.33972777541471716</v>
      </c>
      <c r="F195" s="227">
        <f>BS!E60/BS!E62</f>
        <v>-6.4596243909361847E-2</v>
      </c>
      <c r="G195" s="227">
        <f>BS!F60/BS!F62</f>
        <v>4.6755349913244648E-2</v>
      </c>
      <c r="H195" s="227">
        <f>BS!G60/BS!G62</f>
        <v>0.1163895486935867</v>
      </c>
      <c r="I195" s="227">
        <f>BS!H60/BS!H62</f>
        <v>7.3819089597066734E-2</v>
      </c>
      <c r="J195" s="227">
        <f>BS!I60/BS!I62</f>
        <v>-1.4776925262858768E-2</v>
      </c>
      <c r="K195" s="227">
        <f>BS!J60/BS!J62</f>
        <v>-2.7896995708154505E-3</v>
      </c>
      <c r="L195" s="227">
        <f>BS!AG60/BS!AG62</f>
        <v>-1.0462763419810157E-2</v>
      </c>
      <c r="M195" s="228"/>
      <c r="N195" s="227">
        <f>BS!Q60/BS!Q62</f>
        <v>5.9117936433246351E-2</v>
      </c>
      <c r="O195" s="227">
        <f>BS!R60/BS!R62</f>
        <v>7.5958886939082482E-2</v>
      </c>
      <c r="P195" s="227">
        <f>BS!S60/BS!S62</f>
        <v>7.7224674125012827E-2</v>
      </c>
      <c r="Q195" s="227">
        <f>BS!T60/BS!T62</f>
        <v>0.1163895486935867</v>
      </c>
      <c r="R195" s="227">
        <f>BS!U60/BS!U62</f>
        <v>9.4371756597006556E-2</v>
      </c>
      <c r="S195" s="227">
        <f>BS!V60/BS!V62</f>
        <v>8.4464555052790352E-2</v>
      </c>
      <c r="T195" s="227">
        <f>BS!W60/BS!W62</f>
        <v>8.5916099240823357E-2</v>
      </c>
      <c r="U195" s="227">
        <f>BS!X60/BS!X62</f>
        <v>7.3819089597066734E-2</v>
      </c>
      <c r="V195" s="227">
        <f>BS!Y60/BS!Y62</f>
        <v>6.5688714918197888E-2</v>
      </c>
      <c r="W195" s="227">
        <f>BS!Z60/BS!Z62</f>
        <v>6.9652767361631923E-2</v>
      </c>
      <c r="X195" s="227">
        <f>BS!AA60/BS!AA62</f>
        <v>7.5342073624549144E-2</v>
      </c>
      <c r="Y195" s="227">
        <f>BS!AB60/BS!AB62</f>
        <v>-1.4776925262858768E-2</v>
      </c>
      <c r="Z195" s="227">
        <f>BS!AC60/BS!AC62</f>
        <v>-1.9106606606606607E-2</v>
      </c>
      <c r="AA195" s="227">
        <f>BS!AD60/BS!AD62</f>
        <v>-1.6514005549009919E-2</v>
      </c>
      <c r="AB195" s="227">
        <f>BS!AE60/BS!AE62</f>
        <v>-1.0791298565593237E-2</v>
      </c>
      <c r="AC195" s="227">
        <f>BS!AF60/BS!AF62</f>
        <v>-2.7896995708154505E-3</v>
      </c>
      <c r="AD195" s="227">
        <f>BS!AG60/BS!AG62</f>
        <v>-1.0462763419810157E-2</v>
      </c>
    </row>
    <row r="196" spans="1:30" s="226" customFormat="1" x14ac:dyDescent="0.2">
      <c r="A196" s="232"/>
      <c r="B196" s="231"/>
      <c r="C196" s="235" t="s">
        <v>83</v>
      </c>
      <c r="D196" s="229"/>
      <c r="E196" s="227">
        <f>BS!D62/BS!D62</f>
        <v>1</v>
      </c>
      <c r="F196" s="227">
        <f>BS!E62/BS!E62</f>
        <v>1</v>
      </c>
      <c r="G196" s="227">
        <f>BS!F62/BS!F62</f>
        <v>1</v>
      </c>
      <c r="H196" s="227">
        <f>BS!G62/BS!G62</f>
        <v>1</v>
      </c>
      <c r="I196" s="227">
        <f>BS!H62/BS!H62</f>
        <v>1</v>
      </c>
      <c r="J196" s="227">
        <f>BS!I62/BS!I62</f>
        <v>1</v>
      </c>
      <c r="K196" s="227">
        <f>BS!J62/BS!J62</f>
        <v>1</v>
      </c>
      <c r="L196" s="227">
        <f>BS!AG62/BS!AG62</f>
        <v>1</v>
      </c>
      <c r="M196" s="228"/>
      <c r="N196" s="227">
        <f>BS!Q62/BS!Q62</f>
        <v>1</v>
      </c>
      <c r="O196" s="227">
        <f>BS!R62/BS!R62</f>
        <v>1</v>
      </c>
      <c r="P196" s="227">
        <f>BS!S62/BS!S62</f>
        <v>1</v>
      </c>
      <c r="Q196" s="227">
        <f>BS!T62/BS!T62</f>
        <v>1</v>
      </c>
      <c r="R196" s="227">
        <f>BS!U62/BS!U62</f>
        <v>1</v>
      </c>
      <c r="S196" s="227">
        <f>BS!V62/BS!V62</f>
        <v>1</v>
      </c>
      <c r="T196" s="227">
        <f>BS!W62/BS!W62</f>
        <v>1</v>
      </c>
      <c r="U196" s="227">
        <f>BS!X62/BS!X62</f>
        <v>1</v>
      </c>
      <c r="V196" s="227">
        <f>BS!Y62/BS!Y62</f>
        <v>1</v>
      </c>
      <c r="W196" s="227">
        <f>BS!Z62/BS!Z62</f>
        <v>1</v>
      </c>
      <c r="X196" s="227">
        <f>BS!AA62/BS!AA62</f>
        <v>1</v>
      </c>
      <c r="Y196" s="227">
        <f>BS!AB62/BS!AB62</f>
        <v>1</v>
      </c>
      <c r="Z196" s="227">
        <f>BS!AC62/BS!AC62</f>
        <v>1</v>
      </c>
      <c r="AA196" s="227">
        <f>BS!AD62/BS!AD62</f>
        <v>1</v>
      </c>
      <c r="AB196" s="227">
        <f>BS!AE62/BS!AE62</f>
        <v>1</v>
      </c>
      <c r="AC196" s="227">
        <f>BS!AF62/BS!AF62</f>
        <v>1</v>
      </c>
      <c r="AD196" s="227">
        <f>BS!AG62/BS!AG62</f>
        <v>1</v>
      </c>
    </row>
    <row r="197" spans="1:30" s="226" customFormat="1" ht="4.5" customHeight="1" x14ac:dyDescent="0.2">
      <c r="A197" s="239"/>
      <c r="B197" s="231"/>
      <c r="C197" s="238"/>
      <c r="D197" s="229"/>
      <c r="E197" s="237"/>
      <c r="F197" s="237"/>
      <c r="G197" s="237"/>
      <c r="H197" s="237"/>
      <c r="I197" s="237"/>
      <c r="J197" s="237"/>
      <c r="K197" s="237"/>
      <c r="L197" s="237"/>
      <c r="N197" s="237"/>
      <c r="O197" s="237"/>
      <c r="P197" s="237"/>
      <c r="Q197" s="237"/>
      <c r="R197" s="237"/>
      <c r="S197" s="237"/>
      <c r="T197" s="237"/>
      <c r="U197" s="237"/>
      <c r="V197" s="237"/>
      <c r="W197" s="237"/>
      <c r="X197" s="237"/>
      <c r="Y197" s="237"/>
      <c r="Z197" s="237"/>
      <c r="AA197" s="237"/>
      <c r="AB197" s="237"/>
      <c r="AC197" s="237"/>
      <c r="AD197" s="237"/>
    </row>
    <row r="198" spans="1:30" s="234" customFormat="1" x14ac:dyDescent="0.2">
      <c r="A198" s="235"/>
      <c r="B198" s="236" t="s">
        <v>319</v>
      </c>
      <c r="C198" s="235"/>
      <c r="D198" s="229"/>
      <c r="E198" s="240"/>
      <c r="F198" s="240"/>
      <c r="G198" s="240"/>
      <c r="H198" s="240"/>
      <c r="I198" s="240"/>
      <c r="J198" s="240"/>
      <c r="K198" s="240"/>
      <c r="L198" s="240"/>
      <c r="N198" s="240"/>
      <c r="O198" s="240"/>
      <c r="P198" s="240"/>
      <c r="Q198" s="240"/>
      <c r="R198" s="240"/>
      <c r="S198" s="240"/>
      <c r="T198" s="240"/>
      <c r="U198" s="240"/>
      <c r="V198" s="240"/>
      <c r="W198" s="240"/>
      <c r="X198" s="240"/>
      <c r="Y198" s="240"/>
      <c r="Z198" s="240"/>
      <c r="AA198" s="240"/>
      <c r="AB198" s="240"/>
      <c r="AC198" s="240"/>
      <c r="AD198" s="240"/>
    </row>
    <row r="199" spans="1:30" s="226" customFormat="1" x14ac:dyDescent="0.2">
      <c r="A199" s="232"/>
      <c r="B199" s="231"/>
      <c r="C199" s="235" t="s">
        <v>317</v>
      </c>
      <c r="D199" s="229"/>
      <c r="E199" s="227">
        <f>BS!D5/BS!C5-1</f>
        <v>0.69611307420494706</v>
      </c>
      <c r="F199" s="227">
        <f>BS!E5/BS!D5-1</f>
        <v>1.375</v>
      </c>
      <c r="G199" s="227">
        <f>BS!F5/BS!E5-1</f>
        <v>-0.12807017543859645</v>
      </c>
      <c r="H199" s="227">
        <f>BS!G5/BS!F5-1</f>
        <v>-0.60764587525150904</v>
      </c>
      <c r="I199" s="227">
        <f>BS!H5/BS!G5-1</f>
        <v>-0.17435897435897441</v>
      </c>
      <c r="J199" s="227">
        <f>BS!I5/BS!H5-1</f>
        <v>-8.3850931677018625E-2</v>
      </c>
      <c r="K199" s="227">
        <f>BS!J5/BS!I5-1</f>
        <v>-6.7796610169491567E-2</v>
      </c>
      <c r="L199" s="227">
        <f>BS!AG5/BS!AF5-1</f>
        <v>0.22545454545454535</v>
      </c>
      <c r="M199" s="234"/>
      <c r="N199" s="227">
        <f>BS!Q5/BS!P5-1</f>
        <v>5.4325955734406461E-2</v>
      </c>
      <c r="O199" s="227">
        <f>BS!R5/BS!Q5-1</f>
        <v>-9.1603053435114545E-2</v>
      </c>
      <c r="P199" s="227">
        <f>BS!S5/BS!R5-1</f>
        <v>6.7226890756302504E-2</v>
      </c>
      <c r="Q199" s="227">
        <f>BS!T5/BS!S5-1</f>
        <v>-0.61614173228346458</v>
      </c>
      <c r="R199" s="227">
        <f>BS!U5/BS!T5-1</f>
        <v>0.26923076923076916</v>
      </c>
      <c r="S199" s="227">
        <f>BS!V5/BS!U5-1</f>
        <v>-9.8989898989898961E-2</v>
      </c>
      <c r="T199" s="227">
        <f>BS!W5/BS!V5-1</f>
        <v>-0.14573991031390132</v>
      </c>
      <c r="U199" s="227">
        <f>BS!X5/BS!W5-1</f>
        <v>-0.15485564304461941</v>
      </c>
      <c r="V199" s="227">
        <f>BS!Y5/BS!X5-1</f>
        <v>0.16149068322981375</v>
      </c>
      <c r="W199" s="227">
        <f>BS!Z5/BS!Y5-1</f>
        <v>3.2085561497326109E-2</v>
      </c>
      <c r="X199" s="227">
        <f>BS!AA5/BS!Z5-1</f>
        <v>-0.11917098445595853</v>
      </c>
      <c r="Y199" s="227">
        <f>BS!AB5/BS!AA5-1</f>
        <v>-0.13235294117647056</v>
      </c>
      <c r="Z199" s="227">
        <f>BS!AC5/BS!AB5-1</f>
        <v>6.7796610169490457E-3</v>
      </c>
      <c r="AA199" s="227">
        <f>BS!AD5/BS!AC5-1</f>
        <v>-1.3468013468013518E-2</v>
      </c>
      <c r="AB199" s="227">
        <f>BS!AE5/BS!AD5-1</f>
        <v>3.4129692832764569E-2</v>
      </c>
      <c r="AC199" s="227">
        <f>BS!AF5/BS!AE5-1</f>
        <v>-9.2409240924092417E-2</v>
      </c>
      <c r="AD199" s="227">
        <f>BS!AG5/BS!AF5-1</f>
        <v>0.22545454545454535</v>
      </c>
    </row>
    <row r="200" spans="1:30" s="226" customFormat="1" x14ac:dyDescent="0.2">
      <c r="A200" s="232"/>
      <c r="B200" s="231"/>
      <c r="C200" s="235" t="s">
        <v>316</v>
      </c>
      <c r="D200" s="229"/>
      <c r="E200" s="227"/>
      <c r="F200" s="227"/>
      <c r="G200" s="227"/>
      <c r="H200" s="227"/>
      <c r="I200" s="227"/>
      <c r="J200" s="227"/>
      <c r="K200" s="227"/>
      <c r="L200" s="227"/>
      <c r="M200" s="234"/>
      <c r="N200" s="227"/>
      <c r="O200" s="227"/>
      <c r="P200" s="227"/>
      <c r="Q200" s="227"/>
      <c r="R200" s="227"/>
      <c r="S200" s="227"/>
      <c r="T200" s="227"/>
      <c r="U200" s="227"/>
      <c r="V200" s="227"/>
      <c r="W200" s="227"/>
      <c r="X200" s="227"/>
      <c r="Y200" s="227"/>
      <c r="Z200" s="227"/>
      <c r="AA200" s="227"/>
      <c r="AB200" s="227"/>
      <c r="AC200" s="227"/>
      <c r="AD200" s="227"/>
    </row>
    <row r="201" spans="1:30" s="226" customFormat="1" x14ac:dyDescent="0.2">
      <c r="A201" s="232"/>
      <c r="B201" s="231"/>
      <c r="C201" s="235" t="s">
        <v>315</v>
      </c>
      <c r="D201" s="229"/>
      <c r="E201" s="227"/>
      <c r="F201" s="227"/>
      <c r="G201" s="227"/>
      <c r="H201" s="227"/>
      <c r="I201" s="227"/>
      <c r="J201" s="227"/>
      <c r="K201" s="227"/>
      <c r="L201" s="227"/>
      <c r="M201" s="234"/>
      <c r="N201" s="227"/>
      <c r="O201" s="227"/>
      <c r="P201" s="227"/>
      <c r="Q201" s="227"/>
      <c r="R201" s="227"/>
      <c r="S201" s="227"/>
      <c r="T201" s="227"/>
      <c r="U201" s="227"/>
      <c r="V201" s="227"/>
      <c r="W201" s="227"/>
      <c r="X201" s="227"/>
      <c r="Y201" s="227"/>
      <c r="Z201" s="227"/>
      <c r="AA201" s="227"/>
      <c r="AB201" s="227"/>
      <c r="AC201" s="227"/>
      <c r="AD201" s="227"/>
    </row>
    <row r="202" spans="1:30" s="226" customFormat="1" x14ac:dyDescent="0.2">
      <c r="A202" s="232"/>
      <c r="B202" s="231"/>
      <c r="C202" s="235" t="s">
        <v>314</v>
      </c>
      <c r="D202" s="229"/>
      <c r="E202" s="227">
        <f>BS!D8/BS!C8-1</f>
        <v>0.24611973392461195</v>
      </c>
      <c r="F202" s="227">
        <f>BS!E8/BS!D8-1</f>
        <v>0.38790035587188609</v>
      </c>
      <c r="G202" s="227">
        <f>BS!F8/BS!E8-1</f>
        <v>0.13525641025641022</v>
      </c>
      <c r="H202" s="227">
        <f>BS!G8/BS!F8-1</f>
        <v>-0.19536984754376063</v>
      </c>
      <c r="I202" s="227">
        <f>BS!H8/BS!G8-1</f>
        <v>0.11859649122807014</v>
      </c>
      <c r="J202" s="227">
        <f>BS!I8/BS!H8-1</f>
        <v>9.9121706398996201E-2</v>
      </c>
      <c r="K202" s="227">
        <f>BS!J8/BS!I8-1</f>
        <v>-2.6255707762557035E-2</v>
      </c>
      <c r="L202" s="227">
        <f>BS!AG8/BS!AF8-1</f>
        <v>9.9648300117233246E-2</v>
      </c>
      <c r="M202" s="234"/>
      <c r="N202" s="227">
        <f>BS!Q8/BS!P8-1</f>
        <v>3.105590062111796E-2</v>
      </c>
      <c r="O202" s="227">
        <f>BS!R8/BS!Q8-1</f>
        <v>3.6144578313253017E-2</v>
      </c>
      <c r="P202" s="227">
        <f>BS!S8/BS!R8-1</f>
        <v>-3.3826638477801318E-2</v>
      </c>
      <c r="Q202" s="227">
        <f>BS!T8/BS!S8-1</f>
        <v>-0.22045951859956237</v>
      </c>
      <c r="R202" s="227">
        <f>BS!U8/BS!T8-1</f>
        <v>1.7543859649122862E-2</v>
      </c>
      <c r="S202" s="227">
        <f>BS!V8/BS!U8-1</f>
        <v>9.8620689655172455E-2</v>
      </c>
      <c r="T202" s="227">
        <f>BS!W8/BS!V8-1</f>
        <v>6.905210295040809E-2</v>
      </c>
      <c r="U202" s="227">
        <f>BS!X8/BS!W8-1</f>
        <v>-6.4004697592483839E-2</v>
      </c>
      <c r="V202" s="227">
        <f>BS!Y8/BS!X8-1</f>
        <v>-0.12358845671267249</v>
      </c>
      <c r="W202" s="227">
        <f>BS!Z8/BS!Y8-1</f>
        <v>0.10450966356478175</v>
      </c>
      <c r="X202" s="227">
        <f>BS!AA8/BS!Z8-1</f>
        <v>0.10174983797796511</v>
      </c>
      <c r="Y202" s="227">
        <f>BS!AB8/BS!AA8-1</f>
        <v>3.0588235294117583E-2</v>
      </c>
      <c r="Z202" s="227">
        <f>BS!AC8/BS!AB8-1</f>
        <v>3.2534246575342429E-2</v>
      </c>
      <c r="AA202" s="227">
        <f>BS!AD8/BS!AC8-1</f>
        <v>7.296849087893853E-2</v>
      </c>
      <c r="AB202" s="227">
        <f>BS!AE8/BS!AD8-1</f>
        <v>0.11798042246264817</v>
      </c>
      <c r="AC202" s="227">
        <f>BS!AF8/BS!AE8-1</f>
        <v>-0.21382488479262673</v>
      </c>
      <c r="AD202" s="227">
        <f>BS!AG8/BS!AF8-1</f>
        <v>9.9648300117233246E-2</v>
      </c>
    </row>
    <row r="203" spans="1:30" s="226" customFormat="1" x14ac:dyDescent="0.2">
      <c r="A203" s="232"/>
      <c r="B203" s="231"/>
      <c r="C203" s="235" t="s">
        <v>313</v>
      </c>
      <c r="D203" s="229"/>
      <c r="E203" s="227">
        <f>BS!D11/BS!C11-1</f>
        <v>4.6618321740417246E-2</v>
      </c>
      <c r="F203" s="227">
        <f>BS!E11/BS!D11-1</f>
        <v>1.0253110859728505</v>
      </c>
      <c r="G203" s="227">
        <f>BS!F11/BS!E11-1</f>
        <v>-0.17964113663338688</v>
      </c>
      <c r="H203" s="227">
        <f>BS!G11/BS!F11-1</f>
        <v>-0.15021276595744681</v>
      </c>
      <c r="I203" s="227">
        <f>BS!H11/BS!G11-1</f>
        <v>3.3950926389584302E-2</v>
      </c>
      <c r="J203" s="227">
        <f>BS!I11/BS!H11-1</f>
        <v>-0.11410306082913602</v>
      </c>
      <c r="K203" s="227">
        <f>BS!J11/BS!I11-1</f>
        <v>-5.5652744369123153E-2</v>
      </c>
      <c r="L203" s="227">
        <f>BS!AG11/BS!AF11-1</f>
        <v>1.9682760217667461E-3</v>
      </c>
      <c r="M203" s="234"/>
      <c r="N203" s="227">
        <f>BS!Q11/BS!P11-1</f>
        <v>0.20246808510638292</v>
      </c>
      <c r="O203" s="227">
        <f>BS!R11/BS!Q11-1</f>
        <v>-1.4155283459551526E-3</v>
      </c>
      <c r="P203" s="227">
        <f>BS!S11/BS!R11-1</f>
        <v>-2.8563328371961183E-2</v>
      </c>
      <c r="Q203" s="227">
        <f>BS!T11/BS!S11-1</f>
        <v>-0.27148694002626583</v>
      </c>
      <c r="R203" s="227">
        <f>BS!U11/BS!T11-1</f>
        <v>8.1822734101151706E-2</v>
      </c>
      <c r="S203" s="227">
        <f>BS!V11/BS!U11-1</f>
        <v>3.5363821514534433E-2</v>
      </c>
      <c r="T203" s="227">
        <f>BS!W11/BS!V11-1</f>
        <v>-1.2160228898426273E-2</v>
      </c>
      <c r="U203" s="227">
        <f>BS!X11/BS!W11-1</f>
        <v>-6.553222302679218E-2</v>
      </c>
      <c r="V203" s="227">
        <f>BS!Y11/BS!X11-1</f>
        <v>2.925222781867487E-2</v>
      </c>
      <c r="W203" s="227">
        <f>BS!Z11/BS!Y11-1</f>
        <v>3.6702428006775811E-2</v>
      </c>
      <c r="X203" s="227">
        <f>BS!AA11/BS!Z11-1</f>
        <v>-9.2047930283224444E-2</v>
      </c>
      <c r="Y203" s="227">
        <f>BS!AB11/BS!AA11-1</f>
        <v>-8.5582883423315326E-2</v>
      </c>
      <c r="Z203" s="227">
        <f>BS!AC11/BS!AB11-1</f>
        <v>5.762081784386619E-2</v>
      </c>
      <c r="AA203" s="227">
        <f>BS!AD11/BS!AC11-1</f>
        <v>-5.1380130259485179E-2</v>
      </c>
      <c r="AB203" s="227">
        <f>BS!AE11/BS!AD11-1</f>
        <v>3.5091543156059224E-2</v>
      </c>
      <c r="AC203" s="227">
        <f>BS!AF11/BS!AE11-1</f>
        <v>-9.0650663297536349E-2</v>
      </c>
      <c r="AD203" s="227">
        <f>BS!AG11/BS!AF11-1</f>
        <v>1.9682760217667461E-3</v>
      </c>
    </row>
    <row r="204" spans="1:30" s="226" customFormat="1" x14ac:dyDescent="0.2">
      <c r="A204" s="232"/>
      <c r="B204" s="231"/>
      <c r="C204" s="235" t="s">
        <v>312</v>
      </c>
      <c r="D204" s="229"/>
      <c r="E204" s="227">
        <f>BS!D17/BS!C17-1</f>
        <v>-2.4985917759716703E-2</v>
      </c>
      <c r="F204" s="227">
        <f>BS!E17/BS!D17-1</f>
        <v>0.25415755374901994</v>
      </c>
      <c r="G204" s="227">
        <f>BS!F17/BS!E17-1</f>
        <v>0.16290471176625432</v>
      </c>
      <c r="H204" s="227">
        <f>BS!G17/BS!F17-1</f>
        <v>0.15027020909373845</v>
      </c>
      <c r="I204" s="227">
        <f>BS!H17/BS!G17-1</f>
        <v>0.11558518226988723</v>
      </c>
      <c r="J204" s="227">
        <f>BS!I17/BS!H17-1</f>
        <v>9.8097149030935027E-2</v>
      </c>
      <c r="K204" s="227">
        <f>BS!J17/BS!I17-1</f>
        <v>3.4918276374442891E-2</v>
      </c>
      <c r="L204" s="227">
        <f>BS!AG17/BS!AF17-1</f>
        <v>1.1932248113152744E-2</v>
      </c>
      <c r="M204" s="234"/>
      <c r="N204" s="227">
        <f>BS!Q17/BS!P17-1</f>
        <v>3.4179328296975342E-2</v>
      </c>
      <c r="O204" s="227">
        <f>BS!R17/BS!Q17-1</f>
        <v>4.1968755984788331E-2</v>
      </c>
      <c r="P204" s="227">
        <f>BS!S17/BS!R17-1</f>
        <v>2.9460417487199742E-2</v>
      </c>
      <c r="Q204" s="227">
        <f>BS!T17/BS!S17-1</f>
        <v>3.6906674828474539E-2</v>
      </c>
      <c r="R204" s="227">
        <f>BS!U17/BS!T17-1</f>
        <v>3.374821665764749E-2</v>
      </c>
      <c r="S204" s="227">
        <f>BS!V17/BS!U17-1</f>
        <v>3.3050968448103513E-2</v>
      </c>
      <c r="T204" s="227">
        <f>BS!W17/BS!V17-1</f>
        <v>2.0914430496372205E-2</v>
      </c>
      <c r="U204" s="227">
        <f>BS!X17/BS!W17-1</f>
        <v>2.3238499199061513E-2</v>
      </c>
      <c r="V204" s="227">
        <f>BS!Y17/BS!X17-1</f>
        <v>3.4793729191012757E-2</v>
      </c>
      <c r="W204" s="227">
        <f>BS!Z17/BS!Y17-1</f>
        <v>2.5356374251560787E-2</v>
      </c>
      <c r="X204" s="227">
        <f>BS!AA17/BS!Z17-1</f>
        <v>1.2593254504270401E-2</v>
      </c>
      <c r="Y204" s="227">
        <f>BS!AB17/BS!AA17-1</f>
        <v>2.2061690643790932E-2</v>
      </c>
      <c r="Z204" s="227">
        <f>BS!AC17/BS!AB17-1</f>
        <v>1.3854865266455185E-2</v>
      </c>
      <c r="AA204" s="227">
        <f>BS!AD17/BS!AC17-1</f>
        <v>1.3011962291056056E-2</v>
      </c>
      <c r="AB204" s="227">
        <f>BS!AE17/BS!AD17-1</f>
        <v>6.8623042483724195E-3</v>
      </c>
      <c r="AC204" s="227">
        <f>BS!AF17/BS!AE17-1</f>
        <v>7.961165048544494E-4</v>
      </c>
      <c r="AD204" s="227">
        <f>BS!AG17/BS!AF17-1</f>
        <v>1.1932248113152744E-2</v>
      </c>
    </row>
    <row r="205" spans="1:30" s="226" customFormat="1" x14ac:dyDescent="0.2">
      <c r="A205" s="232"/>
      <c r="B205" s="231"/>
      <c r="C205" s="235" t="s">
        <v>311</v>
      </c>
      <c r="D205" s="229"/>
      <c r="E205" s="227">
        <f>BS!D18/BS!C18-1</f>
        <v>2.6829730754645453E-2</v>
      </c>
      <c r="F205" s="227">
        <f>BS!E18/BS!D18-1</f>
        <v>2.7882928630782011E-2</v>
      </c>
      <c r="G205" s="227">
        <f>BS!F18/BS!E18-1</f>
        <v>0.10114075271714729</v>
      </c>
      <c r="H205" s="227">
        <f>BS!G18/BS!F18-1</f>
        <v>7.219185904233627E-2</v>
      </c>
      <c r="I205" s="227">
        <f>BS!H18/BS!G18-1</f>
        <v>7.9884357881923274E-2</v>
      </c>
      <c r="J205" s="227">
        <f>BS!I18/BS!H18-1</f>
        <v>0.10229674510356479</v>
      </c>
      <c r="K205" s="227">
        <f>BS!J18/BS!I18-1</f>
        <v>0.11485363671225879</v>
      </c>
      <c r="L205" s="227">
        <f>BS!AG18/BS!AF18-1</f>
        <v>1.7370865103479849E-2</v>
      </c>
      <c r="M205" s="234"/>
      <c r="N205" s="227">
        <f>BS!Q18/BS!P18-1</f>
        <v>2.039318052043404E-2</v>
      </c>
      <c r="O205" s="227">
        <f>BS!R18/BS!Q18-1</f>
        <v>2.3023423135342558E-2</v>
      </c>
      <c r="P205" s="227">
        <f>BS!S18/BS!R18-1</f>
        <v>9.2209111510510589E-3</v>
      </c>
      <c r="Q205" s="227">
        <f>BS!T18/BS!S18-1</f>
        <v>1.7731320170344622E-2</v>
      </c>
      <c r="R205" s="227">
        <f>BS!U18/BS!T18-1</f>
        <v>1.8944004869141828E-2</v>
      </c>
      <c r="S205" s="227">
        <f>BS!V18/BS!U18-1</f>
        <v>3.0687672664824861E-2</v>
      </c>
      <c r="T205" s="227">
        <f>BS!W18/BS!V18-1</f>
        <v>1.5575195595479485E-2</v>
      </c>
      <c r="U205" s="227">
        <f>BS!X18/BS!W18-1</f>
        <v>1.2483058706041827E-2</v>
      </c>
      <c r="V205" s="227">
        <f>BS!Y18/BS!X18-1</f>
        <v>3.1421727490488882E-2</v>
      </c>
      <c r="W205" s="227">
        <f>BS!Z18/BS!Y18-1</f>
        <v>3.3333333333333437E-2</v>
      </c>
      <c r="X205" s="227">
        <f>BS!AA18/BS!Z18-1</f>
        <v>1.9037546271813754E-2</v>
      </c>
      <c r="Y205" s="227">
        <f>BS!AB18/BS!AA18-1</f>
        <v>1.4919564089257875E-2</v>
      </c>
      <c r="Z205" s="227">
        <f>BS!AC18/BS!AB18-1</f>
        <v>3.2787933018023852E-2</v>
      </c>
      <c r="AA205" s="227">
        <f>BS!AD18/BS!AC18-1</f>
        <v>3.5026919982672267E-2</v>
      </c>
      <c r="AB205" s="227">
        <f>BS!AE18/BS!AD18-1</f>
        <v>3.3004484304932635E-2</v>
      </c>
      <c r="AC205" s="227">
        <f>BS!AF18/BS!AE18-1</f>
        <v>9.6081495630029323E-3</v>
      </c>
      <c r="AD205" s="227">
        <f>BS!AG18/BS!AF18-1</f>
        <v>1.7370865103479849E-2</v>
      </c>
    </row>
    <row r="206" spans="1:30" s="226" customFormat="1" x14ac:dyDescent="0.2">
      <c r="A206" s="232"/>
      <c r="B206" s="231"/>
      <c r="C206" s="235" t="s">
        <v>310</v>
      </c>
      <c r="D206" s="229"/>
      <c r="E206" s="227">
        <f>BS!D19/BS!C19-1</f>
        <v>-6.3190269816860045E-2</v>
      </c>
      <c r="F206" s="227">
        <f>BS!E19/BS!D19-1</f>
        <v>0.43702432472765262</v>
      </c>
      <c r="G206" s="227">
        <f>BS!F19/BS!E19-1</f>
        <v>0.19860844280596091</v>
      </c>
      <c r="H206" s="227">
        <f>BS!G19/BS!F19-1</f>
        <v>0.19173453474267887</v>
      </c>
      <c r="I206" s="227">
        <f>BS!H19/BS!G19-1</f>
        <v>0.13264267539076702</v>
      </c>
      <c r="J206" s="227">
        <f>BS!I19/BS!H19-1</f>
        <v>9.6184088064443563E-2</v>
      </c>
      <c r="K206" s="227">
        <f>BS!J19/BS!I19-1</f>
        <v>-1.6980911113713137E-3</v>
      </c>
      <c r="L206" s="227">
        <f>BS!AG19/BS!AF19-1</f>
        <v>9.1500967798698873E-3</v>
      </c>
      <c r="M206" s="234"/>
      <c r="N206" s="227">
        <f>BS!Q19/BS!P19-1</f>
        <v>4.1500606480679325E-2</v>
      </c>
      <c r="O206" s="227">
        <f>BS!R19/BS!Q19-1</f>
        <v>5.1825971217036804E-2</v>
      </c>
      <c r="P206" s="227">
        <f>BS!S19/BS!R19-1</f>
        <v>3.9702625751344423E-2</v>
      </c>
      <c r="Q206" s="227">
        <f>BS!T19/BS!S19-1</f>
        <v>4.6325878594249303E-2</v>
      </c>
      <c r="R206" s="227">
        <f>BS!U19/BS!T19-1</f>
        <v>4.0821519447473698E-2</v>
      </c>
      <c r="S206" s="227">
        <f>BS!V19/BS!U19-1</f>
        <v>3.4156392973142768E-2</v>
      </c>
      <c r="T206" s="227">
        <f>BS!W19/BS!V19-1</f>
        <v>2.3403464928573925E-2</v>
      </c>
      <c r="U206" s="227">
        <f>BS!X19/BS!W19-1</f>
        <v>2.8214097148891337E-2</v>
      </c>
      <c r="V206" s="227">
        <f>BS!Y19/BS!X19-1</f>
        <v>3.632979235533873E-2</v>
      </c>
      <c r="W206" s="227">
        <f>BS!Z19/BS!Y19-1</f>
        <v>2.1739803660462576E-2</v>
      </c>
      <c r="X206" s="227">
        <f>BS!AA19/BS!Z19-1</f>
        <v>9.6384081471827532E-3</v>
      </c>
      <c r="Y206" s="227">
        <f>BS!AB19/BS!AA19-1</f>
        <v>2.5366995887244448E-2</v>
      </c>
      <c r="Z206" s="227">
        <f>BS!AC19/BS!AB19-1</f>
        <v>5.1821056329781623E-3</v>
      </c>
      <c r="AA206" s="227">
        <f>BS!AD19/BS!AC19-1</f>
        <v>2.6505111700112494E-3</v>
      </c>
      <c r="AB206" s="227">
        <f>BS!AE19/BS!AD19-1</f>
        <v>-5.8389495700673644E-3</v>
      </c>
      <c r="AC206" s="227">
        <f>BS!AF19/BS!AE19-1</f>
        <v>-3.652514390906747E-3</v>
      </c>
      <c r="AD206" s="227">
        <f>BS!AG19/BS!AF19-1</f>
        <v>9.1500967798698873E-3</v>
      </c>
    </row>
    <row r="207" spans="1:30" s="226" customFormat="1" x14ac:dyDescent="0.2">
      <c r="A207" s="232"/>
      <c r="B207" s="231"/>
      <c r="C207" s="235" t="s">
        <v>122</v>
      </c>
      <c r="D207" s="229"/>
      <c r="E207" s="227">
        <f>BS!D25/BS!C25-1</f>
        <v>-2.7964205816554788E-2</v>
      </c>
      <c r="F207" s="227">
        <f>BS!E25/BS!D25-1</f>
        <v>6.3613348676639818</v>
      </c>
      <c r="G207" s="227">
        <f>BS!F25/BS!E25-1</f>
        <v>-1.0317336251367881E-2</v>
      </c>
      <c r="H207" s="227">
        <f>BS!G25/BS!F25-1</f>
        <v>1.4215763702416506E-3</v>
      </c>
      <c r="I207" s="227">
        <f>BS!H25/BS!G25-1</f>
        <v>-1.1987381703470024E-2</v>
      </c>
      <c r="J207" s="227">
        <f>BS!I25/BS!H25-1</f>
        <v>4.7892720306512704E-3</v>
      </c>
      <c r="K207" s="227">
        <f>BS!J25/BS!I25-1</f>
        <v>-1.0486177311725409E-2</v>
      </c>
      <c r="L207" s="227">
        <f>BS!AG25/BS!AF25-1</f>
        <v>-3.5324341682723137E-3</v>
      </c>
      <c r="M207" s="234"/>
      <c r="N207" s="227">
        <f>BS!Q25/BS!P25-1</f>
        <v>6.4760701311008528E-3</v>
      </c>
      <c r="O207" s="227">
        <f>BS!R25/BS!Q25-1</f>
        <v>-1.098556183301902E-3</v>
      </c>
      <c r="P207" s="227">
        <f>BS!S25/BS!R25-1</f>
        <v>-2.0424194815397145E-3</v>
      </c>
      <c r="Q207" s="227">
        <f>BS!T25/BS!S25-1</f>
        <v>-1.8891687657430767E-3</v>
      </c>
      <c r="R207" s="227">
        <f>BS!U25/BS!T25-1</f>
        <v>-2.0504731861198389E-3</v>
      </c>
      <c r="S207" s="227">
        <f>BS!V25/BS!U25-1</f>
        <v>-3.6352141615298983E-3</v>
      </c>
      <c r="T207" s="227">
        <f>BS!W25/BS!V25-1</f>
        <v>-3.8071065989847552E-3</v>
      </c>
      <c r="U207" s="227">
        <f>BS!X25/BS!W25-1</f>
        <v>-2.5477707006369421E-3</v>
      </c>
      <c r="V207" s="227">
        <f>BS!Y25/BS!X25-1</f>
        <v>1.0057471264367734E-2</v>
      </c>
      <c r="W207" s="227">
        <f>BS!Z25/BS!Y25-1</f>
        <v>-1.8966334755808889E-3</v>
      </c>
      <c r="X207" s="227">
        <f>BS!AA25/BS!Z25-1</f>
        <v>-1.5835312747426444E-3</v>
      </c>
      <c r="Y207" s="227">
        <f>BS!AB25/BS!AA25-1</f>
        <v>-1.7446471054718415E-3</v>
      </c>
      <c r="Z207" s="227">
        <f>BS!AC25/BS!AB25-1</f>
        <v>-1.588814744200806E-3</v>
      </c>
      <c r="AA207" s="227">
        <f>BS!AD25/BS!AC25-1</f>
        <v>-5.7288351368555146E-3</v>
      </c>
      <c r="AB207" s="227">
        <f>BS!AE25/BS!AD25-1</f>
        <v>-1.6005121638924535E-3</v>
      </c>
      <c r="AC207" s="227">
        <f>BS!AF25/BS!AE25-1</f>
        <v>-1.603077909586359E-3</v>
      </c>
      <c r="AD207" s="227">
        <f>BS!AG25/BS!AF25-1</f>
        <v>-3.5324341682723137E-3</v>
      </c>
    </row>
    <row r="208" spans="1:30" s="226" customFormat="1" x14ac:dyDescent="0.2">
      <c r="A208" s="232"/>
      <c r="B208" s="231"/>
      <c r="C208" s="235" t="s">
        <v>117</v>
      </c>
      <c r="D208" s="229"/>
      <c r="E208" s="227">
        <f>BS!D30/BS!C30-1</f>
        <v>-1.4173096276417274E-2</v>
      </c>
      <c r="F208" s="227">
        <f>BS!E30/BS!D30-1</f>
        <v>0.79829859634198219</v>
      </c>
      <c r="G208" s="227">
        <f>BS!F30/BS!E30-1</f>
        <v>2.2399356639386969E-2</v>
      </c>
      <c r="H208" s="227">
        <f>BS!G30/BS!F30-1</f>
        <v>0.12006940427993062</v>
      </c>
      <c r="I208" s="227">
        <f>BS!H30/BS!G30-1</f>
        <v>5.9051946710730219E-2</v>
      </c>
      <c r="J208" s="227">
        <f>BS!I30/BS!H30-1</f>
        <v>2.9469126652884592E-2</v>
      </c>
      <c r="K208" s="227">
        <f>BS!J30/BS!I30-1</f>
        <v>0.14767452874869758</v>
      </c>
      <c r="L208" s="227">
        <f>BS!AG30/BS!AF30-1</f>
        <v>3.4169692967975784E-3</v>
      </c>
      <c r="M208" s="234"/>
      <c r="N208" s="227">
        <f>BS!Q30/BS!P30-1</f>
        <v>8.1642567958357448E-2</v>
      </c>
      <c r="O208" s="227">
        <f>BS!R30/BS!Q30-1</f>
        <v>2.3826838345382129E-2</v>
      </c>
      <c r="P208" s="227">
        <f>BS!S30/BS!R30-1</f>
        <v>1.769449318960481E-2</v>
      </c>
      <c r="Q208" s="227">
        <f>BS!T30/BS!S30-1</f>
        <v>-6.1582674740839893E-3</v>
      </c>
      <c r="R208" s="227">
        <f>BS!U30/BS!T30-1</f>
        <v>3.0858205101724767E-2</v>
      </c>
      <c r="S208" s="227">
        <f>BS!V30/BS!U30-1</f>
        <v>2.2881644593159445E-2</v>
      </c>
      <c r="T208" s="227">
        <f>BS!W30/BS!V30-1</f>
        <v>1.1165305282951898E-3</v>
      </c>
      <c r="U208" s="227">
        <f>BS!X30/BS!W30-1</f>
        <v>3.2480237927525746E-3</v>
      </c>
      <c r="V208" s="227">
        <f>BS!Y30/BS!X30-1</f>
        <v>2.6387642859929006E-2</v>
      </c>
      <c r="W208" s="227">
        <f>BS!Z30/BS!Y30-1</f>
        <v>1.3472172078970779E-2</v>
      </c>
      <c r="X208" s="227">
        <f>BS!AA30/BS!Z30-1</f>
        <v>-1.7530373481325912E-2</v>
      </c>
      <c r="Y208" s="227">
        <f>BS!AB30/BS!AA30-1</f>
        <v>7.3281044254880356E-3</v>
      </c>
      <c r="Z208" s="227">
        <f>BS!AC30/BS!AB30-1</f>
        <v>9.377664109121886E-3</v>
      </c>
      <c r="AA208" s="227">
        <f>BS!AD30/BS!AC30-1</f>
        <v>-1.2349849849849881E-2</v>
      </c>
      <c r="AB208" s="227">
        <f>BS!AE30/BS!AD30-1</f>
        <v>2.4704496218319605E-4</v>
      </c>
      <c r="AC208" s="227">
        <f>BS!AF30/BS!AE30-1</f>
        <v>0.15094518856274353</v>
      </c>
      <c r="AD208" s="227">
        <f>BS!AG30/BS!AF30-1</f>
        <v>3.4169692967975784E-3</v>
      </c>
    </row>
    <row r="209" spans="1:30" s="226" customFormat="1" x14ac:dyDescent="0.2">
      <c r="A209" s="232"/>
      <c r="B209" s="231"/>
      <c r="C209" s="235" t="s">
        <v>113</v>
      </c>
      <c r="D209" s="229"/>
      <c r="E209" s="227">
        <f>BS!D34/BS!C34-1</f>
        <v>-3.1777557100297948E-2</v>
      </c>
      <c r="F209" s="227">
        <f>BS!E34/BS!D34-1</f>
        <v>0.40307692307692311</v>
      </c>
      <c r="G209" s="227">
        <f>BS!F34/BS!E34-1</f>
        <v>6.5789473684210176E-3</v>
      </c>
      <c r="H209" s="227">
        <f>BS!G34/BS!F34-1</f>
        <v>0.13507625272331159</v>
      </c>
      <c r="I209" s="227">
        <f>BS!H34/BS!G34-1</f>
        <v>1.8554062699936091E-2</v>
      </c>
      <c r="J209" s="227">
        <f>BS!I34/BS!H34-1</f>
        <v>6.0301507537688481E-2</v>
      </c>
      <c r="K209" s="227">
        <f>BS!J34/BS!I34-1</f>
        <v>5.0355450236966748E-2</v>
      </c>
      <c r="L209" s="227">
        <f>BS!AG34/BS!AF34-1</f>
        <v>0.20642978003384105</v>
      </c>
      <c r="M209" s="234"/>
      <c r="N209" s="227">
        <f>BS!Q34/BS!P34-1</f>
        <v>0.15250544662309373</v>
      </c>
      <c r="O209" s="227">
        <f>BS!R34/BS!Q34-1</f>
        <v>6.0491493383742823E-2</v>
      </c>
      <c r="P209" s="227">
        <f>BS!S34/BS!R34-1</f>
        <v>-9.3879976232917439E-2</v>
      </c>
      <c r="Q209" s="227">
        <f>BS!T34/BS!S34-1</f>
        <v>2.4918032786885203E-2</v>
      </c>
      <c r="R209" s="227">
        <f>BS!U34/BS!T34-1</f>
        <v>0.22392834293026231</v>
      </c>
      <c r="S209" s="227">
        <f>BS!V34/BS!U34-1</f>
        <v>1.6204913748039784E-2</v>
      </c>
      <c r="T209" s="227">
        <f>BS!W34/BS!V34-1</f>
        <v>-0.13940329218106995</v>
      </c>
      <c r="U209" s="227">
        <f>BS!X34/BS!W34-1</f>
        <v>-4.841601912731619E-2</v>
      </c>
      <c r="V209" s="227">
        <f>BS!Y34/BS!X34-1</f>
        <v>0.1821608040201006</v>
      </c>
      <c r="W209" s="227">
        <f>BS!Z34/BS!Y34-1</f>
        <v>2.2316684378320906E-2</v>
      </c>
      <c r="X209" s="227">
        <f>BS!AA34/BS!Z34-1</f>
        <v>-0.14864864864864868</v>
      </c>
      <c r="Y209" s="227">
        <f>BS!AB34/BS!AA34-1</f>
        <v>3.0525030525030417E-2</v>
      </c>
      <c r="Z209" s="227">
        <f>BS!AC34/BS!AB34-1</f>
        <v>0.15699052132701419</v>
      </c>
      <c r="AA209" s="227">
        <f>BS!AD34/BS!AC34-1</f>
        <v>5.1203277009728598E-2</v>
      </c>
      <c r="AB209" s="227">
        <f>BS!AE34/BS!AD34-1</f>
        <v>-8.1344374086702365E-2</v>
      </c>
      <c r="AC209" s="227">
        <f>BS!AF34/BS!AE34-1</f>
        <v>-5.991516436903499E-2</v>
      </c>
      <c r="AD209" s="227">
        <f>BS!AG34/BS!AF34-1</f>
        <v>0.20642978003384105</v>
      </c>
    </row>
    <row r="210" spans="1:30" s="226" customFormat="1" x14ac:dyDescent="0.2">
      <c r="A210" s="232"/>
      <c r="B210" s="231"/>
      <c r="C210" s="235" t="s">
        <v>309</v>
      </c>
      <c r="D210" s="229"/>
      <c r="E210" s="227">
        <f>BS!D66/BS!C66-1</f>
        <v>-6.5217391304347783E-2</v>
      </c>
      <c r="F210" s="227">
        <f>BS!E66/BS!D66-1</f>
        <v>1.9027484143763207E-2</v>
      </c>
      <c r="G210" s="227">
        <f>BS!F66/BS!E66-1</f>
        <v>0.15975103734439844</v>
      </c>
      <c r="H210" s="227">
        <f>BS!G66/BS!F66-1</f>
        <v>0.33035181872391184</v>
      </c>
      <c r="I210" s="227">
        <f>BS!H66/BS!G66-1</f>
        <v>-0.16853428955625283</v>
      </c>
      <c r="J210" s="227">
        <f>BS!I66/BS!H66-1</f>
        <v>0.37681940700808636</v>
      </c>
      <c r="K210" s="227">
        <f>BS!J66/BS!I66-1</f>
        <v>0.93735317149569308</v>
      </c>
      <c r="L210" s="227">
        <f>BS!AG66/BS!AF66-1</f>
        <v>1.0307194826192356E-2</v>
      </c>
      <c r="M210" s="234"/>
      <c r="N210" s="227">
        <f>BS!Q66/BS!P66-1</f>
        <v>-0.23434704830053665</v>
      </c>
      <c r="O210" s="227">
        <f>BS!R66/BS!Q66-1</f>
        <v>0.27881619937694713</v>
      </c>
      <c r="P210" s="227">
        <f>BS!S66/BS!R66-1</f>
        <v>4.2630937880633324E-2</v>
      </c>
      <c r="Q210" s="227">
        <f>BS!T66/BS!S66-1</f>
        <v>0.30315420560747675</v>
      </c>
      <c r="R210" s="227">
        <f>BS!U66/BS!T66-1</f>
        <v>0.16987897803675489</v>
      </c>
      <c r="S210" s="227">
        <f>BS!V66/BS!U66-1</f>
        <v>-0.34291187739463602</v>
      </c>
      <c r="T210" s="227">
        <f>BS!W66/BS!V66-1</f>
        <v>4.8396501457725893E-2</v>
      </c>
      <c r="U210" s="227">
        <f>BS!X66/BS!W66-1</f>
        <v>3.1701890989988879E-2</v>
      </c>
      <c r="V210" s="227">
        <f>BS!Y66/BS!X66-1</f>
        <v>-7.6010781671159044E-2</v>
      </c>
      <c r="W210" s="227">
        <f>BS!Z66/BS!Y66-1</f>
        <v>0.36172695449241532</v>
      </c>
      <c r="X210" s="227">
        <f>BS!AA66/BS!Z66-1</f>
        <v>5.698371893744647E-2</v>
      </c>
      <c r="Y210" s="227">
        <f>BS!AB66/BS!AA66-1</f>
        <v>3.5265504661532221E-2</v>
      </c>
      <c r="Z210" s="227">
        <f>BS!AC66/BS!AB66-1</f>
        <v>9.3578700078308596E-2</v>
      </c>
      <c r="AA210" s="227">
        <f>BS!AD66/BS!AC66-1</f>
        <v>-0.20766201217329039</v>
      </c>
      <c r="AB210" s="227">
        <f>BS!AE66/BS!AD66-1</f>
        <v>0.12652507907817445</v>
      </c>
      <c r="AC210" s="227">
        <f>BS!AF66/BS!AE66-1</f>
        <v>0.98475732049739273</v>
      </c>
      <c r="AD210" s="227">
        <f>BS!AG66/BS!AF66-1</f>
        <v>1.0307194826192356E-2</v>
      </c>
    </row>
    <row r="211" spans="1:30" s="226" customFormat="1" x14ac:dyDescent="0.2">
      <c r="A211" s="232"/>
      <c r="B211" s="231"/>
      <c r="C211" s="235" t="s">
        <v>308</v>
      </c>
      <c r="D211" s="229"/>
      <c r="E211" s="227">
        <f>BS!D40/BS!C40-1</f>
        <v>4.4148319814600212E-2</v>
      </c>
      <c r="F211" s="227">
        <f>BS!E40/BS!D40-1</f>
        <v>0.53212739984463431</v>
      </c>
      <c r="G211" s="227">
        <f>BS!F40/BS!E40-1</f>
        <v>-2.9117774880486724E-2</v>
      </c>
      <c r="H211" s="227">
        <f>BS!G40/BS!F40-1</f>
        <v>1.4995523724261384E-2</v>
      </c>
      <c r="I211" s="227">
        <f>BS!H40/BS!G40-1</f>
        <v>1.9625137816978944E-2</v>
      </c>
      <c r="J211" s="227">
        <f>BS!I40/BS!H40-1</f>
        <v>0.10712226066897346</v>
      </c>
      <c r="K211" s="227">
        <f>BS!J40/BS!I40-1</f>
        <v>0.17827842166948815</v>
      </c>
      <c r="L211" s="227">
        <f>BS!AG40/BS!AF40-1</f>
        <v>9.6872236958443825E-2</v>
      </c>
      <c r="M211" s="234"/>
      <c r="N211" s="227">
        <f>BS!Q40/BS!P40-1</f>
        <v>6.1847209788122859E-2</v>
      </c>
      <c r="O211" s="227">
        <f>BS!R40/BS!Q40-1</f>
        <v>5.7050516405536378E-2</v>
      </c>
      <c r="P211" s="227">
        <f>BS!S40/BS!R40-1</f>
        <v>-5.8757062146892691E-2</v>
      </c>
      <c r="Q211" s="227">
        <f>BS!T40/BS!S40-1</f>
        <v>-3.9262763929101108E-2</v>
      </c>
      <c r="R211" s="227">
        <f>BS!U40/BS!T40-1</f>
        <v>0.12289599411980889</v>
      </c>
      <c r="S211" s="227">
        <f>BS!V40/BS!U40-1</f>
        <v>-2.3564836028015956E-2</v>
      </c>
      <c r="T211" s="227">
        <f>BS!W40/BS!V40-1</f>
        <v>-2.5742441509686964E-2</v>
      </c>
      <c r="U211" s="227">
        <f>BS!X40/BS!W40-1</f>
        <v>-4.5482694557214653E-2</v>
      </c>
      <c r="V211" s="227">
        <f>BS!Y40/BS!X40-1</f>
        <v>0.10193194925028837</v>
      </c>
      <c r="W211" s="227">
        <f>BS!Z40/BS!Y40-1</f>
        <v>5.4036373151903794E-2</v>
      </c>
      <c r="X211" s="227">
        <f>BS!AA40/BS!Z40-1</f>
        <v>-4.9962760675273055E-2</v>
      </c>
      <c r="Y211" s="227">
        <f>BS!AB40/BS!AA40-1</f>
        <v>3.3318089762852665E-3</v>
      </c>
      <c r="Z211" s="227">
        <f>BS!AC40/BS!AB40-1</f>
        <v>0.10743586404479744</v>
      </c>
      <c r="AA211" s="227">
        <f>BS!AD40/BS!AC40-1</f>
        <v>-1.9931796801505142E-2</v>
      </c>
      <c r="AB211" s="227">
        <f>BS!AE40/BS!AD40-1</f>
        <v>-1.9257303977443185E-2</v>
      </c>
      <c r="AC211" s="227">
        <f>BS!AF40/BS!AE40-1</f>
        <v>0.10692439442133583</v>
      </c>
      <c r="AD211" s="227">
        <f>BS!AG40/BS!AF40-1</f>
        <v>9.6872236958443825E-2</v>
      </c>
    </row>
    <row r="212" spans="1:30" s="226" customFormat="1" x14ac:dyDescent="0.2">
      <c r="A212" s="232"/>
      <c r="B212" s="231"/>
      <c r="C212" s="235" t="s">
        <v>307</v>
      </c>
      <c r="D212" s="229"/>
      <c r="E212" s="227">
        <f>BS!D67/BS!C67-1</f>
        <v>6.1772605192479846E-2</v>
      </c>
      <c r="F212" s="227">
        <f>BS!E67/BS!D67-1</f>
        <v>1.157532321528949</v>
      </c>
      <c r="G212" s="227">
        <f>BS!F67/BS!E67-1</f>
        <v>4.4942356542695183E-2</v>
      </c>
      <c r="H212" s="227">
        <f>BS!G67/BS!F67-1</f>
        <v>0.14255438509007035</v>
      </c>
      <c r="I212" s="227">
        <f>BS!H67/BS!G67-1</f>
        <v>0.22689579923622483</v>
      </c>
      <c r="J212" s="227">
        <f>BS!I67/BS!H67-1</f>
        <v>9.7825603628431956E-4</v>
      </c>
      <c r="K212" s="227">
        <f>BS!J67/BS!I67-1</f>
        <v>-5.9171071920394502E-2</v>
      </c>
      <c r="L212" s="227">
        <f>BS!AG67/BS!AF67-1</f>
        <v>-2.4505406298692134E-2</v>
      </c>
      <c r="M212" s="234"/>
      <c r="N212" s="227">
        <f>BS!Q67/BS!P67-1</f>
        <v>9.9420307922458484E-2</v>
      </c>
      <c r="O212" s="227">
        <f>BS!R67/BS!Q67-1</f>
        <v>-2.7554144460823271E-2</v>
      </c>
      <c r="P212" s="227">
        <f>BS!S67/BS!R67-1</f>
        <v>9.8938899253731449E-2</v>
      </c>
      <c r="Q212" s="227">
        <f>BS!T67/BS!S67-1</f>
        <v>-2.7534617221072755E-2</v>
      </c>
      <c r="R212" s="227">
        <f>BS!U67/BS!T67-1</f>
        <v>4.386252045826522E-2</v>
      </c>
      <c r="S212" s="227">
        <f>BS!V67/BS!U67-1</f>
        <v>0.10436918574265697</v>
      </c>
      <c r="T212" s="227">
        <f>BS!W67/BS!V67-1</f>
        <v>1.9592068524916018E-2</v>
      </c>
      <c r="U212" s="227">
        <f>BS!X67/BS!W67-1</f>
        <v>4.3815270364353731E-2</v>
      </c>
      <c r="V212" s="227">
        <f>BS!Y67/BS!X67-1</f>
        <v>1.5118502378940857E-2</v>
      </c>
      <c r="W212" s="227">
        <f>BS!Z67/BS!Y67-1</f>
        <v>-1.3316395812343895E-2</v>
      </c>
      <c r="X212" s="227">
        <f>BS!AA67/BS!Z67-1</f>
        <v>-1.3673695893451687E-2</v>
      </c>
      <c r="Y212" s="227">
        <f>BS!AB67/BS!AA67-1</f>
        <v>1.3233109780798502E-2</v>
      </c>
      <c r="Z212" s="227">
        <f>BS!AC67/BS!AB67-1</f>
        <v>-2.509884056683398E-2</v>
      </c>
      <c r="AA212" s="227">
        <f>BS!AD67/BS!AC67-1</f>
        <v>-3.7820103891369472E-3</v>
      </c>
      <c r="AB212" s="227">
        <f>BS!AE67/BS!AD67-1</f>
        <v>1.8798883959200374E-2</v>
      </c>
      <c r="AC212" s="227">
        <f>BS!AF67/BS!AE67-1</f>
        <v>-4.9160456137200326E-2</v>
      </c>
      <c r="AD212" s="227">
        <f>BS!AG67/BS!AF67-1</f>
        <v>-2.4505406298692134E-2</v>
      </c>
    </row>
    <row r="213" spans="1:30" s="226" customFormat="1" x14ac:dyDescent="0.2">
      <c r="A213" s="232"/>
      <c r="B213" s="231"/>
      <c r="C213" s="235" t="s">
        <v>97</v>
      </c>
      <c r="D213" s="229"/>
      <c r="E213" s="227">
        <f>BS!D52/BS!C52-1</f>
        <v>-4.6906111196201583E-2</v>
      </c>
      <c r="F213" s="227">
        <f>BS!E52/BS!D52-1</f>
        <v>0.80824394359407004</v>
      </c>
      <c r="G213" s="227">
        <f>BS!F52/BS!E52-1</f>
        <v>-8.453864782599041E-2</v>
      </c>
      <c r="H213" s="227">
        <f>BS!G52/BS!F52-1</f>
        <v>3.8248713717114802E-2</v>
      </c>
      <c r="I213" s="227">
        <f>BS!H52/BS!G52-1</f>
        <v>0.11007480130902292</v>
      </c>
      <c r="J213" s="227">
        <f>BS!I52/BS!H52-1</f>
        <v>0.1279454189391227</v>
      </c>
      <c r="K213" s="227">
        <f>BS!J52/BS!I52-1</f>
        <v>0.13411742742462418</v>
      </c>
      <c r="L213" s="227">
        <f>BS!AG52/BS!AF52-1</f>
        <v>1.1094832836754609E-2</v>
      </c>
      <c r="M213" s="234"/>
      <c r="N213" s="227">
        <f>BS!Q52/BS!P52-1</f>
        <v>6.761479468012821E-2</v>
      </c>
      <c r="O213" s="227">
        <f>BS!R52/BS!Q52-1</f>
        <v>5.501250284155379E-3</v>
      </c>
      <c r="P213" s="227">
        <f>BS!S52/BS!R52-1</f>
        <v>1.6300415988424577E-2</v>
      </c>
      <c r="Q213" s="227">
        <f>BS!T52/BS!S52-1</f>
        <v>-4.8339376682312585E-2</v>
      </c>
      <c r="R213" s="227">
        <f>BS!U52/BS!T52-1</f>
        <v>5.6545114539504393E-2</v>
      </c>
      <c r="S213" s="227">
        <f>BS!V52/BS!U52-1</f>
        <v>3.4071550255536653E-2</v>
      </c>
      <c r="T213" s="227">
        <f>BS!W52/BS!V52-1</f>
        <v>-4.706989879972312E-4</v>
      </c>
      <c r="U213" s="227">
        <f>BS!X52/BS!W52-1</f>
        <v>1.6525033713637338E-2</v>
      </c>
      <c r="V213" s="227">
        <f>BS!Y52/BS!X52-1</f>
        <v>3.5397671039609113E-2</v>
      </c>
      <c r="W213" s="227">
        <f>BS!Z52/BS!Y52-1</f>
        <v>9.1722595078300717E-3</v>
      </c>
      <c r="X213" s="227">
        <f>BS!AA52/BS!Z52-1</f>
        <v>-2.3538421232945694E-2</v>
      </c>
      <c r="Y213" s="227">
        <f>BS!AB52/BS!AA52-1</f>
        <v>0.10550430313912451</v>
      </c>
      <c r="Z213" s="227">
        <f>BS!AC52/BS!AB52-1</f>
        <v>1.3684308783720622E-2</v>
      </c>
      <c r="AA213" s="227">
        <f>BS!AD52/BS!AC52-1</f>
        <v>-1.4862425872039453E-2</v>
      </c>
      <c r="AB213" s="227">
        <f>BS!AE52/BS!AD52-1</f>
        <v>-5.3840833037333002E-3</v>
      </c>
      <c r="AC213" s="227">
        <f>BS!AF52/BS!AE52-1</f>
        <v>0.14183410709922373</v>
      </c>
      <c r="AD213" s="227">
        <f>BS!AG52/BS!AF52-1</f>
        <v>1.1094832836754609E-2</v>
      </c>
    </row>
    <row r="214" spans="1:30" s="226" customFormat="1" x14ac:dyDescent="0.2">
      <c r="A214" s="232"/>
      <c r="B214" s="231"/>
      <c r="C214" s="235" t="s">
        <v>306</v>
      </c>
      <c r="D214" s="229"/>
      <c r="E214" s="227"/>
      <c r="F214" s="227"/>
      <c r="G214" s="227"/>
      <c r="H214" s="227"/>
      <c r="I214" s="227"/>
      <c r="J214" s="227"/>
      <c r="K214" s="227"/>
      <c r="L214" s="227"/>
      <c r="M214" s="234"/>
      <c r="N214" s="227"/>
      <c r="O214" s="227"/>
      <c r="P214" s="227"/>
      <c r="Q214" s="227"/>
      <c r="R214" s="227"/>
      <c r="S214" s="227"/>
      <c r="T214" s="227"/>
      <c r="U214" s="227"/>
      <c r="V214" s="227"/>
      <c r="W214" s="227"/>
      <c r="X214" s="227"/>
      <c r="Y214" s="227"/>
      <c r="Z214" s="227"/>
      <c r="AA214" s="227"/>
      <c r="AB214" s="227"/>
      <c r="AC214" s="227"/>
      <c r="AD214" s="227"/>
    </row>
    <row r="215" spans="1:30" s="226" customFormat="1" x14ac:dyDescent="0.2">
      <c r="A215" s="233"/>
      <c r="B215" s="231"/>
      <c r="C215" s="235" t="s">
        <v>305</v>
      </c>
      <c r="D215" s="229"/>
      <c r="E215" s="227"/>
      <c r="F215" s="227"/>
      <c r="G215" s="227"/>
      <c r="H215" s="227"/>
      <c r="I215" s="227"/>
      <c r="J215" s="227"/>
      <c r="K215" s="227"/>
      <c r="L215" s="227"/>
      <c r="M215" s="234"/>
      <c r="N215" s="227"/>
      <c r="O215" s="227"/>
      <c r="P215" s="227"/>
      <c r="Q215" s="227"/>
      <c r="R215" s="227"/>
      <c r="S215" s="227"/>
      <c r="T215" s="227"/>
      <c r="U215" s="227"/>
      <c r="V215" s="227"/>
      <c r="W215" s="227"/>
      <c r="X215" s="227"/>
      <c r="Y215" s="227"/>
      <c r="Z215" s="227"/>
      <c r="AA215" s="227"/>
      <c r="AB215" s="227"/>
      <c r="AC215" s="227"/>
      <c r="AD215" s="227"/>
    </row>
    <row r="216" spans="1:30" s="226" customFormat="1" x14ac:dyDescent="0.2">
      <c r="A216" s="232"/>
      <c r="B216" s="231"/>
      <c r="C216" s="235" t="s">
        <v>304</v>
      </c>
      <c r="D216" s="229"/>
      <c r="E216" s="227">
        <f>BS!D55/BS!C55-1</f>
        <v>-0.62756598240469208</v>
      </c>
      <c r="F216" s="227">
        <f>BS!E55/BS!D55-1</f>
        <v>-0.96062992125984248</v>
      </c>
      <c r="G216" s="227">
        <f>BS!F55/BS!E55-1</f>
        <v>0.39999999999999991</v>
      </c>
      <c r="H216" s="227">
        <f>BS!G55/BS!F55-1</f>
        <v>-0.1428571428571429</v>
      </c>
      <c r="I216" s="227">
        <f>BS!H55/BS!G55-1</f>
        <v>-0.16666666666666663</v>
      </c>
      <c r="J216" s="227">
        <f>BS!I55/BS!H55-1</f>
        <v>0</v>
      </c>
      <c r="K216" s="227">
        <f>BS!J55/BS!I55-1</f>
        <v>0</v>
      </c>
      <c r="L216" s="227">
        <f>BS!AG55/BS!AF55-1</f>
        <v>0</v>
      </c>
      <c r="M216" s="234"/>
      <c r="N216" s="227">
        <f>BS!Q55/BS!P55-1</f>
        <v>0</v>
      </c>
      <c r="O216" s="227">
        <f>BS!R55/BS!Q55-1</f>
        <v>0</v>
      </c>
      <c r="P216" s="227">
        <f>BS!S55/BS!R55-1</f>
        <v>-0.1428571428571429</v>
      </c>
      <c r="Q216" s="227">
        <f>BS!T55/BS!S55-1</f>
        <v>0</v>
      </c>
      <c r="R216" s="227">
        <f>BS!U55/BS!T55-1</f>
        <v>0</v>
      </c>
      <c r="S216" s="227">
        <f>BS!V55/BS!U55-1</f>
        <v>-0.16666666666666663</v>
      </c>
      <c r="T216" s="227">
        <f>BS!W55/BS!V55-1</f>
        <v>0</v>
      </c>
      <c r="U216" s="227">
        <f>BS!X55/BS!W55-1</f>
        <v>0</v>
      </c>
      <c r="V216" s="227">
        <f>BS!Y55/BS!X55-1</f>
        <v>0</v>
      </c>
      <c r="W216" s="227">
        <f>BS!Z55/BS!Y55-1</f>
        <v>0</v>
      </c>
      <c r="X216" s="227">
        <f>BS!AA55/BS!Z55-1</f>
        <v>0</v>
      </c>
      <c r="Y216" s="227">
        <f>BS!AB55/BS!AA55-1</f>
        <v>0</v>
      </c>
      <c r="Z216" s="227">
        <f>BS!AC55/BS!AB55-1</f>
        <v>0</v>
      </c>
      <c r="AA216" s="227">
        <f>BS!AD55/BS!AC55-1</f>
        <v>0</v>
      </c>
      <c r="AB216" s="227">
        <f>BS!AE55/BS!AD55-1</f>
        <v>0</v>
      </c>
      <c r="AC216" s="227">
        <f>BS!AF55/BS!AE55-1</f>
        <v>0</v>
      </c>
      <c r="AD216" s="227">
        <f>BS!AG55/BS!AF55-1</f>
        <v>0</v>
      </c>
    </row>
    <row r="217" spans="1:30" s="226" customFormat="1" x14ac:dyDescent="0.2">
      <c r="A217" s="232"/>
      <c r="B217" s="231"/>
      <c r="C217" s="235" t="s">
        <v>303</v>
      </c>
      <c r="D217" s="229"/>
      <c r="E217" s="227">
        <f>BS!D56/BS!C56-1</f>
        <v>5.1511758118701012E-2</v>
      </c>
      <c r="F217" s="227">
        <f>BS!E56/BS!D56-1</f>
        <v>1.2560170394036207</v>
      </c>
      <c r="G217" s="227">
        <f>BS!F56/BS!E56-1</f>
        <v>0.4289086102719033</v>
      </c>
      <c r="H217" s="227">
        <f>BS!G56/BS!F56-1</f>
        <v>-0.23415923356458535</v>
      </c>
      <c r="I217" s="227">
        <f>BS!H56/BS!G56-1</f>
        <v>-0.37684410318350448</v>
      </c>
      <c r="J217" s="227">
        <f>BS!I56/BS!H56-1</f>
        <v>-0.20891596289630343</v>
      </c>
      <c r="K217" s="227">
        <f>BS!J56/BS!I56-1</f>
        <v>-0.13125656282814135</v>
      </c>
      <c r="L217" s="227">
        <f>BS!AG56/BS!AF56-1</f>
        <v>-0.11946011281224822</v>
      </c>
      <c r="M217" s="234"/>
      <c r="N217" s="227">
        <f>BS!Q56/BS!P56-1</f>
        <v>-5.6821935910141841E-3</v>
      </c>
      <c r="O217" s="227">
        <f>BS!R56/BS!Q56-1</f>
        <v>-4.8508206525350483E-2</v>
      </c>
      <c r="P217" s="227">
        <f>BS!S56/BS!R56-1</f>
        <v>-0.10245128849780016</v>
      </c>
      <c r="Q217" s="227">
        <f>BS!T56/BS!S56-1</f>
        <v>-9.8117024587612844E-2</v>
      </c>
      <c r="R217" s="227">
        <f>BS!U56/BS!T56-1</f>
        <v>-0.13346561987749117</v>
      </c>
      <c r="S217" s="227">
        <f>BS!V56/BS!U56-1</f>
        <v>-0.16855834328952612</v>
      </c>
      <c r="T217" s="227">
        <f>BS!W56/BS!V56-1</f>
        <v>-7.0650221530355606E-2</v>
      </c>
      <c r="U217" s="227">
        <f>BS!X56/BS!W56-1</f>
        <v>-6.9320963793325641E-2</v>
      </c>
      <c r="V217" s="227">
        <f>BS!Y56/BS!X56-1</f>
        <v>-6.8807974525820326E-2</v>
      </c>
      <c r="W217" s="227">
        <f>BS!Z56/BS!Y56-1</f>
        <v>-7.1513529586678559E-2</v>
      </c>
      <c r="X217" s="227">
        <f>BS!AA56/BS!Z56-1</f>
        <v>-5.236188951160925E-2</v>
      </c>
      <c r="Y217" s="227">
        <f>BS!AB56/BS!AA56-1</f>
        <v>-3.4471105103075383E-2</v>
      </c>
      <c r="Z217" s="227">
        <f>BS!AC56/BS!AB56-1</f>
        <v>-7.612880644032205E-2</v>
      </c>
      <c r="AA217" s="227">
        <f>BS!AD56/BS!AC56-1</f>
        <v>-6.7437014586095856E-2</v>
      </c>
      <c r="AB217" s="227">
        <f>BS!AE56/BS!AD56-1</f>
        <v>4.6719479991874646E-3</v>
      </c>
      <c r="AC217" s="227">
        <f>BS!AF56/BS!AE56-1</f>
        <v>3.6393044884754921E-3</v>
      </c>
      <c r="AD217" s="227">
        <f>BS!AG56/BS!AF56-1</f>
        <v>-0.11946011281224822</v>
      </c>
    </row>
    <row r="218" spans="1:30" s="226" customFormat="1" x14ac:dyDescent="0.2">
      <c r="A218" s="232"/>
      <c r="B218" s="231"/>
      <c r="C218" s="235" t="s">
        <v>302</v>
      </c>
      <c r="D218" s="229"/>
      <c r="E218" s="227">
        <f>BS!D59/BS!C59-1</f>
        <v>0.2472976535723701</v>
      </c>
      <c r="F218" s="227">
        <f>BS!E59/BS!D59-1</f>
        <v>0.19382794335235687</v>
      </c>
      <c r="G218" s="227">
        <f>BS!F59/BS!E59-1</f>
        <v>-0.24203257790368271</v>
      </c>
      <c r="H218" s="227">
        <f>BS!G59/BS!F59-1</f>
        <v>-0.85634197617379115</v>
      </c>
      <c r="I218" s="227">
        <f>BS!H59/BS!G59-1</f>
        <v>-2.333333333333333</v>
      </c>
      <c r="J218" s="227">
        <f>BS!I59/BS!H59-1</f>
        <v>-1.8201219512195121</v>
      </c>
      <c r="K218" s="227">
        <f>BS!J59/BS!I59-1</f>
        <v>-1.5635687732342007</v>
      </c>
      <c r="L218" s="227">
        <f>BS!AG59/BS!AF59-1</f>
        <v>0.18337730870712399</v>
      </c>
      <c r="M218" s="234"/>
      <c r="N218" s="227">
        <f>BS!Q59/BS!P59-1</f>
        <v>-0.10044382153702403</v>
      </c>
      <c r="O218" s="227">
        <f>BS!R59/BS!Q59-1</f>
        <v>-0.21189301480135025</v>
      </c>
      <c r="P218" s="227">
        <f>BS!S59/BS!R59-1</f>
        <v>-0.26771004942339371</v>
      </c>
      <c r="Q218" s="227">
        <f>BS!T59/BS!S59-1</f>
        <v>-0.72328458942632179</v>
      </c>
      <c r="R218" s="227">
        <f>BS!U59/BS!T59-1</f>
        <v>-0.51951219512195124</v>
      </c>
      <c r="S218" s="227">
        <f>BS!V59/BS!U59-1</f>
        <v>-2.2165820642978002</v>
      </c>
      <c r="T218" s="227">
        <f>BS!W59/BS!V59-1</f>
        <v>0.9513212795549375</v>
      </c>
      <c r="U218" s="227">
        <f>BS!X59/BS!W59-1</f>
        <v>0.16892373485388457</v>
      </c>
      <c r="V218" s="227">
        <f>BS!Y59/BS!X59-1</f>
        <v>0.11158536585365852</v>
      </c>
      <c r="W218" s="227">
        <f>BS!Z59/BS!Y59-1</f>
        <v>0.41360394953373558</v>
      </c>
      <c r="X218" s="227">
        <f>BS!AA59/BS!Z59-1</f>
        <v>0.22312766783081095</v>
      </c>
      <c r="Y218" s="227">
        <f>BS!AB59/BS!AA59-1</f>
        <v>-1.4267131979695431</v>
      </c>
      <c r="Z218" s="227">
        <f>BS!AC59/BS!AB59-1</f>
        <v>-0.1598513011152416</v>
      </c>
      <c r="AA218" s="227">
        <f>BS!AD59/BS!AC59-1</f>
        <v>-0.46017699115044253</v>
      </c>
      <c r="AB218" s="227">
        <f>BS!AE59/BS!AD59-1</f>
        <v>-0.4819672131147541</v>
      </c>
      <c r="AC218" s="227">
        <f>BS!AF59/BS!AE59-1</f>
        <v>-3.3987341772151898</v>
      </c>
      <c r="AD218" s="227">
        <f>BS!AG59/BS!AF59-1</f>
        <v>0.18337730870712399</v>
      </c>
    </row>
    <row r="219" spans="1:30" s="226" customFormat="1" x14ac:dyDescent="0.2">
      <c r="A219" s="232"/>
      <c r="B219" s="231"/>
      <c r="C219" s="235" t="s">
        <v>301</v>
      </c>
      <c r="D219" s="229"/>
      <c r="E219" s="227">
        <f>BS!D60/BS!C60-1</f>
        <v>0.12318942483476314</v>
      </c>
      <c r="F219" s="227">
        <f>BS!E60/BS!D60-1</f>
        <v>-0.65806936271441097</v>
      </c>
      <c r="G219" s="227">
        <f>BS!F60/BS!E60-1</f>
        <v>-1.7400219699743684</v>
      </c>
      <c r="H219" s="227">
        <f>BS!G60/BS!F60-1</f>
        <v>1.7882236516575953</v>
      </c>
      <c r="I219" s="227">
        <f>BS!H60/BS!G60-1</f>
        <v>-0.32830523513753329</v>
      </c>
      <c r="J219" s="227">
        <f>BS!I60/BS!H60-1</f>
        <v>-1.2060766182298548</v>
      </c>
      <c r="K219" s="227">
        <f>BS!J60/BS!I60-1</f>
        <v>-0.78333333333333333</v>
      </c>
      <c r="L219" s="227">
        <f>BS!AG60/BS!AF60-1</f>
        <v>2.7633136094674557</v>
      </c>
      <c r="M219" s="234"/>
      <c r="N219" s="227">
        <f>BS!Q60/BS!P60-1</f>
        <v>0.36763978228599714</v>
      </c>
      <c r="O219" s="227">
        <f>BS!R60/BS!Q60-1</f>
        <v>0.31548480463096951</v>
      </c>
      <c r="P219" s="227">
        <f>BS!S60/BS!R60-1</f>
        <v>3.4653465346534684E-2</v>
      </c>
      <c r="Q219" s="227">
        <f>BS!T60/BS!S60-1</f>
        <v>0.49787347155768202</v>
      </c>
      <c r="R219" s="227">
        <f>BS!U60/BS!T60-1</f>
        <v>-0.16415261756876665</v>
      </c>
      <c r="S219" s="227">
        <f>BS!V60/BS!U60-1</f>
        <v>-8.4501061571125247E-2</v>
      </c>
      <c r="T219" s="227">
        <f>BS!W60/BS!V60-1</f>
        <v>1.8320964749536151E-2</v>
      </c>
      <c r="U219" s="227">
        <f>BS!X60/BS!W60-1</f>
        <v>-0.13800956501935779</v>
      </c>
      <c r="V219" s="227">
        <f>BS!Y60/BS!X60-1</f>
        <v>-8.6657859973579887E-2</v>
      </c>
      <c r="W219" s="227">
        <f>BS!Z60/BS!Y60-1</f>
        <v>7.4631183106739885E-2</v>
      </c>
      <c r="X219" s="227">
        <f>BS!AA60/BS!Z60-1</f>
        <v>6.2718707940780716E-2</v>
      </c>
      <c r="Y219" s="227">
        <f>BS!AB60/BS!AA60-1</f>
        <v>-1.1975683890577509</v>
      </c>
      <c r="Z219" s="227">
        <f>BS!AC60/BS!AB60-1</f>
        <v>0.30512820512820515</v>
      </c>
      <c r="AA219" s="227">
        <f>BS!AD60/BS!AC60-1</f>
        <v>-0.14636542239685657</v>
      </c>
      <c r="AB219" s="227">
        <f>BS!AE60/BS!AD60-1</f>
        <v>-0.34637514384349832</v>
      </c>
      <c r="AC219" s="227">
        <f>BS!AF60/BS!AE60-1</f>
        <v>-0.70246478873239437</v>
      </c>
      <c r="AD219" s="227">
        <f>BS!AG60/BS!AF60-1</f>
        <v>2.7633136094674557</v>
      </c>
    </row>
    <row r="220" spans="1:30" s="226" customFormat="1" x14ac:dyDescent="0.2">
      <c r="A220" s="232"/>
      <c r="B220" s="231"/>
      <c r="C220" s="235" t="s">
        <v>83</v>
      </c>
      <c r="D220" s="229"/>
      <c r="E220" s="227">
        <f>BS!D62/BS!C62-1</f>
        <v>-1.4173096276417274E-2</v>
      </c>
      <c r="F220" s="227">
        <f>BS!E62/BS!D62-1</f>
        <v>0.79829859634198219</v>
      </c>
      <c r="G220" s="227">
        <f>BS!F62/BS!E62-1</f>
        <v>2.2399356639386969E-2</v>
      </c>
      <c r="H220" s="227">
        <f>BS!G62/BS!F62-1</f>
        <v>0.12006940427993062</v>
      </c>
      <c r="I220" s="227">
        <f>BS!H62/BS!G62-1</f>
        <v>5.9051946710730219E-2</v>
      </c>
      <c r="J220" s="227">
        <f>BS!I62/BS!H62-1</f>
        <v>2.9469126652884592E-2</v>
      </c>
      <c r="K220" s="227">
        <f>BS!J62/BS!I62-1</f>
        <v>0.14767452874869758</v>
      </c>
      <c r="L220" s="227">
        <f>BS!AG62/BS!AF62-1</f>
        <v>3.4169692967975784E-3</v>
      </c>
      <c r="M220" s="234"/>
      <c r="N220" s="227">
        <f>BS!Q62/BS!P62-1</f>
        <v>8.1642567958357448E-2</v>
      </c>
      <c r="O220" s="227">
        <f>BS!R62/BS!Q62-1</f>
        <v>2.3826838345382129E-2</v>
      </c>
      <c r="P220" s="227">
        <f>BS!S62/BS!R62-1</f>
        <v>1.769449318960481E-2</v>
      </c>
      <c r="Q220" s="227">
        <f>BS!T62/BS!S62-1</f>
        <v>-6.1582674740839893E-3</v>
      </c>
      <c r="R220" s="227">
        <f>BS!U62/BS!T62-1</f>
        <v>3.0858205101724767E-2</v>
      </c>
      <c r="S220" s="227">
        <f>BS!V62/BS!U62-1</f>
        <v>2.2881644593159445E-2</v>
      </c>
      <c r="T220" s="227">
        <f>BS!W62/BS!V62-1</f>
        <v>1.1165305282951898E-3</v>
      </c>
      <c r="U220" s="227">
        <f>BS!X62/BS!W62-1</f>
        <v>3.2480237927525746E-3</v>
      </c>
      <c r="V220" s="227">
        <f>BS!Y62/BS!X62-1</f>
        <v>2.6387642859929006E-2</v>
      </c>
      <c r="W220" s="227">
        <f>BS!Z62/BS!Y62-1</f>
        <v>1.3472172078970779E-2</v>
      </c>
      <c r="X220" s="227">
        <f>BS!AA62/BS!Z62-1</f>
        <v>-1.7530373481325912E-2</v>
      </c>
      <c r="Y220" s="227">
        <f>BS!AB62/BS!AA62-1</f>
        <v>7.3281044254880356E-3</v>
      </c>
      <c r="Z220" s="227">
        <f>BS!AC62/BS!AB62-1</f>
        <v>9.377664109121886E-3</v>
      </c>
      <c r="AA220" s="227">
        <f>BS!AD62/BS!AC62-1</f>
        <v>-1.2349849849849881E-2</v>
      </c>
      <c r="AB220" s="227">
        <f>BS!AE62/BS!AD62-1</f>
        <v>2.4704496218319605E-4</v>
      </c>
      <c r="AC220" s="227">
        <f>BS!AF62/BS!AE62-1</f>
        <v>0.15094518856274353</v>
      </c>
      <c r="AD220" s="227">
        <f>BS!AG62/BS!AF62-1</f>
        <v>3.4169692967975784E-3</v>
      </c>
    </row>
    <row r="221" spans="1:30" s="226" customFormat="1" ht="4.5" customHeight="1" x14ac:dyDescent="0.2">
      <c r="A221" s="239"/>
      <c r="B221" s="231"/>
      <c r="C221" s="238"/>
      <c r="D221" s="229"/>
      <c r="E221" s="237"/>
      <c r="F221" s="237"/>
      <c r="G221" s="237"/>
      <c r="H221" s="237"/>
      <c r="I221" s="237"/>
      <c r="J221" s="237"/>
      <c r="K221" s="237"/>
      <c r="L221" s="237"/>
      <c r="M221" s="234"/>
      <c r="N221" s="237"/>
      <c r="O221" s="237"/>
      <c r="P221" s="237"/>
      <c r="Q221" s="237"/>
      <c r="R221" s="237"/>
      <c r="S221" s="237"/>
      <c r="T221" s="237"/>
      <c r="U221" s="237"/>
      <c r="V221" s="237"/>
      <c r="W221" s="237"/>
      <c r="X221" s="237"/>
      <c r="Y221" s="237"/>
      <c r="Z221" s="237"/>
      <c r="AA221" s="237"/>
      <c r="AB221" s="237"/>
      <c r="AC221" s="237"/>
      <c r="AD221" s="237"/>
    </row>
    <row r="222" spans="1:30" x14ac:dyDescent="0.2">
      <c r="A222" s="235"/>
      <c r="B222" s="236" t="s">
        <v>318</v>
      </c>
      <c r="C222" s="235"/>
      <c r="D222" s="229"/>
      <c r="E222" s="234"/>
      <c r="F222" s="234"/>
      <c r="G222" s="234"/>
      <c r="H222" s="234"/>
      <c r="I222" s="234"/>
      <c r="J222" s="234"/>
      <c r="K222" s="234"/>
      <c r="L222" s="234"/>
      <c r="M222" s="234"/>
      <c r="N222" s="234"/>
      <c r="O222" s="234"/>
      <c r="P222" s="234"/>
      <c r="Q222" s="234"/>
      <c r="R222" s="234"/>
      <c r="S222" s="234"/>
      <c r="T222" s="234"/>
      <c r="U222" s="234"/>
      <c r="V222" s="234"/>
      <c r="W222" s="234"/>
      <c r="X222" s="234"/>
      <c r="Y222" s="234"/>
      <c r="Z222" s="234"/>
      <c r="AA222" s="234"/>
      <c r="AB222" s="234"/>
      <c r="AC222" s="234"/>
      <c r="AD222" s="234"/>
    </row>
    <row r="223" spans="1:30" s="226" customFormat="1" x14ac:dyDescent="0.2">
      <c r="A223" s="232"/>
      <c r="B223" s="231"/>
      <c r="C223" s="230" t="s">
        <v>317</v>
      </c>
      <c r="D223" s="229"/>
      <c r="E223" s="227">
        <f>BS!D5/IS_NG!D4</f>
        <v>1.2428793371310202E-2</v>
      </c>
      <c r="F223" s="227">
        <f>BS!E5/IS_NG!E4</f>
        <v>2.8226205803704069E-2</v>
      </c>
      <c r="G223" s="227">
        <f>BS!F5/IS_NG!F4</f>
        <v>2.3305978898007035E-2</v>
      </c>
      <c r="H223" s="227">
        <f>BS!G5/IS_NG!G4</f>
        <v>9.5145157355452543E-3</v>
      </c>
      <c r="I223" s="227">
        <f>BS!H5/IS_NG!H4</f>
        <v>8.0139372822299656E-3</v>
      </c>
      <c r="J223" s="227">
        <f>BS!I5/IS_NG!I4</f>
        <v>6.9213082445685331E-3</v>
      </c>
      <c r="K223" s="227">
        <f>BS!J5/IS_NG!J4</f>
        <v>6.1740867964347459E-3</v>
      </c>
      <c r="L223" s="227">
        <f>BS!AG5/IS_NG!K4</f>
        <v>7.5351041946158659E-3</v>
      </c>
      <c r="M223" s="234"/>
      <c r="N223" s="227">
        <f>BS!Q5/(IS_NG!Q4*4)</f>
        <v>2.6661239442352703E-2</v>
      </c>
      <c r="O223" s="227">
        <f>BS!R5/(IS_NG!R4*4)</f>
        <v>2.1982081832455896E-2</v>
      </c>
      <c r="P223" s="227">
        <f>BS!S5/(IS_NG!S4*4)</f>
        <v>2.3725014010835047E-2</v>
      </c>
      <c r="Q223" s="227">
        <f>BS!T5/(IS_NG!T4*4)</f>
        <v>1.0124610591900311E-2</v>
      </c>
      <c r="R223" s="227">
        <f>BS!U5/(IS_NG!U4*4)</f>
        <v>1.3116057233704292E-2</v>
      </c>
      <c r="S223" s="227">
        <f>BS!V5/(IS_NG!V4*4)</f>
        <v>1.0759432596738396E-2</v>
      </c>
      <c r="T223" s="227">
        <f>BS!W5/(IS_NG!W4*4)</f>
        <v>8.9909382669435527E-3</v>
      </c>
      <c r="U223" s="227">
        <f>BS!X5/(IS_NG!X4*4)</f>
        <v>8.223516191643682E-3</v>
      </c>
      <c r="V223" s="227">
        <f>BS!Y5/(IS_NG!Y4*4)</f>
        <v>9.5213849287169045E-3</v>
      </c>
      <c r="W223" s="227">
        <f>BS!Z5/(IS_NG!Z4*4)</f>
        <v>8.5953504943439927E-3</v>
      </c>
      <c r="X223" s="227">
        <f>BS!AA5/(IS_NG!AA4*4)</f>
        <v>7.7519379844961239E-3</v>
      </c>
      <c r="Y223" s="227">
        <f>BS!AB5/(IS_NG!AB4*4)</f>
        <v>6.9503345584770518E-3</v>
      </c>
      <c r="Z223" s="227">
        <f>BS!AC5/(IS_NG!AC4*4)</f>
        <v>7.1387366599365443E-3</v>
      </c>
      <c r="AA223" s="227">
        <f>BS!AD5/(IS_NG!AD4*4)</f>
        <v>6.2913338486644335E-3</v>
      </c>
      <c r="AB223" s="227">
        <f>BS!AE5/(IS_NG!AE4*4)</f>
        <v>6.553335063586815E-3</v>
      </c>
      <c r="AC223" s="227">
        <f>BS!AF5/(IS_NG!AF4*4)</f>
        <v>6.28542695191077E-3</v>
      </c>
      <c r="AD223" s="227">
        <f>BS!AG5/(IS_NG!AG4*4)</f>
        <v>7.9601284958427821E-3</v>
      </c>
    </row>
    <row r="224" spans="1:30" s="226" customFormat="1" x14ac:dyDescent="0.2">
      <c r="A224" s="232"/>
      <c r="B224" s="231"/>
      <c r="C224" s="230" t="s">
        <v>316</v>
      </c>
      <c r="D224" s="229"/>
      <c r="E224" s="227"/>
      <c r="F224" s="227"/>
      <c r="G224" s="227"/>
      <c r="H224" s="227"/>
      <c r="I224" s="227"/>
      <c r="J224" s="227"/>
      <c r="K224" s="227"/>
      <c r="L224" s="227"/>
      <c r="M224" s="234"/>
      <c r="N224" s="227"/>
      <c r="O224" s="227"/>
      <c r="P224" s="227"/>
      <c r="Q224" s="227"/>
      <c r="R224" s="227"/>
      <c r="S224" s="227"/>
      <c r="T224" s="227"/>
      <c r="U224" s="227"/>
      <c r="V224" s="227"/>
      <c r="W224" s="227"/>
      <c r="X224" s="227"/>
      <c r="Y224" s="227"/>
      <c r="Z224" s="227"/>
      <c r="AA224" s="227"/>
      <c r="AB224" s="227"/>
      <c r="AC224" s="227"/>
      <c r="AD224" s="227"/>
    </row>
    <row r="225" spans="1:30" s="226" customFormat="1" x14ac:dyDescent="0.2">
      <c r="A225" s="232"/>
      <c r="B225" s="231"/>
      <c r="C225" s="230" t="s">
        <v>315</v>
      </c>
      <c r="D225" s="229"/>
      <c r="E225" s="227"/>
      <c r="F225" s="227"/>
      <c r="G225" s="227"/>
      <c r="H225" s="227"/>
      <c r="I225" s="227"/>
      <c r="J225" s="227"/>
      <c r="K225" s="227"/>
      <c r="L225" s="227"/>
      <c r="M225" s="234"/>
      <c r="N225" s="227"/>
      <c r="O225" s="227"/>
      <c r="P225" s="227"/>
      <c r="Q225" s="227"/>
      <c r="R225" s="227"/>
      <c r="S225" s="227"/>
      <c r="T225" s="227"/>
      <c r="U225" s="227"/>
      <c r="V225" s="227"/>
      <c r="W225" s="227"/>
      <c r="X225" s="227"/>
      <c r="Y225" s="227"/>
      <c r="Z225" s="227"/>
      <c r="AA225" s="227"/>
      <c r="AB225" s="227"/>
      <c r="AC225" s="227"/>
      <c r="AD225" s="227"/>
    </row>
    <row r="226" spans="1:30" s="226" customFormat="1" x14ac:dyDescent="0.2">
      <c r="A226" s="232"/>
      <c r="B226" s="231"/>
      <c r="C226" s="230" t="s">
        <v>314</v>
      </c>
      <c r="D226" s="229"/>
      <c r="E226" s="227">
        <f>BS!D8/IS_NG!D4</f>
        <v>2.9104091144484721E-2</v>
      </c>
      <c r="F226" s="227">
        <f>BS!E8/IS_NG!E4</f>
        <v>3.862533425770031E-2</v>
      </c>
      <c r="G226" s="227">
        <f>BS!F8/IS_NG!F4</f>
        <v>4.1524032825322389E-2</v>
      </c>
      <c r="H226" s="227">
        <f>BS!G8/IS_NG!G4</f>
        <v>3.4764576726030741E-2</v>
      </c>
      <c r="I226" s="227">
        <f>BS!H8/IS_NG!H4</f>
        <v>3.9671478347436534E-2</v>
      </c>
      <c r="J226" s="227">
        <f>BS!I8/IS_NG!I4</f>
        <v>4.1105532354183287E-2</v>
      </c>
      <c r="K226" s="227">
        <f>BS!J8/IS_NG!J4</f>
        <v>3.830178936260973E-2</v>
      </c>
      <c r="L226" s="227">
        <f>BS!AG8/IS_NG!K4</f>
        <v>4.1946158662015919E-2</v>
      </c>
      <c r="M226" s="228"/>
      <c r="N226" s="227">
        <f>BS!Q8/(IS_NG!Q4*4)</f>
        <v>4.6453648112343544E-2</v>
      </c>
      <c r="O226" s="227">
        <f>BS!R8/(IS_NG!R4*4)</f>
        <v>4.3687078599796807E-2</v>
      </c>
      <c r="P226" s="227">
        <f>BS!S8/(IS_NG!S4*4)</f>
        <v>4.2686344106108727E-2</v>
      </c>
      <c r="Q226" s="227">
        <f>BS!T8/(IS_NG!T4*4)</f>
        <v>3.6993769470404982E-2</v>
      </c>
      <c r="R226" s="227">
        <f>BS!U8/(IS_NG!U4*4)</f>
        <v>3.842077371489136E-2</v>
      </c>
      <c r="S226" s="227">
        <f>BS!V8/(IS_NG!V4*4)</f>
        <v>3.84299913152562E-2</v>
      </c>
      <c r="T226" s="227">
        <f>BS!W8/(IS_NG!W4*4)</f>
        <v>4.0187842174815934E-2</v>
      </c>
      <c r="U226" s="227">
        <f>BS!X8/(IS_NG!X4*4)</f>
        <v>4.0708959035652262E-2</v>
      </c>
      <c r="V226" s="227">
        <f>BS!Y8/(IS_NG!Y4*4)</f>
        <v>3.5565173116089616E-2</v>
      </c>
      <c r="W226" s="227">
        <f>BS!Z8/(IS_NG!Z4*4)</f>
        <v>3.4359134229981297E-2</v>
      </c>
      <c r="X226" s="227">
        <f>BS!AA8/(IS_NG!AA4*4)</f>
        <v>3.875968992248062E-2</v>
      </c>
      <c r="Y226" s="227">
        <f>BS!AB8/(IS_NG!AB4*4)</f>
        <v>4.1277919140514562E-2</v>
      </c>
      <c r="Z226" s="227">
        <f>BS!AC8/(IS_NG!AC4*4)</f>
        <v>4.3481396019613497E-2</v>
      </c>
      <c r="AA226" s="227">
        <f>BS!AD8/(IS_NG!AD4*4)</f>
        <v>4.167740273125483E-2</v>
      </c>
      <c r="AB226" s="227">
        <f>BS!AE8/(IS_NG!AE4*4)</f>
        <v>4.6933125702915475E-2</v>
      </c>
      <c r="AC226" s="227">
        <f>BS!AF8/(IS_NG!AF4*4)</f>
        <v>3.8992503199853722E-2</v>
      </c>
      <c r="AD226" s="227">
        <f>BS!AG8/(IS_NG!AG4*4)</f>
        <v>4.431216931216931E-2</v>
      </c>
    </row>
    <row r="227" spans="1:30" s="226" customFormat="1" x14ac:dyDescent="0.2">
      <c r="A227" s="232"/>
      <c r="B227" s="231"/>
      <c r="C227" s="230" t="s">
        <v>313</v>
      </c>
      <c r="D227" s="229"/>
      <c r="E227" s="227">
        <f>BS!D11/IS_NG!D4</f>
        <v>0.18311755567063698</v>
      </c>
      <c r="F227" s="227">
        <f>BS!E11/IS_NG!E4</f>
        <v>0.35463504011092406</v>
      </c>
      <c r="G227" s="227">
        <f>BS!F11/IS_NG!F4</f>
        <v>0.27549824150058616</v>
      </c>
      <c r="H227" s="227">
        <f>BS!G11/IS_NG!G4</f>
        <v>0.24359599902415224</v>
      </c>
      <c r="I227" s="227">
        <f>BS!H11/IS_NG!H4</f>
        <v>0.25694375311100048</v>
      </c>
      <c r="J227" s="227">
        <f>BS!I11/IS_NG!I4</f>
        <v>0.21458401764347051</v>
      </c>
      <c r="K227" s="227">
        <f>BS!J11/IS_NG!J4</f>
        <v>0.19391122785747963</v>
      </c>
      <c r="L227" s="227">
        <f>BS!AG11/IS_NG!K4</f>
        <v>0.19349789822019497</v>
      </c>
      <c r="M227" s="228"/>
      <c r="N227" s="227">
        <f>BS!Q11/(IS_NG!Q4*4)</f>
        <v>0.35944337030629897</v>
      </c>
      <c r="O227" s="227">
        <f>BS!R11/(IS_NG!R4*4)</f>
        <v>0.32578276530894984</v>
      </c>
      <c r="P227" s="227">
        <f>BS!S11/(IS_NG!S4*4)</f>
        <v>0.32005417522884366</v>
      </c>
      <c r="Q227" s="227">
        <f>BS!T11/(IS_NG!T4*4)</f>
        <v>0.25921599169262721</v>
      </c>
      <c r="R227" s="227">
        <f>BS!U11/(IS_NG!U4*4)</f>
        <v>0.28622151563328035</v>
      </c>
      <c r="S227" s="227">
        <f>BS!V11/(IS_NG!V4*4)</f>
        <v>0.2698060407217987</v>
      </c>
      <c r="T227" s="227">
        <f>BS!W11/(IS_NG!W4*4)</f>
        <v>0.26071361147819522</v>
      </c>
      <c r="U227" s="227">
        <f>BS!X11/(IS_NG!X4*4)</f>
        <v>0.26366329553580548</v>
      </c>
      <c r="V227" s="227">
        <f>BS!Y11/(IS_NG!Y4*4)</f>
        <v>0.27051934826883911</v>
      </c>
      <c r="W227" s="227">
        <f>BS!Z11/(IS_NG!Z4*4)</f>
        <v>0.24530150529972389</v>
      </c>
      <c r="X227" s="227">
        <f>BS!AA11/(IS_NG!AA4*4)</f>
        <v>0.22804377564979481</v>
      </c>
      <c r="Y227" s="227">
        <f>BS!AB11/(IS_NG!AB4*4)</f>
        <v>0.21548393176891906</v>
      </c>
      <c r="Z227" s="227">
        <f>BS!AC11/(IS_NG!AC4*4)</f>
        <v>0.23250168253052592</v>
      </c>
      <c r="AA227" s="227">
        <f>BS!AD11/(IS_NG!AD4*4)</f>
        <v>0.19702825732199605</v>
      </c>
      <c r="AB227" s="227">
        <f>BS!AE11/(IS_NG!AE4*4)</f>
        <v>0.20542434466649365</v>
      </c>
      <c r="AC227" s="227">
        <f>BS!AF11/(IS_NG!AF4*4)</f>
        <v>0.19740811848601206</v>
      </c>
      <c r="AD227" s="227">
        <f>BS!AG11/(IS_NG!AG4*4)</f>
        <v>0.20441232048374905</v>
      </c>
    </row>
    <row r="228" spans="1:30" s="226" customFormat="1" x14ac:dyDescent="0.2">
      <c r="A228" s="232"/>
      <c r="B228" s="231"/>
      <c r="C228" s="230" t="s">
        <v>312</v>
      </c>
      <c r="D228" s="229"/>
      <c r="E228" s="227">
        <f>BS!D17/IS_NG!D4</f>
        <v>0.62747281201450023</v>
      </c>
      <c r="F228" s="227">
        <f>BS!E17/IS_NG!E4</f>
        <v>0.75250074279488954</v>
      </c>
      <c r="G228" s="227">
        <f>BS!F17/IS_NG!F4</f>
        <v>0.82867526377491207</v>
      </c>
      <c r="H228" s="227">
        <f>BS!G17/IS_NG!G4</f>
        <v>0.99180287875091488</v>
      </c>
      <c r="I228" s="227">
        <f>BS!H17/IS_NG!H4</f>
        <v>1.1287456445993032</v>
      </c>
      <c r="J228" s="227">
        <f>BS!I17/IS_NG!I4</f>
        <v>1.1684576040542443</v>
      </c>
      <c r="K228" s="227">
        <f>BS!J17/IS_NG!J4</f>
        <v>1.1571585730001572</v>
      </c>
      <c r="L228" s="227">
        <f>BS!AG17/IS_NG!K4</f>
        <v>1.166174760754852</v>
      </c>
      <c r="M228" s="228"/>
      <c r="N228" s="227">
        <f>BS!Q17/(IS_NG!Q4*4)</f>
        <v>0.92986160577999388</v>
      </c>
      <c r="O228" s="227">
        <f>BS!R17/(IS_NG!R4*4)</f>
        <v>0.87939872540870045</v>
      </c>
      <c r="P228" s="227">
        <f>BS!S17/(IS_NG!S4*4)</f>
        <v>0.91553801606575747</v>
      </c>
      <c r="Q228" s="227">
        <f>BS!T17/(IS_NG!T4*4)</f>
        <v>1.0553997923156802</v>
      </c>
      <c r="R228" s="227">
        <f>BS!U17/(IS_NG!U4*4)</f>
        <v>1.1135665076841548</v>
      </c>
      <c r="S228" s="227">
        <f>BS!V17/(IS_NG!V4*4)</f>
        <v>1.047355977998649</v>
      </c>
      <c r="T228" s="227">
        <f>BS!W17/(IS_NG!W4*4)</f>
        <v>1.0459458183877666</v>
      </c>
      <c r="U228" s="227">
        <f>BS!X17/(IS_NG!X4*4)</f>
        <v>1.1582643783839004</v>
      </c>
      <c r="V228" s="227">
        <f>BS!Y17/(IS_NG!Y4*4)</f>
        <v>1.1947810590631365</v>
      </c>
      <c r="W228" s="227">
        <f>BS!Z17/(IS_NG!Z4*4)</f>
        <v>1.0715462723790861</v>
      </c>
      <c r="X228" s="227">
        <f>BS!AA17/(IS_NG!AA4*4)</f>
        <v>1.1109667122663018</v>
      </c>
      <c r="Y228" s="227">
        <f>BS!AB17/(IS_NG!AB4*4)</f>
        <v>1.1733578362077091</v>
      </c>
      <c r="Z228" s="227">
        <f>BS!AC17/(IS_NG!AC4*4)</f>
        <v>1.213633304489953</v>
      </c>
      <c r="AA228" s="227">
        <f>BS!AD17/(IS_NG!AD4*4)</f>
        <v>1.0982779352400585</v>
      </c>
      <c r="AB228" s="227">
        <f>BS!AE17/(IS_NG!AE4*4)</f>
        <v>1.1138506791244918</v>
      </c>
      <c r="AC228" s="227">
        <f>BS!AF17/(IS_NG!AF4*4)</f>
        <v>1.17802614737612</v>
      </c>
      <c r="AD228" s="227">
        <f>BS!AG17/(IS_NG!AG4*4)</f>
        <v>1.2319538926681783</v>
      </c>
    </row>
    <row r="229" spans="1:30" s="226" customFormat="1" x14ac:dyDescent="0.2">
      <c r="A229" s="232"/>
      <c r="B229" s="231"/>
      <c r="C229" s="230" t="s">
        <v>311</v>
      </c>
      <c r="D229" s="229"/>
      <c r="E229" s="227">
        <f>BS!D18*-1/IS_NG!D4</f>
        <v>0.28045054375971001</v>
      </c>
      <c r="F229" s="227">
        <f>BS!E18*-1/IS_NG!E4</f>
        <v>0.2756511835198574</v>
      </c>
      <c r="G229" s="227">
        <f>BS!F18*-1/IS_NG!F4</f>
        <v>0.28743259085580303</v>
      </c>
      <c r="H229" s="227">
        <f>BS!G18*-1/IS_NG!G4</f>
        <v>0.32066357648206878</v>
      </c>
      <c r="I229" s="227">
        <f>BS!H18*-1/IS_NG!H4</f>
        <v>0.35326032852165257</v>
      </c>
      <c r="J229" s="227">
        <f>BS!I18*-1/IS_NG!I4</f>
        <v>0.36708741964243818</v>
      </c>
      <c r="K229" s="227">
        <f>BS!J18*-1/IS_NG!J4</f>
        <v>0.3916167126916773</v>
      </c>
      <c r="L229" s="227">
        <f>BS!AG18*-1/IS_NG!K4</f>
        <v>0.39678919595742779</v>
      </c>
      <c r="M229" s="228"/>
      <c r="N229" s="227">
        <f>BS!Q18*-1/(IS_NG!Q4*4)</f>
        <v>0.3182303856721278</v>
      </c>
      <c r="O229" s="227">
        <f>BS!R18*-1/(IS_NG!R4*4)</f>
        <v>0.29548813152304426</v>
      </c>
      <c r="P229" s="227">
        <f>BS!S18*-1/(IS_NG!S4*4)</f>
        <v>0.30158322436017188</v>
      </c>
      <c r="Q229" s="227">
        <f>BS!T18*-1/(IS_NG!T4*4)</f>
        <v>0.34122533748701972</v>
      </c>
      <c r="R229" s="227">
        <f>BS!U18*-1/(IS_NG!U4*4)</f>
        <v>0.35487546369899309</v>
      </c>
      <c r="S229" s="227">
        <f>BS!V18*-1/(IS_NG!V4*4)</f>
        <v>0.33301167615555344</v>
      </c>
      <c r="T229" s="227">
        <f>BS!W18*-1/(IS_NG!W4*4)</f>
        <v>0.33082405134982068</v>
      </c>
      <c r="U229" s="227">
        <f>BS!X18*-1/(IS_NG!X4*4)</f>
        <v>0.362498723056492</v>
      </c>
      <c r="V229" s="227">
        <f>BS!Y18*-1/(IS_NG!Y4*4)</f>
        <v>0.37270875763747452</v>
      </c>
      <c r="W229" s="227">
        <f>BS!Z18*-1/(IS_NG!Z4*4)</f>
        <v>0.33686648258662155</v>
      </c>
      <c r="X229" s="227">
        <f>BS!AA18*-1/(IS_NG!AA4*4)</f>
        <v>0.35148198814409487</v>
      </c>
      <c r="Y229" s="227">
        <f>BS!AB18*-1/(IS_NG!AB4*4)</f>
        <v>0.36862689661671849</v>
      </c>
      <c r="Z229" s="227">
        <f>BS!AC18*-1/(IS_NG!AC4*4)</f>
        <v>0.38840015383136239</v>
      </c>
      <c r="AA229" s="227">
        <f>BS!AD18*-1/(IS_NG!AD4*4)</f>
        <v>0.35912136047410459</v>
      </c>
      <c r="AB229" s="227">
        <f>BS!AE18*-1/(IS_NG!AE4*4)</f>
        <v>0.37366986763560861</v>
      </c>
      <c r="AC229" s="227">
        <f>BS!AF18*-1/(IS_NG!AF4*4)</f>
        <v>0.39867891753519841</v>
      </c>
      <c r="AD229" s="227">
        <f>BS!AG18*-1/(IS_NG!AG4*4)</f>
        <v>0.41917044595616026</v>
      </c>
    </row>
    <row r="230" spans="1:30" s="226" customFormat="1" x14ac:dyDescent="0.2">
      <c r="A230" s="232"/>
      <c r="B230" s="231"/>
      <c r="C230" s="230" t="s">
        <v>310</v>
      </c>
      <c r="D230" s="229"/>
      <c r="E230" s="227">
        <f>BS!D19/IS_NG!D4</f>
        <v>0.34702226825479027</v>
      </c>
      <c r="F230" s="227">
        <f>BS!E19/IS_NG!E4</f>
        <v>0.4768495592750322</v>
      </c>
      <c r="G230" s="227">
        <f>BS!F19/IS_NG!F4</f>
        <v>0.54124267291910899</v>
      </c>
      <c r="H230" s="227">
        <f>BS!G19/IS_NG!G4</f>
        <v>0.67113930226884611</v>
      </c>
      <c r="I230" s="227">
        <f>BS!H19/IS_NG!H4</f>
        <v>0.77548531607765059</v>
      </c>
      <c r="J230" s="227">
        <f>BS!I19/IS_NG!I4</f>
        <v>0.80137018441180607</v>
      </c>
      <c r="K230" s="227">
        <f>BS!J19/IS_NG!J4</f>
        <v>0.76554186030847982</v>
      </c>
      <c r="L230" s="227">
        <f>BS!AG19/IS_NG!K4</f>
        <v>0.76938556479742415</v>
      </c>
      <c r="M230" s="228"/>
      <c r="N230" s="227">
        <f>BS!Q19/(IS_NG!Q4*4)</f>
        <v>0.61163122010786608</v>
      </c>
      <c r="O230" s="227">
        <f>BS!R19/(IS_NG!R4*4)</f>
        <v>0.58391059388565625</v>
      </c>
      <c r="P230" s="227">
        <f>BS!S19/(IS_NG!S4*4)</f>
        <v>0.61395479170558565</v>
      </c>
      <c r="Q230" s="227">
        <f>BS!T19/(IS_NG!T4*4)</f>
        <v>0.71417445482866049</v>
      </c>
      <c r="R230" s="227">
        <f>BS!U19/(IS_NG!U4*4)</f>
        <v>0.75869104398516163</v>
      </c>
      <c r="S230" s="227">
        <f>BS!V19/(IS_NG!V4*4)</f>
        <v>0.71434430184309561</v>
      </c>
      <c r="T230" s="227">
        <f>BS!W19/(IS_NG!W4*4)</f>
        <v>0.71512176703794605</v>
      </c>
      <c r="U230" s="227">
        <f>BS!X19/(IS_NG!X4*4)</f>
        <v>0.79576565532740828</v>
      </c>
      <c r="V230" s="227">
        <f>BS!Y19/(IS_NG!Y4*4)</f>
        <v>0.8220723014256619</v>
      </c>
      <c r="W230" s="227">
        <f>BS!Z19/(IS_NG!Z4*4)</f>
        <v>0.73467978979246462</v>
      </c>
      <c r="X230" s="227">
        <f>BS!AA19/(IS_NG!AA4*4)</f>
        <v>0.75948472412220702</v>
      </c>
      <c r="Y230" s="227">
        <f>BS!AB19/(IS_NG!AB4*4)</f>
        <v>0.80473093959099051</v>
      </c>
      <c r="Z230" s="227">
        <f>BS!AC19/(IS_NG!AC4*4)</f>
        <v>0.82523315065859049</v>
      </c>
      <c r="AA230" s="227">
        <f>BS!AD19/(IS_NG!AD4*4)</f>
        <v>0.73915657476595376</v>
      </c>
      <c r="AB230" s="227">
        <f>BS!AE19/(IS_NG!AE4*4)</f>
        <v>0.74018081148888315</v>
      </c>
      <c r="AC230" s="227">
        <f>BS!AF19/(IS_NG!AF4*4)</f>
        <v>0.77934722984092153</v>
      </c>
      <c r="AD230" s="227">
        <f>BS!AG19/(IS_NG!AG4*4)</f>
        <v>0.81278344671201819</v>
      </c>
    </row>
    <row r="231" spans="1:30" s="226" customFormat="1" x14ac:dyDescent="0.2">
      <c r="A231" s="232"/>
      <c r="B231" s="231"/>
      <c r="C231" s="230" t="s">
        <v>122</v>
      </c>
      <c r="D231" s="229"/>
      <c r="E231" s="227">
        <f>BS!D25/IS_NG!D4</f>
        <v>2.2501294665976179E-2</v>
      </c>
      <c r="F231" s="227">
        <f>BS!E25/IS_NG!E4</f>
        <v>0.15838863028622363</v>
      </c>
      <c r="G231" s="227">
        <f>BS!F25/IS_NG!F4</f>
        <v>0.14844079718640094</v>
      </c>
      <c r="H231" s="227">
        <f>BS!G25/IS_NG!G4</f>
        <v>0.15467187118809467</v>
      </c>
      <c r="I231" s="227">
        <f>BS!H25/IS_NG!H4</f>
        <v>0.15589845694375312</v>
      </c>
      <c r="J231" s="227">
        <f>BS!I25/IS_NG!I4</f>
        <v>0.1476702172586927</v>
      </c>
      <c r="K231" s="227">
        <f>BS!J25/IS_NG!J4</f>
        <v>0.13982622752071125</v>
      </c>
      <c r="L231" s="227">
        <f>BS!AG25/IS_NG!K4</f>
        <v>0.13876218585099723</v>
      </c>
      <c r="M231" s="228"/>
      <c r="N231" s="227">
        <f>BS!Q25/(IS_NG!Q4*4)</f>
        <v>0.16210440622773989</v>
      </c>
      <c r="O231" s="227">
        <f>BS!R25/(IS_NG!R4*4)</f>
        <v>0.14697053662140944</v>
      </c>
      <c r="P231" s="227">
        <f>BS!S25/(IS_NG!S4*4)</f>
        <v>0.14832804035120492</v>
      </c>
      <c r="Q231" s="227">
        <f>BS!T25/(IS_NG!T4*4)</f>
        <v>0.16458982346832815</v>
      </c>
      <c r="R231" s="227">
        <f>BS!U25/(IS_NG!U4*4)</f>
        <v>0.1676470588235294</v>
      </c>
      <c r="S231" s="227">
        <f>BS!V25/(IS_NG!V4*4)</f>
        <v>0.15207951365434719</v>
      </c>
      <c r="T231" s="227">
        <f>BS!W25/(IS_NG!W4*4)</f>
        <v>0.14819709269397771</v>
      </c>
      <c r="U231" s="227">
        <f>BS!X25/(IS_NG!X4*4)</f>
        <v>0.15997548268464604</v>
      </c>
      <c r="V231" s="227">
        <f>BS!Y25/(IS_NG!Y4*4)</f>
        <v>0.16107433808553973</v>
      </c>
      <c r="W231" s="227">
        <f>BS!Z25/(IS_NG!Z4*4)</f>
        <v>0.14062082479736349</v>
      </c>
      <c r="X231" s="227">
        <f>BS!AA25/(IS_NG!AA4*4)</f>
        <v>0.14375284997720017</v>
      </c>
      <c r="Y231" s="227">
        <f>BS!AB25/(IS_NG!AB4*4)</f>
        <v>0.14828951088493073</v>
      </c>
      <c r="Z231" s="227">
        <f>BS!AC25/(IS_NG!AC4*4)</f>
        <v>0.15104316892606481</v>
      </c>
      <c r="AA231" s="227">
        <f>BS!AD25/(IS_NG!AD4*4)</f>
        <v>0.13415786309370437</v>
      </c>
      <c r="AB231" s="227">
        <f>BS!AE25/(IS_NG!AE4*4)</f>
        <v>0.13491651526948698</v>
      </c>
      <c r="AC231" s="227">
        <f>BS!AF25/(IS_NG!AF4*4)</f>
        <v>0.14234777838727372</v>
      </c>
      <c r="AD231" s="227">
        <f>BS!AG25/(IS_NG!AG4*4)</f>
        <v>0.14658919123204839</v>
      </c>
    </row>
    <row r="232" spans="1:30" s="226" customFormat="1" x14ac:dyDescent="0.2">
      <c r="A232" s="232"/>
      <c r="B232" s="231"/>
      <c r="C232" s="230" t="s">
        <v>117</v>
      </c>
      <c r="D232" s="229"/>
      <c r="E232" s="227">
        <f>BS!D30/IS_NG!D4</f>
        <v>0.60875194199896432</v>
      </c>
      <c r="F232" s="227">
        <f>BS!E30/IS_NG!E4</f>
        <v>1.046796078042983</v>
      </c>
      <c r="G232" s="227">
        <f>BS!F30/IS_NG!F4</f>
        <v>1.0134818288393903</v>
      </c>
      <c r="H232" s="227">
        <f>BS!G30/IS_NG!G4</f>
        <v>1.1811417418882655</v>
      </c>
      <c r="I232" s="227">
        <f>BS!H30/IS_NG!H4</f>
        <v>1.2761075161772026</v>
      </c>
      <c r="J232" s="227">
        <f>BS!I30/IS_NG!I4</f>
        <v>1.2384449345408475</v>
      </c>
      <c r="K232" s="227">
        <f>BS!J30/IS_NG!J4</f>
        <v>1.3600951931927887</v>
      </c>
      <c r="L232" s="227">
        <f>BS!AG30/IS_NG!K4</f>
        <v>1.3591583937036043</v>
      </c>
      <c r="M232" s="228"/>
      <c r="N232" s="227">
        <f>BS!Q30/(IS_NG!Q4*4)</f>
        <v>1.1894270886333571</v>
      </c>
      <c r="O232" s="227">
        <f>BS!R30/(IS_NG!R4*4)</f>
        <v>1.1052923247436963</v>
      </c>
      <c r="P232" s="227">
        <f>BS!S30/(IS_NG!S4*4)</f>
        <v>1.137563048757706</v>
      </c>
      <c r="Q232" s="227">
        <f>BS!T30/(IS_NG!T4*4)</f>
        <v>1.2568795430944963</v>
      </c>
      <c r="R232" s="227">
        <f>BS!U30/(IS_NG!U4*4)</f>
        <v>1.3224430312665607</v>
      </c>
      <c r="S232" s="227">
        <f>BS!V30/(IS_NG!V4*4)</f>
        <v>1.2315690437132105</v>
      </c>
      <c r="T232" s="227">
        <f>BS!W30/(IS_NG!W4*4)</f>
        <v>1.2060600339814989</v>
      </c>
      <c r="U232" s="227">
        <f>BS!X30/(IS_NG!X4*4)</f>
        <v>1.3094800286035346</v>
      </c>
      <c r="V232" s="227">
        <f>BS!Y30/(IS_NG!Y4*4)</f>
        <v>1.3397912423625256</v>
      </c>
      <c r="W232" s="227">
        <f>BS!Z30/(IS_NG!Z4*4)</f>
        <v>1.1876725750423087</v>
      </c>
      <c r="X232" s="227">
        <f>BS!AA30/(IS_NG!AA4*4)</f>
        <v>1.1947332421340628</v>
      </c>
      <c r="Y232" s="227">
        <f>BS!AB30/(IS_NG!AB4*4)</f>
        <v>1.2436386768447838</v>
      </c>
      <c r="Z232" s="227">
        <f>BS!AC30/(IS_NG!AC4*4)</f>
        <v>1.2806460917219498</v>
      </c>
      <c r="AA232" s="227">
        <f>BS!AD30/(IS_NG!AD4*4)</f>
        <v>1.1299063815167911</v>
      </c>
      <c r="AB232" s="227">
        <f>BS!AE30/(IS_NG!AE4*4)</f>
        <v>1.1383986504022838</v>
      </c>
      <c r="AC232" s="227">
        <f>BS!AF30/(IS_NG!AF4*4)</f>
        <v>1.3846224172609252</v>
      </c>
      <c r="AD232" s="227">
        <f>BS!AG30/(IS_NG!AG4*4)</f>
        <v>1.435822940287226</v>
      </c>
    </row>
    <row r="233" spans="1:30" s="226" customFormat="1" x14ac:dyDescent="0.2">
      <c r="A233" s="232"/>
      <c r="B233" s="231"/>
      <c r="C233" s="230" t="s">
        <v>113</v>
      </c>
      <c r="D233" s="229"/>
      <c r="E233" s="227">
        <f>BS!D34/IS_NG!D4</f>
        <v>2.5245986535473847E-2</v>
      </c>
      <c r="F233" s="227">
        <f>BS!E34/IS_NG!E4</f>
        <v>3.3871446964444885E-2</v>
      </c>
      <c r="G233" s="227">
        <f>BS!F34/IS_NG!F4</f>
        <v>3.2286049237983588E-2</v>
      </c>
      <c r="H233" s="227">
        <f>BS!G34/IS_NG!G4</f>
        <v>3.8131251524762134E-2</v>
      </c>
      <c r="I233" s="227">
        <f>BS!H34/IS_NG!H4</f>
        <v>3.9621702339472376E-2</v>
      </c>
      <c r="J233" s="227">
        <f>BS!I34/IS_NG!I4</f>
        <v>3.9603960396039604E-2</v>
      </c>
      <c r="K233" s="227">
        <f>BS!J34/IS_NG!J4</f>
        <v>3.9806021418468375E-2</v>
      </c>
      <c r="L233" s="227">
        <f>BS!AG34/IS_NG!K4</f>
        <v>4.7826670244164204E-2</v>
      </c>
      <c r="M233" s="228"/>
      <c r="N233" s="227">
        <f>BS!Q34/(IS_NG!Q4*4)</f>
        <v>4.0373460873104713E-2</v>
      </c>
      <c r="O233" s="227">
        <f>BS!R34/(IS_NG!R4*4)</f>
        <v>3.8861180382377389E-2</v>
      </c>
      <c r="P233" s="227">
        <f>BS!S34/(IS_NG!S4*4)</f>
        <v>3.5610872407995514E-2</v>
      </c>
      <c r="Q233" s="227">
        <f>BS!T34/(IS_NG!T4*4)</f>
        <v>4.0576323987538944E-2</v>
      </c>
      <c r="R233" s="227">
        <f>BS!U34/(IS_NG!U4*4)</f>
        <v>5.0688924218335984E-2</v>
      </c>
      <c r="S233" s="227">
        <f>BS!V34/(IS_NG!V4*4)</f>
        <v>4.689761652031265E-2</v>
      </c>
      <c r="T233" s="227">
        <f>BS!W34/(IS_NG!W4*4)</f>
        <v>3.9479894279781005E-2</v>
      </c>
      <c r="U233" s="227">
        <f>BS!X34/(IS_NG!X4*4)</f>
        <v>4.0657881295331495E-2</v>
      </c>
      <c r="V233" s="227">
        <f>BS!Y34/(IS_NG!Y4*4)</f>
        <v>4.791242362525458E-2</v>
      </c>
      <c r="W233" s="227">
        <f>BS!Z34/(IS_NG!Z4*4)</f>
        <v>4.2843145987351922E-2</v>
      </c>
      <c r="X233" s="227">
        <f>BS!AA34/(IS_NG!AA4*4)</f>
        <v>3.734610123119015E-2</v>
      </c>
      <c r="Y233" s="227">
        <f>BS!AB34/(IS_NG!AB4*4)</f>
        <v>3.9770049948166998E-2</v>
      </c>
      <c r="Z233" s="227">
        <f>BS!AC34/(IS_NG!AC4*4)</f>
        <v>4.6942601672916064E-2</v>
      </c>
      <c r="AA233" s="227">
        <f>BS!AD34/(IS_NG!AD4*4)</f>
        <v>4.4082281199003696E-2</v>
      </c>
      <c r="AB233" s="227">
        <f>BS!AE34/(IS_NG!AE4*4)</f>
        <v>4.0790725841335758E-2</v>
      </c>
      <c r="AC233" s="227">
        <f>BS!AF34/(IS_NG!AF4*4)</f>
        <v>4.0523861766319252E-2</v>
      </c>
      <c r="AD233" s="227">
        <f>BS!AG34/(IS_NG!AG4*4)</f>
        <v>5.0524376417233563E-2</v>
      </c>
    </row>
    <row r="234" spans="1:30" s="226" customFormat="1" x14ac:dyDescent="0.2">
      <c r="A234" s="232"/>
      <c r="B234" s="231"/>
      <c r="C234" s="230" t="s">
        <v>309</v>
      </c>
      <c r="D234" s="229"/>
      <c r="E234" s="227">
        <f>BS!D66/IS_NG!D4</f>
        <v>3.6742620403935784E-2</v>
      </c>
      <c r="F234" s="227">
        <f>BS!E66/IS_NG!E4</f>
        <v>3.58027136773299E-2</v>
      </c>
      <c r="G234" s="227">
        <f>BS!F66/IS_NG!F4</f>
        <v>3.9320046893317702E-2</v>
      </c>
      <c r="H234" s="227">
        <f>BS!G66/IS_NG!G4</f>
        <v>5.4427909246157598E-2</v>
      </c>
      <c r="I234" s="227">
        <f>BS!H66/IS_NG!H4</f>
        <v>4.6167247386759584E-2</v>
      </c>
      <c r="J234" s="227">
        <f>BS!I66/IS_NG!I4</f>
        <v>5.9922105954671297E-2</v>
      </c>
      <c r="K234" s="227">
        <f>BS!J66/IS_NG!J4</f>
        <v>0.11108865988639681</v>
      </c>
      <c r="L234" s="227">
        <f>BS!AG66/IS_NG!K4</f>
        <v>0.11177443878007334</v>
      </c>
      <c r="M234" s="228"/>
      <c r="N234" s="227">
        <f>BS!Q66/(IS_NG!Q4*4)</f>
        <v>3.2665106339676404E-2</v>
      </c>
      <c r="O234" s="227">
        <f>BS!R66/(IS_NG!R4*4)</f>
        <v>3.7914473076567839E-2</v>
      </c>
      <c r="P234" s="227">
        <f>BS!S66/(IS_NG!S4*4)</f>
        <v>3.9977582663926772E-2</v>
      </c>
      <c r="Q234" s="227">
        <f>BS!T66/(IS_NG!T4*4)</f>
        <v>5.7917964693665627E-2</v>
      </c>
      <c r="R234" s="227">
        <f>BS!U66/(IS_NG!U4*4)</f>
        <v>6.9157392686804445E-2</v>
      </c>
      <c r="S234" s="227">
        <f>BS!V66/(IS_NG!V4*4)</f>
        <v>4.1373154491942489E-2</v>
      </c>
      <c r="T234" s="227">
        <f>BS!W66/(IS_NG!W4*4)</f>
        <v>4.2429677175759864E-2</v>
      </c>
      <c r="U234" s="227">
        <f>BS!X66/(IS_NG!X4*4)</f>
        <v>4.7374604147512517E-2</v>
      </c>
      <c r="V234" s="227">
        <f>BS!Y66/(IS_NG!Y4*4)</f>
        <v>4.3635437881873726E-2</v>
      </c>
      <c r="W234" s="227">
        <f>BS!Z66/(IS_NG!Z4*4)</f>
        <v>5.197292241916808E-2</v>
      </c>
      <c r="X234" s="227">
        <f>BS!AA66/(IS_NG!AA4*4)</f>
        <v>5.624715002279982E-2</v>
      </c>
      <c r="Y234" s="227">
        <f>BS!AB66/(IS_NG!AB4*4)</f>
        <v>6.0173404957119966E-2</v>
      </c>
      <c r="Z234" s="227">
        <f>BS!AC66/(IS_NG!AC4*4)</f>
        <v>6.7132967983847713E-2</v>
      </c>
      <c r="AA234" s="227">
        <f>BS!AD66/(IS_NG!AD4*4)</f>
        <v>4.7517821867216356E-2</v>
      </c>
      <c r="AB234" s="227">
        <f>BS!AE66/(IS_NG!AE4*4)</f>
        <v>5.3919024137036073E-2</v>
      </c>
      <c r="AC234" s="227">
        <f>BS!AF66/(IS_NG!AF4*4)</f>
        <v>0.11309197293837996</v>
      </c>
      <c r="AD234" s="227">
        <f>BS!AG66/(IS_NG!AG4*4)</f>
        <v>0.1180791761148904</v>
      </c>
    </row>
    <row r="235" spans="1:30" s="226" customFormat="1" x14ac:dyDescent="0.2">
      <c r="A235" s="232"/>
      <c r="B235" s="231"/>
      <c r="C235" s="230" t="s">
        <v>308</v>
      </c>
      <c r="D235" s="229"/>
      <c r="E235" s="227">
        <f>BS!D40/IS_NG!D4</f>
        <v>0.23332470222682547</v>
      </c>
      <c r="F235" s="227">
        <f>BS!E40/IS_NG!E4</f>
        <v>0.34183420818064769</v>
      </c>
      <c r="G235" s="227">
        <f>BS!F40/IS_NG!F4</f>
        <v>0.31427901524032825</v>
      </c>
      <c r="H235" s="227">
        <f>BS!G40/IS_NG!G4</f>
        <v>0.33191022200536718</v>
      </c>
      <c r="I235" s="227">
        <f>BS!H40/IS_NG!H4</f>
        <v>0.34524639123942258</v>
      </c>
      <c r="J235" s="227">
        <f>BS!I40/IS_NG!I4</f>
        <v>0.3603303458307916</v>
      </c>
      <c r="K235" s="227">
        <f>BS!J40/IS_NG!J4</f>
        <v>0.40627736243012058</v>
      </c>
      <c r="L235" s="227">
        <f>BS!AG40/IS_NG!K4</f>
        <v>0.44381092925498616</v>
      </c>
      <c r="M235" s="228"/>
      <c r="N235" s="227">
        <f>BS!Q40/(IS_NG!Q4*4)</f>
        <v>0.36208914215935689</v>
      </c>
      <c r="O235" s="227">
        <f>BS!R40/(IS_NG!R4*4)</f>
        <v>0.34739540038791911</v>
      </c>
      <c r="P235" s="227">
        <f>BS!S40/(IS_NG!S4*4)</f>
        <v>0.33067905847188495</v>
      </c>
      <c r="Q235" s="227">
        <f>BS!T40/(IS_NG!T4*4)</f>
        <v>0.35319314641744548</v>
      </c>
      <c r="R235" s="227">
        <f>BS!U40/(IS_NG!U4*4)</f>
        <v>0.40479597244303128</v>
      </c>
      <c r="S235" s="227">
        <f>BS!V40/(IS_NG!V4*4)</f>
        <v>0.3598620090707324</v>
      </c>
      <c r="T235" s="227">
        <f>BS!W40/(IS_NG!W4*4)</f>
        <v>0.34295355861808569</v>
      </c>
      <c r="U235" s="227">
        <f>BS!X40/(IS_NG!X4*4)</f>
        <v>0.35427520686484831</v>
      </c>
      <c r="V235" s="227">
        <f>BS!Y40/(IS_NG!Y4*4)</f>
        <v>0.38915478615071281</v>
      </c>
      <c r="W235" s="227">
        <f>BS!Z40/(IS_NG!Z4*4)</f>
        <v>0.3587779460229803</v>
      </c>
      <c r="X235" s="227">
        <f>BS!AA40/(IS_NG!AA4*4)</f>
        <v>0.34899680802553579</v>
      </c>
      <c r="Y235" s="227">
        <f>BS!AB40/(IS_NG!AB4*4)</f>
        <v>0.36184148525115445</v>
      </c>
      <c r="Z235" s="227">
        <f>BS!AC40/(IS_NG!AC4*4)</f>
        <v>0.4088068454956254</v>
      </c>
      <c r="AA235" s="227">
        <f>BS!AD40/(IS_NG!AD4*4)</f>
        <v>0.35791892124023017</v>
      </c>
      <c r="AB235" s="227">
        <f>BS!AE40/(IS_NG!AE4*4)</f>
        <v>0.3535772990743144</v>
      </c>
      <c r="AC235" s="227">
        <f>BS!AF40/(IS_NG!AF4*4)</f>
        <v>0.41360394953373558</v>
      </c>
      <c r="AD235" s="227">
        <f>BS!AG40/(IS_NG!AG4*4)</f>
        <v>0.46884448223733938</v>
      </c>
    </row>
    <row r="236" spans="1:30" s="226" customFormat="1" x14ac:dyDescent="0.2">
      <c r="A236" s="232"/>
      <c r="B236" s="231"/>
      <c r="C236" s="230" t="s">
        <v>307</v>
      </c>
      <c r="D236" s="229"/>
      <c r="E236" s="227">
        <f>BS!D67/IS_NG!D4</f>
        <v>0.18425686172967373</v>
      </c>
      <c r="F236" s="227">
        <f>BS!E67/IS_NG!E4</f>
        <v>0.38013766465286719</v>
      </c>
      <c r="G236" s="227">
        <f>BS!F67/IS_NG!F4</f>
        <v>0.37615474794841736</v>
      </c>
      <c r="H236" s="227">
        <f>BS!G67/IS_NG!G4</f>
        <v>0.44718223957062697</v>
      </c>
      <c r="I236" s="227">
        <f>BS!H67/IS_NG!H4</f>
        <v>0.55970632155301148</v>
      </c>
      <c r="J236" s="227">
        <f>BS!I67/IS_NG!I4</f>
        <v>0.52815447421519401</v>
      </c>
      <c r="K236" s="227">
        <f>BS!J67/IS_NG!J4</f>
        <v>0.47549448822433266</v>
      </c>
      <c r="L236" s="227">
        <f>BS!AG67/IS_NG!K4</f>
        <v>0.46194436991324567</v>
      </c>
      <c r="M236" s="228"/>
      <c r="N236" s="227">
        <f>BS!Q67/(IS_NG!Q4*4)</f>
        <v>0.44871273023303143</v>
      </c>
      <c r="O236" s="227">
        <f>BS!R67/(IS_NG!R4*4)</f>
        <v>0.39604691973769279</v>
      </c>
      <c r="P236" s="227">
        <f>BS!S67/(IS_NG!S4*4)</f>
        <v>0.4401503829628246</v>
      </c>
      <c r="Q236" s="227">
        <f>BS!T67/(IS_NG!T4*4)</f>
        <v>0.47585669781931467</v>
      </c>
      <c r="R236" s="227">
        <f>BS!U67/(IS_NG!U4*4)</f>
        <v>0.50699523052464224</v>
      </c>
      <c r="S236" s="227">
        <f>BS!V67/(IS_NG!V4*4)</f>
        <v>0.50977033677506511</v>
      </c>
      <c r="T236" s="227">
        <f>BS!W67/(IS_NG!W4*4)</f>
        <v>0.50842457995091561</v>
      </c>
      <c r="U236" s="227">
        <f>BS!X67/(IS_NG!X4*4)</f>
        <v>0.57434365103687812</v>
      </c>
      <c r="V236" s="227">
        <f>BS!Y67/(IS_NG!Y4*4)</f>
        <v>0.58118635437881871</v>
      </c>
      <c r="W236" s="227">
        <f>BS!Z67/(IS_NG!Z4*4)</f>
        <v>0.50158101006502187</v>
      </c>
      <c r="X236" s="227">
        <f>BS!AA67/(IS_NG!AA4*4)</f>
        <v>0.5065435476516188</v>
      </c>
      <c r="Y236" s="227">
        <f>BS!AB67/(IS_NG!AB4*4)</f>
        <v>0.53036942795212516</v>
      </c>
      <c r="Z236" s="227">
        <f>BS!AC67/(IS_NG!AC4*4)</f>
        <v>0.52749735602345926</v>
      </c>
      <c r="AA236" s="227">
        <f>BS!AD67/(IS_NG!AD4*4)</f>
        <v>0.46944516018208365</v>
      </c>
      <c r="AB236" s="227">
        <f>BS!AE67/(IS_NG!AE4*4)</f>
        <v>0.48174582576347436</v>
      </c>
      <c r="AC236" s="227">
        <f>BS!AF67/(IS_NG!AF4*4)</f>
        <v>0.48406929968915707</v>
      </c>
      <c r="AD236" s="227">
        <f>BS!AG67/(IS_NG!AG4*4)</f>
        <v>0.4880007558578987</v>
      </c>
    </row>
    <row r="237" spans="1:30" s="226" customFormat="1" x14ac:dyDescent="0.2">
      <c r="A237" s="232"/>
      <c r="B237" s="231"/>
      <c r="C237" s="230" t="s">
        <v>97</v>
      </c>
      <c r="D237" s="229"/>
      <c r="E237" s="227">
        <f>BS!D52/IS_NG!D4</f>
        <v>0.6445106162610047</v>
      </c>
      <c r="F237" s="227">
        <f>BS!E52/IS_NG!E4</f>
        <v>1.1144151728236109</v>
      </c>
      <c r="G237" s="227">
        <f>BS!F52/IS_NG!F4</f>
        <v>0.96609613130128957</v>
      </c>
      <c r="H237" s="227">
        <f>BS!G52/IS_NG!G4</f>
        <v>1.0436691876067334</v>
      </c>
      <c r="I237" s="227">
        <f>BS!H52/IS_NG!H4</f>
        <v>1.1819064211050274</v>
      </c>
      <c r="J237" s="227">
        <f>BS!I52/IS_NG!I4</f>
        <v>1.2567453427807236</v>
      </c>
      <c r="K237" s="227">
        <f>BS!J52/IS_NG!J4</f>
        <v>1.3638894501695067</v>
      </c>
      <c r="L237" s="227">
        <f>BS!AG52/IS_NG!K4</f>
        <v>1.3733789464269743</v>
      </c>
      <c r="M237" s="228"/>
      <c r="N237" s="227">
        <f>BS!Q52/(IS_NG!Q4*4)</f>
        <v>1.1191106136155491</v>
      </c>
      <c r="O237" s="227">
        <f>BS!R52/(IS_NG!R4*4)</f>
        <v>1.0213355500138543</v>
      </c>
      <c r="P237" s="227">
        <f>BS!S52/(IS_NG!S4*4)</f>
        <v>1.0497151130207361</v>
      </c>
      <c r="Q237" s="227">
        <f>BS!T52/(IS_NG!T4*4)</f>
        <v>1.1105919003115265</v>
      </c>
      <c r="R237" s="227">
        <f>BS!U52/(IS_NG!U4*4)</f>
        <v>1.1976417594064652</v>
      </c>
      <c r="S237" s="227">
        <f>BS!V52/(IS_NG!V4*4)</f>
        <v>1.1275451124191835</v>
      </c>
      <c r="T237" s="227">
        <f>BS!W52/(IS_NG!W4*4)</f>
        <v>1.1024400604115536</v>
      </c>
      <c r="U237" s="227">
        <f>BS!X52/(IS_NG!X4*4)</f>
        <v>1.2128154050464808</v>
      </c>
      <c r="V237" s="227">
        <f>BS!Y52/(IS_NG!Y4*4)</f>
        <v>1.2517820773930755</v>
      </c>
      <c r="W237" s="227">
        <f>BS!Z52/(IS_NG!Z4*4)</f>
        <v>1.1049478934710966</v>
      </c>
      <c r="X237" s="227">
        <f>BS!AA52/(IS_NG!AA4*4)</f>
        <v>1.104719562243502</v>
      </c>
      <c r="Y237" s="227">
        <f>BS!AB52/(IS_NG!AB4*4)</f>
        <v>1.2620158326265196</v>
      </c>
      <c r="Z237" s="227">
        <f>BS!AC52/(IS_NG!AC4*4)</f>
        <v>1.3051148927987692</v>
      </c>
      <c r="AA237" s="227">
        <f>BS!AD52/(IS_NG!AD4*4)</f>
        <v>1.1485656617710212</v>
      </c>
      <c r="AB237" s="227">
        <f>BS!AE52/(IS_NG!AE4*4)</f>
        <v>1.1506834501254435</v>
      </c>
      <c r="AC237" s="227">
        <f>BS!AF52/(IS_NG!AF4*4)</f>
        <v>1.3884850978240995</v>
      </c>
      <c r="AD237" s="227">
        <f>BS!AG52/(IS_NG!AG4*4)</f>
        <v>1.4508456160241874</v>
      </c>
    </row>
    <row r="238" spans="1:30" s="226" customFormat="1" x14ac:dyDescent="0.2">
      <c r="A238" s="232"/>
      <c r="B238" s="231"/>
      <c r="C238" s="230" t="s">
        <v>306</v>
      </c>
      <c r="D238" s="229"/>
      <c r="E238" s="227"/>
      <c r="F238" s="227"/>
      <c r="G238" s="227"/>
      <c r="H238" s="227"/>
      <c r="I238" s="227"/>
      <c r="J238" s="227"/>
      <c r="K238" s="227"/>
      <c r="L238" s="227"/>
      <c r="M238" s="228"/>
      <c r="N238" s="227"/>
      <c r="O238" s="227"/>
      <c r="P238" s="227"/>
      <c r="Q238" s="227"/>
      <c r="R238" s="227"/>
      <c r="S238" s="227"/>
      <c r="T238" s="227"/>
      <c r="U238" s="227"/>
      <c r="V238" s="227"/>
      <c r="W238" s="227"/>
      <c r="X238" s="227"/>
      <c r="Y238" s="227"/>
      <c r="Z238" s="227"/>
      <c r="AA238" s="227"/>
      <c r="AB238" s="227"/>
      <c r="AC238" s="227"/>
      <c r="AD238" s="227"/>
    </row>
    <row r="239" spans="1:30" s="226" customFormat="1" x14ac:dyDescent="0.2">
      <c r="A239" s="233"/>
      <c r="B239" s="231"/>
      <c r="C239" s="230" t="s">
        <v>305</v>
      </c>
      <c r="D239" s="229"/>
      <c r="E239" s="227"/>
      <c r="F239" s="227"/>
      <c r="G239" s="227"/>
      <c r="H239" s="227"/>
      <c r="I239" s="227"/>
      <c r="J239" s="227"/>
      <c r="K239" s="227"/>
      <c r="L239" s="227"/>
      <c r="M239" s="228"/>
      <c r="N239" s="227"/>
      <c r="O239" s="227"/>
      <c r="P239" s="227"/>
      <c r="Q239" s="227"/>
      <c r="R239" s="227"/>
      <c r="S239" s="227"/>
      <c r="T239" s="227"/>
      <c r="U239" s="227"/>
      <c r="V239" s="227"/>
      <c r="W239" s="227"/>
      <c r="X239" s="227"/>
      <c r="Y239" s="227"/>
      <c r="Z239" s="227"/>
      <c r="AA239" s="227"/>
      <c r="AB239" s="227"/>
      <c r="AC239" s="227"/>
      <c r="AD239" s="227"/>
    </row>
    <row r="240" spans="1:30" s="226" customFormat="1" x14ac:dyDescent="0.2">
      <c r="A240" s="232"/>
      <c r="B240" s="231"/>
      <c r="C240" s="230" t="s">
        <v>304</v>
      </c>
      <c r="D240" s="229"/>
      <c r="E240" s="227">
        <f>BS!D55/IS_NG!D4</f>
        <v>3.2884515794924908E-3</v>
      </c>
      <c r="F240" s="227">
        <f>BS!E55/IS_NG!E4</f>
        <v>1.2379914826185997E-4</v>
      </c>
      <c r="G240" s="227">
        <f>BS!F55/IS_NG!F4</f>
        <v>1.6412661195779602E-4</v>
      </c>
      <c r="H240" s="227">
        <f>BS!G55/IS_NG!G4</f>
        <v>1.4637716516223469E-4</v>
      </c>
      <c r="I240" s="227">
        <f>BS!H55/IS_NG!H4</f>
        <v>1.2444001991040318E-4</v>
      </c>
      <c r="J240" s="227">
        <f>BS!I55/IS_NG!I4</f>
        <v>1.1731030922997514E-4</v>
      </c>
      <c r="K240" s="227">
        <f>BS!J55/IS_NG!J4</f>
        <v>1.1225612357154082E-4</v>
      </c>
      <c r="L240" s="227">
        <f>BS!AG55/IS_NG!K4</f>
        <v>1.1179679813970127E-4</v>
      </c>
      <c r="M240" s="228"/>
      <c r="N240" s="227">
        <f>BS!Q55/(IS_NG!Q4*4)</f>
        <v>1.7808079780197414E-4</v>
      </c>
      <c r="O240" s="227">
        <f>BS!R55/(IS_NG!R4*4)</f>
        <v>1.6163295465041101E-4</v>
      </c>
      <c r="P240" s="227">
        <f>BS!S55/(IS_NG!S4*4)</f>
        <v>1.4010835045768727E-4</v>
      </c>
      <c r="Q240" s="227">
        <f>BS!T55/(IS_NG!T4*4)</f>
        <v>1.5576323987538941E-4</v>
      </c>
      <c r="R240" s="227">
        <f>BS!U55/(IS_NG!U4*4)</f>
        <v>1.5898251192368839E-4</v>
      </c>
      <c r="S240" s="227">
        <f>BS!V55/(IS_NG!V4*4)</f>
        <v>1.2062144166747081E-4</v>
      </c>
      <c r="T240" s="227">
        <f>BS!W55/(IS_NG!W4*4)</f>
        <v>1.1799131583915424E-4</v>
      </c>
      <c r="U240" s="227">
        <f>BS!X55/(IS_NG!X4*4)</f>
        <v>1.2769435080192053E-4</v>
      </c>
      <c r="V240" s="227">
        <f>BS!Y55/(IS_NG!Y4*4)</f>
        <v>1.2729124236252545E-4</v>
      </c>
      <c r="W240" s="227">
        <f>BS!Z55/(IS_NG!Z4*4)</f>
        <v>1.1133873697336777E-4</v>
      </c>
      <c r="X240" s="227">
        <f>BS!AA55/(IS_NG!AA4*4)</f>
        <v>1.1399908800729594E-4</v>
      </c>
      <c r="Y240" s="227">
        <f>BS!AB55/(IS_NG!AB4*4)</f>
        <v>1.1780228065215342E-4</v>
      </c>
      <c r="Z240" s="227">
        <f>BS!AC55/(IS_NG!AC4*4)</f>
        <v>1.2018075185078358E-4</v>
      </c>
      <c r="AA240" s="227">
        <f>BS!AD55/(IS_NG!AD4*4)</f>
        <v>1.0736064588164563E-4</v>
      </c>
      <c r="AB240" s="227">
        <f>BS!AE55/(IS_NG!AE4*4)</f>
        <v>1.081408426334458E-4</v>
      </c>
      <c r="AC240" s="227">
        <f>BS!AF55/(IS_NG!AF4*4)</f>
        <v>1.1428049003474127E-4</v>
      </c>
      <c r="AD240" s="227">
        <f>BS!AG55/(IS_NG!AG4*4)</f>
        <v>1.1810279667422525E-4</v>
      </c>
    </row>
    <row r="241" spans="1:30" s="226" customFormat="1" x14ac:dyDescent="0.2">
      <c r="A241" s="232"/>
      <c r="B241" s="231"/>
      <c r="C241" s="230" t="s">
        <v>303</v>
      </c>
      <c r="D241" s="229"/>
      <c r="E241" s="227">
        <f>BS!D56/IS_NG!D4</f>
        <v>0.12156913516312791</v>
      </c>
      <c r="F241" s="227">
        <f>BS!E56/IS_NG!E4</f>
        <v>0.26225611567792412</v>
      </c>
      <c r="G241" s="227">
        <f>BS!F56/IS_NG!F4</f>
        <v>0.35486518171160608</v>
      </c>
      <c r="H241" s="227">
        <f>BS!G56/IS_NG!G4</f>
        <v>0.28277628689924372</v>
      </c>
      <c r="I241" s="227">
        <f>BS!H56/IS_NG!H4</f>
        <v>0.17976605276256843</v>
      </c>
      <c r="J241" s="227">
        <f>BS!I56/IS_NG!I4</f>
        <v>0.13406222138801557</v>
      </c>
      <c r="K241" s="227">
        <f>BS!J56/IS_NG!J4</f>
        <v>0.11144787948182573</v>
      </c>
      <c r="L241" s="227">
        <f>BS!AG56/IS_NG!K4</f>
        <v>9.7732760933726862E-2</v>
      </c>
      <c r="M241" s="228"/>
      <c r="N241" s="227">
        <f>BS!Q56/(IS_NG!Q4*4)</f>
        <v>0.3828482751602727</v>
      </c>
      <c r="O241" s="227">
        <f>BS!R56/(IS_NG!R4*4)</f>
        <v>0.33063175394846217</v>
      </c>
      <c r="P241" s="227">
        <f>BS!S56/(IS_NG!S4*4)</f>
        <v>0.30011208668036615</v>
      </c>
      <c r="Q241" s="227">
        <f>BS!T56/(IS_NG!T4*4)</f>
        <v>0.30090861889927312</v>
      </c>
      <c r="R241" s="227">
        <f>BS!U56/(IS_NG!U4*4)</f>
        <v>0.26613672496025437</v>
      </c>
      <c r="S241" s="227">
        <f>BS!V56/(IS_NG!V4*4)</f>
        <v>0.20146193187300976</v>
      </c>
      <c r="T241" s="227">
        <f>BS!W56/(IS_NG!W4*4)</f>
        <v>0.18314612044553522</v>
      </c>
      <c r="U241" s="227">
        <f>BS!X56/(IS_NG!X4*4)</f>
        <v>0.18446725916845438</v>
      </c>
      <c r="V241" s="227">
        <f>BS!Y56/(IS_NG!Y4*4)</f>
        <v>0.17123217922606926</v>
      </c>
      <c r="W241" s="227">
        <f>BS!Z56/(IS_NG!Z4*4)</f>
        <v>0.13906208247973634</v>
      </c>
      <c r="X241" s="227">
        <f>BS!AA56/(IS_NG!AA4*4)</f>
        <v>0.13492932056543547</v>
      </c>
      <c r="Y241" s="227">
        <f>BS!AB56/(IS_NG!AB4*4)</f>
        <v>0.13462444632928094</v>
      </c>
      <c r="Z241" s="227">
        <f>BS!AC56/(IS_NG!AC4*4)</f>
        <v>0.1268868378040573</v>
      </c>
      <c r="AA241" s="227">
        <f>BS!AD56/(IS_NG!AD4*4)</f>
        <v>0.10570729193506828</v>
      </c>
      <c r="AB241" s="227">
        <f>BS!AE56/(IS_NG!AE4*4)</f>
        <v>0.10697292153300458</v>
      </c>
      <c r="AC241" s="227">
        <f>BS!AF56/(IS_NG!AF4*4)</f>
        <v>0.11345767050649114</v>
      </c>
      <c r="AD241" s="227">
        <f>BS!AG56/(IS_NG!AG4*4)</f>
        <v>0.10324546485260772</v>
      </c>
    </row>
    <row r="242" spans="1:30" s="226" customFormat="1" x14ac:dyDescent="0.2">
      <c r="A242" s="232"/>
      <c r="B242" s="231"/>
      <c r="C242" s="230" t="s">
        <v>302</v>
      </c>
      <c r="D242" s="229"/>
      <c r="E242" s="227">
        <f>BS!D59/IS_NG!D4</f>
        <v>-0.24500258933195235</v>
      </c>
      <c r="F242" s="227">
        <f>BS!E59/IS_NG!E4</f>
        <v>-0.27968703575319404</v>
      </c>
      <c r="G242" s="227">
        <f>BS!F59/IS_NG!F4</f>
        <v>-0.20075029308323564</v>
      </c>
      <c r="H242" s="227">
        <f>BS!G59/IS_NG!G4</f>
        <v>-3.0007318858258112E-2</v>
      </c>
      <c r="I242" s="227">
        <f>BS!H59/IS_NG!H4</f>
        <v>4.0816326530612242E-2</v>
      </c>
      <c r="J242" s="227">
        <f>BS!I59/IS_NG!I4</f>
        <v>-3.1556473182863309E-2</v>
      </c>
      <c r="K242" s="227">
        <f>BS!J59/IS_NG!J4</f>
        <v>1.7018028333445588E-2</v>
      </c>
      <c r="L242" s="227">
        <f>BS!AG59/IS_NG!K4</f>
        <v>2.005634558626241E-2</v>
      </c>
      <c r="M242" s="228"/>
      <c r="N242" s="227">
        <f>BS!Q59/(IS_NG!Q4*4)</f>
        <v>-0.195939757810115</v>
      </c>
      <c r="O242" s="227">
        <f>BS!R59/(IS_NG!R4*4)</f>
        <v>-0.14015886210399925</v>
      </c>
      <c r="P242" s="227">
        <f>BS!S59/(IS_NG!S4*4)</f>
        <v>-0.10379693629740333</v>
      </c>
      <c r="Q242" s="227">
        <f>BS!T59/(IS_NG!T4*4)</f>
        <v>-3.1931464174454825E-2</v>
      </c>
      <c r="R242" s="227">
        <f>BS!U59/(IS_NG!U4*4)</f>
        <v>-1.5659777424483306E-2</v>
      </c>
      <c r="S242" s="227">
        <f>BS!V59/(IS_NG!V4*4)</f>
        <v>1.7345363311782304E-2</v>
      </c>
      <c r="T242" s="227">
        <f>BS!W59/(IS_NG!W4*4)</f>
        <v>3.3108363224466676E-2</v>
      </c>
      <c r="U242" s="227">
        <f>BS!X59/(IS_NG!X4*4)</f>
        <v>4.1883747063029934E-2</v>
      </c>
      <c r="V242" s="227">
        <f>BS!Y59/(IS_NG!Y4*4)</f>
        <v>4.6410386965376783E-2</v>
      </c>
      <c r="W242" s="227">
        <f>BS!Z59/(IS_NG!Z4*4)</f>
        <v>5.7383985036073754E-2</v>
      </c>
      <c r="X242" s="227">
        <f>BS!AA59/(IS_NG!AA4*4)</f>
        <v>7.1865025079799361E-2</v>
      </c>
      <c r="Y242" s="227">
        <f>BS!AB59/(IS_NG!AB4*4)</f>
        <v>-3.168881349542927E-2</v>
      </c>
      <c r="Z242" s="227">
        <f>BS!AC59/(IS_NG!AC4*4)</f>
        <v>-2.7160849918277087E-2</v>
      </c>
      <c r="AA242" s="227">
        <f>BS!AD59/(IS_NG!AD4*4)</f>
        <v>-1.3097998797560765E-2</v>
      </c>
      <c r="AB242" s="227">
        <f>BS!AE59/(IS_NG!AE4*4)</f>
        <v>-6.8345012544337742E-3</v>
      </c>
      <c r="AC242" s="227">
        <f>BS!AF59/(IS_NG!AF4*4)</f>
        <v>1.7324922289266777E-2</v>
      </c>
      <c r="AD242" s="227">
        <f>BS!AG59/(IS_NG!AG4*4)</f>
        <v>2.1187641723356011E-2</v>
      </c>
    </row>
    <row r="243" spans="1:30" s="226" customFormat="1" x14ac:dyDescent="0.2">
      <c r="A243" s="232"/>
      <c r="B243" s="231"/>
      <c r="C243" s="230" t="s">
        <v>301</v>
      </c>
      <c r="D243" s="229"/>
      <c r="E243" s="227">
        <f>BS!D60/IS_NG!D4</f>
        <v>-0.20680994303469705</v>
      </c>
      <c r="F243" s="227">
        <f>BS!E60/IS_NG!E4</f>
        <v>-6.7619094780627914E-2</v>
      </c>
      <c r="G243" s="227">
        <f>BS!F60/IS_NG!F4</f>
        <v>4.7385697538100818E-2</v>
      </c>
      <c r="H243" s="227">
        <f>BS!G60/IS_NG!G4</f>
        <v>0.13747255428153207</v>
      </c>
      <c r="I243" s="227">
        <f>BS!H60/IS_NG!H4</f>
        <v>9.4201095072175209E-2</v>
      </c>
      <c r="J243" s="227">
        <f>BS!I60/IS_NG!I4</f>
        <v>-1.830040823987612E-2</v>
      </c>
      <c r="K243" s="227">
        <f>BS!J60/IS_NG!J4</f>
        <v>-3.7942569767180799E-3</v>
      </c>
      <c r="L243" s="227">
        <f>BS!AG60/IS_NG!K4</f>
        <v>-1.4220552723370002E-2</v>
      </c>
      <c r="M243" s="228"/>
      <c r="N243" s="227">
        <f>BS!Q60/(IS_NG!Q4*4)</f>
        <v>7.0316475017808078E-2</v>
      </c>
      <c r="O243" s="227">
        <f>BS!R60/(IS_NG!R4*4)</f>
        <v>8.395677472984206E-2</v>
      </c>
      <c r="P243" s="227">
        <f>BS!S60/(IS_NG!S4*4)</f>
        <v>8.7847935736969918E-2</v>
      </c>
      <c r="Q243" s="227">
        <f>BS!T60/(IS_NG!T4*4)</f>
        <v>0.14628764278296988</v>
      </c>
      <c r="R243" s="227">
        <f>BS!U60/(IS_NG!U4*4)</f>
        <v>0.12480127186009539</v>
      </c>
      <c r="S243" s="227">
        <f>BS!V60/(IS_NG!V4*4)</f>
        <v>0.10402393129402683</v>
      </c>
      <c r="T243" s="227">
        <f>BS!W60/(IS_NG!W4*4)</f>
        <v>0.10361997356994525</v>
      </c>
      <c r="U243" s="227">
        <f>BS!X60/(IS_NG!X4*4)</f>
        <v>9.6664623557053839E-2</v>
      </c>
      <c r="V243" s="227">
        <f>BS!Y60/(IS_NG!Y4*4)</f>
        <v>8.8009164969450104E-2</v>
      </c>
      <c r="W243" s="227">
        <f>BS!Z60/(IS_NG!Z4*4)</f>
        <v>8.2724681571212252E-2</v>
      </c>
      <c r="X243" s="227">
        <f>BS!AA60/(IS_NG!AA4*4)</f>
        <v>9.0013679890560874E-2</v>
      </c>
      <c r="Y243" s="227">
        <f>BS!AB60/(IS_NG!AB4*4)</f>
        <v>-1.8377155781735936E-2</v>
      </c>
      <c r="Z243" s="227">
        <f>BS!AC60/(IS_NG!AC4*4)</f>
        <v>-2.4468801076819535E-2</v>
      </c>
      <c r="AA243" s="227">
        <f>BS!AD60/(IS_NG!AD4*4)</f>
        <v>-1.8659280254230009E-2</v>
      </c>
      <c r="AB243" s="227">
        <f>BS!AE60/(IS_NG!AE4*4)</f>
        <v>-1.2284799723159443E-2</v>
      </c>
      <c r="AC243" s="227">
        <f>BS!AF60/(IS_NG!AF4*4)</f>
        <v>-3.8626805631742549E-3</v>
      </c>
      <c r="AD243" s="227">
        <f>BS!AG60/(IS_NG!AG4*4)</f>
        <v>-1.5022675736961451E-2</v>
      </c>
    </row>
    <row r="244" spans="1:30" s="226" customFormat="1" x14ac:dyDescent="0.2">
      <c r="A244" s="232"/>
      <c r="B244" s="231"/>
      <c r="C244" s="230" t="s">
        <v>83</v>
      </c>
      <c r="D244" s="229"/>
      <c r="E244" s="227">
        <f>BS!D62/IS_NG!D4</f>
        <v>0.60875194199896432</v>
      </c>
      <c r="F244" s="227">
        <f>BS!E62/IS_NG!E4</f>
        <v>1.046796078042983</v>
      </c>
      <c r="G244" s="227">
        <f>BS!F62/IS_NG!F4</f>
        <v>1.0134818288393903</v>
      </c>
      <c r="H244" s="227">
        <f>BS!G62/IS_NG!G4</f>
        <v>1.1811417418882655</v>
      </c>
      <c r="I244" s="227">
        <f>BS!H62/IS_NG!H4</f>
        <v>1.2761075161772026</v>
      </c>
      <c r="J244" s="227">
        <f>BS!I62/IS_NG!I4</f>
        <v>1.2384449345408475</v>
      </c>
      <c r="K244" s="227">
        <f>BS!J62/IS_NG!J4</f>
        <v>1.3600951931927887</v>
      </c>
      <c r="L244" s="227">
        <f>BS!AG62/IS_NG!K4</f>
        <v>1.3591583937036043</v>
      </c>
      <c r="M244" s="228"/>
      <c r="N244" s="227">
        <f>BS!Q62/(IS_NG!Q4*4)</f>
        <v>1.1894270886333571</v>
      </c>
      <c r="O244" s="227">
        <f>BS!R62/(IS_NG!R4*4)</f>
        <v>1.1052923247436963</v>
      </c>
      <c r="P244" s="227">
        <f>BS!S62/(IS_NG!S4*4)</f>
        <v>1.137563048757706</v>
      </c>
      <c r="Q244" s="227">
        <f>BS!T62/(IS_NG!T4*4)</f>
        <v>1.2568795430944963</v>
      </c>
      <c r="R244" s="227">
        <f>BS!U62/(IS_NG!U4*4)</f>
        <v>1.3224430312665607</v>
      </c>
      <c r="S244" s="227">
        <f>BS!V62/(IS_NG!V4*4)</f>
        <v>1.2315690437132105</v>
      </c>
      <c r="T244" s="227">
        <f>BS!W62/(IS_NG!W4*4)</f>
        <v>1.2060600339814989</v>
      </c>
      <c r="U244" s="227">
        <f>BS!X62/(IS_NG!X4*4)</f>
        <v>1.3094800286035346</v>
      </c>
      <c r="V244" s="227">
        <f>BS!Y62/(IS_NG!Y4*4)</f>
        <v>1.3397912423625256</v>
      </c>
      <c r="W244" s="227">
        <f>BS!Z62/(IS_NG!Z4*4)</f>
        <v>1.1876725750423087</v>
      </c>
      <c r="X244" s="227">
        <f>BS!AA62/(IS_NG!AA4*4)</f>
        <v>1.1947332421340628</v>
      </c>
      <c r="Y244" s="227">
        <f>BS!AB62/(IS_NG!AB4*4)</f>
        <v>1.2436386768447838</v>
      </c>
      <c r="Z244" s="227">
        <f>BS!AC62/(IS_NG!AC4*4)</f>
        <v>1.2806460917219498</v>
      </c>
      <c r="AA244" s="227">
        <f>BS!AD62/(IS_NG!AD4*4)</f>
        <v>1.1299063815167911</v>
      </c>
      <c r="AB244" s="227">
        <f>BS!AE62/(IS_NG!AE4*4)</f>
        <v>1.1383986504022838</v>
      </c>
      <c r="AC244" s="227">
        <f>BS!AF62/(IS_NG!AF4*4)</f>
        <v>1.3846224172609252</v>
      </c>
      <c r="AD244" s="227">
        <f>BS!AG62/(IS_NG!AG4*4)</f>
        <v>1.435822940287226</v>
      </c>
    </row>
    <row r="245" spans="1:30" x14ac:dyDescent="0.2">
      <c r="E245" s="222"/>
      <c r="F245" s="222"/>
      <c r="G245" s="222"/>
      <c r="H245" s="222"/>
      <c r="I245" s="222"/>
      <c r="J245" s="222"/>
      <c r="K245" s="222"/>
      <c r="L245" s="222"/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</row>
    <row r="246" spans="1:30" x14ac:dyDescent="0.2">
      <c r="E246" s="222"/>
      <c r="F246" s="222"/>
      <c r="G246" s="222"/>
      <c r="H246" s="222"/>
      <c r="I246" s="222"/>
      <c r="J246" s="222"/>
      <c r="K246" s="222"/>
      <c r="L246" s="222"/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</row>
    <row r="247" spans="1:30" x14ac:dyDescent="0.2">
      <c r="E247" s="222"/>
      <c r="F247" s="222"/>
      <c r="G247" s="222"/>
      <c r="H247" s="222"/>
      <c r="I247" s="222"/>
      <c r="J247" s="222"/>
      <c r="K247" s="222"/>
      <c r="L247" s="222"/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</row>
    <row r="248" spans="1:30" x14ac:dyDescent="0.2">
      <c r="E248" s="222"/>
      <c r="F248" s="222"/>
      <c r="G248" s="222"/>
      <c r="H248" s="222"/>
      <c r="I248" s="222"/>
      <c r="J248" s="222"/>
      <c r="K248" s="222"/>
      <c r="L248" s="222"/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</row>
    <row r="249" spans="1:30" x14ac:dyDescent="0.2">
      <c r="E249" s="222"/>
      <c r="F249" s="222"/>
      <c r="G249" s="222"/>
      <c r="H249" s="222"/>
      <c r="I249" s="222"/>
      <c r="J249" s="222"/>
      <c r="K249" s="222"/>
      <c r="L249" s="222"/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</row>
    <row r="250" spans="1:30" x14ac:dyDescent="0.2">
      <c r="E250" s="222"/>
      <c r="F250" s="222"/>
      <c r="G250" s="222"/>
      <c r="H250" s="222"/>
      <c r="I250" s="222"/>
      <c r="J250" s="222"/>
      <c r="K250" s="222"/>
      <c r="L250" s="222"/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</row>
    <row r="251" spans="1:30" x14ac:dyDescent="0.2">
      <c r="E251" s="222"/>
      <c r="F251" s="222"/>
      <c r="G251" s="222"/>
      <c r="H251" s="222"/>
      <c r="I251" s="222"/>
      <c r="J251" s="222"/>
      <c r="K251" s="222"/>
      <c r="L251" s="222"/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</row>
    <row r="252" spans="1:30" x14ac:dyDescent="0.2">
      <c r="E252" s="222"/>
      <c r="F252" s="222"/>
      <c r="G252" s="222"/>
      <c r="H252" s="222"/>
      <c r="I252" s="222"/>
      <c r="J252" s="222"/>
      <c r="K252" s="222"/>
      <c r="L252" s="222"/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</row>
    <row r="253" spans="1:30" x14ac:dyDescent="0.2">
      <c r="E253" s="222"/>
      <c r="F253" s="222"/>
      <c r="G253" s="222"/>
      <c r="H253" s="222"/>
      <c r="I253" s="222"/>
      <c r="J253" s="222"/>
      <c r="K253" s="222"/>
      <c r="L253" s="222"/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</row>
    <row r="254" spans="1:30" x14ac:dyDescent="0.2">
      <c r="E254" s="222"/>
      <c r="F254" s="222"/>
      <c r="G254" s="222"/>
      <c r="H254" s="222"/>
      <c r="I254" s="222"/>
      <c r="J254" s="222"/>
      <c r="K254" s="222"/>
      <c r="L254" s="222"/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</row>
    <row r="255" spans="1:30" x14ac:dyDescent="0.2">
      <c r="E255" s="222"/>
      <c r="F255" s="222"/>
      <c r="G255" s="222"/>
      <c r="H255" s="222"/>
      <c r="I255" s="222"/>
      <c r="J255" s="222"/>
      <c r="K255" s="222"/>
      <c r="L255" s="222"/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</row>
    <row r="256" spans="1:30" x14ac:dyDescent="0.2">
      <c r="E256" s="222"/>
      <c r="F256" s="222"/>
      <c r="G256" s="222"/>
      <c r="H256" s="222"/>
      <c r="I256" s="222"/>
      <c r="J256" s="222"/>
      <c r="K256" s="222"/>
      <c r="L256" s="222"/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</row>
    <row r="257" spans="5:30" x14ac:dyDescent="0.2">
      <c r="E257" s="222"/>
      <c r="F257" s="222"/>
      <c r="G257" s="222"/>
      <c r="H257" s="222"/>
      <c r="I257" s="222"/>
      <c r="J257" s="222"/>
      <c r="K257" s="222"/>
      <c r="L257" s="222"/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</row>
    <row r="258" spans="5:30" x14ac:dyDescent="0.2">
      <c r="E258" s="222"/>
      <c r="F258" s="222"/>
      <c r="G258" s="222"/>
      <c r="H258" s="222"/>
      <c r="I258" s="222"/>
      <c r="J258" s="222"/>
      <c r="K258" s="222"/>
      <c r="L258" s="222"/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</row>
    <row r="259" spans="5:30" x14ac:dyDescent="0.2">
      <c r="E259" s="222"/>
      <c r="F259" s="222"/>
      <c r="G259" s="222"/>
      <c r="H259" s="222"/>
      <c r="I259" s="222"/>
      <c r="J259" s="222"/>
      <c r="K259" s="222"/>
      <c r="L259" s="222"/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</row>
    <row r="260" spans="5:30" x14ac:dyDescent="0.2">
      <c r="E260" s="222"/>
      <c r="F260" s="222"/>
      <c r="G260" s="222"/>
      <c r="H260" s="222"/>
      <c r="I260" s="222"/>
      <c r="J260" s="222"/>
      <c r="K260" s="222"/>
      <c r="L260" s="222"/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</row>
    <row r="261" spans="5:30" x14ac:dyDescent="0.2">
      <c r="E261" s="222"/>
      <c r="F261" s="222"/>
      <c r="G261" s="222"/>
      <c r="H261" s="222"/>
      <c r="I261" s="222"/>
      <c r="J261" s="222"/>
      <c r="K261" s="222"/>
      <c r="L261" s="222"/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</row>
    <row r="262" spans="5:30" x14ac:dyDescent="0.2">
      <c r="E262" s="222"/>
      <c r="F262" s="222"/>
      <c r="G262" s="222"/>
      <c r="H262" s="222"/>
      <c r="I262" s="222"/>
      <c r="J262" s="222"/>
      <c r="K262" s="222"/>
      <c r="L262" s="222"/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</row>
    <row r="263" spans="5:30" x14ac:dyDescent="0.2">
      <c r="E263" s="222"/>
      <c r="F263" s="222"/>
      <c r="G263" s="222"/>
      <c r="H263" s="222"/>
      <c r="I263" s="222"/>
      <c r="J263" s="222"/>
      <c r="K263" s="222"/>
      <c r="L263" s="222"/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</row>
    <row r="264" spans="5:30" x14ac:dyDescent="0.2">
      <c r="E264" s="222"/>
      <c r="F264" s="222"/>
      <c r="G264" s="222"/>
      <c r="H264" s="222"/>
      <c r="I264" s="222"/>
      <c r="J264" s="222"/>
      <c r="K264" s="222"/>
      <c r="L264" s="222"/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</row>
    <row r="265" spans="5:30" x14ac:dyDescent="0.2">
      <c r="E265" s="222"/>
      <c r="F265" s="222"/>
      <c r="G265" s="222"/>
      <c r="H265" s="222"/>
      <c r="I265" s="222"/>
      <c r="J265" s="222"/>
      <c r="K265" s="222"/>
      <c r="L265" s="222"/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</row>
    <row r="266" spans="5:30" x14ac:dyDescent="0.2">
      <c r="E266" s="222"/>
      <c r="F266" s="222"/>
      <c r="G266" s="222"/>
      <c r="H266" s="222"/>
      <c r="I266" s="222"/>
      <c r="J266" s="222"/>
      <c r="K266" s="222"/>
      <c r="L266" s="222"/>
      <c r="N266" s="222"/>
      <c r="O266" s="222"/>
      <c r="P266" s="222"/>
      <c r="Q266" s="222"/>
      <c r="R266" s="222"/>
      <c r="S266" s="222"/>
      <c r="T266" s="222"/>
      <c r="U266" s="222"/>
      <c r="V266" s="222"/>
      <c r="W266" s="222"/>
      <c r="X266" s="222"/>
      <c r="Y266" s="222"/>
      <c r="Z266" s="222"/>
      <c r="AA266" s="222"/>
      <c r="AB266" s="222"/>
      <c r="AC266" s="222"/>
      <c r="AD266" s="222"/>
    </row>
    <row r="267" spans="5:30" x14ac:dyDescent="0.2">
      <c r="E267" s="222"/>
      <c r="F267" s="222"/>
      <c r="G267" s="222"/>
      <c r="H267" s="222"/>
      <c r="I267" s="222"/>
      <c r="J267" s="222"/>
      <c r="K267" s="222"/>
      <c r="L267" s="222"/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</row>
    <row r="268" spans="5:30" x14ac:dyDescent="0.2">
      <c r="E268" s="222"/>
      <c r="F268" s="222"/>
      <c r="G268" s="222"/>
      <c r="H268" s="222"/>
      <c r="I268" s="222"/>
      <c r="J268" s="222"/>
      <c r="K268" s="222"/>
      <c r="L268" s="222"/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</row>
    <row r="269" spans="5:30" x14ac:dyDescent="0.2">
      <c r="E269" s="222"/>
      <c r="F269" s="222"/>
      <c r="G269" s="222"/>
      <c r="H269" s="222"/>
      <c r="I269" s="222"/>
      <c r="J269" s="222"/>
      <c r="K269" s="222"/>
      <c r="L269" s="222"/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</row>
    <row r="270" spans="5:30" x14ac:dyDescent="0.2">
      <c r="E270" s="222"/>
      <c r="F270" s="222"/>
      <c r="G270" s="222"/>
      <c r="H270" s="222"/>
      <c r="I270" s="222"/>
      <c r="J270" s="222"/>
      <c r="K270" s="222"/>
      <c r="L270" s="222"/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</row>
    <row r="271" spans="5:30" x14ac:dyDescent="0.2">
      <c r="E271" s="222"/>
      <c r="F271" s="222"/>
      <c r="G271" s="222"/>
      <c r="H271" s="222"/>
      <c r="I271" s="222"/>
      <c r="J271" s="222"/>
      <c r="K271" s="222"/>
      <c r="L271" s="222"/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</row>
    <row r="272" spans="5:30" x14ac:dyDescent="0.2">
      <c r="E272" s="222"/>
      <c r="F272" s="222"/>
      <c r="G272" s="222"/>
      <c r="H272" s="222"/>
      <c r="I272" s="222"/>
      <c r="J272" s="222"/>
      <c r="K272" s="222"/>
      <c r="L272" s="222"/>
      <c r="N272" s="222"/>
      <c r="O272" s="222"/>
      <c r="P272" s="222"/>
      <c r="Q272" s="222"/>
      <c r="R272" s="222"/>
      <c r="S272" s="222"/>
      <c r="T272" s="222"/>
      <c r="U272" s="222"/>
      <c r="V272" s="222"/>
      <c r="W272" s="222"/>
      <c r="X272" s="222"/>
      <c r="Y272" s="222"/>
      <c r="Z272" s="222"/>
      <c r="AA272" s="222"/>
      <c r="AB272" s="222"/>
      <c r="AC272" s="222"/>
      <c r="AD272" s="222"/>
    </row>
    <row r="273" spans="5:30" x14ac:dyDescent="0.2">
      <c r="E273" s="222"/>
      <c r="F273" s="222"/>
      <c r="G273" s="222"/>
      <c r="H273" s="222"/>
      <c r="I273" s="222"/>
      <c r="J273" s="222"/>
      <c r="K273" s="222"/>
      <c r="L273" s="222"/>
      <c r="N273" s="222"/>
      <c r="O273" s="222"/>
      <c r="P273" s="222"/>
      <c r="Q273" s="222"/>
      <c r="R273" s="222"/>
      <c r="S273" s="222"/>
      <c r="T273" s="222"/>
      <c r="U273" s="222"/>
      <c r="V273" s="222"/>
      <c r="W273" s="222"/>
      <c r="X273" s="222"/>
      <c r="Y273" s="222"/>
      <c r="Z273" s="222"/>
      <c r="AA273" s="222"/>
      <c r="AB273" s="222"/>
      <c r="AC273" s="222"/>
      <c r="AD273" s="222"/>
    </row>
    <row r="274" spans="5:30" x14ac:dyDescent="0.2">
      <c r="E274" s="222"/>
      <c r="F274" s="222"/>
      <c r="G274" s="222"/>
      <c r="H274" s="222"/>
      <c r="I274" s="222"/>
      <c r="J274" s="222"/>
      <c r="K274" s="222"/>
      <c r="L274" s="222"/>
      <c r="N274" s="222"/>
      <c r="O274" s="222"/>
      <c r="P274" s="222"/>
      <c r="Q274" s="222"/>
      <c r="R274" s="222"/>
      <c r="S274" s="222"/>
      <c r="T274" s="222"/>
      <c r="U274" s="222"/>
      <c r="V274" s="222"/>
      <c r="W274" s="222"/>
      <c r="X274" s="222"/>
      <c r="Y274" s="222"/>
      <c r="Z274" s="222"/>
      <c r="AA274" s="222"/>
      <c r="AB274" s="222"/>
      <c r="AC274" s="222"/>
      <c r="AD274" s="222"/>
    </row>
    <row r="275" spans="5:30" x14ac:dyDescent="0.2">
      <c r="E275" s="222"/>
      <c r="F275" s="222"/>
      <c r="G275" s="222"/>
      <c r="H275" s="222"/>
      <c r="I275" s="222"/>
      <c r="J275" s="222"/>
      <c r="K275" s="222"/>
      <c r="L275" s="222"/>
      <c r="N275" s="222"/>
      <c r="O275" s="222"/>
      <c r="P275" s="222"/>
      <c r="Q275" s="222"/>
      <c r="R275" s="222"/>
      <c r="S275" s="222"/>
      <c r="T275" s="222"/>
      <c r="U275" s="222"/>
      <c r="V275" s="222"/>
      <c r="W275" s="222"/>
      <c r="X275" s="222"/>
      <c r="Y275" s="222"/>
      <c r="Z275" s="222"/>
      <c r="AA275" s="222"/>
      <c r="AB275" s="222"/>
      <c r="AC275" s="222"/>
      <c r="AD275" s="222"/>
    </row>
    <row r="276" spans="5:30" x14ac:dyDescent="0.2">
      <c r="E276" s="222"/>
      <c r="F276" s="222"/>
      <c r="G276" s="222"/>
      <c r="H276" s="222"/>
      <c r="I276" s="222"/>
      <c r="J276" s="222"/>
      <c r="K276" s="222"/>
      <c r="L276" s="222"/>
      <c r="N276" s="222"/>
      <c r="O276" s="222"/>
      <c r="P276" s="222"/>
      <c r="Q276" s="222"/>
      <c r="R276" s="222"/>
      <c r="S276" s="222"/>
      <c r="T276" s="222"/>
      <c r="U276" s="222"/>
      <c r="V276" s="222"/>
      <c r="W276" s="222"/>
      <c r="X276" s="222"/>
      <c r="Y276" s="222"/>
      <c r="Z276" s="222"/>
      <c r="AA276" s="222"/>
      <c r="AB276" s="222"/>
      <c r="AC276" s="222"/>
      <c r="AD276" s="222"/>
    </row>
    <row r="277" spans="5:30" x14ac:dyDescent="0.2">
      <c r="E277" s="222"/>
      <c r="F277" s="222"/>
      <c r="G277" s="222"/>
      <c r="H277" s="222"/>
      <c r="I277" s="222"/>
      <c r="J277" s="222"/>
      <c r="K277" s="222"/>
      <c r="L277" s="222"/>
      <c r="N277" s="222"/>
      <c r="O277" s="222"/>
      <c r="P277" s="222"/>
      <c r="Q277" s="222"/>
      <c r="R277" s="222"/>
      <c r="S277" s="222"/>
      <c r="T277" s="222"/>
      <c r="U277" s="222"/>
      <c r="V277" s="222"/>
      <c r="W277" s="222"/>
      <c r="X277" s="222"/>
      <c r="Y277" s="222"/>
      <c r="Z277" s="222"/>
      <c r="AA277" s="222"/>
      <c r="AB277" s="222"/>
      <c r="AC277" s="222"/>
      <c r="AD277" s="222"/>
    </row>
    <row r="278" spans="5:30" x14ac:dyDescent="0.2">
      <c r="E278" s="222"/>
      <c r="F278" s="222"/>
      <c r="G278" s="222"/>
      <c r="H278" s="222"/>
      <c r="I278" s="222"/>
      <c r="J278" s="222"/>
      <c r="K278" s="222"/>
      <c r="L278" s="222"/>
      <c r="N278" s="222"/>
      <c r="O278" s="222"/>
      <c r="P278" s="222"/>
      <c r="Q278" s="222"/>
      <c r="R278" s="222"/>
      <c r="S278" s="222"/>
      <c r="T278" s="222"/>
      <c r="U278" s="222"/>
      <c r="V278" s="222"/>
      <c r="W278" s="222"/>
      <c r="X278" s="222"/>
      <c r="Y278" s="222"/>
      <c r="Z278" s="222"/>
      <c r="AA278" s="222"/>
      <c r="AB278" s="222"/>
      <c r="AC278" s="222"/>
      <c r="AD278" s="222"/>
    </row>
    <row r="279" spans="5:30" x14ac:dyDescent="0.2">
      <c r="E279" s="222"/>
      <c r="F279" s="222"/>
      <c r="G279" s="222"/>
      <c r="H279" s="222"/>
      <c r="I279" s="222"/>
      <c r="J279" s="222"/>
      <c r="K279" s="222"/>
      <c r="L279" s="222"/>
      <c r="N279" s="222"/>
      <c r="O279" s="222"/>
      <c r="P279" s="222"/>
      <c r="Q279" s="222"/>
      <c r="R279" s="222"/>
      <c r="S279" s="222"/>
      <c r="T279" s="222"/>
      <c r="U279" s="222"/>
      <c r="V279" s="222"/>
      <c r="W279" s="222"/>
      <c r="X279" s="222"/>
      <c r="Y279" s="222"/>
      <c r="Z279" s="222"/>
      <c r="AA279" s="222"/>
      <c r="AB279" s="222"/>
      <c r="AC279" s="222"/>
      <c r="AD279" s="222"/>
    </row>
    <row r="280" spans="5:30" x14ac:dyDescent="0.2">
      <c r="E280" s="222"/>
      <c r="F280" s="222"/>
      <c r="G280" s="222"/>
      <c r="H280" s="222"/>
      <c r="I280" s="222"/>
      <c r="J280" s="222"/>
      <c r="K280" s="222"/>
      <c r="L280" s="222"/>
      <c r="N280" s="222"/>
      <c r="O280" s="222"/>
      <c r="P280" s="222"/>
      <c r="Q280" s="222"/>
      <c r="R280" s="222"/>
      <c r="S280" s="222"/>
      <c r="T280" s="222"/>
      <c r="U280" s="222"/>
      <c r="V280" s="222"/>
      <c r="W280" s="222"/>
      <c r="X280" s="222"/>
      <c r="Y280" s="222"/>
      <c r="Z280" s="222"/>
      <c r="AA280" s="222"/>
      <c r="AB280" s="222"/>
      <c r="AC280" s="222"/>
      <c r="AD280" s="222"/>
    </row>
    <row r="281" spans="5:30" x14ac:dyDescent="0.2">
      <c r="E281" s="222"/>
      <c r="F281" s="222"/>
      <c r="G281" s="222"/>
      <c r="H281" s="222"/>
      <c r="I281" s="222"/>
      <c r="J281" s="222"/>
      <c r="K281" s="222"/>
      <c r="L281" s="222"/>
      <c r="N281" s="222"/>
      <c r="O281" s="222"/>
      <c r="P281" s="222"/>
      <c r="Q281" s="222"/>
      <c r="R281" s="222"/>
      <c r="S281" s="222"/>
      <c r="T281" s="222"/>
      <c r="U281" s="222"/>
      <c r="V281" s="222"/>
      <c r="W281" s="222"/>
      <c r="X281" s="222"/>
      <c r="Y281" s="222"/>
      <c r="Z281" s="222"/>
      <c r="AA281" s="222"/>
      <c r="AB281" s="222"/>
      <c r="AC281" s="222"/>
      <c r="AD281" s="222"/>
    </row>
    <row r="282" spans="5:30" x14ac:dyDescent="0.2">
      <c r="E282" s="222"/>
      <c r="F282" s="222"/>
      <c r="G282" s="222"/>
      <c r="H282" s="222"/>
      <c r="I282" s="222"/>
      <c r="J282" s="222"/>
      <c r="K282" s="222"/>
      <c r="L282" s="222"/>
      <c r="N282" s="222"/>
      <c r="O282" s="222"/>
      <c r="P282" s="222"/>
      <c r="Q282" s="222"/>
      <c r="R282" s="222"/>
      <c r="S282" s="222"/>
      <c r="T282" s="222"/>
      <c r="U282" s="222"/>
      <c r="V282" s="222"/>
      <c r="W282" s="222"/>
      <c r="X282" s="222"/>
      <c r="Y282" s="222"/>
      <c r="Z282" s="222"/>
      <c r="AA282" s="222"/>
      <c r="AB282" s="222"/>
      <c r="AC282" s="222"/>
      <c r="AD282" s="222"/>
    </row>
    <row r="283" spans="5:30" x14ac:dyDescent="0.2">
      <c r="E283" s="222"/>
      <c r="F283" s="222"/>
      <c r="G283" s="222"/>
      <c r="H283" s="222"/>
      <c r="I283" s="222"/>
      <c r="J283" s="222"/>
      <c r="K283" s="222"/>
      <c r="L283" s="222"/>
      <c r="N283" s="222"/>
      <c r="O283" s="222"/>
      <c r="P283" s="222"/>
      <c r="Q283" s="222"/>
      <c r="R283" s="222"/>
      <c r="S283" s="222"/>
      <c r="T283" s="222"/>
      <c r="U283" s="222"/>
      <c r="V283" s="222"/>
      <c r="W283" s="222"/>
      <c r="X283" s="222"/>
      <c r="Y283" s="222"/>
      <c r="Z283" s="222"/>
      <c r="AA283" s="222"/>
      <c r="AB283" s="222"/>
      <c r="AC283" s="222"/>
      <c r="AD283" s="222"/>
    </row>
    <row r="284" spans="5:30" x14ac:dyDescent="0.2">
      <c r="E284" s="222"/>
      <c r="F284" s="222"/>
      <c r="G284" s="222"/>
      <c r="H284" s="222"/>
      <c r="I284" s="222"/>
      <c r="J284" s="222"/>
      <c r="K284" s="222"/>
      <c r="L284" s="222"/>
      <c r="N284" s="222"/>
      <c r="O284" s="222"/>
      <c r="P284" s="222"/>
      <c r="Q284" s="222"/>
      <c r="R284" s="222"/>
      <c r="S284" s="222"/>
      <c r="T284" s="222"/>
      <c r="U284" s="222"/>
      <c r="V284" s="222"/>
      <c r="W284" s="222"/>
      <c r="X284" s="222"/>
      <c r="Y284" s="222"/>
      <c r="Z284" s="222"/>
      <c r="AA284" s="222"/>
      <c r="AB284" s="222"/>
      <c r="AC284" s="222"/>
      <c r="AD284" s="222"/>
    </row>
    <row r="285" spans="5:30" x14ac:dyDescent="0.2">
      <c r="E285" s="222"/>
      <c r="F285" s="222"/>
      <c r="G285" s="222"/>
      <c r="H285" s="222"/>
      <c r="I285" s="222"/>
      <c r="J285" s="222"/>
      <c r="K285" s="222"/>
      <c r="L285" s="222"/>
      <c r="N285" s="222"/>
      <c r="O285" s="222"/>
      <c r="P285" s="222"/>
      <c r="Q285" s="222"/>
      <c r="R285" s="222"/>
      <c r="S285" s="222"/>
      <c r="T285" s="222"/>
      <c r="U285" s="222"/>
      <c r="V285" s="222"/>
      <c r="W285" s="222"/>
      <c r="X285" s="222"/>
      <c r="Y285" s="222"/>
      <c r="Z285" s="222"/>
      <c r="AA285" s="222"/>
      <c r="AB285" s="222"/>
      <c r="AC285" s="222"/>
      <c r="AD285" s="222"/>
    </row>
    <row r="286" spans="5:30" x14ac:dyDescent="0.2">
      <c r="E286" s="222"/>
      <c r="F286" s="222"/>
      <c r="G286" s="222"/>
      <c r="H286" s="222"/>
      <c r="I286" s="222"/>
      <c r="J286" s="222"/>
      <c r="K286" s="222"/>
      <c r="L286" s="222"/>
      <c r="N286" s="222"/>
      <c r="O286" s="222"/>
      <c r="P286" s="222"/>
      <c r="Q286" s="222"/>
      <c r="R286" s="222"/>
      <c r="S286" s="222"/>
      <c r="T286" s="222"/>
      <c r="U286" s="222"/>
      <c r="V286" s="222"/>
      <c r="W286" s="222"/>
      <c r="X286" s="222"/>
      <c r="Y286" s="222"/>
      <c r="Z286" s="222"/>
      <c r="AA286" s="222"/>
      <c r="AB286" s="222"/>
      <c r="AC286" s="222"/>
      <c r="AD286" s="222"/>
    </row>
    <row r="287" spans="5:30" x14ac:dyDescent="0.2">
      <c r="E287" s="222"/>
      <c r="F287" s="222"/>
      <c r="G287" s="222"/>
      <c r="H287" s="222"/>
      <c r="I287" s="222"/>
      <c r="J287" s="222"/>
      <c r="K287" s="222"/>
      <c r="L287" s="222"/>
      <c r="N287" s="222"/>
      <c r="O287" s="222"/>
      <c r="P287" s="222"/>
      <c r="Q287" s="222"/>
      <c r="R287" s="222"/>
      <c r="S287" s="222"/>
      <c r="T287" s="222"/>
      <c r="U287" s="222"/>
      <c r="V287" s="222"/>
      <c r="W287" s="222"/>
      <c r="X287" s="222"/>
      <c r="Y287" s="222"/>
      <c r="Z287" s="222"/>
      <c r="AA287" s="222"/>
      <c r="AB287" s="222"/>
      <c r="AC287" s="222"/>
      <c r="AD287" s="222"/>
    </row>
    <row r="288" spans="5:30" x14ac:dyDescent="0.2">
      <c r="E288" s="222"/>
      <c r="F288" s="222"/>
      <c r="G288" s="222"/>
      <c r="H288" s="222"/>
      <c r="I288" s="222"/>
      <c r="J288" s="222"/>
      <c r="K288" s="222"/>
      <c r="L288" s="222"/>
      <c r="N288" s="222"/>
      <c r="O288" s="222"/>
      <c r="P288" s="222"/>
      <c r="Q288" s="222"/>
      <c r="R288" s="222"/>
      <c r="S288" s="222"/>
      <c r="T288" s="222"/>
      <c r="U288" s="222"/>
      <c r="V288" s="222"/>
      <c r="W288" s="222"/>
      <c r="X288" s="222"/>
      <c r="Y288" s="222"/>
      <c r="Z288" s="222"/>
      <c r="AA288" s="222"/>
      <c r="AB288" s="222"/>
      <c r="AC288" s="222"/>
      <c r="AD288" s="222"/>
    </row>
    <row r="289" spans="5:30" x14ac:dyDescent="0.2">
      <c r="E289" s="222"/>
      <c r="F289" s="222"/>
      <c r="G289" s="222"/>
      <c r="H289" s="222"/>
      <c r="I289" s="222"/>
      <c r="J289" s="222"/>
      <c r="K289" s="222"/>
      <c r="L289" s="222"/>
      <c r="N289" s="222"/>
      <c r="O289" s="222"/>
      <c r="P289" s="222"/>
      <c r="Q289" s="222"/>
      <c r="R289" s="222"/>
      <c r="S289" s="222"/>
      <c r="T289" s="222"/>
      <c r="U289" s="222"/>
      <c r="V289" s="222"/>
      <c r="W289" s="222"/>
      <c r="X289" s="222"/>
      <c r="Y289" s="222"/>
      <c r="Z289" s="222"/>
      <c r="AA289" s="222"/>
      <c r="AB289" s="222"/>
      <c r="AC289" s="222"/>
      <c r="AD289" s="222"/>
    </row>
    <row r="290" spans="5:30" x14ac:dyDescent="0.2">
      <c r="E290" s="222"/>
      <c r="F290" s="222"/>
      <c r="G290" s="222"/>
      <c r="H290" s="222"/>
      <c r="I290" s="222"/>
      <c r="J290" s="222"/>
      <c r="K290" s="222"/>
      <c r="L290" s="222"/>
      <c r="N290" s="222"/>
      <c r="O290" s="222"/>
      <c r="P290" s="222"/>
      <c r="Q290" s="222"/>
      <c r="R290" s="222"/>
      <c r="S290" s="222"/>
      <c r="T290" s="222"/>
      <c r="U290" s="222"/>
      <c r="V290" s="222"/>
      <c r="W290" s="222"/>
      <c r="X290" s="222"/>
      <c r="Y290" s="222"/>
      <c r="Z290" s="222"/>
      <c r="AA290" s="222"/>
      <c r="AB290" s="222"/>
      <c r="AC290" s="222"/>
      <c r="AD290" s="222"/>
    </row>
    <row r="291" spans="5:30" x14ac:dyDescent="0.2">
      <c r="E291" s="222"/>
      <c r="F291" s="222"/>
      <c r="G291" s="222"/>
      <c r="H291" s="222"/>
      <c r="I291" s="222"/>
      <c r="J291" s="222"/>
      <c r="K291" s="222"/>
      <c r="L291" s="222"/>
      <c r="N291" s="222"/>
      <c r="O291" s="222"/>
      <c r="P291" s="222"/>
      <c r="Q291" s="222"/>
      <c r="R291" s="222"/>
      <c r="S291" s="222"/>
      <c r="T291" s="222"/>
      <c r="U291" s="222"/>
      <c r="V291" s="222"/>
      <c r="W291" s="222"/>
      <c r="X291" s="222"/>
      <c r="Y291" s="222"/>
      <c r="Z291" s="222"/>
      <c r="AA291" s="222"/>
      <c r="AB291" s="222"/>
      <c r="AC291" s="222"/>
      <c r="AD291" s="222"/>
    </row>
    <row r="292" spans="5:30" x14ac:dyDescent="0.2">
      <c r="E292" s="222"/>
      <c r="F292" s="222"/>
      <c r="G292" s="222"/>
      <c r="H292" s="222"/>
      <c r="I292" s="222"/>
      <c r="J292" s="222"/>
      <c r="K292" s="222"/>
      <c r="L292" s="222"/>
      <c r="N292" s="222"/>
      <c r="O292" s="222"/>
      <c r="P292" s="222"/>
      <c r="Q292" s="222"/>
      <c r="R292" s="222"/>
      <c r="S292" s="222"/>
      <c r="T292" s="222"/>
      <c r="U292" s="222"/>
      <c r="V292" s="222"/>
      <c r="W292" s="222"/>
      <c r="X292" s="222"/>
      <c r="Y292" s="222"/>
      <c r="Z292" s="222"/>
      <c r="AA292" s="222"/>
      <c r="AB292" s="222"/>
      <c r="AC292" s="222"/>
      <c r="AD292" s="222"/>
    </row>
    <row r="293" spans="5:30" x14ac:dyDescent="0.2">
      <c r="E293" s="222"/>
      <c r="F293" s="222"/>
      <c r="G293" s="222"/>
      <c r="H293" s="222"/>
      <c r="I293" s="222"/>
      <c r="J293" s="222"/>
      <c r="K293" s="222"/>
      <c r="L293" s="222"/>
      <c r="N293" s="222"/>
      <c r="O293" s="222"/>
      <c r="P293" s="222"/>
      <c r="Q293" s="222"/>
      <c r="R293" s="222"/>
      <c r="S293" s="222"/>
      <c r="T293" s="222"/>
      <c r="U293" s="222"/>
      <c r="V293" s="222"/>
      <c r="W293" s="222"/>
      <c r="X293" s="222"/>
      <c r="Y293" s="222"/>
      <c r="Z293" s="222"/>
      <c r="AA293" s="222"/>
      <c r="AB293" s="222"/>
      <c r="AC293" s="222"/>
      <c r="AD293" s="222"/>
    </row>
    <row r="294" spans="5:30" x14ac:dyDescent="0.2">
      <c r="E294" s="222"/>
      <c r="F294" s="222"/>
      <c r="G294" s="222"/>
      <c r="H294" s="222"/>
      <c r="I294" s="222"/>
      <c r="J294" s="222"/>
      <c r="K294" s="222"/>
      <c r="L294" s="222"/>
      <c r="N294" s="222"/>
      <c r="O294" s="222"/>
      <c r="P294" s="222"/>
      <c r="Q294" s="222"/>
      <c r="R294" s="222"/>
      <c r="S294" s="222"/>
      <c r="T294" s="222"/>
      <c r="U294" s="222"/>
      <c r="V294" s="222"/>
      <c r="W294" s="222"/>
      <c r="X294" s="222"/>
      <c r="Y294" s="222"/>
      <c r="Z294" s="222"/>
      <c r="AA294" s="222"/>
      <c r="AB294" s="222"/>
      <c r="AC294" s="222"/>
      <c r="AD294" s="222"/>
    </row>
    <row r="295" spans="5:30" x14ac:dyDescent="0.2">
      <c r="E295" s="222"/>
      <c r="F295" s="222"/>
      <c r="G295" s="222"/>
      <c r="H295" s="222"/>
      <c r="I295" s="222"/>
      <c r="J295" s="222"/>
      <c r="K295" s="222"/>
      <c r="L295" s="222"/>
      <c r="N295" s="222"/>
      <c r="O295" s="222"/>
      <c r="P295" s="222"/>
      <c r="Q295" s="222"/>
      <c r="R295" s="222"/>
      <c r="S295" s="222"/>
      <c r="T295" s="222"/>
      <c r="U295" s="222"/>
      <c r="V295" s="222"/>
      <c r="W295" s="222"/>
      <c r="X295" s="222"/>
      <c r="Y295" s="222"/>
      <c r="Z295" s="222"/>
      <c r="AA295" s="222"/>
      <c r="AB295" s="222"/>
      <c r="AC295" s="222"/>
      <c r="AD295" s="222"/>
    </row>
    <row r="296" spans="5:30" x14ac:dyDescent="0.2">
      <c r="E296" s="222"/>
      <c r="F296" s="222"/>
      <c r="G296" s="222"/>
      <c r="H296" s="222"/>
      <c r="I296" s="222"/>
      <c r="J296" s="222"/>
      <c r="K296" s="222"/>
      <c r="L296" s="222"/>
      <c r="N296" s="222"/>
      <c r="O296" s="222"/>
      <c r="P296" s="222"/>
      <c r="Q296" s="222"/>
      <c r="R296" s="222"/>
      <c r="S296" s="222"/>
      <c r="T296" s="222"/>
      <c r="U296" s="222"/>
      <c r="V296" s="222"/>
      <c r="W296" s="222"/>
      <c r="X296" s="222"/>
      <c r="Y296" s="222"/>
      <c r="Z296" s="222"/>
      <c r="AA296" s="222"/>
      <c r="AB296" s="222"/>
      <c r="AC296" s="222"/>
      <c r="AD296" s="222"/>
    </row>
    <row r="297" spans="5:30" x14ac:dyDescent="0.2">
      <c r="E297" s="222"/>
      <c r="F297" s="222"/>
      <c r="G297" s="222"/>
      <c r="H297" s="222"/>
      <c r="I297" s="222"/>
      <c r="J297" s="222"/>
      <c r="K297" s="222"/>
      <c r="L297" s="222"/>
      <c r="N297" s="222"/>
      <c r="O297" s="222"/>
      <c r="P297" s="222"/>
      <c r="Q297" s="222"/>
      <c r="R297" s="222"/>
      <c r="S297" s="222"/>
      <c r="T297" s="222"/>
      <c r="U297" s="222"/>
      <c r="V297" s="222"/>
      <c r="W297" s="222"/>
      <c r="X297" s="222"/>
      <c r="Y297" s="222"/>
      <c r="Z297" s="222"/>
      <c r="AA297" s="222"/>
      <c r="AB297" s="222"/>
      <c r="AC297" s="222"/>
      <c r="AD297" s="222"/>
    </row>
    <row r="298" spans="5:30" x14ac:dyDescent="0.2">
      <c r="E298" s="222"/>
      <c r="F298" s="222"/>
      <c r="G298" s="222"/>
      <c r="H298" s="222"/>
      <c r="I298" s="222"/>
      <c r="J298" s="222"/>
      <c r="K298" s="222"/>
      <c r="L298" s="222"/>
      <c r="N298" s="222"/>
      <c r="O298" s="222"/>
      <c r="P298" s="222"/>
      <c r="Q298" s="222"/>
      <c r="R298" s="222"/>
      <c r="S298" s="222"/>
      <c r="T298" s="222"/>
      <c r="U298" s="222"/>
      <c r="V298" s="222"/>
      <c r="W298" s="222"/>
      <c r="X298" s="222"/>
      <c r="Y298" s="222"/>
      <c r="Z298" s="222"/>
      <c r="AA298" s="222"/>
      <c r="AB298" s="222"/>
      <c r="AC298" s="222"/>
      <c r="AD298" s="222"/>
    </row>
    <row r="299" spans="5:30" x14ac:dyDescent="0.2">
      <c r="E299" s="222"/>
      <c r="F299" s="222"/>
      <c r="G299" s="222"/>
      <c r="H299" s="222"/>
      <c r="I299" s="222"/>
      <c r="J299" s="222"/>
      <c r="K299" s="222"/>
      <c r="L299" s="222"/>
      <c r="N299" s="222"/>
      <c r="O299" s="222"/>
      <c r="P299" s="222"/>
      <c r="Q299" s="222"/>
      <c r="R299" s="222"/>
      <c r="S299" s="222"/>
      <c r="T299" s="222"/>
      <c r="U299" s="222"/>
      <c r="V299" s="222"/>
      <c r="W299" s="222"/>
      <c r="X299" s="222"/>
      <c r="Y299" s="222"/>
      <c r="Z299" s="222"/>
      <c r="AA299" s="222"/>
      <c r="AB299" s="222"/>
      <c r="AC299" s="222"/>
      <c r="AD299" s="222"/>
    </row>
    <row r="300" spans="5:30" x14ac:dyDescent="0.2">
      <c r="E300" s="222"/>
      <c r="F300" s="222"/>
      <c r="G300" s="222"/>
      <c r="H300" s="222"/>
      <c r="I300" s="222"/>
      <c r="J300" s="222"/>
      <c r="K300" s="222"/>
      <c r="L300" s="222"/>
      <c r="N300" s="222"/>
      <c r="O300" s="222"/>
      <c r="P300" s="222"/>
      <c r="Q300" s="222"/>
      <c r="R300" s="222"/>
      <c r="S300" s="222"/>
      <c r="T300" s="222"/>
      <c r="U300" s="222"/>
      <c r="V300" s="222"/>
      <c r="W300" s="222"/>
      <c r="X300" s="222"/>
      <c r="Y300" s="222"/>
      <c r="Z300" s="222"/>
      <c r="AA300" s="222"/>
      <c r="AB300" s="222"/>
      <c r="AC300" s="222"/>
      <c r="AD300" s="222"/>
    </row>
    <row r="301" spans="5:30" x14ac:dyDescent="0.2">
      <c r="E301" s="222"/>
      <c r="F301" s="222"/>
      <c r="G301" s="222"/>
      <c r="H301" s="222"/>
      <c r="I301" s="222"/>
      <c r="J301" s="222"/>
      <c r="K301" s="222"/>
      <c r="L301" s="222"/>
      <c r="N301" s="222"/>
      <c r="O301" s="222"/>
      <c r="P301" s="222"/>
      <c r="Q301" s="222"/>
      <c r="R301" s="222"/>
      <c r="S301" s="222"/>
      <c r="T301" s="222"/>
      <c r="U301" s="222"/>
      <c r="V301" s="222"/>
      <c r="W301" s="222"/>
      <c r="X301" s="222"/>
      <c r="Y301" s="222"/>
      <c r="Z301" s="222"/>
      <c r="AA301" s="222"/>
      <c r="AB301" s="222"/>
      <c r="AC301" s="222"/>
      <c r="AD301" s="222"/>
    </row>
    <row r="302" spans="5:30" x14ac:dyDescent="0.2">
      <c r="E302" s="222"/>
      <c r="F302" s="222"/>
      <c r="G302" s="222"/>
      <c r="H302" s="222"/>
      <c r="I302" s="222"/>
      <c r="J302" s="222"/>
      <c r="K302" s="222"/>
      <c r="L302" s="222"/>
      <c r="N302" s="222"/>
      <c r="O302" s="222"/>
      <c r="P302" s="222"/>
      <c r="Q302" s="222"/>
      <c r="R302" s="222"/>
      <c r="S302" s="222"/>
      <c r="T302" s="222"/>
      <c r="U302" s="222"/>
      <c r="V302" s="222"/>
      <c r="W302" s="222"/>
      <c r="X302" s="222"/>
      <c r="Y302" s="222"/>
      <c r="Z302" s="222"/>
      <c r="AA302" s="222"/>
      <c r="AB302" s="222"/>
      <c r="AC302" s="222"/>
      <c r="AD302" s="222"/>
    </row>
    <row r="303" spans="5:30" x14ac:dyDescent="0.2">
      <c r="E303" s="222"/>
      <c r="F303" s="222"/>
      <c r="G303" s="222"/>
      <c r="H303" s="222"/>
      <c r="I303" s="222"/>
      <c r="J303" s="222"/>
      <c r="K303" s="222"/>
      <c r="L303" s="222"/>
      <c r="N303" s="222"/>
      <c r="O303" s="222"/>
      <c r="P303" s="222"/>
      <c r="Q303" s="222"/>
      <c r="R303" s="222"/>
      <c r="S303" s="222"/>
      <c r="T303" s="222"/>
      <c r="U303" s="222"/>
      <c r="V303" s="222"/>
      <c r="W303" s="222"/>
      <c r="X303" s="222"/>
      <c r="Y303" s="222"/>
      <c r="Z303" s="222"/>
      <c r="AA303" s="222"/>
      <c r="AB303" s="222"/>
      <c r="AC303" s="222"/>
      <c r="AD303" s="222"/>
    </row>
  </sheetData>
  <conditionalFormatting sqref="D1:D1048576">
    <cfRule type="duplicateValues" dxfId="0" priority="1"/>
  </conditionalFormatting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6"/>
  <sheetViews>
    <sheetView workbookViewId="0"/>
  </sheetViews>
  <sheetFormatPr defaultRowHeight="15" x14ac:dyDescent="0.25"/>
  <cols>
    <col min="1" max="1" width="28.85546875" bestFit="1" customWidth="1"/>
    <col min="2" max="3" width="8" bestFit="1" customWidth="1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t="s">
        <v>495</v>
      </c>
      <c r="B2" s="323">
        <f>IS_NG!D4</f>
        <v>38620</v>
      </c>
      <c r="C2" s="323">
        <f>IS_NG!E4</f>
        <v>40388</v>
      </c>
      <c r="D2" s="323">
        <f>IS_NG!F4</f>
        <v>42650</v>
      </c>
      <c r="E2" s="323">
        <f>IS_NG!G4</f>
        <v>40990</v>
      </c>
      <c r="F2" s="323">
        <f>IS_NG!H4</f>
        <v>40180</v>
      </c>
      <c r="G2" s="323">
        <f>IS_NG!I4</f>
        <v>42622</v>
      </c>
      <c r="H2" s="323">
        <f>IS_NG!J4</f>
        <v>44541</v>
      </c>
    </row>
    <row r="3" spans="1:8" x14ac:dyDescent="0.25">
      <c r="A3" t="s">
        <v>223</v>
      </c>
      <c r="B3" s="323">
        <f>IS_NG!D8</f>
        <v>2437</v>
      </c>
      <c r="C3" s="323">
        <f>IS_NG!E8</f>
        <v>4261</v>
      </c>
      <c r="D3" s="323">
        <f>IS_NG!F8</f>
        <v>6586</v>
      </c>
      <c r="E3" s="323">
        <f>IS_NG!G8</f>
        <v>8893</v>
      </c>
      <c r="F3" s="323">
        <f>IS_NG!H8</f>
        <v>7825</v>
      </c>
      <c r="G3" s="323">
        <f>IS_NG!I8</f>
        <v>6982</v>
      </c>
      <c r="H3" s="323">
        <f>IS_NG!J8</f>
        <v>5608</v>
      </c>
    </row>
    <row r="4" spans="1:8" x14ac:dyDescent="0.25">
      <c r="A4" t="s">
        <v>351</v>
      </c>
      <c r="B4" s="323">
        <f>IS_NG!$D$6</f>
        <v>1422</v>
      </c>
      <c r="C4" s="323">
        <f>IS_NG!$D$6</f>
        <v>1422</v>
      </c>
      <c r="D4" s="323">
        <f>IS_NG!$D$6</f>
        <v>1422</v>
      </c>
      <c r="E4" s="323">
        <f>IS_NG!$D$6</f>
        <v>1422</v>
      </c>
      <c r="F4" s="323">
        <f>IS_NG!$D$6</f>
        <v>1422</v>
      </c>
      <c r="G4" s="323">
        <f>IS_NG!$D$6</f>
        <v>1422</v>
      </c>
      <c r="H4" s="323">
        <f>IS_NG!$D$6</f>
        <v>1422</v>
      </c>
    </row>
    <row r="5" spans="1:8" x14ac:dyDescent="0.25">
      <c r="A5" t="s">
        <v>494</v>
      </c>
      <c r="B5" s="323">
        <f>IS_NG!D10</f>
        <v>535</v>
      </c>
      <c r="C5" s="323">
        <f>IS_NG!E10</f>
        <v>2195</v>
      </c>
      <c r="D5" s="323">
        <f>IS_NG!F10</f>
        <v>4168</v>
      </c>
      <c r="E5" s="323">
        <f>IS_NG!G10</f>
        <v>6290</v>
      </c>
      <c r="F5" s="323">
        <f>IS_NG!H10</f>
        <v>5071</v>
      </c>
      <c r="G5" s="323">
        <f>IS_NG!I10</f>
        <v>4151</v>
      </c>
      <c r="H5" s="323">
        <f>IS_NG!J10</f>
        <v>2790</v>
      </c>
    </row>
    <row r="6" spans="1:8" x14ac:dyDescent="0.25">
      <c r="A6" t="s">
        <v>209</v>
      </c>
      <c r="B6" s="323">
        <f>IS_NG!D14</f>
        <v>407</v>
      </c>
      <c r="C6" s="323">
        <f>IS_NG!E14</f>
        <v>1949</v>
      </c>
      <c r="D6" s="323">
        <f>IS_NG!F14</f>
        <v>4184</v>
      </c>
      <c r="E6" s="323">
        <f>IS_NG!G14</f>
        <v>6269</v>
      </c>
      <c r="F6" s="323">
        <f>IS_NG!H14</f>
        <v>3173</v>
      </c>
      <c r="G6" s="323">
        <f>IS_NG!I14</f>
        <v>2592</v>
      </c>
      <c r="H6" s="323">
        <f>IS_NG!J14</f>
        <v>2117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4"/>
  <sheetViews>
    <sheetView workbookViewId="0"/>
  </sheetViews>
  <sheetFormatPr defaultColWidth="9.140625" defaultRowHeight="15" x14ac:dyDescent="0.25"/>
  <cols>
    <col min="1" max="1" width="18" bestFit="1" customWidth="1"/>
  </cols>
  <sheetData>
    <row r="1" spans="1:9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  <c r="I1" s="324"/>
    </row>
    <row r="2" spans="1:9" x14ac:dyDescent="0.25">
      <c r="A2" t="s">
        <v>460</v>
      </c>
      <c r="B2" s="325">
        <f>RATIO!E33</f>
        <v>0.78481855509932308</v>
      </c>
      <c r="C2" s="325">
        <f>RATIO!F33</f>
        <v>1.0374474866000289</v>
      </c>
      <c r="D2" s="325">
        <f>RATIO!G33</f>
        <v>0.87660399880632645</v>
      </c>
      <c r="E2" s="325">
        <f>RATIO!H33</f>
        <v>0.7339213524439544</v>
      </c>
      <c r="F2" s="325">
        <f>RATIO!I33</f>
        <v>0.74423298731257204</v>
      </c>
      <c r="G2" s="325">
        <f>RATIO!J33</f>
        <v>0.59552025003255638</v>
      </c>
      <c r="H2" s="325">
        <f>RATIO!K33</f>
        <v>0.47728779840848806</v>
      </c>
      <c r="I2" s="325"/>
    </row>
    <row r="3" spans="1:9" x14ac:dyDescent="0.25">
      <c r="A3" t="s">
        <v>463</v>
      </c>
      <c r="B3" s="325">
        <f>RATIO!E31</f>
        <v>0.78481855509932308</v>
      </c>
      <c r="C3" s="325">
        <f>RATIO!F31</f>
        <v>1.0374474866000289</v>
      </c>
      <c r="D3" s="325">
        <f>RATIO!G31</f>
        <v>0.87660399880632645</v>
      </c>
      <c r="E3" s="325">
        <f>RATIO!H31</f>
        <v>0.7339213524439544</v>
      </c>
      <c r="F3" s="325">
        <f>RATIO!I31</f>
        <v>0.74423298731257204</v>
      </c>
      <c r="G3" s="325">
        <f>RATIO!J31</f>
        <v>0.59552025003255638</v>
      </c>
      <c r="H3" s="325">
        <f>RATIO!K31</f>
        <v>0.47728779840848806</v>
      </c>
      <c r="I3" s="325"/>
    </row>
    <row r="4" spans="1:9" x14ac:dyDescent="0.25">
      <c r="A4" t="s">
        <v>461</v>
      </c>
      <c r="B4" s="325">
        <f>RATIO!E32</f>
        <v>0.43191654644323607</v>
      </c>
      <c r="C4" s="325">
        <f>RATIO!F32</f>
        <v>0.67007098363030571</v>
      </c>
      <c r="D4" s="325">
        <f>RATIO!G32</f>
        <v>0.54483736198149801</v>
      </c>
      <c r="E4" s="325">
        <f>RATIO!H32</f>
        <v>0.45968393972804117</v>
      </c>
      <c r="F4" s="325">
        <f>RATIO!I32</f>
        <v>0.45840542099192616</v>
      </c>
      <c r="G4" s="325">
        <f>RATIO!J32</f>
        <v>0.32986065893996613</v>
      </c>
      <c r="H4" s="325">
        <f>RATIO!K32</f>
        <v>0.26304155614500441</v>
      </c>
      <c r="I4" s="325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"/>
  <sheetViews>
    <sheetView workbookViewId="0"/>
  </sheetViews>
  <sheetFormatPr defaultRowHeight="15" x14ac:dyDescent="0.25"/>
  <cols>
    <col min="1" max="1" width="22.140625" bestFit="1" customWidth="1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t="s">
        <v>498</v>
      </c>
      <c r="B2" s="325">
        <f>RATIO!E111</f>
        <v>9.5739254272397716</v>
      </c>
      <c r="C2" s="325">
        <f>RATIO!F111</f>
        <v>12.128107358621373</v>
      </c>
      <c r="D2" s="325">
        <f>RATIO!G111</f>
        <v>14.253399765533413</v>
      </c>
      <c r="E2" s="325">
        <f>RATIO!H111</f>
        <v>14.229568187362771</v>
      </c>
      <c r="F2" s="325">
        <f>RATIO!I111</f>
        <v>13.712481333997014</v>
      </c>
      <c r="G2" s="325">
        <f>RATIO!J111</f>
        <v>14.326990755947632</v>
      </c>
      <c r="H2" s="325">
        <f>RATIO!K111</f>
        <v>14.168631148829167</v>
      </c>
    </row>
    <row r="3" spans="1:8" x14ac:dyDescent="0.25">
      <c r="A3" t="s">
        <v>497</v>
      </c>
      <c r="B3" s="325">
        <f>RATIO!E116</f>
        <v>2.7876425581059623</v>
      </c>
      <c r="C3" s="325">
        <f>RATIO!F116</f>
        <v>2.4731637120725023</v>
      </c>
      <c r="D3" s="325">
        <f>RATIO!G116</f>
        <v>2.0145006258413432</v>
      </c>
      <c r="E3" s="325">
        <f>RATIO!H116</f>
        <v>1.6203502391587936</v>
      </c>
      <c r="F3" s="325">
        <f>RATIO!I116</f>
        <v>1.3697182498423359</v>
      </c>
      <c r="G3" s="325">
        <f>RATIO!J116</f>
        <v>1.305121335068514</v>
      </c>
      <c r="H3" s="325">
        <f>RATIO!K116</f>
        <v>1.3051542766724296</v>
      </c>
    </row>
    <row r="4" spans="1:8" x14ac:dyDescent="0.25">
      <c r="A4" t="s">
        <v>357</v>
      </c>
      <c r="B4" s="325">
        <f>RATIO!E117</f>
        <v>1.6309810380505934</v>
      </c>
      <c r="C4" s="325">
        <f>RATIO!F117</f>
        <v>1.2278227032285522</v>
      </c>
      <c r="D4" s="325">
        <f>RATIO!G117</f>
        <v>0.9976258142989135</v>
      </c>
      <c r="E4" s="325">
        <f>RATIO!H117</f>
        <v>0.89458751636839806</v>
      </c>
      <c r="F4" s="325">
        <f>RATIO!I117</f>
        <v>0.80610699274744457</v>
      </c>
      <c r="G4" s="325">
        <f>RATIO!J117</f>
        <v>0.81918911386809401</v>
      </c>
      <c r="H4" s="325">
        <f>RATIO!K117</f>
        <v>0.7857980858289596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5"/>
  <sheetViews>
    <sheetView workbookViewId="0"/>
  </sheetViews>
  <sheetFormatPr defaultRowHeight="15" x14ac:dyDescent="0.25"/>
  <cols>
    <col min="1" max="1" width="22.140625" bestFit="1" customWidth="1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t="s">
        <v>491</v>
      </c>
      <c r="B2" s="325">
        <f>RATIO!E8</f>
        <v>0.36303700552956186</v>
      </c>
      <c r="C2" s="325">
        <f>RATIO!F8</f>
        <v>0.3973461374710251</v>
      </c>
      <c r="D2" s="325">
        <f>RATIO!G8</f>
        <v>0.40994794679005203</v>
      </c>
      <c r="E2" s="325">
        <f>RATIO!H8</f>
        <v>0.42468243313022824</v>
      </c>
      <c r="F2" s="325">
        <f>RATIO!I8</f>
        <v>0.47478254085891486</v>
      </c>
      <c r="G2" s="325">
        <f>RATIO!J8</f>
        <v>0.47485080988917305</v>
      </c>
      <c r="H2" s="325">
        <f>RATIO!K8</f>
        <v>0.43128095080884782</v>
      </c>
    </row>
    <row r="3" spans="1:8" x14ac:dyDescent="0.25">
      <c r="A3" t="s">
        <v>499</v>
      </c>
      <c r="B3" s="325">
        <f>RATIO!E10</f>
        <v>-1.0686114936772255</v>
      </c>
      <c r="C3" s="325">
        <f>RATIO!F10</f>
        <v>-6.1512266569022334</v>
      </c>
      <c r="D3" s="325">
        <f>RATIO!G10</f>
        <v>8.7679366650173183</v>
      </c>
      <c r="E3" s="325">
        <f>RATIO!H10</f>
        <v>3.6488021295474713</v>
      </c>
      <c r="F3" s="325">
        <f>RATIO!I10</f>
        <v>6.431704095112285</v>
      </c>
      <c r="G3" s="325">
        <f>RATIO!J10</f>
        <v>-32.134615384615387</v>
      </c>
      <c r="H3" s="325">
        <f>RATIO!K10</f>
        <v>-154.59763313609469</v>
      </c>
    </row>
    <row r="4" spans="1:8" x14ac:dyDescent="0.25">
      <c r="A4" s="324" t="s">
        <v>474</v>
      </c>
      <c r="B4" s="325">
        <f>RATIO!E20</f>
        <v>-2.943533241517466</v>
      </c>
      <c r="C4" s="325">
        <f>RATIO!F20</f>
        <v>-15.480776272427683</v>
      </c>
      <c r="D4" s="325">
        <f>RATIO!G20</f>
        <v>21.387926768926274</v>
      </c>
      <c r="E4" s="325">
        <f>RATIO!H20</f>
        <v>8.591836734693878</v>
      </c>
      <c r="F4" s="325">
        <f>RATIO!I20</f>
        <v>13.54663143989432</v>
      </c>
      <c r="G4" s="325">
        <f>RATIO!J20</f>
        <v>-67.67307692307692</v>
      </c>
      <c r="H4" s="325">
        <f>RATIO!K20</f>
        <v>-358.46153846153845</v>
      </c>
    </row>
    <row r="5" spans="1:8" x14ac:dyDescent="0.25">
      <c r="A5" t="s">
        <v>469</v>
      </c>
      <c r="B5" s="325">
        <f>RATIO!E25</f>
        <v>2.25</v>
      </c>
      <c r="C5" s="325">
        <f>RATIO!F25</f>
        <v>3.7862149532710281</v>
      </c>
      <c r="D5" s="325">
        <f>RATIO!G25</f>
        <v>5.7192784667418266</v>
      </c>
      <c r="E5" s="325">
        <f>RATIO!H25</f>
        <v>8.2772727272727273</v>
      </c>
      <c r="F5" s="325">
        <f>RATIO!I25</f>
        <v>6.0615539858728553</v>
      </c>
      <c r="G5" s="325">
        <f>RATIO!J25</f>
        <v>4.7150997150997149</v>
      </c>
      <c r="H5" s="325">
        <f>RATIO!K25</f>
        <v>3.2660984848484849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6"/>
  <sheetViews>
    <sheetView workbookViewId="0"/>
  </sheetViews>
  <sheetFormatPr defaultRowHeight="15" x14ac:dyDescent="0.25"/>
  <cols>
    <col min="1" max="1" width="24.85546875" bestFit="1" customWidth="1"/>
    <col min="2" max="3" width="9.28515625" bestFit="1" customWidth="1"/>
    <col min="4" max="4" width="9.5703125" bestFit="1" customWidth="1"/>
    <col min="5" max="8" width="9.28515625" bestFit="1" customWidth="1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t="s">
        <v>501</v>
      </c>
      <c r="B2" s="326">
        <f>RATIO!E56*100</f>
        <v>3.6820300362506475</v>
      </c>
      <c r="C2" s="326">
        <f>RATIO!F56*100</f>
        <v>8.0246607903337619</v>
      </c>
      <c r="D2" s="326">
        <f>RATIO!G56*100</f>
        <v>11.894490035169989</v>
      </c>
      <c r="E2" s="326">
        <f>RATIO!H56*100</f>
        <v>17.77018785069529</v>
      </c>
      <c r="F2" s="326">
        <f>RATIO!I56*100</f>
        <v>14.950223992035838</v>
      </c>
      <c r="G2" s="326">
        <f>RATIO!J56*100</f>
        <v>11.648913706536531</v>
      </c>
      <c r="H2" s="326">
        <f>RATIO!K56*100</f>
        <v>7.7434274039648869</v>
      </c>
    </row>
    <row r="3" spans="1:8" x14ac:dyDescent="0.25">
      <c r="A3" t="s">
        <v>500</v>
      </c>
      <c r="B3" s="326">
        <f>RATIO!E59*100</f>
        <v>1.053858104609011</v>
      </c>
      <c r="C3" s="326">
        <f>RATIO!F59*100</f>
        <v>4.8256907992473019</v>
      </c>
      <c r="D3" s="326">
        <f>RATIO!G59*100</f>
        <v>9.8100820633059787</v>
      </c>
      <c r="E3" s="326">
        <f>RATIO!H59*100</f>
        <v>15.293974140034155</v>
      </c>
      <c r="F3" s="326">
        <f>RATIO!I59*100</f>
        <v>7.8969636635141862</v>
      </c>
      <c r="G3" s="326">
        <f>RATIO!J59*100</f>
        <v>6.0813664304819115</v>
      </c>
      <c r="H3" s="326">
        <f>RATIO!K59*100</f>
        <v>4.7529242720190386</v>
      </c>
    </row>
    <row r="4" spans="1:8" x14ac:dyDescent="0.25">
      <c r="A4" t="s">
        <v>430</v>
      </c>
      <c r="B4" s="326">
        <f>RATIO!E61*100</f>
        <v>1.7188225854132353</v>
      </c>
      <c r="C4" s="326">
        <f>RATIO!F61*100</f>
        <v>5.9250927220769745</v>
      </c>
      <c r="D4" s="326">
        <f>RATIO!G61*100</f>
        <v>9.7867911067447917</v>
      </c>
      <c r="E4" s="326">
        <f>RATIO!H61*100</f>
        <v>13.681798341335661</v>
      </c>
      <c r="F4" s="326">
        <f>RATIO!I61*100</f>
        <v>6.3657976306312634</v>
      </c>
      <c r="G4" s="326">
        <f>RATIO!J61*100</f>
        <v>4.9817891772936509</v>
      </c>
      <c r="H4" s="326">
        <f>RATIO!K61*100</f>
        <v>3.7348387950425619</v>
      </c>
    </row>
    <row r="5" spans="1:8" x14ac:dyDescent="0.25">
      <c r="A5" t="s">
        <v>428</v>
      </c>
      <c r="B5" s="326">
        <f>RATIO!E62*100</f>
        <v>-5.3914425751755202</v>
      </c>
      <c r="C5" s="326">
        <f>RATIO!F62*100</f>
        <v>-36.368725508490392</v>
      </c>
      <c r="D5" s="326">
        <f>RATIO!G62*100</f>
        <v>-1178.5915492957747</v>
      </c>
      <c r="E5" s="326">
        <f>RATIO!H62*100</f>
        <v>163.76698014629051</v>
      </c>
      <c r="F5" s="326">
        <f>RATIO!I62*100</f>
        <v>67.367303609341818</v>
      </c>
      <c r="G5" s="326">
        <f>RATIO!J62*100</f>
        <v>172.51247920133113</v>
      </c>
      <c r="H5" s="326">
        <f>RATIO!K62*100</f>
        <v>-446.15384615384619</v>
      </c>
    </row>
    <row r="6" spans="1:8" x14ac:dyDescent="0.25">
      <c r="A6" t="s">
        <v>424</v>
      </c>
      <c r="B6" s="326">
        <f>RATIO!E64*100</f>
        <v>-32.34997540580423</v>
      </c>
      <c r="C6" s="326">
        <f>RATIO!F64*100</f>
        <v>59.741991986430001</v>
      </c>
      <c r="D6" s="326">
        <f>RATIO!G64*100</f>
        <v>40.942869338251704</v>
      </c>
      <c r="E6" s="326">
        <f>RATIO!H64*100</f>
        <v>36.403978532976154</v>
      </c>
      <c r="F6" s="326">
        <f>RATIO!I64*100</f>
        <v>17.265361041787237</v>
      </c>
      <c r="G6" s="326">
        <f>RATIO!J64*100</f>
        <v>16.131350584582336</v>
      </c>
      <c r="H6" s="326">
        <f>RATIO!K64*100</f>
        <v>12.345678448734427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4"/>
  <sheetViews>
    <sheetView workbookViewId="0"/>
  </sheetViews>
  <sheetFormatPr defaultRowHeight="15" x14ac:dyDescent="0.25"/>
  <cols>
    <col min="1" max="1" width="24.85546875" bestFit="1" customWidth="1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t="s">
        <v>504</v>
      </c>
      <c r="B2" s="327">
        <f>BS!D30</f>
        <v>23510</v>
      </c>
      <c r="C2" s="327">
        <f>BS!E30</f>
        <v>42278</v>
      </c>
      <c r="D2" s="327">
        <f>BS!F30</f>
        <v>43225</v>
      </c>
      <c r="E2" s="327">
        <f>BS!G30</f>
        <v>48415</v>
      </c>
      <c r="F2" s="327">
        <f>BS!H30</f>
        <v>51274</v>
      </c>
      <c r="G2" s="327">
        <f>BS!I30</f>
        <v>52785</v>
      </c>
      <c r="H2" s="327">
        <f>BS!J30</f>
        <v>60580</v>
      </c>
    </row>
    <row r="3" spans="1:8" x14ac:dyDescent="0.25">
      <c r="A3" t="s">
        <v>503</v>
      </c>
      <c r="B3" s="327">
        <f>BS!$D$52</f>
        <v>24891</v>
      </c>
      <c r="C3" s="327">
        <f>BS!$D$52</f>
        <v>24891</v>
      </c>
      <c r="D3" s="327">
        <f>BS!$D$52</f>
        <v>24891</v>
      </c>
      <c r="E3" s="327">
        <f>BS!$D$52</f>
        <v>24891</v>
      </c>
      <c r="F3" s="327">
        <f>BS!$D$52</f>
        <v>24891</v>
      </c>
      <c r="G3" s="327">
        <f>BS!$D$52</f>
        <v>24891</v>
      </c>
      <c r="H3" s="327">
        <f>BS!$D$52</f>
        <v>24891</v>
      </c>
    </row>
    <row r="4" spans="1:8" x14ac:dyDescent="0.25">
      <c r="A4" t="s">
        <v>502</v>
      </c>
      <c r="B4" s="327">
        <f>BS!D60</f>
        <v>-7987</v>
      </c>
      <c r="C4" s="327">
        <f>BS!E60</f>
        <v>-2731</v>
      </c>
      <c r="D4" s="327">
        <f>BS!F60</f>
        <v>2021</v>
      </c>
      <c r="E4" s="327">
        <f>BS!G60</f>
        <v>5635</v>
      </c>
      <c r="F4" s="327">
        <f>BS!H60</f>
        <v>3785</v>
      </c>
      <c r="G4" s="327">
        <f>BS!I60</f>
        <v>-780</v>
      </c>
      <c r="H4" s="327">
        <f>BS!J60</f>
        <v>-169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3"/>
  <sheetViews>
    <sheetView workbookViewId="0"/>
  </sheetViews>
  <sheetFormatPr defaultRowHeight="15" x14ac:dyDescent="0.25"/>
  <cols>
    <col min="1" max="1" width="18" bestFit="1" customWidth="1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t="s">
        <v>506</v>
      </c>
      <c r="B2" s="328">
        <f>RATIO!E127</f>
        <v>-7.52</v>
      </c>
      <c r="C2" s="328">
        <f>RATIO!F127</f>
        <v>-6.54</v>
      </c>
      <c r="D2" s="328">
        <f>RATIO!G127</f>
        <v>3.93</v>
      </c>
      <c r="E2" s="328">
        <f>RATIO!H127</f>
        <v>11.07</v>
      </c>
      <c r="F2" s="328">
        <f>RATIO!I127</f>
        <v>4.6500000000000004</v>
      </c>
      <c r="G2" s="328">
        <f>RATIO!J127</f>
        <v>2.61</v>
      </c>
      <c r="H2" s="328">
        <f>RATIO!K127</f>
        <v>3.03</v>
      </c>
    </row>
    <row r="3" spans="1:8" x14ac:dyDescent="0.25">
      <c r="A3" t="s">
        <v>505</v>
      </c>
      <c r="B3" s="328">
        <f>RATIO!E129</f>
        <v>0</v>
      </c>
      <c r="C3" s="328">
        <f>RATIO!F129</f>
        <v>0</v>
      </c>
      <c r="D3" s="328">
        <f>RATIO!G129</f>
        <v>0.2</v>
      </c>
      <c r="E3" s="328">
        <f>RATIO!H129</f>
        <v>0.4</v>
      </c>
      <c r="F3" s="328">
        <f>RATIO!I129</f>
        <v>0.4</v>
      </c>
      <c r="G3" s="328">
        <f>RATIO!J129</f>
        <v>0.4</v>
      </c>
      <c r="H3" s="328">
        <f>RATIO!K129</f>
        <v>0.4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4"/>
  <sheetViews>
    <sheetView workbookViewId="0"/>
  </sheetViews>
  <sheetFormatPr defaultRowHeight="15" x14ac:dyDescent="0.25"/>
  <cols>
    <col min="1" max="1" width="18.42578125" style="324" bestFit="1" customWidth="1"/>
    <col min="2" max="16384" width="9.140625" style="324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s="324" t="s">
        <v>403</v>
      </c>
      <c r="B2" s="329">
        <f>RATIO!E80</f>
        <v>8.7211677887105127E-2</v>
      </c>
      <c r="C2" s="329">
        <f>RATIO!F80</f>
        <v>0.17518516019609787</v>
      </c>
      <c r="D2" s="329">
        <f>RATIO!G80</f>
        <v>0.92298426293120739</v>
      </c>
      <c r="E2" s="329">
        <f>RATIO!H80</f>
        <v>0.71016059710392776</v>
      </c>
      <c r="F2" s="329">
        <f>RATIO!I80</f>
        <v>0.64619864992287213</v>
      </c>
      <c r="G2" s="329">
        <f>RATIO!J80</f>
        <v>0.60022369359269856</v>
      </c>
      <c r="H2" s="329">
        <f>RATIO!K80</f>
        <v>0.33569840371792281</v>
      </c>
    </row>
    <row r="3" spans="1:8" x14ac:dyDescent="0.25">
      <c r="A3" s="324" t="s">
        <v>507</v>
      </c>
      <c r="B3" s="329">
        <f>RATIO!E78</f>
        <v>8.2754668304668311</v>
      </c>
      <c r="C3" s="329">
        <f>RATIO!F78</f>
        <v>3.6302607747562856</v>
      </c>
      <c r="D3" s="329">
        <f>RATIO!G78</f>
        <v>9.4087721052631572</v>
      </c>
      <c r="E3" s="329">
        <f>RATIO!H78</f>
        <v>4.6436401315789473</v>
      </c>
      <c r="F3" s="329">
        <f>RATIO!I78</f>
        <v>8.1768824868651482</v>
      </c>
      <c r="G3" s="329">
        <f>RATIO!J78</f>
        <v>9.8728650853889945</v>
      </c>
      <c r="H3" s="329">
        <f>RATIO!K78</f>
        <v>7.0571428571428569</v>
      </c>
    </row>
    <row r="4" spans="1:8" x14ac:dyDescent="0.25">
      <c r="A4" s="324" t="s">
        <v>405</v>
      </c>
      <c r="B4" s="329">
        <f>RATIO!E79</f>
        <v>-0.42169963690997875</v>
      </c>
      <c r="C4" s="329">
        <f>RATIO!F79</f>
        <v>-2.5907646466495793</v>
      </c>
      <c r="D4" s="329">
        <f>RATIO!G79</f>
        <v>19.478119155871351</v>
      </c>
      <c r="E4" s="329">
        <f>RATIO!H79</f>
        <v>5.1658354703265301</v>
      </c>
      <c r="F4" s="329">
        <f>RATIO!I79</f>
        <v>6.8597785347162485</v>
      </c>
      <c r="G4" s="329">
        <f>RATIO!J79</f>
        <v>-32.798377267061539</v>
      </c>
      <c r="H4" s="329">
        <f>RATIO!K79</f>
        <v>-88.475400000000008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2"/>
  <sheetViews>
    <sheetView workbookViewId="0"/>
  </sheetViews>
  <sheetFormatPr defaultRowHeight="15" x14ac:dyDescent="0.25"/>
  <cols>
    <col min="2" max="3" width="8.85546875" bestFit="1" customWidth="1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t="s">
        <v>508</v>
      </c>
      <c r="B2" s="323">
        <f>CF!D29*-1</f>
        <v>1888</v>
      </c>
      <c r="C2" s="323">
        <f>CF!E29*-1</f>
        <v>3114</v>
      </c>
      <c r="D2" s="323">
        <f>CF!F29*-1</f>
        <v>5311</v>
      </c>
      <c r="E2" s="323">
        <f>CF!G29*-1</f>
        <v>6151</v>
      </c>
      <c r="F2" s="323">
        <f>CF!H29*-1</f>
        <v>5731</v>
      </c>
      <c r="G2" s="323">
        <f>CF!I29*-1</f>
        <v>5971</v>
      </c>
      <c r="H2" s="323">
        <f>CF!J29*-1</f>
        <v>3745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5"/>
  <sheetViews>
    <sheetView workbookViewId="0"/>
  </sheetViews>
  <sheetFormatPr defaultRowHeight="15" x14ac:dyDescent="0.25"/>
  <cols>
    <col min="1" max="1" width="23.140625" bestFit="1" customWidth="1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t="s">
        <v>382</v>
      </c>
      <c r="B2" s="325">
        <f>RATIO!E97</f>
        <v>0.20743436043500776</v>
      </c>
      <c r="C2" s="325">
        <f>RATIO!F97</f>
        <v>0.3620723544122017</v>
      </c>
      <c r="D2" s="325">
        <f>RATIO!G97</f>
        <v>1.1672281081832589</v>
      </c>
      <c r="E2" s="325">
        <f>RATIO!H97</f>
        <v>1.0591969474332763</v>
      </c>
      <c r="F2" s="325">
        <f>RATIO!I97</f>
        <v>1.0938094015405924</v>
      </c>
      <c r="G2" s="325">
        <f>RATIO!J97</f>
        <v>1.0694414684507532</v>
      </c>
      <c r="H2" s="325">
        <f>RATIO!K97</f>
        <v>0.81541372218854546</v>
      </c>
    </row>
    <row r="3" spans="1:8" x14ac:dyDescent="0.25">
      <c r="A3" t="s">
        <v>380</v>
      </c>
      <c r="B3" s="325">
        <f>RATIO!E98</f>
        <v>3.2872855970455479</v>
      </c>
      <c r="C3" s="325">
        <f>RATIO!F98</f>
        <v>3.4319122858483926</v>
      </c>
      <c r="D3" s="325">
        <f>RATIO!G98</f>
        <v>7.558803342547221</v>
      </c>
      <c r="E3" s="325">
        <f>RATIO!H98</f>
        <v>4.8820963539064435</v>
      </c>
      <c r="F3" s="325">
        <f>RATIO!I98</f>
        <v>5.6165190739809585</v>
      </c>
      <c r="G3" s="325">
        <f>RATIO!J98</f>
        <v>6.5284638023930102</v>
      </c>
      <c r="H3" s="325">
        <f>RATIO!K98</f>
        <v>6.47634497146933</v>
      </c>
    </row>
    <row r="4" spans="1:8" x14ac:dyDescent="0.25">
      <c r="A4" t="s">
        <v>378</v>
      </c>
      <c r="B4" s="325">
        <f>RATIO!E99</f>
        <v>5.6336954992967652</v>
      </c>
      <c r="C4" s="325">
        <f>RATIO!F99</f>
        <v>4.5119957574822589</v>
      </c>
      <c r="D4" s="325">
        <f>RATIO!G99</f>
        <v>9.8131832868156899</v>
      </c>
      <c r="E4" s="325">
        <f>RATIO!H99</f>
        <v>5.9605275776070838</v>
      </c>
      <c r="F4" s="325">
        <f>RATIO!I99</f>
        <v>7.3163412275513569</v>
      </c>
      <c r="G4" s="325">
        <f>RATIO!J99</f>
        <v>9.1806111315826779</v>
      </c>
      <c r="H4" s="325">
        <f>RATIO!K99</f>
        <v>10.530397970426211</v>
      </c>
    </row>
    <row r="5" spans="1:8" x14ac:dyDescent="0.25">
      <c r="A5" t="s">
        <v>375</v>
      </c>
      <c r="B5" s="325">
        <f>RATIO!E101</f>
        <v>6.2343307392996108</v>
      </c>
      <c r="C5" s="325">
        <f>RATIO!F101</f>
        <v>21.664264074074076</v>
      </c>
      <c r="D5" s="325">
        <f>RATIO!G101</f>
        <v>16.163077537018182</v>
      </c>
      <c r="E5" s="325">
        <f>RATIO!H101</f>
        <v>6.9477488998703789</v>
      </c>
      <c r="F5" s="325">
        <f>RATIO!I101</f>
        <v>6.7365514644238198</v>
      </c>
      <c r="G5" s="325">
        <f>RATIO!J101</f>
        <v>9.6082913719030358</v>
      </c>
      <c r="H5" s="325">
        <f>RATIO!K101</f>
        <v>10.280029040475517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H4"/>
  <sheetViews>
    <sheetView workbookViewId="0"/>
  </sheetViews>
  <sheetFormatPr defaultRowHeight="15" x14ac:dyDescent="0.25"/>
  <cols>
    <col min="1" max="1" width="18" bestFit="1" customWidth="1"/>
  </cols>
  <sheetData>
    <row r="1" spans="1:8" x14ac:dyDescent="0.25">
      <c r="A1" s="324" t="s">
        <v>496</v>
      </c>
      <c r="B1" s="324">
        <v>2012</v>
      </c>
      <c r="C1" s="324">
        <v>2013</v>
      </c>
      <c r="D1" s="324">
        <v>2014</v>
      </c>
      <c r="E1" s="324">
        <v>2015</v>
      </c>
      <c r="F1" s="324">
        <v>2016</v>
      </c>
      <c r="G1" s="324">
        <v>2017</v>
      </c>
      <c r="H1" s="324">
        <v>2018</v>
      </c>
    </row>
    <row r="2" spans="1:8" x14ac:dyDescent="0.25">
      <c r="A2" t="s">
        <v>35</v>
      </c>
      <c r="B2" s="323">
        <f>IS!D7</f>
        <v>21657</v>
      </c>
      <c r="C2" s="323">
        <f>IS!E7</f>
        <v>23349</v>
      </c>
      <c r="D2" s="323">
        <f>IS!F7</f>
        <v>37124</v>
      </c>
      <c r="E2" s="323">
        <f>IS!G7</f>
        <v>35512</v>
      </c>
      <c r="F2" s="323">
        <f>IS!H7</f>
        <v>37045</v>
      </c>
      <c r="G2" s="323">
        <f>IS!I7</f>
        <v>39131</v>
      </c>
      <c r="H2" s="323">
        <f>IS!J7</f>
        <v>40676</v>
      </c>
    </row>
    <row r="3" spans="1:8" x14ac:dyDescent="0.25">
      <c r="A3" t="s">
        <v>34</v>
      </c>
      <c r="B3" s="323">
        <f>IS!D8</f>
        <v>675</v>
      </c>
      <c r="C3" s="323">
        <f>IS!E8</f>
        <v>685</v>
      </c>
      <c r="D3" s="323">
        <f>IS!F8</f>
        <v>875</v>
      </c>
      <c r="E3" s="323">
        <f>IS!G8</f>
        <v>760</v>
      </c>
      <c r="F3" s="323">
        <f>IS!H8</f>
        <v>785</v>
      </c>
      <c r="G3" s="323">
        <f>IS!I8</f>
        <v>890</v>
      </c>
      <c r="H3" s="323">
        <f>IS!J8</f>
        <v>1013</v>
      </c>
    </row>
    <row r="4" spans="1:8" x14ac:dyDescent="0.25">
      <c r="A4" t="s">
        <v>20</v>
      </c>
      <c r="B4" s="323">
        <f>IS!D9</f>
        <v>2523</v>
      </c>
      <c r="C4" s="323">
        <f>IS!E9</f>
        <v>2709</v>
      </c>
      <c r="D4" s="323">
        <f>IS!F9</f>
        <v>4651</v>
      </c>
      <c r="E4" s="323">
        <f>IS!G9</f>
        <v>4718</v>
      </c>
      <c r="F4" s="323">
        <f>IS!H9</f>
        <v>2312</v>
      </c>
      <c r="G4" s="323">
        <f>IS!I9</f>
        <v>2601</v>
      </c>
      <c r="H4" s="323">
        <f>IS!J9</f>
        <v>2852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IS</vt:lpstr>
      <vt:lpstr>BS</vt:lpstr>
      <vt:lpstr>CF</vt:lpstr>
      <vt:lpstr>IS_NG</vt:lpstr>
      <vt:lpstr>RD</vt:lpstr>
      <vt:lpstr>GUIDE</vt:lpstr>
      <vt:lpstr>RATIO</vt:lpstr>
      <vt:lpstr>IS_METRICS</vt:lpstr>
      <vt:lpstr>LIQUIDITY_MANAGEMENT</vt:lpstr>
      <vt:lpstr>ASSET_MANAGEMENT</vt:lpstr>
      <vt:lpstr>DEBT_MANAGEMENT</vt:lpstr>
      <vt:lpstr>PROFITABILITY_INDICATORS</vt:lpstr>
      <vt:lpstr>BS_METRICS</vt:lpstr>
      <vt:lpstr>EPS_DPS</vt:lpstr>
      <vt:lpstr>PRICE_ANALYSIS</vt:lpstr>
      <vt:lpstr>CAPEX</vt:lpstr>
      <vt:lpstr>EV_MULTIPLES</vt:lpstr>
      <vt:lpstr>REVENUE_SEGMENTS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Valora Research</cp:lastModifiedBy>
  <cp:lastPrinted>2019-02-09T12:07:11Z</cp:lastPrinted>
  <dcterms:created xsi:type="dcterms:W3CDTF">2018-09-13T12:06:44Z</dcterms:created>
  <dcterms:modified xsi:type="dcterms:W3CDTF">2019-06-03T07:57:25Z</dcterms:modified>
</cp:coreProperties>
</file>