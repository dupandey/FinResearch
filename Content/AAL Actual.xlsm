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Models\AAL\Actual\"/>
    </mc:Choice>
  </mc:AlternateContent>
  <bookViews>
    <workbookView xWindow="-105" yWindow="-105" windowWidth="23250" windowHeight="12570" tabRatio="840"/>
  </bookViews>
  <sheets>
    <sheet name="IS" sheetId="55" r:id="rId1"/>
    <sheet name="BS" sheetId="56" r:id="rId2"/>
    <sheet name="CF" sheetId="57" r:id="rId3"/>
    <sheet name="IS_NG" sheetId="58" r:id="rId4"/>
    <sheet name="RD" sheetId="59" r:id="rId5"/>
  </sheet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5" i="59" l="1"/>
  <c r="V62" i="59"/>
  <c r="N10" i="58"/>
  <c r="AB10" i="58"/>
  <c r="P14" i="58"/>
  <c r="S14" i="58"/>
  <c r="W14" i="58"/>
  <c r="X14" i="58"/>
  <c r="AA14" i="58"/>
  <c r="AB14" i="58"/>
  <c r="AD14" i="58"/>
  <c r="AE14" i="58"/>
  <c r="AF14" i="58"/>
  <c r="L15" i="58"/>
  <c r="M15" i="58"/>
  <c r="N15" i="58"/>
  <c r="O15" i="58"/>
  <c r="P15" i="58"/>
  <c r="Q15" i="58"/>
  <c r="R15" i="58"/>
  <c r="S15" i="58"/>
  <c r="AE36" i="57"/>
  <c r="W42" i="57"/>
  <c r="AA42" i="57"/>
  <c r="M51" i="57"/>
  <c r="N51" i="57"/>
  <c r="O51" i="57"/>
  <c r="P51" i="57"/>
  <c r="Q51" i="57"/>
  <c r="R51" i="57"/>
  <c r="S51" i="57"/>
  <c r="T51" i="57"/>
  <c r="D51" i="57"/>
  <c r="E51" i="57"/>
  <c r="F51" i="57"/>
  <c r="G51" i="57"/>
  <c r="H51" i="57"/>
  <c r="AA52" i="57"/>
  <c r="AB51" i="57" s="1"/>
  <c r="AE52" i="57"/>
  <c r="AF51" i="57" s="1"/>
  <c r="U51" i="57"/>
  <c r="V51" i="57"/>
  <c r="W51" i="57"/>
  <c r="Y51" i="57"/>
  <c r="Z51" i="57"/>
  <c r="AA51" i="57"/>
  <c r="AC51" i="57"/>
  <c r="AD51" i="57"/>
  <c r="AE51" i="57"/>
  <c r="L53" i="57"/>
  <c r="M53" i="57"/>
  <c r="N53" i="57"/>
  <c r="O53" i="57"/>
  <c r="P53" i="57"/>
  <c r="Q53" i="57"/>
  <c r="R53" i="57"/>
  <c r="S53" i="57"/>
  <c r="L54" i="57"/>
  <c r="M54" i="57"/>
  <c r="N54" i="57"/>
  <c r="O54" i="57"/>
  <c r="P54" i="57"/>
  <c r="Q54" i="57"/>
  <c r="R54" i="57"/>
  <c r="S54" i="57"/>
  <c r="C56" i="56"/>
  <c r="G56" i="56"/>
  <c r="H7" i="56"/>
  <c r="I7" i="56"/>
  <c r="J7" i="56"/>
  <c r="H9" i="56"/>
  <c r="I9" i="56"/>
  <c r="J9" i="56"/>
  <c r="H10" i="56"/>
  <c r="I10" i="56"/>
  <c r="J10" i="56"/>
  <c r="H11" i="56"/>
  <c r="I11" i="56"/>
  <c r="H13" i="56"/>
  <c r="I13" i="56"/>
  <c r="J13" i="56"/>
  <c r="H14" i="56"/>
  <c r="I14" i="56"/>
  <c r="J14" i="56"/>
  <c r="H15" i="56"/>
  <c r="I15" i="56"/>
  <c r="J15" i="56"/>
  <c r="H21" i="56"/>
  <c r="C23" i="56"/>
  <c r="D23" i="56"/>
  <c r="H22" i="56"/>
  <c r="I22" i="56"/>
  <c r="J22" i="56"/>
  <c r="L23" i="56"/>
  <c r="L26" i="56" s="1"/>
  <c r="M23" i="56"/>
  <c r="N23" i="56"/>
  <c r="O23" i="56"/>
  <c r="O26" i="56" s="1"/>
  <c r="P23" i="56"/>
  <c r="P26" i="56" s="1"/>
  <c r="Q23" i="56"/>
  <c r="Q26" i="56" s="1"/>
  <c r="R23" i="56"/>
  <c r="S23" i="56"/>
  <c r="H24" i="56"/>
  <c r="I24" i="56"/>
  <c r="J24" i="56"/>
  <c r="H25" i="56"/>
  <c r="I25" i="56"/>
  <c r="J25" i="56"/>
  <c r="M26" i="56"/>
  <c r="N26" i="56"/>
  <c r="H26" i="56"/>
  <c r="I26" i="56"/>
  <c r="J26" i="56"/>
  <c r="J27" i="56"/>
  <c r="C57" i="56"/>
  <c r="D57" i="56"/>
  <c r="E57" i="56"/>
  <c r="G57" i="56"/>
  <c r="T57" i="56"/>
  <c r="U57" i="56"/>
  <c r="V57" i="56"/>
  <c r="H29" i="56"/>
  <c r="H57" i="56" s="1"/>
  <c r="X57" i="56"/>
  <c r="Y57" i="56"/>
  <c r="Z57" i="56"/>
  <c r="I29" i="56"/>
  <c r="AB57" i="56"/>
  <c r="AD57" i="56"/>
  <c r="J29" i="56"/>
  <c r="H31" i="56"/>
  <c r="I31" i="56"/>
  <c r="J31" i="56"/>
  <c r="H32" i="56"/>
  <c r="I32" i="56"/>
  <c r="J32" i="56"/>
  <c r="H33" i="56"/>
  <c r="I33" i="56"/>
  <c r="J33" i="56"/>
  <c r="I34" i="56"/>
  <c r="H35" i="56"/>
  <c r="I35" i="56"/>
  <c r="J35" i="56"/>
  <c r="I36" i="56"/>
  <c r="C58" i="56"/>
  <c r="D58" i="56"/>
  <c r="E58" i="56"/>
  <c r="G58" i="56"/>
  <c r="T58" i="56"/>
  <c r="U58" i="56"/>
  <c r="V58" i="56"/>
  <c r="H38" i="56"/>
  <c r="H58" i="56" s="1"/>
  <c r="X58" i="56"/>
  <c r="Y58" i="56"/>
  <c r="Z58" i="56"/>
  <c r="I38" i="56"/>
  <c r="I58" i="56" s="1"/>
  <c r="AB58" i="56"/>
  <c r="AC58" i="56"/>
  <c r="AD58" i="56"/>
  <c r="J38" i="56"/>
  <c r="J58" i="56" s="1"/>
  <c r="I39" i="56"/>
  <c r="J39" i="56"/>
  <c r="I41" i="56"/>
  <c r="J41" i="56"/>
  <c r="I42" i="56"/>
  <c r="J42" i="56"/>
  <c r="H44" i="56"/>
  <c r="I44" i="56"/>
  <c r="J44" i="56"/>
  <c r="L45" i="56"/>
  <c r="M45" i="56"/>
  <c r="N45" i="56"/>
  <c r="O45" i="56"/>
  <c r="P45" i="56"/>
  <c r="Q45" i="56"/>
  <c r="R45" i="56"/>
  <c r="S45" i="56"/>
  <c r="S46" i="56" s="1"/>
  <c r="H45" i="56"/>
  <c r="I45" i="56"/>
  <c r="J45" i="56"/>
  <c r="H52" i="56"/>
  <c r="I52" i="56"/>
  <c r="J52" i="56"/>
  <c r="I53" i="56"/>
  <c r="L56" i="56"/>
  <c r="M56" i="56"/>
  <c r="N56" i="56"/>
  <c r="O56" i="56"/>
  <c r="P56" i="56"/>
  <c r="Q56" i="56"/>
  <c r="R56" i="56"/>
  <c r="S56" i="56"/>
  <c r="L57" i="56"/>
  <c r="M57" i="56"/>
  <c r="N57" i="56"/>
  <c r="O57" i="56"/>
  <c r="P57" i="56"/>
  <c r="Q57" i="56"/>
  <c r="R57" i="56"/>
  <c r="S57" i="56"/>
  <c r="AC57" i="56"/>
  <c r="F58" i="56"/>
  <c r="L58" i="56"/>
  <c r="M58" i="56"/>
  <c r="N58" i="56"/>
  <c r="O58" i="56"/>
  <c r="P58" i="56"/>
  <c r="Q58" i="56"/>
  <c r="R58" i="56"/>
  <c r="S58" i="56"/>
  <c r="C54" i="57"/>
  <c r="F15" i="58"/>
  <c r="G15" i="58"/>
  <c r="H15" i="58"/>
  <c r="I15" i="58"/>
  <c r="J15" i="58"/>
  <c r="T15" i="58"/>
  <c r="U15" i="58"/>
  <c r="V15" i="58"/>
  <c r="X15" i="58"/>
  <c r="Y15" i="58"/>
  <c r="Z15" i="58"/>
  <c r="AA15" i="58"/>
  <c r="AB15" i="58"/>
  <c r="AD15" i="58"/>
  <c r="AE15" i="58"/>
  <c r="AF15" i="58"/>
  <c r="R59" i="56" l="1"/>
  <c r="R60" i="56" s="1"/>
  <c r="M59" i="56"/>
  <c r="M60" i="56" s="1"/>
  <c r="M61" i="56" s="1"/>
  <c r="S59" i="56"/>
  <c r="L59" i="56"/>
  <c r="L60" i="56" s="1"/>
  <c r="L61" i="56" s="1"/>
  <c r="N59" i="56"/>
  <c r="N60" i="56" s="1"/>
  <c r="N61" i="56" s="1"/>
  <c r="R46" i="56"/>
  <c r="O59" i="56"/>
  <c r="O60" i="56" s="1"/>
  <c r="O61" i="56" s="1"/>
  <c r="O46" i="56"/>
  <c r="N46" i="56"/>
  <c r="AC56" i="56"/>
  <c r="Y56" i="56"/>
  <c r="U56" i="56"/>
  <c r="E56" i="56"/>
  <c r="E46" i="56"/>
  <c r="T62" i="59"/>
  <c r="T14" i="58"/>
  <c r="F46" i="56"/>
  <c r="V55" i="59"/>
  <c r="U62" i="59"/>
  <c r="D62" i="59"/>
  <c r="V46" i="56"/>
  <c r="Z46" i="56"/>
  <c r="AD46" i="56"/>
  <c r="W58" i="56"/>
  <c r="T69" i="59"/>
  <c r="P69" i="59"/>
  <c r="L69" i="59"/>
  <c r="G69" i="59"/>
  <c r="W55" i="59"/>
  <c r="S55" i="59"/>
  <c r="O55" i="59"/>
  <c r="F55" i="59"/>
  <c r="C53" i="57"/>
  <c r="AE58" i="56"/>
  <c r="AE57" i="56"/>
  <c r="X23" i="56"/>
  <c r="V76" i="59"/>
  <c r="E76" i="59"/>
  <c r="T48" i="59"/>
  <c r="P48" i="59"/>
  <c r="L48" i="59"/>
  <c r="G48" i="59"/>
  <c r="AA58" i="56"/>
  <c r="T76" i="59"/>
  <c r="P76" i="59"/>
  <c r="L76" i="59"/>
  <c r="G76" i="59"/>
  <c r="AD59" i="56"/>
  <c r="AB56" i="56"/>
  <c r="X56" i="56"/>
  <c r="D56" i="56"/>
  <c r="W31" i="57"/>
  <c r="U8" i="58"/>
  <c r="W76" i="59"/>
  <c r="S76" i="59"/>
  <c r="O76" i="59"/>
  <c r="F76" i="59"/>
  <c r="U48" i="59"/>
  <c r="Q48" i="59"/>
  <c r="D48" i="59"/>
  <c r="H17" i="56"/>
  <c r="D7" i="58"/>
  <c r="AA46" i="56"/>
  <c r="G59" i="56"/>
  <c r="X53" i="57"/>
  <c r="W46" i="57"/>
  <c r="AA33" i="57"/>
  <c r="W8" i="58"/>
  <c r="G46" i="56"/>
  <c r="F23" i="56"/>
  <c r="W49" i="57"/>
  <c r="V69" i="59"/>
  <c r="R69" i="59"/>
  <c r="N69" i="59"/>
  <c r="E69" i="59"/>
  <c r="AA57" i="56"/>
  <c r="J53" i="57"/>
  <c r="W48" i="57"/>
  <c r="U69" i="59"/>
  <c r="Q69" i="59"/>
  <c r="M69" i="59"/>
  <c r="H69" i="59"/>
  <c r="R55" i="59"/>
  <c r="N55" i="59"/>
  <c r="E55" i="59"/>
  <c r="V48" i="59"/>
  <c r="E48" i="59"/>
  <c r="AB23" i="56"/>
  <c r="T23" i="56"/>
  <c r="I17" i="56"/>
  <c r="F53" i="57"/>
  <c r="AE43" i="57"/>
  <c r="U76" i="59"/>
  <c r="Q76" i="59"/>
  <c r="M76" i="59"/>
  <c r="H76" i="59"/>
  <c r="P62" i="59"/>
  <c r="L62" i="59"/>
  <c r="G62" i="59"/>
  <c r="T55" i="59"/>
  <c r="P55" i="59"/>
  <c r="L55" i="59"/>
  <c r="G55" i="59"/>
  <c r="U55" i="59"/>
  <c r="M55" i="59"/>
  <c r="H55" i="59"/>
  <c r="I46" i="56"/>
  <c r="D15" i="58"/>
  <c r="D54" i="57"/>
  <c r="C16" i="56"/>
  <c r="W50" i="57"/>
  <c r="W32" i="57"/>
  <c r="H25" i="57"/>
  <c r="Y10" i="58"/>
  <c r="J54" i="56"/>
  <c r="W46" i="56"/>
  <c r="H36" i="56"/>
  <c r="AC23" i="56"/>
  <c r="U23" i="56"/>
  <c r="H5" i="56"/>
  <c r="J5" i="56"/>
  <c r="I51" i="57"/>
  <c r="W52" i="57"/>
  <c r="X51" i="57" s="1"/>
  <c r="L51" i="57"/>
  <c r="AE32" i="57"/>
  <c r="U10" i="58"/>
  <c r="AC8" i="58"/>
  <c r="AC10" i="58"/>
  <c r="Y8" i="58"/>
  <c r="Q8" i="58"/>
  <c r="Q10" i="58"/>
  <c r="M8" i="58"/>
  <c r="M10" i="58"/>
  <c r="M11" i="58" s="1"/>
  <c r="E8" i="58"/>
  <c r="J8" i="56"/>
  <c r="H8" i="56"/>
  <c r="D25" i="57"/>
  <c r="H7" i="58"/>
  <c r="E10" i="58"/>
  <c r="H27" i="56"/>
  <c r="I8" i="58"/>
  <c r="AF58" i="56"/>
  <c r="W57" i="56"/>
  <c r="AE46" i="56"/>
  <c r="J34" i="56"/>
  <c r="J57" i="56" s="1"/>
  <c r="J59" i="56" s="1"/>
  <c r="I27" i="56"/>
  <c r="Y23" i="56"/>
  <c r="AF23" i="56"/>
  <c r="I54" i="56"/>
  <c r="Y46" i="56"/>
  <c r="U46" i="56"/>
  <c r="I57" i="56"/>
  <c r="I5" i="56"/>
  <c r="D53" i="57"/>
  <c r="J51" i="57"/>
  <c r="W41" i="57"/>
  <c r="AA32" i="57"/>
  <c r="G53" i="57"/>
  <c r="Q14" i="58"/>
  <c r="I10" i="58"/>
  <c r="AD23" i="56"/>
  <c r="V23" i="56"/>
  <c r="E23" i="56"/>
  <c r="J17" i="56"/>
  <c r="J16" i="56"/>
  <c r="H16" i="56"/>
  <c r="AA49" i="57"/>
  <c r="AA41" i="57"/>
  <c r="G23" i="56"/>
  <c r="J11" i="56"/>
  <c r="AE38" i="57"/>
  <c r="D69" i="59"/>
  <c r="Q62" i="59"/>
  <c r="D76" i="59"/>
  <c r="W69" i="59"/>
  <c r="S69" i="59"/>
  <c r="O69" i="59"/>
  <c r="F69" i="59"/>
  <c r="R62" i="59"/>
  <c r="N62" i="59"/>
  <c r="E62" i="59"/>
  <c r="M48" i="59"/>
  <c r="H48" i="59"/>
  <c r="W62" i="59"/>
  <c r="S62" i="59"/>
  <c r="O62" i="59"/>
  <c r="F62" i="59"/>
  <c r="M62" i="59"/>
  <c r="H62" i="59"/>
  <c r="D55" i="59"/>
  <c r="W48" i="59"/>
  <c r="S48" i="59"/>
  <c r="O48" i="59"/>
  <c r="F48" i="59"/>
  <c r="AC15" i="58"/>
  <c r="AC46" i="56"/>
  <c r="Q46" i="56"/>
  <c r="M46" i="56"/>
  <c r="Y59" i="56"/>
  <c r="U59" i="56"/>
  <c r="R26" i="56"/>
  <c r="J18" i="56"/>
  <c r="I18" i="56"/>
  <c r="H18" i="56"/>
  <c r="W43" i="57"/>
  <c r="W39" i="57"/>
  <c r="AB11" i="58"/>
  <c r="D8" i="58"/>
  <c r="D10" i="58"/>
  <c r="G7" i="58"/>
  <c r="AC59" i="56"/>
  <c r="T59" i="56"/>
  <c r="P59" i="56"/>
  <c r="V59" i="56"/>
  <c r="E59" i="56"/>
  <c r="J55" i="56"/>
  <c r="I55" i="56"/>
  <c r="H55" i="56"/>
  <c r="I50" i="56"/>
  <c r="H50" i="56"/>
  <c r="J49" i="56"/>
  <c r="I49" i="56"/>
  <c r="H49" i="56"/>
  <c r="J30" i="56"/>
  <c r="I30" i="56"/>
  <c r="H30" i="56"/>
  <c r="AE23" i="56"/>
  <c r="J21" i="56"/>
  <c r="I21" i="56"/>
  <c r="AA23" i="56"/>
  <c r="AE56" i="56"/>
  <c r="I6" i="56"/>
  <c r="AA56" i="56"/>
  <c r="H6" i="56"/>
  <c r="F56" i="56"/>
  <c r="W54" i="57"/>
  <c r="AE48" i="57"/>
  <c r="W47" i="57"/>
  <c r="AA46" i="57"/>
  <c r="I53" i="57"/>
  <c r="E53" i="57"/>
  <c r="G25" i="57"/>
  <c r="J25" i="57"/>
  <c r="F25" i="57"/>
  <c r="H10" i="58"/>
  <c r="AF8" i="58"/>
  <c r="AF10" i="58"/>
  <c r="AB8" i="58"/>
  <c r="T8" i="58"/>
  <c r="T10" i="58"/>
  <c r="P8" i="58"/>
  <c r="P10" i="58"/>
  <c r="L8" i="58"/>
  <c r="E15" i="58"/>
  <c r="E54" i="57"/>
  <c r="X59" i="56"/>
  <c r="H59" i="56"/>
  <c r="D59" i="56"/>
  <c r="J50" i="56"/>
  <c r="W23" i="56"/>
  <c r="Z23" i="56"/>
  <c r="J19" i="56"/>
  <c r="J6" i="56"/>
  <c r="AB53" i="57"/>
  <c r="AE46" i="57"/>
  <c r="W28" i="57"/>
  <c r="H53" i="57"/>
  <c r="U53" i="57"/>
  <c r="C25" i="57"/>
  <c r="I25" i="57"/>
  <c r="E25" i="57"/>
  <c r="E7" i="58"/>
  <c r="Z14" i="58"/>
  <c r="V14" i="58"/>
  <c r="R14" i="58"/>
  <c r="I14" i="58"/>
  <c r="J14" i="58"/>
  <c r="AD10" i="58"/>
  <c r="Z10" i="58"/>
  <c r="R10" i="58"/>
  <c r="N11" i="58"/>
  <c r="J10" i="58"/>
  <c r="X10" i="58"/>
  <c r="F10" i="58"/>
  <c r="S8" i="58"/>
  <c r="H8" i="58"/>
  <c r="I7" i="58"/>
  <c r="S60" i="56"/>
  <c r="AB59" i="56"/>
  <c r="C59" i="56"/>
  <c r="C60" i="56" s="1"/>
  <c r="C61" i="56" s="1"/>
  <c r="W56" i="56"/>
  <c r="D46" i="56"/>
  <c r="H39" i="56"/>
  <c r="C45" i="56"/>
  <c r="S26" i="56"/>
  <c r="I19" i="56"/>
  <c r="AE42" i="57"/>
  <c r="W33" i="57"/>
  <c r="AA30" i="57"/>
  <c r="AC14" i="58"/>
  <c r="Y14" i="58"/>
  <c r="U14" i="58"/>
  <c r="H14" i="58"/>
  <c r="AC11" i="58"/>
  <c r="V10" i="58"/>
  <c r="L10" i="58"/>
  <c r="L11" i="58" s="1"/>
  <c r="X8" i="58"/>
  <c r="G8" i="58"/>
  <c r="W15" i="58"/>
  <c r="Q59" i="56"/>
  <c r="J53" i="56"/>
  <c r="H53" i="56"/>
  <c r="AF57" i="56"/>
  <c r="AF56" i="56"/>
  <c r="T56" i="56"/>
  <c r="AE30" i="57"/>
  <c r="AF53" i="57"/>
  <c r="R76" i="59"/>
  <c r="N76" i="59"/>
  <c r="R48" i="59"/>
  <c r="N48" i="59"/>
  <c r="V56" i="56"/>
  <c r="AE47" i="57"/>
  <c r="AE28" i="57"/>
  <c r="AA10" i="58"/>
  <c r="O10" i="58"/>
  <c r="G10" i="58"/>
  <c r="AA8" i="58"/>
  <c r="J7" i="58"/>
  <c r="I16" i="56"/>
  <c r="I8" i="56"/>
  <c r="AD56" i="56"/>
  <c r="Z56" i="56"/>
  <c r="Y53" i="57"/>
  <c r="AE10" i="58"/>
  <c r="W10" i="58"/>
  <c r="S10" i="58"/>
  <c r="F7" i="58"/>
  <c r="Z59" i="56"/>
  <c r="F57" i="56"/>
  <c r="H54" i="56"/>
  <c r="AF46" i="56"/>
  <c r="AB46" i="56"/>
  <c r="X46" i="56"/>
  <c r="T46" i="56"/>
  <c r="P46" i="56"/>
  <c r="L46" i="56"/>
  <c r="J36" i="56"/>
  <c r="T53" i="57"/>
  <c r="AA47" i="57"/>
  <c r="AA28" i="57"/>
  <c r="G14" i="58"/>
  <c r="AD8" i="58"/>
  <c r="Z8" i="58"/>
  <c r="V8" i="58"/>
  <c r="R8" i="58"/>
  <c r="N8" i="58"/>
  <c r="J8" i="58"/>
  <c r="F8" i="58"/>
  <c r="AE8" i="58"/>
  <c r="O8" i="58"/>
  <c r="AA59" i="56" l="1"/>
  <c r="AA60" i="56" s="1"/>
  <c r="AE59" i="56"/>
  <c r="AE60" i="56" s="1"/>
  <c r="AE50" i="57"/>
  <c r="G60" i="56"/>
  <c r="G61" i="56" s="1"/>
  <c r="W30" i="57"/>
  <c r="D13" i="58"/>
  <c r="I59" i="56"/>
  <c r="C17" i="56"/>
  <c r="AF59" i="56"/>
  <c r="AF60" i="56" s="1"/>
  <c r="H46" i="56"/>
  <c r="Q11" i="58"/>
  <c r="AE39" i="57"/>
  <c r="W59" i="56"/>
  <c r="AA48" i="57"/>
  <c r="E11" i="58"/>
  <c r="AA39" i="57"/>
  <c r="I56" i="56"/>
  <c r="I11" i="58"/>
  <c r="U11" i="58"/>
  <c r="Y11" i="58"/>
  <c r="F59" i="56"/>
  <c r="S11" i="58"/>
  <c r="W11" i="58"/>
  <c r="AE11" i="58"/>
  <c r="Q60" i="56"/>
  <c r="C46" i="56"/>
  <c r="S61" i="56"/>
  <c r="E13" i="58"/>
  <c r="AC53" i="57"/>
  <c r="J56" i="56"/>
  <c r="R61" i="56"/>
  <c r="Z53" i="57"/>
  <c r="G11" i="58"/>
  <c r="O11" i="58"/>
  <c r="V11" i="58"/>
  <c r="Z11" i="58"/>
  <c r="AD11" i="58"/>
  <c r="AA26" i="57"/>
  <c r="H23" i="56"/>
  <c r="X60" i="56"/>
  <c r="AE31" i="57"/>
  <c r="AE41" i="57"/>
  <c r="E60" i="56"/>
  <c r="T60" i="56"/>
  <c r="J46" i="56"/>
  <c r="AA11" i="58"/>
  <c r="F11" i="58"/>
  <c r="V53" i="57"/>
  <c r="W26" i="57"/>
  <c r="D60" i="56"/>
  <c r="AF11" i="58"/>
  <c r="H11" i="58"/>
  <c r="H56" i="56"/>
  <c r="H60" i="56" s="1"/>
  <c r="J23" i="56"/>
  <c r="P60" i="56"/>
  <c r="AC60" i="56"/>
  <c r="D11" i="58"/>
  <c r="Z60" i="56"/>
  <c r="AA43" i="57"/>
  <c r="AA50" i="57"/>
  <c r="AB60" i="56"/>
  <c r="X11" i="58"/>
  <c r="J11" i="58"/>
  <c r="R11" i="58"/>
  <c r="P11" i="58"/>
  <c r="T11" i="58"/>
  <c r="I23" i="56"/>
  <c r="V60" i="56"/>
  <c r="U60" i="56"/>
  <c r="Y60" i="56"/>
  <c r="AD60" i="56"/>
  <c r="I60" i="56" l="1"/>
  <c r="W60" i="56"/>
  <c r="AD61" i="56"/>
  <c r="AB61" i="56"/>
  <c r="H61" i="56"/>
  <c r="AA53" i="57"/>
  <c r="AE61" i="56"/>
  <c r="V61" i="56"/>
  <c r="AE49" i="57"/>
  <c r="Z61" i="56"/>
  <c r="AF61" i="56"/>
  <c r="AC61" i="56"/>
  <c r="D61" i="56"/>
  <c r="AA61" i="56"/>
  <c r="W53" i="57"/>
  <c r="T61" i="56"/>
  <c r="E61" i="56"/>
  <c r="AD53" i="57"/>
  <c r="Q61" i="56"/>
  <c r="F60" i="56"/>
  <c r="Y61" i="56"/>
  <c r="U61" i="56"/>
  <c r="AE33" i="57"/>
  <c r="J60" i="56"/>
  <c r="E14" i="58"/>
  <c r="F14" i="58"/>
  <c r="AE26" i="57"/>
  <c r="AA31" i="57"/>
  <c r="P61" i="56"/>
  <c r="X61" i="56"/>
  <c r="I61" i="56" l="1"/>
  <c r="W61" i="56"/>
  <c r="AE53" i="57"/>
  <c r="F61" i="56"/>
  <c r="J61" i="56"/>
</calcChain>
</file>

<file path=xl/sharedStrings.xml><?xml version="1.0" encoding="utf-8"?>
<sst xmlns="http://schemas.openxmlformats.org/spreadsheetml/2006/main" count="435" uniqueCount="256">
  <si>
    <t>Diluted</t>
  </si>
  <si>
    <t>Basic</t>
  </si>
  <si>
    <t>Weighted Average Shares:</t>
  </si>
  <si>
    <t>diluted_eps</t>
  </si>
  <si>
    <t>basic_eps</t>
  </si>
  <si>
    <t>Net Income (Loss) per Share:</t>
  </si>
  <si>
    <t>Net Income (Loss)</t>
  </si>
  <si>
    <t>Income (Loss) before Income Taxes</t>
  </si>
  <si>
    <t>Reorganization Items, net</t>
  </si>
  <si>
    <t>Total Non-Operating Income (Expense)</t>
  </si>
  <si>
    <t>Other Income, net</t>
  </si>
  <si>
    <t>interest_expense</t>
  </si>
  <si>
    <t>Interest Expense, net</t>
  </si>
  <si>
    <t>interest_income</t>
  </si>
  <si>
    <t>Interest Income</t>
  </si>
  <si>
    <t>Non-Operating Income (Expense):</t>
  </si>
  <si>
    <t>gaap_operating_profit</t>
  </si>
  <si>
    <t>Operating Income (Loss)</t>
  </si>
  <si>
    <t>Total Operating Expenses</t>
  </si>
  <si>
    <t>Other</t>
  </si>
  <si>
    <t>Special Items, net</t>
  </si>
  <si>
    <t>Depreciation and Amortization</t>
  </si>
  <si>
    <t>Selling Expenses</t>
  </si>
  <si>
    <t>Aircraft Rent</t>
  </si>
  <si>
    <t>Other Rent and Landing Fees</t>
  </si>
  <si>
    <t>Maintenance, Materials and Repairs</t>
  </si>
  <si>
    <t>Salaries, Wages and Benefits</t>
  </si>
  <si>
    <t>Aircraft Fuel and Related Taxes</t>
  </si>
  <si>
    <t>Regional Expenses</t>
  </si>
  <si>
    <t>Fuel</t>
  </si>
  <si>
    <t>Operating Expenses:</t>
  </si>
  <si>
    <t>gaap_sales</t>
  </si>
  <si>
    <t>Total Operating Revenues</t>
  </si>
  <si>
    <t>Cargo</t>
  </si>
  <si>
    <t>Total Passenger</t>
  </si>
  <si>
    <t>Regional Passenger</t>
  </si>
  <si>
    <t>Mainline Passenger</t>
  </si>
  <si>
    <t>Operating Revenues:</t>
  </si>
  <si>
    <t>Config Row</t>
  </si>
  <si>
    <t>1Q19A</t>
  </si>
  <si>
    <t>4Q18A</t>
  </si>
  <si>
    <t>3Q18A</t>
  </si>
  <si>
    <t>2Q18A</t>
  </si>
  <si>
    <t>1Q18A</t>
  </si>
  <si>
    <t>4Q17A</t>
  </si>
  <si>
    <t>3Q17A</t>
  </si>
  <si>
    <t>2Q17A</t>
  </si>
  <si>
    <t>1Q17A</t>
  </si>
  <si>
    <t>4Q16A</t>
  </si>
  <si>
    <t>3Q16A</t>
  </si>
  <si>
    <t>2Q16A</t>
  </si>
  <si>
    <t>1Q16A</t>
  </si>
  <si>
    <t>4Q15A</t>
  </si>
  <si>
    <t>3Q15A</t>
  </si>
  <si>
    <t>2Q15A</t>
  </si>
  <si>
    <t>1Q15A</t>
  </si>
  <si>
    <t>4Q14A</t>
  </si>
  <si>
    <t>3Q14A</t>
  </si>
  <si>
    <t>2Q14A</t>
  </si>
  <si>
    <t>1Q14A</t>
  </si>
  <si>
    <t>2018A</t>
  </si>
  <si>
    <t>2017A</t>
  </si>
  <si>
    <t>2016A</t>
  </si>
  <si>
    <t>2015A</t>
  </si>
  <si>
    <t>2014A</t>
  </si>
  <si>
    <t>2013A</t>
  </si>
  <si>
    <t>2012A</t>
  </si>
  <si>
    <t>2011A</t>
  </si>
  <si>
    <t>invested_capital</t>
  </si>
  <si>
    <t>Invested Capital</t>
  </si>
  <si>
    <t>net_debt</t>
  </si>
  <si>
    <t>Net Debt</t>
  </si>
  <si>
    <t>total_debt</t>
  </si>
  <si>
    <t>Total Debt</t>
  </si>
  <si>
    <t>long_term_debt</t>
  </si>
  <si>
    <t>Long-Term Debt</t>
  </si>
  <si>
    <t>short_term_debt</t>
  </si>
  <si>
    <t>Short-Term Debt</t>
  </si>
  <si>
    <t>cash_and_cash_equivalents</t>
  </si>
  <si>
    <t>Cash and Cash Equivalents (including Investments)</t>
  </si>
  <si>
    <t>liabilities_and_stockholders_equity</t>
  </si>
  <si>
    <t>Total Liabilities and Stockholders Equity</t>
  </si>
  <si>
    <t>stockholders_equity</t>
  </si>
  <si>
    <t>Total Stockholders Equity (Deficit)</t>
  </si>
  <si>
    <t>retained_earnings</t>
  </si>
  <si>
    <t>Retained Earnings (deficit)</t>
  </si>
  <si>
    <t>Accumulated Other Comprehensive Loss</t>
  </si>
  <si>
    <t>Treasury Shares at Cost</t>
  </si>
  <si>
    <t>additional_paid_in_capital</t>
  </si>
  <si>
    <t>Additional Paid-in Capital</t>
  </si>
  <si>
    <t>common_equity</t>
  </si>
  <si>
    <t>Common Stock</t>
  </si>
  <si>
    <t>Stockholders Equity (Deficit):</t>
  </si>
  <si>
    <t>Liabilities Subject to Compromise</t>
  </si>
  <si>
    <t>total_liabilities</t>
  </si>
  <si>
    <t>Total Liabilities</t>
  </si>
  <si>
    <t>Total Noncurrent Liabilities</t>
  </si>
  <si>
    <t>Other Liabilities</t>
  </si>
  <si>
    <t>Bankruptcy Settlement Obligations</t>
  </si>
  <si>
    <t>Operating Lease Liabilities</t>
  </si>
  <si>
    <t>Loyalty Program Liability</t>
  </si>
  <si>
    <t>Deferred Gains and Credits, net</t>
  </si>
  <si>
    <t>Pension and Postretirement Benefits</t>
  </si>
  <si>
    <t>Long-term Debt and Capital Leases, net of Current Maturities</t>
  </si>
  <si>
    <t>Noncurrent Liabilities:</t>
  </si>
  <si>
    <t>current_liabilities</t>
  </si>
  <si>
    <t>Total Current Liabilities</t>
  </si>
  <si>
    <t>Other Accrued Liabilities</t>
  </si>
  <si>
    <t>Air Traffic Liability</t>
  </si>
  <si>
    <t>Accrued Salaries and Wages</t>
  </si>
  <si>
    <t>accounts_payable</t>
  </si>
  <si>
    <t>Accounts Payable</t>
  </si>
  <si>
    <t>Current Maturities of Long-term Debt and Capital Leases</t>
  </si>
  <si>
    <t>Liabilities:</t>
  </si>
  <si>
    <t>total_assets</t>
  </si>
  <si>
    <t>Total Assets</t>
  </si>
  <si>
    <t>Total Other Assets</t>
  </si>
  <si>
    <t>Other Assets</t>
  </si>
  <si>
    <t>Deferred Tax Asset</t>
  </si>
  <si>
    <t>intangible_assets</t>
  </si>
  <si>
    <t>Goodwill and Intangible Assets, net</t>
  </si>
  <si>
    <t>Intangibles, net of Accumulated Amortization</t>
  </si>
  <si>
    <t>Goodwill</t>
  </si>
  <si>
    <t>Other Assets:</t>
  </si>
  <si>
    <t>Operating Lease Right-of-use Assets</t>
  </si>
  <si>
    <t>net_ppe</t>
  </si>
  <si>
    <t>Total Property and Equipment, net</t>
  </si>
  <si>
    <t>accumulated_depreciation</t>
  </si>
  <si>
    <t>Less Accumulated Depreciation and Amortization</t>
  </si>
  <si>
    <t>gross_ppe</t>
  </si>
  <si>
    <t>Total Property and Equipment, at Cost</t>
  </si>
  <si>
    <t>Equipment Purchase Deposits</t>
  </si>
  <si>
    <t>Ground Property and Equipment</t>
  </si>
  <si>
    <t>Flight Equipment</t>
  </si>
  <si>
    <t>Operating Property and Equipment:</t>
  </si>
  <si>
    <t>current_assets</t>
  </si>
  <si>
    <t>Total Current Assets</t>
  </si>
  <si>
    <t>Prepaid Expenses and Other</t>
  </si>
  <si>
    <t>Aircraft Fuel, Spare Parts and Supplies, net</t>
  </si>
  <si>
    <t>account_receivables</t>
  </si>
  <si>
    <t>Accounts Receivable, net</t>
  </si>
  <si>
    <t>Restricted Cash and Short-term Investments</t>
  </si>
  <si>
    <t>marketable_securities</t>
  </si>
  <si>
    <t>Short-term Investments</t>
  </si>
  <si>
    <t>cce</t>
  </si>
  <si>
    <t>Cash</t>
  </si>
  <si>
    <t>Assets:</t>
  </si>
  <si>
    <t>dps</t>
  </si>
  <si>
    <t>Dividends per Share</t>
  </si>
  <si>
    <t>fcf</t>
  </si>
  <si>
    <t>FCF</t>
  </si>
  <si>
    <t>Cash and Cash Equivalents at End of Period</t>
  </si>
  <si>
    <t>Cash and Cash Equivalents at Beginning of Period</t>
  </si>
  <si>
    <t>change_in_cash</t>
  </si>
  <si>
    <t>Net Increase (Decrease) in Cash and Cash Equivalents</t>
  </si>
  <si>
    <t>financing_cash_flow</t>
  </si>
  <si>
    <t>Net Cash Provided by (Used in) Financing Activities</t>
  </si>
  <si>
    <t>Other Financing Activities</t>
  </si>
  <si>
    <t>Dividend Payments</t>
  </si>
  <si>
    <t>repurchase_of_stock</t>
  </si>
  <si>
    <t>Treasury Stock Repurchases</t>
  </si>
  <si>
    <t>issuance_of_stock</t>
  </si>
  <si>
    <t>Exercise of Stock Options</t>
  </si>
  <si>
    <t>Sale-leaseback Transactions</t>
  </si>
  <si>
    <t>Deferred Financing Costs</t>
  </si>
  <si>
    <t>Payments on Long-term Debt and Capital Leases</t>
  </si>
  <si>
    <t>Proceeds from Issuance of Long-term Debt</t>
  </si>
  <si>
    <t>Cash Flows from Financing Activities:</t>
  </si>
  <si>
    <t>investing_cash_flow</t>
  </si>
  <si>
    <t>Net Cash Provided by (Used in) Investing Activities</t>
  </si>
  <si>
    <t>Other Investing Activities</t>
  </si>
  <si>
    <t>Proceeds from Sale of Property and Equipment</t>
  </si>
  <si>
    <t>Proceeds from Sale of an Investment</t>
  </si>
  <si>
    <t>Purchase of Equity Investment</t>
  </si>
  <si>
    <t>Net Proceeds from Slot Transaction</t>
  </si>
  <si>
    <t>Decrease in Restricted Short-term Investments</t>
  </si>
  <si>
    <t>Sales of Short-term Investments</t>
  </si>
  <si>
    <t>Purchases of Short-term Investments</t>
  </si>
  <si>
    <t>Proceeds from Sale of Property and Equipment and Sale-leaseback Transactions</t>
  </si>
  <si>
    <t>Acquisition of US Airways</t>
  </si>
  <si>
    <t>capex</t>
  </si>
  <si>
    <t>Capital Expenditures and Aircraft Purchase Deposits</t>
  </si>
  <si>
    <t>Cash Flows from Investing Activities:</t>
  </si>
  <si>
    <t>operating_cash_flow</t>
  </si>
  <si>
    <t>Net Cash Provided by (Used in) Operating Activities</t>
  </si>
  <si>
    <t>cwc</t>
  </si>
  <si>
    <t>Net Changes in Operating Assets and Liabilities</t>
  </si>
  <si>
    <t>Increase (Decrease) in Other Liabilities</t>
  </si>
  <si>
    <t>Contributions to Pension Plans</t>
  </si>
  <si>
    <t>Increase (Decrease) in Loyalty Program Liability</t>
  </si>
  <si>
    <t>Increase (Decrease) in Air Traffic Liability</t>
  </si>
  <si>
    <t>Increase in Accounts Payable and Accrued Liabilities</t>
  </si>
  <si>
    <t>Decrease in Derivative Collateral</t>
  </si>
  <si>
    <t>Increase in Other Assets</t>
  </si>
  <si>
    <t>Decrease (Increase) in Accounts Receivable</t>
  </si>
  <si>
    <t>Changes in Operating Assets and Liabilities:</t>
  </si>
  <si>
    <t>Other, net</t>
  </si>
  <si>
    <t>Interest Expense, Non-cash</t>
  </si>
  <si>
    <t>Reorganization Items, Non-cash</t>
  </si>
  <si>
    <t>sbc</t>
  </si>
  <si>
    <t>Share-based Compensation</t>
  </si>
  <si>
    <t>Pension and Postretirement</t>
  </si>
  <si>
    <t>Special Items, Non-cash</t>
  </si>
  <si>
    <t>Debt Discount and Lease Amortization</t>
  </si>
  <si>
    <t>Deferred Income Tax Provision (Benefit)</t>
  </si>
  <si>
    <t>depreciation_and_amortization</t>
  </si>
  <si>
    <t>Adjustments to Reconcile Net Income to Net Cash Provided by (Used in) Operating Activities:</t>
  </si>
  <si>
    <t>Net Income</t>
  </si>
  <si>
    <t>Cash Flows from Operating Activities:</t>
  </si>
  <si>
    <t>diluted_shares</t>
  </si>
  <si>
    <t>Diluted Weighted Average Shares</t>
  </si>
  <si>
    <t>y/y_non_gaap_diluted_eps</t>
  </si>
  <si>
    <t>Y/Y</t>
  </si>
  <si>
    <t>non_gaap_diluted_eps</t>
  </si>
  <si>
    <t>Net Income (Loss) per Share</t>
  </si>
  <si>
    <t>non_gaap_net_income</t>
  </si>
  <si>
    <t>non_gaap_tax_rate</t>
  </si>
  <si>
    <t>Tax Rate</t>
  </si>
  <si>
    <t>income_tax</t>
  </si>
  <si>
    <t>non_gaap_pretax_profit</t>
  </si>
  <si>
    <t>non_gaap_ebitda</t>
  </si>
  <si>
    <t>EBITDA</t>
  </si>
  <si>
    <t>non_gaap_operating_profit</t>
  </si>
  <si>
    <t>non_gaap_sales</t>
  </si>
  <si>
    <t>Passenger Revenue per ASM (Cents)</t>
  </si>
  <si>
    <t>Yield (Cents)</t>
  </si>
  <si>
    <t>Passenger Revenue ($ in Millions)</t>
  </si>
  <si>
    <t>Passenger Load Factor (Percent)</t>
  </si>
  <si>
    <t>Available Seat Miles (ASM) (Millions)</t>
  </si>
  <si>
    <t>Revenue Passenger Miles (Millions)</t>
  </si>
  <si>
    <t>Total International:</t>
  </si>
  <si>
    <t>Pacific:</t>
  </si>
  <si>
    <t>Atlantic:</t>
  </si>
  <si>
    <t>Latin America:</t>
  </si>
  <si>
    <t>Domestic:</t>
  </si>
  <si>
    <t>Consolidated Revenue Statistics by Region:</t>
  </si>
  <si>
    <t>Operating Cost per ASM excl. Special Items and Fuel (Cents)</t>
  </si>
  <si>
    <t>Operating Cost per ASM excl. Special Items (Cents)</t>
  </si>
  <si>
    <t>Operating Cost per ASM (Cents)</t>
  </si>
  <si>
    <t>Full-time Equivalent Employees at End of Period</t>
  </si>
  <si>
    <t>Average Aircraft Fuel Price incl. related Taxes ($ per Gallon)</t>
  </si>
  <si>
    <t>Fuel Consumption (Gallons in Millions)</t>
  </si>
  <si>
    <t>Aircraft at End of Period</t>
  </si>
  <si>
    <t>Passenger Enplanements (Thousands)</t>
  </si>
  <si>
    <t>Cargo Yield per Ton Mile (Cents)</t>
  </si>
  <si>
    <t>Cargo Ton Miles (Millions)</t>
  </si>
  <si>
    <t>Total Revenue per ASM (Cents)</t>
  </si>
  <si>
    <t>Total Mainline &amp; Regional:</t>
  </si>
  <si>
    <t>Regional:</t>
  </si>
  <si>
    <t>Average Stage Length (Miles)</t>
  </si>
  <si>
    <t>Block Hours (Thousands)</t>
  </si>
  <si>
    <t>Departures (Thousands)</t>
  </si>
  <si>
    <t>Mainline:</t>
  </si>
  <si>
    <t>Consolidated Operating Statistics:</t>
  </si>
  <si>
    <t>Income Tax Expense (Benefit)</t>
  </si>
  <si>
    <t>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</si>
</sst>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7" formatCode="&quot;$&quot;#,##0.00_);\(&quot;$&quot;#,##0.00\)"/>
    <numFmt numFmtId="43" formatCode="_(* #,##0.00_);_(* \(#,##0.00\);_(* &quot;-&quot;??_);_(@_)"/>
    <numFmt numFmtId="164" formatCode="#,##0.0_);\(#,##0.0\)"/>
    <numFmt numFmtId="165" formatCode="[$-409]d\-mmm;@"/>
    <numFmt numFmtId="166" formatCode="#,##0.0000_);\(#,##0.0000\)"/>
    <numFmt numFmtId="167" formatCode="0.0%;\(0.0%\)"/>
    <numFmt numFmtId="168" formatCode="0.0%"/>
    <numFmt numFmtId="169" formatCode="_ * #,##0.00_ ;_ * \-#,##0.00_ ;_ * &quot;-&quot;??_ ;_ @_ "/>
  </numFmts>
  <fonts count="2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33CC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0"/>
      <color theme="1"/>
      <name val="Calibri"/>
      <family val="2"/>
      <scheme val="minor"/>
    </font>
    <font>
      <u/>
      <sz val="10"/>
      <name val="Calibri"/>
      <family val="2"/>
      <scheme val="minor"/>
    </font>
    <font>
      <b/>
      <sz val="10"/>
      <color rgb="FF0033CC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u/>
      <sz val="10"/>
      <color rgb="FF0033CC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u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u/>
      <sz val="10"/>
      <color rgb="FFFF0000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33CC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36">
    <xf numFmtId="0" fontId="0" fillId="0" borderId="0" xfId="0"/>
    <xf numFmtId="0" fontId="5" fillId="0" borderId="0" xfId="0" applyFont="1"/>
    <xf numFmtId="0" fontId="6" fillId="2" borderId="0" xfId="0" applyFont="1" applyFill="1"/>
    <xf numFmtId="0" fontId="5" fillId="0" borderId="0" xfId="0" applyFont="1" applyAlignment="1">
      <alignment wrapText="1"/>
    </xf>
    <xf numFmtId="37" fontId="5" fillId="0" borderId="0" xfId="0" applyNumberFormat="1" applyFont="1"/>
    <xf numFmtId="164" fontId="7" fillId="0" borderId="0" xfId="0" applyNumberFormat="1" applyFont="1" applyFill="1" applyBorder="1"/>
    <xf numFmtId="164" fontId="6" fillId="0" borderId="0" xfId="0" applyNumberFormat="1" applyFont="1" applyFill="1" applyBorder="1"/>
    <xf numFmtId="0" fontId="6" fillId="2" borderId="0" xfId="0" applyNumberFormat="1" applyFont="1" applyFill="1"/>
    <xf numFmtId="0" fontId="6" fillId="0" borderId="0" xfId="0" applyNumberFormat="1" applyFont="1" applyAlignment="1">
      <alignment vertical="top"/>
    </xf>
    <xf numFmtId="43" fontId="8" fillId="0" borderId="0" xfId="0" applyNumberFormat="1" applyFont="1"/>
    <xf numFmtId="7" fontId="5" fillId="2" borderId="0" xfId="0" applyNumberFormat="1" applyFont="1" applyFill="1"/>
    <xf numFmtId="0" fontId="9" fillId="0" borderId="0" xfId="0" applyFont="1"/>
    <xf numFmtId="0" fontId="10" fillId="0" borderId="0" xfId="0" applyNumberFormat="1" applyFont="1" applyAlignment="1">
      <alignment vertical="top"/>
    </xf>
    <xf numFmtId="7" fontId="11" fillId="0" borderId="0" xfId="0" applyNumberFormat="1" applyFont="1"/>
    <xf numFmtId="7" fontId="7" fillId="0" borderId="0" xfId="0" applyNumberFormat="1" applyFont="1" applyFill="1" applyBorder="1"/>
    <xf numFmtId="7" fontId="6" fillId="0" borderId="0" xfId="0" applyNumberFormat="1" applyFont="1" applyFill="1" applyBorder="1"/>
    <xf numFmtId="7" fontId="12" fillId="2" borderId="0" xfId="0" applyNumberFormat="1" applyFont="1" applyFill="1"/>
    <xf numFmtId="7" fontId="6" fillId="0" borderId="0" xfId="0" applyNumberFormat="1" applyFont="1" applyAlignment="1">
      <alignment vertical="top"/>
    </xf>
    <xf numFmtId="7" fontId="5" fillId="0" borderId="0" xfId="0" applyNumberFormat="1" applyFont="1"/>
    <xf numFmtId="7" fontId="6" fillId="2" borderId="0" xfId="0" applyNumberFormat="1" applyFont="1" applyFill="1"/>
    <xf numFmtId="43" fontId="6" fillId="2" borderId="0" xfId="0" applyNumberFormat="1" applyFont="1" applyFill="1"/>
    <xf numFmtId="164" fontId="13" fillId="0" borderId="0" xfId="0" applyNumberFormat="1" applyFont="1" applyFill="1" applyBorder="1"/>
    <xf numFmtId="164" fontId="10" fillId="0" borderId="0" xfId="0" applyNumberFormat="1" applyFont="1" applyFill="1" applyBorder="1"/>
    <xf numFmtId="43" fontId="14" fillId="0" borderId="0" xfId="0" applyNumberFormat="1" applyFont="1"/>
    <xf numFmtId="0" fontId="15" fillId="0" borderId="0" xfId="0" applyFont="1"/>
    <xf numFmtId="164" fontId="16" fillId="0" borderId="0" xfId="0" applyNumberFormat="1" applyFont="1" applyFill="1" applyBorder="1"/>
    <xf numFmtId="164" fontId="12" fillId="0" borderId="0" xfId="0" applyNumberFormat="1" applyFont="1" applyFill="1" applyBorder="1"/>
    <xf numFmtId="0" fontId="12" fillId="2" borderId="0" xfId="0" applyFont="1" applyFill="1"/>
    <xf numFmtId="0" fontId="12" fillId="0" borderId="0" xfId="0" applyNumberFormat="1" applyFont="1" applyAlignment="1">
      <alignment vertical="top"/>
    </xf>
    <xf numFmtId="164" fontId="9" fillId="0" borderId="0" xfId="0" applyNumberFormat="1" applyFont="1"/>
    <xf numFmtId="0" fontId="11" fillId="0" borderId="0" xfId="0" applyFont="1"/>
    <xf numFmtId="0" fontId="12" fillId="0" borderId="0" xfId="0" applyFont="1" applyAlignment="1">
      <alignment vertical="top"/>
    </xf>
    <xf numFmtId="0" fontId="10" fillId="2" borderId="0" xfId="0" applyNumberFormat="1" applyFont="1" applyFill="1"/>
    <xf numFmtId="0" fontId="6" fillId="0" borderId="0" xfId="0" applyFont="1" applyAlignment="1">
      <alignment vertical="top"/>
    </xf>
    <xf numFmtId="164" fontId="7" fillId="0" borderId="0" xfId="0" applyNumberFormat="1" applyFont="1" applyFill="1" applyBorder="1" applyAlignment="1">
      <alignment horizontal="right"/>
    </xf>
    <xf numFmtId="164" fontId="17" fillId="0" borderId="0" xfId="0" applyNumberFormat="1" applyFont="1" applyFill="1" applyBorder="1"/>
    <xf numFmtId="0" fontId="18" fillId="2" borderId="0" xfId="0" applyNumberFormat="1" applyFont="1" applyFill="1" applyAlignment="1">
      <alignment horizontal="center"/>
    </xf>
    <xf numFmtId="165" fontId="18" fillId="2" borderId="0" xfId="0" applyNumberFormat="1" applyFont="1" applyFill="1" applyAlignment="1">
      <alignment horizontal="center"/>
    </xf>
    <xf numFmtId="0" fontId="10" fillId="2" borderId="0" xfId="0" applyFont="1" applyFill="1" applyAlignment="1">
      <alignment wrapText="1"/>
    </xf>
    <xf numFmtId="165" fontId="18" fillId="3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0" fontId="18" fillId="3" borderId="0" xfId="0" applyFont="1" applyFill="1" applyAlignment="1">
      <alignment horizontal="center"/>
    </xf>
    <xf numFmtId="0" fontId="18" fillId="0" borderId="0" xfId="0" applyFont="1" applyFill="1" applyAlignment="1">
      <alignment horizontal="center"/>
    </xf>
    <xf numFmtId="0" fontId="6" fillId="2" borderId="0" xfId="0" applyFont="1" applyFill="1" applyAlignment="1">
      <alignment horizontal="left"/>
    </xf>
    <xf numFmtId="164" fontId="5" fillId="0" borderId="0" xfId="0" applyNumberFormat="1" applyFont="1"/>
    <xf numFmtId="0" fontId="6" fillId="2" borderId="0" xfId="0" applyNumberFormat="1" applyFont="1" applyFill="1" applyAlignment="1">
      <alignment horizontal="left"/>
    </xf>
    <xf numFmtId="0" fontId="6" fillId="0" borderId="0" xfId="0" applyFont="1" applyAlignment="1">
      <alignment vertical="top" wrapText="1"/>
    </xf>
    <xf numFmtId="43" fontId="6" fillId="2" borderId="0" xfId="0" applyNumberFormat="1" applyFont="1" applyFill="1" applyAlignment="1">
      <alignment horizontal="left" vertical="top"/>
    </xf>
    <xf numFmtId="0" fontId="15" fillId="0" borderId="0" xfId="0" applyFont="1" applyFill="1" applyBorder="1"/>
    <xf numFmtId="0" fontId="12" fillId="2" borderId="0" xfId="0" applyNumberFormat="1" applyFont="1" applyFill="1" applyAlignment="1">
      <alignment horizontal="left" vertical="top"/>
    </xf>
    <xf numFmtId="0" fontId="6" fillId="2" borderId="0" xfId="0" applyNumberFormat="1" applyFont="1" applyFill="1" applyAlignment="1">
      <alignment horizontal="left" vertical="top"/>
    </xf>
    <xf numFmtId="164" fontId="19" fillId="0" borderId="0" xfId="0" applyNumberFormat="1" applyFont="1" applyFill="1" applyBorder="1"/>
    <xf numFmtId="164" fontId="20" fillId="0" borderId="0" xfId="0" applyNumberFormat="1" applyFont="1" applyFill="1" applyBorder="1"/>
    <xf numFmtId="0" fontId="6" fillId="2" borderId="0" xfId="0" applyFont="1" applyFill="1" applyAlignment="1">
      <alignment horizontal="left" vertical="top"/>
    </xf>
    <xf numFmtId="0" fontId="6" fillId="0" borderId="0" xfId="0" applyFont="1"/>
    <xf numFmtId="0" fontId="10" fillId="0" borderId="0" xfId="0" applyFont="1" applyAlignment="1">
      <alignment vertical="top"/>
    </xf>
    <xf numFmtId="0" fontId="12" fillId="2" borderId="0" xfId="0" applyFont="1" applyFill="1" applyAlignment="1">
      <alignment horizontal="left" vertical="top"/>
    </xf>
    <xf numFmtId="43" fontId="8" fillId="0" borderId="0" xfId="0" applyNumberFormat="1" applyFont="1" applyFill="1" applyBorder="1" applyAlignment="1">
      <alignment horizontal="right"/>
    </xf>
    <xf numFmtId="0" fontId="9" fillId="0" borderId="0" xfId="0" applyFont="1" applyFill="1" applyBorder="1"/>
    <xf numFmtId="43" fontId="21" fillId="0" borderId="0" xfId="0" applyNumberFormat="1" applyFont="1"/>
    <xf numFmtId="43" fontId="21" fillId="0" borderId="0" xfId="0" applyNumberFormat="1" applyFont="1" applyFill="1" applyBorder="1" applyAlignment="1">
      <alignment horizontal="right"/>
    </xf>
    <xf numFmtId="43" fontId="12" fillId="2" borderId="0" xfId="0" applyNumberFormat="1" applyFont="1" applyFill="1" applyAlignment="1">
      <alignment horizontal="left" vertical="top"/>
    </xf>
    <xf numFmtId="0" fontId="11" fillId="0" borderId="0" xfId="0" applyFont="1" applyFill="1" applyBorder="1"/>
    <xf numFmtId="164" fontId="20" fillId="0" borderId="0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12" fillId="0" borderId="0" xfId="0" applyNumberFormat="1" applyFont="1" applyFill="1" applyBorder="1" applyAlignment="1">
      <alignment horizontal="right"/>
    </xf>
    <xf numFmtId="0" fontId="10" fillId="2" borderId="0" xfId="0" applyFont="1" applyFill="1"/>
    <xf numFmtId="164" fontId="7" fillId="0" borderId="0" xfId="0" applyNumberFormat="1" applyFont="1"/>
    <xf numFmtId="164" fontId="7" fillId="0" borderId="0" xfId="0" applyNumberFormat="1" applyFont="1" applyFill="1"/>
    <xf numFmtId="7" fontId="8" fillId="0" borderId="0" xfId="0" applyNumberFormat="1" applyFont="1"/>
    <xf numFmtId="7" fontId="5" fillId="0" borderId="0" xfId="0" applyNumberFormat="1" applyFont="1" applyFill="1"/>
    <xf numFmtId="164" fontId="6" fillId="0" borderId="0" xfId="0" applyNumberFormat="1" applyFont="1" applyFill="1"/>
    <xf numFmtId="0" fontId="6" fillId="2" borderId="0" xfId="0" applyNumberFormat="1" applyFont="1" applyFill="1" applyAlignment="1">
      <alignment vertical="top"/>
    </xf>
    <xf numFmtId="164" fontId="6" fillId="0" borderId="0" xfId="0" applyNumberFormat="1" applyFont="1" applyAlignment="1">
      <alignment vertical="top" wrapText="1"/>
    </xf>
    <xf numFmtId="43" fontId="6" fillId="2" borderId="0" xfId="0" applyNumberFormat="1" applyFont="1" applyFill="1" applyAlignment="1">
      <alignment vertical="top"/>
    </xf>
    <xf numFmtId="164" fontId="6" fillId="0" borderId="0" xfId="0" applyNumberFormat="1" applyFont="1"/>
    <xf numFmtId="0" fontId="6" fillId="2" borderId="0" xfId="0" applyFont="1" applyFill="1" applyAlignment="1">
      <alignment vertical="top"/>
    </xf>
    <xf numFmtId="164" fontId="13" fillId="0" borderId="0" xfId="0" applyNumberFormat="1" applyFont="1"/>
    <xf numFmtId="164" fontId="10" fillId="0" borderId="0" xfId="0" applyNumberFormat="1" applyFont="1"/>
    <xf numFmtId="164" fontId="13" fillId="0" borderId="0" xfId="0" applyNumberFormat="1" applyFont="1" applyFill="1"/>
    <xf numFmtId="164" fontId="16" fillId="0" borderId="0" xfId="0" applyNumberFormat="1" applyFont="1"/>
    <xf numFmtId="164" fontId="12" fillId="0" borderId="0" xfId="0" applyNumberFormat="1" applyFont="1"/>
    <xf numFmtId="164" fontId="16" fillId="0" borderId="0" xfId="0" applyNumberFormat="1" applyFont="1" applyFill="1"/>
    <xf numFmtId="164" fontId="12" fillId="0" borderId="0" xfId="0" applyNumberFormat="1" applyFont="1" applyFill="1"/>
    <xf numFmtId="166" fontId="12" fillId="0" borderId="0" xfId="0" applyNumberFormat="1" applyFont="1"/>
    <xf numFmtId="166" fontId="6" fillId="0" borderId="0" xfId="0" applyNumberFormat="1" applyFont="1"/>
    <xf numFmtId="164" fontId="7" fillId="0" borderId="0" xfId="0" applyNumberFormat="1" applyFont="1" applyAlignment="1">
      <alignment horizontal="right"/>
    </xf>
    <xf numFmtId="0" fontId="5" fillId="0" borderId="0" xfId="0" applyFont="1" applyAlignment="1"/>
    <xf numFmtId="0" fontId="6" fillId="2" borderId="0" xfId="0" applyFont="1" applyFill="1" applyAlignment="1"/>
    <xf numFmtId="37" fontId="5" fillId="0" borderId="0" xfId="0" applyNumberFormat="1" applyFont="1" applyAlignment="1"/>
    <xf numFmtId="164" fontId="5" fillId="0" borderId="0" xfId="0" applyNumberFormat="1" applyFont="1" applyAlignment="1"/>
    <xf numFmtId="164" fontId="6" fillId="2" borderId="0" xfId="0" applyNumberFormat="1" applyFont="1" applyFill="1" applyAlignment="1"/>
    <xf numFmtId="167" fontId="5" fillId="0" borderId="0" xfId="0" applyNumberFormat="1" applyFont="1" applyAlignment="1"/>
    <xf numFmtId="167" fontId="6" fillId="0" borderId="0" xfId="0" applyNumberFormat="1" applyFont="1" applyFill="1" applyBorder="1" applyAlignment="1"/>
    <xf numFmtId="167" fontId="7" fillId="0" borderId="0" xfId="0" applyNumberFormat="1" applyFont="1" applyFill="1" applyBorder="1" applyAlignment="1"/>
    <xf numFmtId="167" fontId="6" fillId="2" borderId="0" xfId="0" applyNumberFormat="1" applyFont="1" applyFill="1" applyAlignment="1"/>
    <xf numFmtId="167" fontId="6" fillId="0" borderId="0" xfId="0" applyNumberFormat="1" applyFont="1" applyAlignment="1">
      <alignment vertical="top"/>
    </xf>
    <xf numFmtId="7" fontId="11" fillId="0" borderId="0" xfId="0" applyNumberFormat="1" applyFont="1" applyAlignment="1"/>
    <xf numFmtId="7" fontId="7" fillId="0" borderId="0" xfId="0" applyNumberFormat="1" applyFont="1" applyFill="1" applyBorder="1" applyAlignment="1"/>
    <xf numFmtId="7" fontId="6" fillId="0" borderId="0" xfId="0" applyNumberFormat="1" applyFont="1" applyFill="1" applyBorder="1" applyAlignment="1"/>
    <xf numFmtId="7" fontId="6" fillId="2" borderId="0" xfId="0" applyNumberFormat="1" applyFont="1" applyFill="1" applyAlignment="1"/>
    <xf numFmtId="43" fontId="8" fillId="0" borderId="0" xfId="0" applyNumberFormat="1" applyFont="1" applyAlignment="1"/>
    <xf numFmtId="43" fontId="6" fillId="2" borderId="0" xfId="0" applyNumberFormat="1" applyFont="1" applyFill="1" applyAlignment="1"/>
    <xf numFmtId="0" fontId="9" fillId="0" borderId="0" xfId="0" applyFont="1" applyAlignment="1"/>
    <xf numFmtId="164" fontId="13" fillId="0" borderId="0" xfId="0" applyNumberFormat="1" applyFont="1" applyFill="1" applyBorder="1" applyAlignment="1"/>
    <xf numFmtId="164" fontId="10" fillId="0" borderId="0" xfId="0" applyNumberFormat="1" applyFont="1" applyFill="1" applyBorder="1" applyAlignment="1"/>
    <xf numFmtId="0" fontId="6" fillId="2" borderId="0" xfId="0" applyNumberFormat="1" applyFont="1" applyFill="1" applyAlignment="1"/>
    <xf numFmtId="164" fontId="6" fillId="0" borderId="0" xfId="0" applyNumberFormat="1" applyFont="1" applyFill="1" applyBorder="1" applyAlignment="1"/>
    <xf numFmtId="164" fontId="7" fillId="0" borderId="0" xfId="0" applyNumberFormat="1" applyFont="1" applyFill="1" applyBorder="1" applyAlignment="1"/>
    <xf numFmtId="43" fontId="14" fillId="0" borderId="0" xfId="0" applyNumberFormat="1" applyFont="1" applyAlignment="1"/>
    <xf numFmtId="0" fontId="10" fillId="2" borderId="0" xfId="0" applyFont="1" applyFill="1" applyAlignment="1"/>
    <xf numFmtId="165" fontId="22" fillId="3" borderId="0" xfId="0" applyNumberFormat="1" applyFont="1" applyFill="1" applyAlignment="1">
      <alignment horizontal="center"/>
    </xf>
    <xf numFmtId="0" fontId="22" fillId="3" borderId="0" xfId="0" applyFont="1" applyFill="1" applyAlignment="1">
      <alignment horizontal="center"/>
    </xf>
    <xf numFmtId="0" fontId="0" fillId="0" borderId="0" xfId="0" applyFont="1" applyAlignment="1"/>
    <xf numFmtId="0" fontId="0" fillId="2" borderId="0" xfId="0" applyFont="1" applyFill="1" applyAlignment="1"/>
    <xf numFmtId="39" fontId="23" fillId="0" borderId="0" xfId="0" applyNumberFormat="1" applyFont="1" applyFill="1" applyBorder="1" applyAlignment="1"/>
    <xf numFmtId="164" fontId="23" fillId="0" borderId="0" xfId="0" applyNumberFormat="1" applyFont="1" applyFill="1" applyBorder="1" applyAlignment="1"/>
    <xf numFmtId="0" fontId="24" fillId="0" borderId="0" xfId="0" applyFont="1" applyAlignment="1">
      <alignment vertical="top"/>
    </xf>
    <xf numFmtId="164" fontId="24" fillId="0" borderId="0" xfId="0" applyNumberFormat="1" applyFont="1" applyFill="1" applyBorder="1" applyAlignment="1"/>
    <xf numFmtId="168" fontId="23" fillId="0" borderId="0" xfId="0" applyNumberFormat="1" applyFont="1" applyFill="1" applyBorder="1" applyAlignment="1"/>
    <xf numFmtId="0" fontId="25" fillId="0" borderId="0" xfId="0" applyFont="1" applyAlignment="1">
      <alignment vertical="top"/>
    </xf>
    <xf numFmtId="7" fontId="0" fillId="0" borderId="0" xfId="0" applyNumberFormat="1" applyFont="1" applyAlignment="1"/>
    <xf numFmtId="7" fontId="23" fillId="0" borderId="0" xfId="0" applyNumberFormat="1" applyFont="1" applyFill="1" applyBorder="1" applyAlignment="1"/>
    <xf numFmtId="7" fontId="0" fillId="2" borderId="0" xfId="0" applyNumberFormat="1" applyFont="1" applyFill="1" applyAlignment="1"/>
    <xf numFmtId="7" fontId="24" fillId="0" borderId="0" xfId="0" applyNumberFormat="1" applyFont="1" applyAlignment="1">
      <alignment vertical="top"/>
    </xf>
    <xf numFmtId="10" fontId="0" fillId="0" borderId="0" xfId="4" applyNumberFormat="1" applyFont="1" applyAlignment="1"/>
    <xf numFmtId="164" fontId="23" fillId="0" borderId="0" xfId="0" applyNumberFormat="1" applyFont="1" applyFill="1" applyBorder="1" applyAlignment="1">
      <alignment horizontal="right"/>
    </xf>
    <xf numFmtId="0" fontId="4" fillId="0" borderId="0" xfId="0" applyFont="1" applyAlignment="1"/>
    <xf numFmtId="0" fontId="24" fillId="0" borderId="0" xfId="0" applyFont="1" applyFill="1" applyAlignment="1"/>
    <xf numFmtId="165" fontId="3" fillId="0" borderId="0" xfId="0" applyNumberFormat="1" applyFont="1" applyFill="1" applyAlignment="1">
      <alignment horizontal="center"/>
    </xf>
    <xf numFmtId="0" fontId="24" fillId="2" borderId="0" xfId="0" applyFont="1" applyFill="1" applyAlignment="1"/>
    <xf numFmtId="165" fontId="3" fillId="2" borderId="0" xfId="0" applyNumberFormat="1" applyFont="1" applyFill="1" applyAlignment="1">
      <alignment horizontal="center"/>
    </xf>
    <xf numFmtId="0" fontId="25" fillId="2" borderId="0" xfId="0" applyFont="1" applyFill="1" applyAlignment="1"/>
    <xf numFmtId="165" fontId="3" fillId="3" borderId="0" xfId="0" applyNumberFormat="1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</cellXfs>
  <cellStyles count="6">
    <cellStyle name="Comma 2" xfId="3"/>
    <cellStyle name="Comma 2 2" xfId="5"/>
    <cellStyle name="Normal" xfId="0" builtinId="0"/>
    <cellStyle name="Normal 2" xfId="1"/>
    <cellStyle name="Percent" xfId="4" builtinId="5"/>
    <cellStyle name="Percent 2" xfId="2"/>
  </cellStyles>
  <dxfs count="0"/>
  <tableStyles count="0" defaultTableStyle="TableStyleMedium2" defaultPivotStyle="PivotStyleLight16"/>
  <colors>
    <mruColors>
      <color rgb="FF0033CC"/>
      <color rgb="FF993300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60"/>
  <sheetViews>
    <sheetView tabSelected="1" zoomScaleNormal="10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50.7109375" style="3" customWidth="1"/>
    <col min="2" max="2" width="1.85546875" style="2" customWidth="1"/>
    <col min="3" max="10" width="8.42578125" style="1" bestFit="1" customWidth="1"/>
    <col min="11" max="11" width="9.140625" style="1"/>
    <col min="12" max="12" width="8.42578125" style="1" bestFit="1" customWidth="1"/>
    <col min="13" max="15" width="9.42578125" style="1" bestFit="1" customWidth="1"/>
    <col min="16" max="16" width="8.28515625" style="1" customWidth="1"/>
    <col min="17" max="18" width="9.42578125" style="1" bestFit="1" customWidth="1"/>
    <col min="19" max="19" width="9" style="1" bestFit="1" customWidth="1"/>
    <col min="20" max="20" width="8.42578125" style="1" bestFit="1" customWidth="1"/>
    <col min="21" max="21" width="9.28515625" style="1" customWidth="1"/>
    <col min="22" max="23" width="9.42578125" style="1" bestFit="1" customWidth="1"/>
    <col min="24" max="24" width="8.42578125" style="1" bestFit="1" customWidth="1"/>
    <col min="25" max="25" width="9.28515625" style="1" customWidth="1"/>
    <col min="26" max="28" width="9.42578125" style="1" bestFit="1" customWidth="1"/>
    <col min="29" max="29" width="9.28515625" style="1" customWidth="1"/>
    <col min="30" max="32" width="9.42578125" style="1" bestFit="1" customWidth="1"/>
    <col min="33" max="16384" width="9.140625" style="1"/>
  </cols>
  <sheetData>
    <row r="1" spans="1:32" x14ac:dyDescent="0.2">
      <c r="C1" s="41" t="s">
        <v>67</v>
      </c>
      <c r="D1" s="41" t="s">
        <v>66</v>
      </c>
      <c r="E1" s="41" t="s">
        <v>65</v>
      </c>
      <c r="F1" s="41" t="s">
        <v>64</v>
      </c>
      <c r="G1" s="41" t="s">
        <v>63</v>
      </c>
      <c r="H1" s="41" t="s">
        <v>62</v>
      </c>
      <c r="I1" s="41" t="s">
        <v>61</v>
      </c>
      <c r="J1" s="41" t="s">
        <v>60</v>
      </c>
      <c r="K1" s="42"/>
      <c r="L1" s="41" t="s">
        <v>59</v>
      </c>
      <c r="M1" s="41" t="s">
        <v>58</v>
      </c>
      <c r="N1" s="41" t="s">
        <v>57</v>
      </c>
      <c r="O1" s="41" t="s">
        <v>56</v>
      </c>
      <c r="P1" s="41" t="s">
        <v>55</v>
      </c>
      <c r="Q1" s="41" t="s">
        <v>54</v>
      </c>
      <c r="R1" s="41" t="s">
        <v>53</v>
      </c>
      <c r="S1" s="41" t="s">
        <v>52</v>
      </c>
      <c r="T1" s="41" t="s">
        <v>51</v>
      </c>
      <c r="U1" s="41" t="s">
        <v>50</v>
      </c>
      <c r="V1" s="41" t="s">
        <v>49</v>
      </c>
      <c r="W1" s="41" t="s">
        <v>48</v>
      </c>
      <c r="X1" s="41" t="s">
        <v>47</v>
      </c>
      <c r="Y1" s="41" t="s">
        <v>46</v>
      </c>
      <c r="Z1" s="41" t="s">
        <v>45</v>
      </c>
      <c r="AA1" s="41" t="s">
        <v>44</v>
      </c>
      <c r="AB1" s="41" t="s">
        <v>43</v>
      </c>
      <c r="AC1" s="41" t="s">
        <v>42</v>
      </c>
      <c r="AD1" s="41" t="s">
        <v>41</v>
      </c>
      <c r="AE1" s="41" t="s">
        <v>40</v>
      </c>
      <c r="AF1" s="41" t="s">
        <v>39</v>
      </c>
    </row>
    <row r="2" spans="1:32" x14ac:dyDescent="0.2">
      <c r="C2" s="39">
        <v>40908</v>
      </c>
      <c r="D2" s="39">
        <v>41274</v>
      </c>
      <c r="E2" s="39">
        <v>41639</v>
      </c>
      <c r="F2" s="39">
        <v>42004</v>
      </c>
      <c r="G2" s="39">
        <v>42369</v>
      </c>
      <c r="H2" s="39">
        <v>42735</v>
      </c>
      <c r="I2" s="39">
        <v>43100</v>
      </c>
      <c r="J2" s="39">
        <v>43465</v>
      </c>
      <c r="K2" s="40"/>
      <c r="L2" s="39">
        <v>41729</v>
      </c>
      <c r="M2" s="39">
        <v>41820</v>
      </c>
      <c r="N2" s="39">
        <v>41912</v>
      </c>
      <c r="O2" s="39">
        <v>42004</v>
      </c>
      <c r="P2" s="39">
        <v>42094</v>
      </c>
      <c r="Q2" s="39">
        <v>42185</v>
      </c>
      <c r="R2" s="39">
        <v>42277</v>
      </c>
      <c r="S2" s="39">
        <v>42369</v>
      </c>
      <c r="T2" s="39">
        <v>42460</v>
      </c>
      <c r="U2" s="39">
        <v>42551</v>
      </c>
      <c r="V2" s="39">
        <v>42643</v>
      </c>
      <c r="W2" s="39">
        <v>42735</v>
      </c>
      <c r="X2" s="39">
        <v>42825</v>
      </c>
      <c r="Y2" s="39">
        <v>42916</v>
      </c>
      <c r="Z2" s="39">
        <v>43008</v>
      </c>
      <c r="AA2" s="39">
        <v>43100</v>
      </c>
      <c r="AB2" s="39">
        <v>43190</v>
      </c>
      <c r="AC2" s="39">
        <v>43281</v>
      </c>
      <c r="AD2" s="39">
        <v>43373</v>
      </c>
      <c r="AE2" s="39">
        <v>43465</v>
      </c>
      <c r="AF2" s="39">
        <v>43555</v>
      </c>
    </row>
    <row r="3" spans="1:32" s="2" customFormat="1" x14ac:dyDescent="0.2">
      <c r="A3" s="38" t="s">
        <v>38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6"/>
    </row>
    <row r="4" spans="1:32" x14ac:dyDescent="0.2">
      <c r="A4" s="12" t="s">
        <v>37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x14ac:dyDescent="0.2">
      <c r="A5" s="8" t="s">
        <v>36</v>
      </c>
      <c r="C5" s="5">
        <v>17947</v>
      </c>
      <c r="D5" s="5">
        <v>18743</v>
      </c>
      <c r="E5" s="5">
        <v>20218</v>
      </c>
      <c r="F5" s="5">
        <v>30802</v>
      </c>
      <c r="G5" s="5">
        <v>29037</v>
      </c>
      <c r="H5" s="34"/>
      <c r="I5" s="34"/>
      <c r="J5" s="34"/>
      <c r="K5" s="5"/>
      <c r="L5" s="5">
        <v>7258</v>
      </c>
      <c r="M5" s="5">
        <v>8213</v>
      </c>
      <c r="N5" s="5">
        <v>8093</v>
      </c>
      <c r="O5" s="5">
        <v>7238</v>
      </c>
      <c r="P5" s="5">
        <v>6989</v>
      </c>
      <c r="Q5" s="5">
        <v>7655</v>
      </c>
      <c r="R5" s="5">
        <v>7654</v>
      </c>
      <c r="S5" s="5">
        <v>6739</v>
      </c>
      <c r="T5" s="5">
        <v>6564</v>
      </c>
      <c r="U5" s="5">
        <v>7209</v>
      </c>
      <c r="V5" s="5">
        <v>7419</v>
      </c>
      <c r="W5" s="34"/>
      <c r="X5" s="34"/>
      <c r="Y5" s="34"/>
      <c r="Z5" s="34"/>
      <c r="AA5" s="34"/>
      <c r="AB5" s="34"/>
      <c r="AC5" s="34"/>
      <c r="AD5" s="34"/>
      <c r="AE5" s="34"/>
      <c r="AF5" s="34"/>
    </row>
    <row r="6" spans="1:32" s="30" customFormat="1" x14ac:dyDescent="0.2">
      <c r="A6" s="28" t="s">
        <v>35</v>
      </c>
      <c r="B6" s="27"/>
      <c r="C6" s="25">
        <v>2724</v>
      </c>
      <c r="D6" s="25">
        <v>2914</v>
      </c>
      <c r="E6" s="25">
        <v>3131</v>
      </c>
      <c r="F6" s="25">
        <v>6322</v>
      </c>
      <c r="G6" s="25">
        <v>6475</v>
      </c>
      <c r="H6" s="25"/>
      <c r="I6" s="25"/>
      <c r="J6" s="25"/>
      <c r="K6" s="25"/>
      <c r="L6" s="25">
        <v>1407</v>
      </c>
      <c r="M6" s="25">
        <v>1707</v>
      </c>
      <c r="N6" s="25">
        <v>1665</v>
      </c>
      <c r="O6" s="25">
        <v>1544</v>
      </c>
      <c r="P6" s="25">
        <v>1452</v>
      </c>
      <c r="Q6" s="25">
        <v>1759</v>
      </c>
      <c r="R6" s="25">
        <v>1699</v>
      </c>
      <c r="S6" s="25">
        <v>1566</v>
      </c>
      <c r="T6" s="25">
        <v>1523</v>
      </c>
      <c r="U6" s="25">
        <v>1786</v>
      </c>
      <c r="V6" s="25">
        <v>1731</v>
      </c>
      <c r="W6" s="26"/>
      <c r="X6" s="25"/>
      <c r="Y6" s="25"/>
      <c r="Z6" s="25"/>
      <c r="AA6" s="26"/>
      <c r="AB6" s="25"/>
      <c r="AC6" s="25"/>
      <c r="AD6" s="25"/>
      <c r="AE6" s="25"/>
      <c r="AF6" s="25"/>
    </row>
    <row r="7" spans="1:32" x14ac:dyDescent="0.2">
      <c r="A7" s="33" t="s">
        <v>34</v>
      </c>
      <c r="C7" s="6">
        <v>20671</v>
      </c>
      <c r="D7" s="6">
        <v>21657</v>
      </c>
      <c r="E7" s="6">
        <v>23349</v>
      </c>
      <c r="F7" s="6">
        <v>37124</v>
      </c>
      <c r="G7" s="6">
        <v>35512</v>
      </c>
      <c r="H7" s="5">
        <v>37045</v>
      </c>
      <c r="I7" s="5">
        <v>39131</v>
      </c>
      <c r="J7" s="5">
        <v>40676</v>
      </c>
      <c r="K7" s="5"/>
      <c r="L7" s="6">
        <v>8665</v>
      </c>
      <c r="M7" s="6">
        <v>9920</v>
      </c>
      <c r="N7" s="6">
        <v>9758</v>
      </c>
      <c r="O7" s="6">
        <v>8782</v>
      </c>
      <c r="P7" s="6">
        <v>8441</v>
      </c>
      <c r="Q7" s="6">
        <v>9414</v>
      </c>
      <c r="R7" s="6">
        <v>9353</v>
      </c>
      <c r="S7" s="6">
        <v>8305</v>
      </c>
      <c r="T7" s="6">
        <v>8087</v>
      </c>
      <c r="U7" s="6">
        <v>8995</v>
      </c>
      <c r="V7" s="6">
        <v>9150</v>
      </c>
      <c r="W7" s="6">
        <v>10813</v>
      </c>
      <c r="X7" s="5">
        <v>8997</v>
      </c>
      <c r="Y7" s="5">
        <v>10353</v>
      </c>
      <c r="Z7" s="5">
        <v>10096</v>
      </c>
      <c r="AA7" s="5">
        <v>9685</v>
      </c>
      <c r="AB7" s="5">
        <v>9480</v>
      </c>
      <c r="AC7" s="5">
        <v>10674</v>
      </c>
      <c r="AD7" s="5">
        <v>10561</v>
      </c>
      <c r="AE7" s="5">
        <v>9962</v>
      </c>
      <c r="AF7" s="5">
        <v>9658</v>
      </c>
    </row>
    <row r="8" spans="1:32" x14ac:dyDescent="0.2">
      <c r="A8" s="33" t="s">
        <v>33</v>
      </c>
      <c r="C8" s="5">
        <v>709</v>
      </c>
      <c r="D8" s="5">
        <v>675</v>
      </c>
      <c r="E8" s="5">
        <v>685</v>
      </c>
      <c r="F8" s="5">
        <v>875</v>
      </c>
      <c r="G8" s="5">
        <v>760</v>
      </c>
      <c r="H8" s="5">
        <v>785</v>
      </c>
      <c r="I8" s="5">
        <v>890</v>
      </c>
      <c r="J8" s="5">
        <v>1013</v>
      </c>
      <c r="K8" s="5"/>
      <c r="L8" s="5">
        <v>206</v>
      </c>
      <c r="M8" s="5">
        <v>221</v>
      </c>
      <c r="N8" s="5">
        <v>215</v>
      </c>
      <c r="O8" s="5">
        <v>232</v>
      </c>
      <c r="P8" s="5">
        <v>194</v>
      </c>
      <c r="Q8" s="5">
        <v>194</v>
      </c>
      <c r="R8" s="5">
        <v>180</v>
      </c>
      <c r="S8" s="5">
        <v>192</v>
      </c>
      <c r="T8" s="5">
        <v>162</v>
      </c>
      <c r="U8" s="5">
        <v>174</v>
      </c>
      <c r="V8" s="5">
        <v>171</v>
      </c>
      <c r="W8" s="6">
        <v>278</v>
      </c>
      <c r="X8" s="5">
        <v>191</v>
      </c>
      <c r="Y8" s="5">
        <v>219</v>
      </c>
      <c r="Z8" s="5">
        <v>223</v>
      </c>
      <c r="AA8" s="5">
        <v>257</v>
      </c>
      <c r="AB8" s="5">
        <v>227</v>
      </c>
      <c r="AC8" s="5">
        <v>261</v>
      </c>
      <c r="AD8" s="5">
        <v>260</v>
      </c>
      <c r="AE8" s="5">
        <v>264</v>
      </c>
      <c r="AF8" s="5">
        <v>218</v>
      </c>
    </row>
    <row r="9" spans="1:32" s="30" customFormat="1" x14ac:dyDescent="0.2">
      <c r="A9" s="31" t="s">
        <v>19</v>
      </c>
      <c r="B9" s="27"/>
      <c r="C9" s="25">
        <v>2599</v>
      </c>
      <c r="D9" s="25">
        <v>2523</v>
      </c>
      <c r="E9" s="25">
        <v>2709</v>
      </c>
      <c r="F9" s="25">
        <v>4651</v>
      </c>
      <c r="G9" s="25">
        <v>4718</v>
      </c>
      <c r="H9" s="25">
        <v>2312</v>
      </c>
      <c r="I9" s="25">
        <v>2601</v>
      </c>
      <c r="J9" s="25">
        <v>2852</v>
      </c>
      <c r="K9" s="25"/>
      <c r="L9" s="25">
        <v>1124</v>
      </c>
      <c r="M9" s="25">
        <v>1214</v>
      </c>
      <c r="N9" s="25">
        <v>1166</v>
      </c>
      <c r="O9" s="25">
        <v>1146</v>
      </c>
      <c r="P9" s="25">
        <v>1192</v>
      </c>
      <c r="Q9" s="25">
        <v>1219</v>
      </c>
      <c r="R9" s="25">
        <v>1173</v>
      </c>
      <c r="S9" s="25">
        <v>1133</v>
      </c>
      <c r="T9" s="25">
        <v>1186</v>
      </c>
      <c r="U9" s="25">
        <v>1194</v>
      </c>
      <c r="V9" s="25">
        <v>1273</v>
      </c>
      <c r="W9" s="26">
        <v>-1341</v>
      </c>
      <c r="X9" s="25">
        <v>632</v>
      </c>
      <c r="Y9" s="25">
        <v>655</v>
      </c>
      <c r="Z9" s="25">
        <v>646</v>
      </c>
      <c r="AA9" s="25">
        <v>669</v>
      </c>
      <c r="AB9" s="25">
        <v>694</v>
      </c>
      <c r="AC9" s="25">
        <v>708</v>
      </c>
      <c r="AD9" s="25">
        <v>738</v>
      </c>
      <c r="AE9" s="25">
        <v>712</v>
      </c>
      <c r="AF9" s="25">
        <v>708</v>
      </c>
    </row>
    <row r="10" spans="1:32" s="11" customFormat="1" x14ac:dyDescent="0.2">
      <c r="A10" s="12" t="s">
        <v>32</v>
      </c>
      <c r="B10" s="32" t="s">
        <v>31</v>
      </c>
      <c r="C10" s="21">
        <v>23979</v>
      </c>
      <c r="D10" s="21">
        <v>24855</v>
      </c>
      <c r="E10" s="21">
        <v>26743</v>
      </c>
      <c r="F10" s="21">
        <v>42650</v>
      </c>
      <c r="G10" s="21">
        <v>40990</v>
      </c>
      <c r="H10" s="21">
        <v>40142</v>
      </c>
      <c r="I10" s="21">
        <v>42622</v>
      </c>
      <c r="J10" s="21">
        <v>44541</v>
      </c>
      <c r="K10" s="21"/>
      <c r="L10" s="21">
        <v>9995</v>
      </c>
      <c r="M10" s="21">
        <v>11355</v>
      </c>
      <c r="N10" s="21">
        <v>11139</v>
      </c>
      <c r="O10" s="21">
        <v>10160</v>
      </c>
      <c r="P10" s="21">
        <v>9827</v>
      </c>
      <c r="Q10" s="21">
        <v>10827</v>
      </c>
      <c r="R10" s="21">
        <v>10706</v>
      </c>
      <c r="S10" s="21">
        <v>9630</v>
      </c>
      <c r="T10" s="21">
        <v>9435</v>
      </c>
      <c r="U10" s="21">
        <v>10363</v>
      </c>
      <c r="V10" s="21">
        <v>10594</v>
      </c>
      <c r="W10" s="22">
        <v>9750</v>
      </c>
      <c r="X10" s="21">
        <v>9820</v>
      </c>
      <c r="Y10" s="21">
        <v>11227</v>
      </c>
      <c r="Z10" s="21">
        <v>10965</v>
      </c>
      <c r="AA10" s="21">
        <v>10611</v>
      </c>
      <c r="AB10" s="21">
        <v>10401</v>
      </c>
      <c r="AC10" s="21">
        <v>11643</v>
      </c>
      <c r="AD10" s="21">
        <v>11559</v>
      </c>
      <c r="AE10" s="21">
        <v>10938</v>
      </c>
      <c r="AF10" s="21">
        <v>10584</v>
      </c>
    </row>
    <row r="11" spans="1:32" x14ac:dyDescent="0.2">
      <c r="A11" s="12" t="s">
        <v>30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6"/>
      <c r="X11" s="5"/>
      <c r="Y11" s="5"/>
      <c r="Z11" s="5"/>
      <c r="AA11" s="5"/>
      <c r="AB11" s="5"/>
      <c r="AC11" s="5"/>
      <c r="AD11" s="5"/>
      <c r="AE11" s="5"/>
      <c r="AF11" s="5"/>
    </row>
    <row r="12" spans="1:32" x14ac:dyDescent="0.2">
      <c r="A12" s="8" t="s">
        <v>29</v>
      </c>
      <c r="C12" s="5">
        <v>946</v>
      </c>
      <c r="D12" s="5">
        <v>1012</v>
      </c>
      <c r="E12" s="5">
        <v>1120</v>
      </c>
      <c r="F12" s="5">
        <v>2009</v>
      </c>
      <c r="G12" s="5">
        <v>1230</v>
      </c>
      <c r="H12" s="5">
        <v>1109</v>
      </c>
      <c r="I12" s="5">
        <v>1382</v>
      </c>
      <c r="J12" s="5">
        <v>1843</v>
      </c>
      <c r="K12" s="5"/>
      <c r="L12" s="5">
        <v>500</v>
      </c>
      <c r="M12" s="5">
        <v>535</v>
      </c>
      <c r="N12" s="5">
        <v>538</v>
      </c>
      <c r="O12" s="5">
        <v>437</v>
      </c>
      <c r="P12" s="5">
        <v>311</v>
      </c>
      <c r="Q12" s="5">
        <v>349</v>
      </c>
      <c r="R12" s="5">
        <v>310</v>
      </c>
      <c r="S12" s="5">
        <v>260</v>
      </c>
      <c r="T12" s="5">
        <v>219</v>
      </c>
      <c r="U12" s="5">
        <v>279</v>
      </c>
      <c r="V12" s="5">
        <v>303</v>
      </c>
      <c r="W12" s="6">
        <v>308</v>
      </c>
      <c r="X12" s="5">
        <v>318</v>
      </c>
      <c r="Y12" s="5">
        <v>329</v>
      </c>
      <c r="Z12" s="5">
        <v>352</v>
      </c>
      <c r="AA12" s="5">
        <v>383</v>
      </c>
      <c r="AB12" s="5">
        <v>398</v>
      </c>
      <c r="AC12" s="5">
        <v>465</v>
      </c>
      <c r="AD12" s="5">
        <v>506</v>
      </c>
      <c r="AE12" s="5">
        <v>474</v>
      </c>
      <c r="AF12" s="5">
        <v>423</v>
      </c>
    </row>
    <row r="13" spans="1:32" s="30" customFormat="1" x14ac:dyDescent="0.2">
      <c r="A13" s="28" t="s">
        <v>19</v>
      </c>
      <c r="B13" s="27"/>
      <c r="C13" s="25">
        <v>2063</v>
      </c>
      <c r="D13" s="25">
        <v>2016</v>
      </c>
      <c r="E13" s="25">
        <v>2206</v>
      </c>
      <c r="F13" s="25">
        <v>4507</v>
      </c>
      <c r="G13" s="25">
        <v>4753</v>
      </c>
      <c r="H13" s="25">
        <v>4935</v>
      </c>
      <c r="I13" s="25">
        <v>5164</v>
      </c>
      <c r="J13" s="25">
        <v>5290</v>
      </c>
      <c r="K13" s="25"/>
      <c r="L13" s="25">
        <v>1094</v>
      </c>
      <c r="M13" s="25">
        <v>1122</v>
      </c>
      <c r="N13" s="25">
        <v>1130</v>
      </c>
      <c r="O13" s="25">
        <v>1161</v>
      </c>
      <c r="P13" s="25">
        <v>1151</v>
      </c>
      <c r="Q13" s="25">
        <v>1208</v>
      </c>
      <c r="R13" s="25">
        <v>1208</v>
      </c>
      <c r="S13" s="25">
        <v>1186</v>
      </c>
      <c r="T13" s="25">
        <v>1213</v>
      </c>
      <c r="U13" s="25">
        <v>1239</v>
      </c>
      <c r="V13" s="25">
        <v>1235</v>
      </c>
      <c r="W13" s="26">
        <v>1248</v>
      </c>
      <c r="X13" s="25">
        <v>1255</v>
      </c>
      <c r="Y13" s="25">
        <v>1291</v>
      </c>
      <c r="Z13" s="25">
        <v>1302</v>
      </c>
      <c r="AA13" s="25">
        <v>1315</v>
      </c>
      <c r="AB13" s="25">
        <v>1300</v>
      </c>
      <c r="AC13" s="25">
        <v>1328</v>
      </c>
      <c r="AD13" s="25">
        <v>1327</v>
      </c>
      <c r="AE13" s="25">
        <v>1336</v>
      </c>
      <c r="AF13" s="25">
        <v>1340</v>
      </c>
    </row>
    <row r="14" spans="1:32" s="11" customFormat="1" x14ac:dyDescent="0.2">
      <c r="A14" s="8" t="s">
        <v>28</v>
      </c>
      <c r="B14" s="2"/>
      <c r="C14" s="5">
        <v>3009</v>
      </c>
      <c r="D14" s="5">
        <v>3028</v>
      </c>
      <c r="E14" s="5">
        <v>3326</v>
      </c>
      <c r="F14" s="5">
        <v>6516</v>
      </c>
      <c r="G14" s="5">
        <v>5983</v>
      </c>
      <c r="H14" s="5">
        <v>6044</v>
      </c>
      <c r="I14" s="5">
        <v>6546</v>
      </c>
      <c r="J14" s="5">
        <v>7133</v>
      </c>
      <c r="K14" s="5"/>
      <c r="L14" s="6">
        <v>1594</v>
      </c>
      <c r="M14" s="6">
        <v>1657</v>
      </c>
      <c r="N14" s="6">
        <v>1668</v>
      </c>
      <c r="O14" s="6">
        <v>1598</v>
      </c>
      <c r="P14" s="6">
        <v>1462</v>
      </c>
      <c r="Q14" s="6">
        <v>1557</v>
      </c>
      <c r="R14" s="6">
        <v>1518</v>
      </c>
      <c r="S14" s="6">
        <v>1446</v>
      </c>
      <c r="T14" s="5">
        <v>1432</v>
      </c>
      <c r="U14" s="5">
        <v>1518</v>
      </c>
      <c r="V14" s="5">
        <v>1538</v>
      </c>
      <c r="W14" s="6">
        <v>1556</v>
      </c>
      <c r="X14" s="5">
        <v>1573</v>
      </c>
      <c r="Y14" s="5">
        <v>1620</v>
      </c>
      <c r="Z14" s="5">
        <v>1654</v>
      </c>
      <c r="AA14" s="5">
        <v>1698</v>
      </c>
      <c r="AB14" s="5">
        <v>1698</v>
      </c>
      <c r="AC14" s="5">
        <v>1793</v>
      </c>
      <c r="AD14" s="5">
        <v>1833</v>
      </c>
      <c r="AE14" s="5">
        <v>1810</v>
      </c>
      <c r="AF14" s="5">
        <v>1763</v>
      </c>
    </row>
    <row r="15" spans="1:32" x14ac:dyDescent="0.2">
      <c r="A15" s="8" t="s">
        <v>27</v>
      </c>
      <c r="C15" s="5">
        <v>7358</v>
      </c>
      <c r="D15" s="5">
        <v>7705</v>
      </c>
      <c r="E15" s="5">
        <v>7839</v>
      </c>
      <c r="F15" s="5">
        <v>10592</v>
      </c>
      <c r="G15" s="5">
        <v>6226</v>
      </c>
      <c r="H15" s="5">
        <v>5071</v>
      </c>
      <c r="I15" s="5">
        <v>6128</v>
      </c>
      <c r="J15" s="5">
        <v>8053</v>
      </c>
      <c r="K15" s="5"/>
      <c r="L15" s="5">
        <v>2711</v>
      </c>
      <c r="M15" s="5">
        <v>2830</v>
      </c>
      <c r="N15" s="5">
        <v>2829</v>
      </c>
      <c r="O15" s="5">
        <v>2222</v>
      </c>
      <c r="P15" s="5">
        <v>1544</v>
      </c>
      <c r="Q15" s="5">
        <v>1774</v>
      </c>
      <c r="R15" s="5">
        <v>1593</v>
      </c>
      <c r="S15" s="5">
        <v>1314</v>
      </c>
      <c r="T15" s="5">
        <v>1029</v>
      </c>
      <c r="U15" s="5">
        <v>1314</v>
      </c>
      <c r="V15" s="5">
        <v>1393</v>
      </c>
      <c r="W15" s="6">
        <v>1335</v>
      </c>
      <c r="X15" s="5">
        <v>1402</v>
      </c>
      <c r="Y15" s="5">
        <v>1510</v>
      </c>
      <c r="Z15" s="5">
        <v>1570</v>
      </c>
      <c r="AA15" s="5">
        <v>1646</v>
      </c>
      <c r="AB15" s="5">
        <v>1763</v>
      </c>
      <c r="AC15" s="5">
        <v>2103</v>
      </c>
      <c r="AD15" s="5">
        <v>2234</v>
      </c>
      <c r="AE15" s="5">
        <v>1953</v>
      </c>
      <c r="AF15" s="5">
        <v>1726</v>
      </c>
    </row>
    <row r="16" spans="1:32" x14ac:dyDescent="0.2">
      <c r="A16" s="8" t="s">
        <v>26</v>
      </c>
      <c r="C16" s="5">
        <v>6361</v>
      </c>
      <c r="D16" s="5">
        <v>6217</v>
      </c>
      <c r="E16" s="5">
        <v>5460</v>
      </c>
      <c r="F16" s="5">
        <v>8508</v>
      </c>
      <c r="G16" s="5">
        <v>9524</v>
      </c>
      <c r="H16" s="5">
        <v>10967</v>
      </c>
      <c r="I16" s="5">
        <v>11954</v>
      </c>
      <c r="J16" s="5">
        <v>12251</v>
      </c>
      <c r="K16" s="5"/>
      <c r="L16" s="5">
        <v>2119</v>
      </c>
      <c r="M16" s="5">
        <v>2163</v>
      </c>
      <c r="N16" s="5">
        <v>2137</v>
      </c>
      <c r="O16" s="5">
        <v>2089</v>
      </c>
      <c r="P16" s="5">
        <v>2373</v>
      </c>
      <c r="Q16" s="5">
        <v>2364</v>
      </c>
      <c r="R16" s="5">
        <v>2404</v>
      </c>
      <c r="S16" s="5">
        <v>2383</v>
      </c>
      <c r="T16" s="5">
        <v>2652</v>
      </c>
      <c r="U16" s="5">
        <v>2670</v>
      </c>
      <c r="V16" s="5">
        <v>2772</v>
      </c>
      <c r="W16" s="6">
        <v>2873</v>
      </c>
      <c r="X16" s="5">
        <v>2859</v>
      </c>
      <c r="Y16" s="5">
        <v>3037</v>
      </c>
      <c r="Z16" s="5">
        <v>3030</v>
      </c>
      <c r="AA16" s="5">
        <v>3028</v>
      </c>
      <c r="AB16" s="5">
        <v>3017</v>
      </c>
      <c r="AC16" s="5">
        <v>3093</v>
      </c>
      <c r="AD16" s="5">
        <v>3129</v>
      </c>
      <c r="AE16" s="5">
        <v>3011</v>
      </c>
      <c r="AF16" s="5">
        <v>3090</v>
      </c>
    </row>
    <row r="17" spans="1:33" s="9" customFormat="1" x14ac:dyDescent="0.2">
      <c r="A17" s="8" t="s">
        <v>25</v>
      </c>
      <c r="B17" s="20"/>
      <c r="C17" s="5">
        <v>1039</v>
      </c>
      <c r="D17" s="5">
        <v>1158</v>
      </c>
      <c r="E17" s="5">
        <v>1260</v>
      </c>
      <c r="F17" s="5">
        <v>2051</v>
      </c>
      <c r="G17" s="5">
        <v>1889</v>
      </c>
      <c r="H17" s="5">
        <v>1834</v>
      </c>
      <c r="I17" s="5">
        <v>1959</v>
      </c>
      <c r="J17" s="5">
        <v>2050</v>
      </c>
      <c r="K17" s="5"/>
      <c r="L17" s="5">
        <v>485</v>
      </c>
      <c r="M17" s="5">
        <v>514</v>
      </c>
      <c r="N17" s="5">
        <v>529</v>
      </c>
      <c r="O17" s="5">
        <v>523</v>
      </c>
      <c r="P17" s="5">
        <v>494</v>
      </c>
      <c r="Q17" s="5">
        <v>502</v>
      </c>
      <c r="R17" s="5">
        <v>456</v>
      </c>
      <c r="S17" s="5">
        <v>437</v>
      </c>
      <c r="T17" s="5">
        <v>419</v>
      </c>
      <c r="U17" s="5">
        <v>453</v>
      </c>
      <c r="V17" s="5">
        <v>481</v>
      </c>
      <c r="W17" s="6">
        <v>481</v>
      </c>
      <c r="X17" s="5">
        <v>492</v>
      </c>
      <c r="Y17" s="5">
        <v>495</v>
      </c>
      <c r="Z17" s="5">
        <v>487</v>
      </c>
      <c r="AA17" s="5">
        <v>484</v>
      </c>
      <c r="AB17" s="5">
        <v>469</v>
      </c>
      <c r="AC17" s="5">
        <v>505</v>
      </c>
      <c r="AD17" s="5">
        <v>526</v>
      </c>
      <c r="AE17" s="5">
        <v>550</v>
      </c>
      <c r="AF17" s="5">
        <v>561</v>
      </c>
    </row>
    <row r="18" spans="1:33" x14ac:dyDescent="0.2">
      <c r="A18" s="8" t="s">
        <v>24</v>
      </c>
      <c r="C18" s="5">
        <v>1194</v>
      </c>
      <c r="D18" s="5">
        <v>1083</v>
      </c>
      <c r="E18" s="5">
        <v>1152</v>
      </c>
      <c r="F18" s="5">
        <v>1727</v>
      </c>
      <c r="G18" s="5">
        <v>1731</v>
      </c>
      <c r="H18" s="5">
        <v>1772</v>
      </c>
      <c r="I18" s="5">
        <v>1806</v>
      </c>
      <c r="J18" s="5">
        <v>1900</v>
      </c>
      <c r="K18" s="5"/>
      <c r="L18" s="5">
        <v>424</v>
      </c>
      <c r="M18" s="5">
        <v>441</v>
      </c>
      <c r="N18" s="5">
        <v>431</v>
      </c>
      <c r="O18" s="5">
        <v>430</v>
      </c>
      <c r="P18" s="5">
        <v>408</v>
      </c>
      <c r="Q18" s="5">
        <v>451</v>
      </c>
      <c r="R18" s="5">
        <v>432</v>
      </c>
      <c r="S18" s="5">
        <v>441</v>
      </c>
      <c r="T18" s="5">
        <v>422</v>
      </c>
      <c r="U18" s="5">
        <v>458</v>
      </c>
      <c r="V18" s="5">
        <v>463</v>
      </c>
      <c r="W18" s="6">
        <v>429</v>
      </c>
      <c r="X18" s="5">
        <v>440</v>
      </c>
      <c r="Y18" s="5">
        <v>452</v>
      </c>
      <c r="Z18" s="5">
        <v>471</v>
      </c>
      <c r="AA18" s="5">
        <v>443</v>
      </c>
      <c r="AB18" s="5">
        <v>467</v>
      </c>
      <c r="AC18" s="5">
        <v>490</v>
      </c>
      <c r="AD18" s="5">
        <v>497</v>
      </c>
      <c r="AE18" s="5">
        <v>452</v>
      </c>
      <c r="AF18" s="5">
        <v>503</v>
      </c>
    </row>
    <row r="19" spans="1:33" x14ac:dyDescent="0.2">
      <c r="A19" s="8" t="s">
        <v>23</v>
      </c>
      <c r="C19" s="5">
        <v>645</v>
      </c>
      <c r="D19" s="5">
        <v>553</v>
      </c>
      <c r="E19" s="5">
        <v>768</v>
      </c>
      <c r="F19" s="5">
        <v>1250</v>
      </c>
      <c r="G19" s="5">
        <v>1250</v>
      </c>
      <c r="H19" s="5">
        <v>1203</v>
      </c>
      <c r="I19" s="5">
        <v>1197</v>
      </c>
      <c r="J19" s="5">
        <v>1264</v>
      </c>
      <c r="K19" s="5"/>
      <c r="L19" s="5">
        <v>320</v>
      </c>
      <c r="M19" s="5">
        <v>312</v>
      </c>
      <c r="N19" s="5">
        <v>306</v>
      </c>
      <c r="O19" s="5">
        <v>312</v>
      </c>
      <c r="P19" s="5">
        <v>317</v>
      </c>
      <c r="Q19" s="5">
        <v>316</v>
      </c>
      <c r="R19" s="5">
        <v>308</v>
      </c>
      <c r="S19" s="5">
        <v>309</v>
      </c>
      <c r="T19" s="5">
        <v>306</v>
      </c>
      <c r="U19" s="5">
        <v>302</v>
      </c>
      <c r="V19" s="5">
        <v>299</v>
      </c>
      <c r="W19" s="6">
        <v>296</v>
      </c>
      <c r="X19" s="5">
        <v>295</v>
      </c>
      <c r="Y19" s="5">
        <v>294</v>
      </c>
      <c r="Z19" s="5">
        <v>304</v>
      </c>
      <c r="AA19" s="5">
        <v>305</v>
      </c>
      <c r="AB19" s="5">
        <v>309</v>
      </c>
      <c r="AC19" s="5">
        <v>305</v>
      </c>
      <c r="AD19" s="5">
        <v>312</v>
      </c>
      <c r="AE19" s="5">
        <v>343</v>
      </c>
      <c r="AF19" s="5">
        <v>327</v>
      </c>
    </row>
    <row r="20" spans="1:33" x14ac:dyDescent="0.2">
      <c r="A20" s="8" t="s">
        <v>22</v>
      </c>
      <c r="C20" s="5">
        <v>1102</v>
      </c>
      <c r="D20" s="5">
        <v>1058</v>
      </c>
      <c r="E20" s="5">
        <v>1158</v>
      </c>
      <c r="F20" s="5">
        <v>1544</v>
      </c>
      <c r="G20" s="5">
        <v>1394</v>
      </c>
      <c r="H20" s="5">
        <v>1323</v>
      </c>
      <c r="I20" s="5">
        <v>1477</v>
      </c>
      <c r="J20" s="5">
        <v>1520</v>
      </c>
      <c r="K20" s="5"/>
      <c r="L20" s="5">
        <v>401</v>
      </c>
      <c r="M20" s="5">
        <v>402</v>
      </c>
      <c r="N20" s="5">
        <v>393</v>
      </c>
      <c r="O20" s="5">
        <v>348</v>
      </c>
      <c r="P20" s="5">
        <v>336</v>
      </c>
      <c r="Q20" s="5">
        <v>350</v>
      </c>
      <c r="R20" s="5">
        <v>366</v>
      </c>
      <c r="S20" s="5">
        <v>342</v>
      </c>
      <c r="T20" s="5">
        <v>308</v>
      </c>
      <c r="U20" s="5">
        <v>334</v>
      </c>
      <c r="V20" s="5">
        <v>347</v>
      </c>
      <c r="W20" s="6">
        <v>334</v>
      </c>
      <c r="X20" s="5">
        <v>318</v>
      </c>
      <c r="Y20" s="5">
        <v>376</v>
      </c>
      <c r="Z20" s="5">
        <v>400</v>
      </c>
      <c r="AA20" s="5">
        <v>383</v>
      </c>
      <c r="AB20" s="5">
        <v>356</v>
      </c>
      <c r="AC20" s="5">
        <v>385</v>
      </c>
      <c r="AD20" s="5">
        <v>395</v>
      </c>
      <c r="AE20" s="5">
        <v>383</v>
      </c>
      <c r="AF20" s="5">
        <v>370</v>
      </c>
    </row>
    <row r="21" spans="1:33" x14ac:dyDescent="0.2">
      <c r="A21" s="8" t="s">
        <v>21</v>
      </c>
      <c r="C21" s="5">
        <v>915</v>
      </c>
      <c r="D21" s="5">
        <v>845</v>
      </c>
      <c r="E21" s="5">
        <v>853</v>
      </c>
      <c r="F21" s="5">
        <v>1295</v>
      </c>
      <c r="G21" s="5">
        <v>1364</v>
      </c>
      <c r="H21" s="5">
        <v>1525</v>
      </c>
      <c r="I21" s="5">
        <v>1702</v>
      </c>
      <c r="J21" s="5">
        <v>1839</v>
      </c>
      <c r="K21" s="5"/>
      <c r="L21" s="5">
        <v>307</v>
      </c>
      <c r="M21" s="5">
        <v>319</v>
      </c>
      <c r="N21" s="5">
        <v>334</v>
      </c>
      <c r="O21" s="5">
        <v>334</v>
      </c>
      <c r="P21" s="5">
        <v>336</v>
      </c>
      <c r="Q21" s="5">
        <v>340</v>
      </c>
      <c r="R21" s="5">
        <v>336</v>
      </c>
      <c r="S21" s="5">
        <v>352</v>
      </c>
      <c r="T21" s="5">
        <v>355</v>
      </c>
      <c r="U21" s="5">
        <v>374</v>
      </c>
      <c r="V21" s="5">
        <v>399</v>
      </c>
      <c r="W21" s="6">
        <v>397</v>
      </c>
      <c r="X21" s="5">
        <v>405</v>
      </c>
      <c r="Y21" s="5">
        <v>418</v>
      </c>
      <c r="Z21" s="5">
        <v>433</v>
      </c>
      <c r="AA21" s="5">
        <v>447</v>
      </c>
      <c r="AB21" s="5">
        <v>440</v>
      </c>
      <c r="AC21" s="5">
        <v>463</v>
      </c>
      <c r="AD21" s="5">
        <v>473</v>
      </c>
      <c r="AE21" s="5">
        <v>458</v>
      </c>
      <c r="AF21" s="5">
        <v>480</v>
      </c>
    </row>
    <row r="22" spans="1:33" x14ac:dyDescent="0.2">
      <c r="A22" s="8" t="s">
        <v>20</v>
      </c>
      <c r="C22" s="5">
        <v>756</v>
      </c>
      <c r="D22" s="5">
        <v>386</v>
      </c>
      <c r="E22" s="5">
        <v>559</v>
      </c>
      <c r="F22" s="5">
        <v>800</v>
      </c>
      <c r="G22" s="5">
        <v>1051</v>
      </c>
      <c r="H22" s="5">
        <v>709</v>
      </c>
      <c r="I22" s="5">
        <v>712</v>
      </c>
      <c r="J22" s="5">
        <v>787</v>
      </c>
      <c r="K22" s="5"/>
      <c r="L22" s="5">
        <v>-137</v>
      </c>
      <c r="M22" s="5">
        <v>251</v>
      </c>
      <c r="N22" s="5">
        <v>221</v>
      </c>
      <c r="O22" s="5">
        <v>466</v>
      </c>
      <c r="P22" s="5">
        <v>303</v>
      </c>
      <c r="Q22" s="5">
        <v>144</v>
      </c>
      <c r="R22" s="5">
        <v>163</v>
      </c>
      <c r="S22" s="5">
        <v>441</v>
      </c>
      <c r="T22" s="5">
        <v>99</v>
      </c>
      <c r="U22" s="5">
        <v>62</v>
      </c>
      <c r="V22" s="5">
        <v>289</v>
      </c>
      <c r="W22" s="6">
        <v>259</v>
      </c>
      <c r="X22" s="5">
        <v>119</v>
      </c>
      <c r="Y22" s="5">
        <v>202</v>
      </c>
      <c r="Z22" s="5">
        <v>112</v>
      </c>
      <c r="AA22" s="5">
        <v>280</v>
      </c>
      <c r="AB22" s="5">
        <v>225</v>
      </c>
      <c r="AC22" s="5">
        <v>152</v>
      </c>
      <c r="AD22" s="5">
        <v>215</v>
      </c>
      <c r="AE22" s="5">
        <v>225</v>
      </c>
      <c r="AF22" s="5">
        <v>138</v>
      </c>
    </row>
    <row r="23" spans="1:33" s="30" customFormat="1" x14ac:dyDescent="0.2">
      <c r="A23" s="31" t="s">
        <v>19</v>
      </c>
      <c r="B23" s="27"/>
      <c r="C23" s="25">
        <v>2637</v>
      </c>
      <c r="D23" s="25">
        <v>2674</v>
      </c>
      <c r="E23" s="25">
        <v>2969</v>
      </c>
      <c r="F23" s="25">
        <v>4118</v>
      </c>
      <c r="G23" s="25">
        <v>4374</v>
      </c>
      <c r="H23" s="25">
        <v>4634</v>
      </c>
      <c r="I23" s="25">
        <v>4910</v>
      </c>
      <c r="J23" s="25">
        <v>5088</v>
      </c>
      <c r="K23" s="25"/>
      <c r="L23" s="25">
        <v>1041</v>
      </c>
      <c r="M23" s="25">
        <v>1067</v>
      </c>
      <c r="N23" s="25">
        <v>1031</v>
      </c>
      <c r="O23" s="25">
        <v>978</v>
      </c>
      <c r="P23" s="25">
        <v>1038</v>
      </c>
      <c r="Q23" s="25">
        <v>1108</v>
      </c>
      <c r="R23" s="25">
        <v>1131</v>
      </c>
      <c r="S23" s="25">
        <v>1097</v>
      </c>
      <c r="T23" s="25">
        <v>1078</v>
      </c>
      <c r="U23" s="25">
        <v>1127</v>
      </c>
      <c r="V23" s="25">
        <v>1182</v>
      </c>
      <c r="W23" s="26">
        <v>1247</v>
      </c>
      <c r="X23" s="25">
        <v>1180</v>
      </c>
      <c r="Y23" s="25">
        <v>1224</v>
      </c>
      <c r="Z23" s="25">
        <v>1248</v>
      </c>
      <c r="AA23" s="25">
        <v>1259</v>
      </c>
      <c r="AB23" s="25">
        <v>1261</v>
      </c>
      <c r="AC23" s="25">
        <v>1326</v>
      </c>
      <c r="AD23" s="25">
        <v>1296</v>
      </c>
      <c r="AE23" s="25">
        <v>1204</v>
      </c>
      <c r="AF23" s="25">
        <v>1251</v>
      </c>
    </row>
    <row r="24" spans="1:33" s="11" customFormat="1" x14ac:dyDescent="0.2">
      <c r="A24" s="12" t="s">
        <v>18</v>
      </c>
      <c r="B24" s="2"/>
      <c r="C24" s="21">
        <v>25016</v>
      </c>
      <c r="D24" s="21">
        <v>24707</v>
      </c>
      <c r="E24" s="21">
        <v>25344</v>
      </c>
      <c r="F24" s="21">
        <v>38401</v>
      </c>
      <c r="G24" s="21">
        <v>34786</v>
      </c>
      <c r="H24" s="21">
        <v>35082</v>
      </c>
      <c r="I24" s="21">
        <v>38391</v>
      </c>
      <c r="J24" s="21">
        <v>41885</v>
      </c>
      <c r="K24" s="21"/>
      <c r="L24" s="21">
        <v>9265</v>
      </c>
      <c r="M24" s="21">
        <v>9956</v>
      </c>
      <c r="N24" s="21">
        <v>9879</v>
      </c>
      <c r="O24" s="21">
        <v>9300</v>
      </c>
      <c r="P24" s="21">
        <v>8611</v>
      </c>
      <c r="Q24" s="21">
        <v>8906</v>
      </c>
      <c r="R24" s="21">
        <v>8707</v>
      </c>
      <c r="S24" s="21">
        <v>8562</v>
      </c>
      <c r="T24" s="21">
        <v>8100</v>
      </c>
      <c r="U24" s="21">
        <v>8612</v>
      </c>
      <c r="V24" s="21">
        <v>9163</v>
      </c>
      <c r="W24" s="22">
        <v>9207</v>
      </c>
      <c r="X24" s="21">
        <v>9083</v>
      </c>
      <c r="Y24" s="21">
        <v>9628</v>
      </c>
      <c r="Z24" s="21">
        <v>9709</v>
      </c>
      <c r="AA24" s="21">
        <v>9973</v>
      </c>
      <c r="AB24" s="21">
        <v>10005</v>
      </c>
      <c r="AC24" s="21">
        <v>10615</v>
      </c>
      <c r="AD24" s="21">
        <v>10910</v>
      </c>
      <c r="AE24" s="21">
        <v>10389</v>
      </c>
      <c r="AF24" s="21">
        <v>10209</v>
      </c>
      <c r="AG24" s="29"/>
    </row>
    <row r="25" spans="1:33" s="11" customFormat="1" x14ac:dyDescent="0.2">
      <c r="A25" s="12" t="s">
        <v>17</v>
      </c>
      <c r="B25" s="7" t="s">
        <v>16</v>
      </c>
      <c r="C25" s="21">
        <v>-1037</v>
      </c>
      <c r="D25" s="21">
        <v>148</v>
      </c>
      <c r="E25" s="21">
        <v>1399</v>
      </c>
      <c r="F25" s="21">
        <v>4249</v>
      </c>
      <c r="G25" s="21">
        <v>6204</v>
      </c>
      <c r="H25" s="21">
        <v>5060</v>
      </c>
      <c r="I25" s="21">
        <v>4231</v>
      </c>
      <c r="J25" s="21">
        <v>2656</v>
      </c>
      <c r="K25" s="21"/>
      <c r="L25" s="21">
        <v>730</v>
      </c>
      <c r="M25" s="21">
        <v>1399</v>
      </c>
      <c r="N25" s="21">
        <v>1260</v>
      </c>
      <c r="O25" s="21">
        <v>860</v>
      </c>
      <c r="P25" s="21">
        <v>1216</v>
      </c>
      <c r="Q25" s="21">
        <v>1921</v>
      </c>
      <c r="R25" s="21">
        <v>1999</v>
      </c>
      <c r="S25" s="21">
        <v>1068</v>
      </c>
      <c r="T25" s="21">
        <v>1335</v>
      </c>
      <c r="U25" s="21">
        <v>1751</v>
      </c>
      <c r="V25" s="21">
        <v>1431</v>
      </c>
      <c r="W25" s="22">
        <v>543</v>
      </c>
      <c r="X25" s="21">
        <v>737</v>
      </c>
      <c r="Y25" s="21">
        <v>1599</v>
      </c>
      <c r="Z25" s="21">
        <v>1256</v>
      </c>
      <c r="AA25" s="21">
        <v>638</v>
      </c>
      <c r="AB25" s="21">
        <v>396</v>
      </c>
      <c r="AC25" s="21">
        <v>1028</v>
      </c>
      <c r="AD25" s="21">
        <v>649</v>
      </c>
      <c r="AE25" s="21">
        <v>549</v>
      </c>
      <c r="AF25" s="21">
        <v>375</v>
      </c>
    </row>
    <row r="26" spans="1:33" x14ac:dyDescent="0.2">
      <c r="A26" s="12" t="s">
        <v>15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6"/>
      <c r="X26" s="5"/>
      <c r="Y26" s="5"/>
      <c r="Z26" s="5"/>
      <c r="AA26" s="5"/>
      <c r="AB26" s="5"/>
      <c r="AC26" s="5"/>
      <c r="AD26" s="5"/>
      <c r="AE26" s="5"/>
      <c r="AF26" s="5"/>
    </row>
    <row r="27" spans="1:33" x14ac:dyDescent="0.2">
      <c r="A27" s="8" t="s">
        <v>14</v>
      </c>
      <c r="B27" s="7" t="s">
        <v>13</v>
      </c>
      <c r="C27" s="5">
        <v>26</v>
      </c>
      <c r="D27" s="5">
        <v>26</v>
      </c>
      <c r="E27" s="5">
        <v>20</v>
      </c>
      <c r="F27" s="5">
        <v>31</v>
      </c>
      <c r="G27" s="5">
        <v>39</v>
      </c>
      <c r="H27" s="5">
        <v>63</v>
      </c>
      <c r="I27" s="5">
        <v>94</v>
      </c>
      <c r="J27" s="5">
        <v>118</v>
      </c>
      <c r="K27" s="5"/>
      <c r="L27" s="5">
        <v>7</v>
      </c>
      <c r="M27" s="5">
        <v>8</v>
      </c>
      <c r="N27" s="5">
        <v>7</v>
      </c>
      <c r="O27" s="5">
        <v>9</v>
      </c>
      <c r="P27" s="5">
        <v>10</v>
      </c>
      <c r="Q27" s="5">
        <v>10</v>
      </c>
      <c r="R27" s="5">
        <v>10</v>
      </c>
      <c r="S27" s="5">
        <v>10</v>
      </c>
      <c r="T27" s="5">
        <v>13</v>
      </c>
      <c r="U27" s="5">
        <v>16</v>
      </c>
      <c r="V27" s="5">
        <v>16</v>
      </c>
      <c r="W27" s="6">
        <v>18</v>
      </c>
      <c r="X27" s="5">
        <v>21</v>
      </c>
      <c r="Y27" s="5">
        <v>24</v>
      </c>
      <c r="Z27" s="5">
        <v>25</v>
      </c>
      <c r="AA27" s="5">
        <v>24</v>
      </c>
      <c r="AB27" s="5">
        <v>25</v>
      </c>
      <c r="AC27" s="5">
        <v>30</v>
      </c>
      <c r="AD27" s="5">
        <v>29</v>
      </c>
      <c r="AE27" s="5">
        <v>34</v>
      </c>
      <c r="AF27" s="5">
        <v>33</v>
      </c>
    </row>
    <row r="28" spans="1:33" x14ac:dyDescent="0.2">
      <c r="A28" s="8" t="s">
        <v>12</v>
      </c>
      <c r="B28" s="7" t="s">
        <v>11</v>
      </c>
      <c r="C28" s="5">
        <v>-811</v>
      </c>
      <c r="D28" s="5">
        <v>-632</v>
      </c>
      <c r="E28" s="5">
        <v>-856</v>
      </c>
      <c r="F28" s="5">
        <v>-887</v>
      </c>
      <c r="G28" s="5">
        <v>-880</v>
      </c>
      <c r="H28" s="5">
        <v>-991</v>
      </c>
      <c r="I28" s="5">
        <v>-1053</v>
      </c>
      <c r="J28" s="5">
        <v>-1056</v>
      </c>
      <c r="K28" s="5"/>
      <c r="L28" s="5">
        <v>-243</v>
      </c>
      <c r="M28" s="5">
        <v>-214</v>
      </c>
      <c r="N28" s="5">
        <v>-210</v>
      </c>
      <c r="O28" s="5">
        <v>-220</v>
      </c>
      <c r="P28" s="5">
        <v>-210</v>
      </c>
      <c r="Q28" s="5">
        <v>-223</v>
      </c>
      <c r="R28" s="5">
        <v>-219</v>
      </c>
      <c r="S28" s="5">
        <v>-229</v>
      </c>
      <c r="T28" s="5">
        <v>-239</v>
      </c>
      <c r="U28" s="5">
        <v>-249</v>
      </c>
      <c r="V28" s="5">
        <v>-250</v>
      </c>
      <c r="W28" s="6">
        <v>-253</v>
      </c>
      <c r="X28" s="5">
        <v>-257</v>
      </c>
      <c r="Y28" s="5">
        <v>-263</v>
      </c>
      <c r="Z28" s="5">
        <v>-266</v>
      </c>
      <c r="AA28" s="5">
        <v>-266</v>
      </c>
      <c r="AB28" s="5">
        <v>-262</v>
      </c>
      <c r="AC28" s="5">
        <v>-266</v>
      </c>
      <c r="AD28" s="5">
        <v>-265</v>
      </c>
      <c r="AE28" s="5">
        <v>-261</v>
      </c>
      <c r="AF28" s="5">
        <v>-271</v>
      </c>
    </row>
    <row r="29" spans="1:33" s="24" customFormat="1" x14ac:dyDescent="0.2">
      <c r="A29" s="28" t="s">
        <v>10</v>
      </c>
      <c r="B29" s="27"/>
      <c r="C29" s="25">
        <v>-39</v>
      </c>
      <c r="D29" s="25">
        <v>221</v>
      </c>
      <c r="E29" s="25">
        <v>-88</v>
      </c>
      <c r="F29" s="25">
        <v>-181</v>
      </c>
      <c r="G29" s="25">
        <v>-747</v>
      </c>
      <c r="H29" s="25">
        <v>20</v>
      </c>
      <c r="I29" s="25">
        <v>123</v>
      </c>
      <c r="J29" s="25">
        <v>166</v>
      </c>
      <c r="K29" s="25"/>
      <c r="L29" s="25">
        <v>-1</v>
      </c>
      <c r="M29" s="25">
        <v>11</v>
      </c>
      <c r="N29" s="25">
        <v>-108</v>
      </c>
      <c r="O29" s="25">
        <v>-82</v>
      </c>
      <c r="P29" s="25">
        <v>-73</v>
      </c>
      <c r="Q29" s="25">
        <v>11</v>
      </c>
      <c r="R29" s="25">
        <v>-81</v>
      </c>
      <c r="S29" s="25">
        <v>-605</v>
      </c>
      <c r="T29" s="25">
        <v>8</v>
      </c>
      <c r="U29" s="25">
        <v>-25</v>
      </c>
      <c r="V29" s="25">
        <v>-8</v>
      </c>
      <c r="W29" s="26">
        <v>45</v>
      </c>
      <c r="X29" s="25">
        <v>34</v>
      </c>
      <c r="Y29" s="25">
        <v>29</v>
      </c>
      <c r="Z29" s="25">
        <v>48</v>
      </c>
      <c r="AA29" s="25">
        <v>12</v>
      </c>
      <c r="AB29" s="25">
        <v>79</v>
      </c>
      <c r="AC29" s="25">
        <v>-23</v>
      </c>
      <c r="AD29" s="25">
        <v>43</v>
      </c>
      <c r="AE29" s="25">
        <v>65</v>
      </c>
      <c r="AF29" s="25">
        <v>108</v>
      </c>
    </row>
    <row r="30" spans="1:33" s="9" customFormat="1" x14ac:dyDescent="0.2">
      <c r="A30" s="8" t="s">
        <v>9</v>
      </c>
      <c r="B30" s="20"/>
      <c r="C30" s="5">
        <v>-824</v>
      </c>
      <c r="D30" s="5">
        <v>-385</v>
      </c>
      <c r="E30" s="5">
        <v>-924</v>
      </c>
      <c r="F30" s="5">
        <v>-1037</v>
      </c>
      <c r="G30" s="5">
        <v>-1588</v>
      </c>
      <c r="H30" s="5">
        <v>-908</v>
      </c>
      <c r="I30" s="5">
        <v>-836</v>
      </c>
      <c r="J30" s="5">
        <v>-772</v>
      </c>
      <c r="K30" s="5"/>
      <c r="L30" s="5">
        <v>-237</v>
      </c>
      <c r="M30" s="5">
        <v>-195</v>
      </c>
      <c r="N30" s="5">
        <v>-311</v>
      </c>
      <c r="O30" s="5">
        <v>-293</v>
      </c>
      <c r="P30" s="5">
        <v>-273</v>
      </c>
      <c r="Q30" s="5">
        <v>-202</v>
      </c>
      <c r="R30" s="5">
        <v>-290</v>
      </c>
      <c r="S30" s="5">
        <v>-824</v>
      </c>
      <c r="T30" s="5">
        <v>-218</v>
      </c>
      <c r="U30" s="5">
        <v>-258</v>
      </c>
      <c r="V30" s="5">
        <v>-242</v>
      </c>
      <c r="W30" s="6">
        <v>-190</v>
      </c>
      <c r="X30" s="5">
        <v>-202</v>
      </c>
      <c r="Y30" s="5">
        <v>-210</v>
      </c>
      <c r="Z30" s="5">
        <v>-193</v>
      </c>
      <c r="AA30" s="5">
        <v>-230</v>
      </c>
      <c r="AB30" s="5">
        <v>-158</v>
      </c>
      <c r="AC30" s="5">
        <v>-259</v>
      </c>
      <c r="AD30" s="5">
        <v>-193</v>
      </c>
      <c r="AE30" s="5">
        <v>-162</v>
      </c>
      <c r="AF30" s="5">
        <v>-130</v>
      </c>
    </row>
    <row r="31" spans="1:33" s="11" customFormat="1" x14ac:dyDescent="0.2">
      <c r="A31" s="8" t="s">
        <v>8</v>
      </c>
      <c r="B31" s="2"/>
      <c r="C31" s="5">
        <v>-118</v>
      </c>
      <c r="D31" s="5">
        <v>-2208</v>
      </c>
      <c r="E31" s="5">
        <v>-2655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6"/>
      <c r="X31" s="5"/>
      <c r="Y31" s="5"/>
      <c r="Z31" s="5"/>
      <c r="AA31" s="5"/>
      <c r="AB31" s="5"/>
      <c r="AC31" s="5"/>
      <c r="AD31" s="5"/>
      <c r="AE31" s="5"/>
      <c r="AF31" s="5"/>
    </row>
    <row r="32" spans="1:33" s="23" customFormat="1" x14ac:dyDescent="0.2">
      <c r="A32" s="12" t="s">
        <v>7</v>
      </c>
      <c r="B32" s="20"/>
      <c r="C32" s="21">
        <v>-1979</v>
      </c>
      <c r="D32" s="21">
        <v>-2445</v>
      </c>
      <c r="E32" s="21">
        <v>-2180</v>
      </c>
      <c r="F32" s="21">
        <v>3212</v>
      </c>
      <c r="G32" s="21">
        <v>4616</v>
      </c>
      <c r="H32" s="21">
        <v>4152</v>
      </c>
      <c r="I32" s="21">
        <v>3395</v>
      </c>
      <c r="J32" s="21">
        <v>1884</v>
      </c>
      <c r="K32" s="21"/>
      <c r="L32" s="21">
        <v>493</v>
      </c>
      <c r="M32" s="21">
        <v>1204</v>
      </c>
      <c r="N32" s="21">
        <v>949</v>
      </c>
      <c r="O32" s="21">
        <v>567</v>
      </c>
      <c r="P32" s="21">
        <v>943</v>
      </c>
      <c r="Q32" s="21">
        <v>1719</v>
      </c>
      <c r="R32" s="21">
        <v>1709</v>
      </c>
      <c r="S32" s="21">
        <v>244</v>
      </c>
      <c r="T32" s="21">
        <v>1117</v>
      </c>
      <c r="U32" s="21">
        <v>1493</v>
      </c>
      <c r="V32" s="21">
        <v>1189</v>
      </c>
      <c r="W32" s="22">
        <v>353</v>
      </c>
      <c r="X32" s="21">
        <v>535</v>
      </c>
      <c r="Y32" s="21">
        <v>1389</v>
      </c>
      <c r="Z32" s="21">
        <v>1063</v>
      </c>
      <c r="AA32" s="21">
        <v>408</v>
      </c>
      <c r="AB32" s="21">
        <v>238</v>
      </c>
      <c r="AC32" s="21">
        <v>769</v>
      </c>
      <c r="AD32" s="21">
        <v>456</v>
      </c>
      <c r="AE32" s="21">
        <v>387</v>
      </c>
      <c r="AF32" s="21">
        <v>245</v>
      </c>
    </row>
    <row r="33" spans="1:32" x14ac:dyDescent="0.2">
      <c r="A33" s="8" t="s">
        <v>254</v>
      </c>
      <c r="C33" s="5">
        <v>0</v>
      </c>
      <c r="D33" s="5">
        <v>-569</v>
      </c>
      <c r="E33" s="5">
        <v>-346</v>
      </c>
      <c r="F33" s="5">
        <v>330</v>
      </c>
      <c r="G33" s="5">
        <v>-2994</v>
      </c>
      <c r="H33" s="5">
        <v>1568</v>
      </c>
      <c r="I33" s="5">
        <v>2113</v>
      </c>
      <c r="J33" s="5">
        <v>472</v>
      </c>
      <c r="K33" s="5"/>
      <c r="L33" s="5">
        <v>13</v>
      </c>
      <c r="M33" s="5">
        <v>340</v>
      </c>
      <c r="N33" s="5">
        <v>7</v>
      </c>
      <c r="O33" s="5">
        <v>-30</v>
      </c>
      <c r="P33" s="5">
        <v>11</v>
      </c>
      <c r="Q33" s="5">
        <v>15</v>
      </c>
      <c r="R33" s="5">
        <v>16</v>
      </c>
      <c r="S33" s="5">
        <v>-3037</v>
      </c>
      <c r="T33" s="5">
        <v>417</v>
      </c>
      <c r="U33" s="5">
        <v>543</v>
      </c>
      <c r="V33" s="5">
        <v>452</v>
      </c>
      <c r="W33" s="6">
        <v>156</v>
      </c>
      <c r="X33" s="5">
        <v>195</v>
      </c>
      <c r="Y33" s="5">
        <v>525</v>
      </c>
      <c r="Z33" s="5">
        <v>402</v>
      </c>
      <c r="AA33" s="5">
        <v>991</v>
      </c>
      <c r="AB33" s="5">
        <v>79</v>
      </c>
      <c r="AC33" s="5">
        <v>203</v>
      </c>
      <c r="AD33" s="5">
        <v>115</v>
      </c>
      <c r="AE33" s="5">
        <v>68</v>
      </c>
      <c r="AF33" s="5">
        <v>60</v>
      </c>
    </row>
    <row r="34" spans="1:32" s="11" customFormat="1" x14ac:dyDescent="0.2">
      <c r="A34" s="12" t="s">
        <v>6</v>
      </c>
      <c r="B34" s="2"/>
      <c r="C34" s="21">
        <v>-1979</v>
      </c>
      <c r="D34" s="21">
        <v>-1876</v>
      </c>
      <c r="E34" s="21">
        <v>-1834</v>
      </c>
      <c r="F34" s="21">
        <v>2882</v>
      </c>
      <c r="G34" s="21">
        <v>7610</v>
      </c>
      <c r="H34" s="21">
        <v>2584</v>
      </c>
      <c r="I34" s="21">
        <v>1282</v>
      </c>
      <c r="J34" s="21">
        <v>1412</v>
      </c>
      <c r="K34" s="21"/>
      <c r="L34" s="21">
        <v>480</v>
      </c>
      <c r="M34" s="21">
        <v>864</v>
      </c>
      <c r="N34" s="21">
        <v>942</v>
      </c>
      <c r="O34" s="21">
        <v>597</v>
      </c>
      <c r="P34" s="21">
        <v>932</v>
      </c>
      <c r="Q34" s="21">
        <v>1704</v>
      </c>
      <c r="R34" s="21">
        <v>1693</v>
      </c>
      <c r="S34" s="21">
        <v>3281</v>
      </c>
      <c r="T34" s="21">
        <v>700</v>
      </c>
      <c r="U34" s="21">
        <v>950</v>
      </c>
      <c r="V34" s="21">
        <v>737</v>
      </c>
      <c r="W34" s="22">
        <v>197</v>
      </c>
      <c r="X34" s="21">
        <v>340</v>
      </c>
      <c r="Y34" s="21">
        <v>864</v>
      </c>
      <c r="Z34" s="21">
        <v>661</v>
      </c>
      <c r="AA34" s="21">
        <v>-583</v>
      </c>
      <c r="AB34" s="21">
        <v>159</v>
      </c>
      <c r="AC34" s="21">
        <v>566</v>
      </c>
      <c r="AD34" s="21">
        <v>341</v>
      </c>
      <c r="AE34" s="21">
        <v>319</v>
      </c>
      <c r="AF34" s="21">
        <v>185</v>
      </c>
    </row>
    <row r="35" spans="1:32" x14ac:dyDescent="0.2">
      <c r="A35" s="12" t="s">
        <v>5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6"/>
      <c r="X35" s="5"/>
      <c r="Y35" s="5"/>
      <c r="Z35" s="5"/>
      <c r="AA35" s="5"/>
      <c r="AB35" s="5"/>
      <c r="AC35" s="5"/>
      <c r="AD35" s="5"/>
      <c r="AE35" s="5"/>
      <c r="AF35" s="5"/>
    </row>
    <row r="36" spans="1:32" s="18" customFormat="1" x14ac:dyDescent="0.2">
      <c r="A36" s="17" t="s">
        <v>1</v>
      </c>
      <c r="B36" s="19" t="s">
        <v>4</v>
      </c>
      <c r="C36" s="14">
        <v>-15.83</v>
      </c>
      <c r="D36" s="14">
        <v>-7.52</v>
      </c>
      <c r="E36" s="14">
        <v>-6.54</v>
      </c>
      <c r="F36" s="14">
        <v>4.0199999999999996</v>
      </c>
      <c r="G36" s="14">
        <v>11.39</v>
      </c>
      <c r="H36" s="14">
        <v>4.68</v>
      </c>
      <c r="I36" s="14">
        <v>2.62</v>
      </c>
      <c r="J36" s="14">
        <v>3.04</v>
      </c>
      <c r="K36" s="14"/>
      <c r="L36" s="14">
        <v>0.66</v>
      </c>
      <c r="M36" s="14">
        <v>1.2</v>
      </c>
      <c r="N36" s="14">
        <v>1.31</v>
      </c>
      <c r="O36" s="14">
        <v>0.84</v>
      </c>
      <c r="P36" s="14">
        <v>1.34</v>
      </c>
      <c r="Q36" s="14">
        <v>2.4700000000000002</v>
      </c>
      <c r="R36" s="14">
        <v>2.56</v>
      </c>
      <c r="S36" s="14">
        <v>5.24</v>
      </c>
      <c r="T36" s="14">
        <v>1.1499999999999999</v>
      </c>
      <c r="U36" s="14">
        <v>1.69</v>
      </c>
      <c r="V36" s="14">
        <v>1.4</v>
      </c>
      <c r="W36" s="15">
        <v>0.43999999999999995</v>
      </c>
      <c r="X36" s="14">
        <v>0.67</v>
      </c>
      <c r="Y36" s="14">
        <v>1.76</v>
      </c>
      <c r="Z36" s="14">
        <v>1.36</v>
      </c>
      <c r="AA36" s="14">
        <v>-1.22</v>
      </c>
      <c r="AB36" s="14">
        <v>0.34</v>
      </c>
      <c r="AC36" s="14">
        <v>1.22</v>
      </c>
      <c r="AD36" s="14">
        <v>0.74</v>
      </c>
      <c r="AE36" s="14">
        <v>0.69</v>
      </c>
      <c r="AF36" s="14">
        <v>0.41</v>
      </c>
    </row>
    <row r="37" spans="1:32" s="13" customFormat="1" x14ac:dyDescent="0.2">
      <c r="A37" s="17" t="s">
        <v>0</v>
      </c>
      <c r="B37" s="16" t="s">
        <v>3</v>
      </c>
      <c r="C37" s="14">
        <v>-15.83</v>
      </c>
      <c r="D37" s="14">
        <v>-7.52</v>
      </c>
      <c r="E37" s="14">
        <v>-6.54</v>
      </c>
      <c r="F37" s="14">
        <v>3.93</v>
      </c>
      <c r="G37" s="14">
        <v>11.07</v>
      </c>
      <c r="H37" s="14">
        <v>4.6500000000000004</v>
      </c>
      <c r="I37" s="14">
        <v>2.61</v>
      </c>
      <c r="J37" s="14">
        <v>3.03</v>
      </c>
      <c r="K37" s="14"/>
      <c r="L37" s="14">
        <v>0.65</v>
      </c>
      <c r="M37" s="14">
        <v>1.17</v>
      </c>
      <c r="N37" s="14">
        <v>1.28</v>
      </c>
      <c r="O37" s="14">
        <v>0.82</v>
      </c>
      <c r="P37" s="14">
        <v>1.3</v>
      </c>
      <c r="Q37" s="14">
        <v>2.41</v>
      </c>
      <c r="R37" s="14">
        <v>2.4900000000000002</v>
      </c>
      <c r="S37" s="14">
        <v>5.09</v>
      </c>
      <c r="T37" s="14">
        <v>1.1399999999999999</v>
      </c>
      <c r="U37" s="14">
        <v>1.68</v>
      </c>
      <c r="V37" s="14">
        <v>1.4</v>
      </c>
      <c r="W37" s="15">
        <v>0.4300000000000006</v>
      </c>
      <c r="X37" s="14">
        <v>0.67</v>
      </c>
      <c r="Y37" s="14">
        <v>1.75</v>
      </c>
      <c r="Z37" s="14">
        <v>1.36</v>
      </c>
      <c r="AA37" s="14">
        <v>-1.22</v>
      </c>
      <c r="AB37" s="14">
        <v>0.34</v>
      </c>
      <c r="AC37" s="14">
        <v>1.22</v>
      </c>
      <c r="AD37" s="14">
        <v>0.74</v>
      </c>
      <c r="AE37" s="14">
        <v>0.69</v>
      </c>
      <c r="AF37" s="14">
        <v>0.41</v>
      </c>
    </row>
    <row r="38" spans="1:32" s="11" customFormat="1" x14ac:dyDescent="0.2">
      <c r="A38" s="12" t="s">
        <v>2</v>
      </c>
      <c r="B38" s="2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6"/>
      <c r="X38" s="5"/>
      <c r="Y38" s="5"/>
      <c r="Z38" s="5"/>
      <c r="AA38" s="5"/>
      <c r="AB38" s="5"/>
      <c r="AC38" s="5"/>
      <c r="AD38" s="5"/>
      <c r="AE38" s="5"/>
      <c r="AF38" s="5"/>
    </row>
    <row r="39" spans="1:32" s="9" customFormat="1" x14ac:dyDescent="0.2">
      <c r="A39" s="8" t="s">
        <v>1</v>
      </c>
      <c r="B39" s="10"/>
      <c r="C39" s="5">
        <v>124.985</v>
      </c>
      <c r="D39" s="5">
        <v>249.49</v>
      </c>
      <c r="E39" s="5">
        <v>280.21300000000002</v>
      </c>
      <c r="F39" s="5">
        <v>717.45600000000002</v>
      </c>
      <c r="G39" s="5">
        <v>668.39300000000003</v>
      </c>
      <c r="H39" s="5">
        <v>552.30799999999999</v>
      </c>
      <c r="I39" s="5">
        <v>489.16399999999999</v>
      </c>
      <c r="J39" s="5">
        <v>464.23599999999999</v>
      </c>
      <c r="K39" s="5"/>
      <c r="L39" s="5">
        <v>723.971</v>
      </c>
      <c r="M39" s="5">
        <v>720.6</v>
      </c>
      <c r="N39" s="5">
        <v>719.06700000000001</v>
      </c>
      <c r="O39" s="5">
        <v>706.18499999999995</v>
      </c>
      <c r="P39" s="5">
        <v>696.41499999999996</v>
      </c>
      <c r="Q39" s="5">
        <v>688.72699999999998</v>
      </c>
      <c r="R39" s="5">
        <v>661.86900000000003</v>
      </c>
      <c r="S39" s="5">
        <v>626.55899999999997</v>
      </c>
      <c r="T39" s="5">
        <v>606.245</v>
      </c>
      <c r="U39" s="5">
        <v>563</v>
      </c>
      <c r="V39" s="5">
        <v>525.41499999999996</v>
      </c>
      <c r="W39" s="6">
        <v>514.572</v>
      </c>
      <c r="X39" s="5">
        <v>503.90199999999999</v>
      </c>
      <c r="Y39" s="5">
        <v>490.81799999999998</v>
      </c>
      <c r="Z39" s="5">
        <v>484.77199999999999</v>
      </c>
      <c r="AA39" s="5">
        <v>477.16500000000002</v>
      </c>
      <c r="AB39" s="5">
        <v>472.29700000000003</v>
      </c>
      <c r="AC39" s="5">
        <v>463.53300000000002</v>
      </c>
      <c r="AD39" s="5">
        <v>460.52600000000001</v>
      </c>
      <c r="AE39" s="5">
        <v>460.589</v>
      </c>
      <c r="AF39" s="5">
        <v>451.95100000000002</v>
      </c>
    </row>
    <row r="40" spans="1:32" x14ac:dyDescent="0.2">
      <c r="A40" s="8" t="s">
        <v>0</v>
      </c>
      <c r="B40" s="7"/>
      <c r="C40" s="5">
        <v>124.985</v>
      </c>
      <c r="D40" s="5">
        <v>249.49</v>
      </c>
      <c r="E40" s="5">
        <v>280.21300000000002</v>
      </c>
      <c r="F40" s="5">
        <v>734.01599999999996</v>
      </c>
      <c r="G40" s="5">
        <v>687.35500000000002</v>
      </c>
      <c r="H40" s="5">
        <v>556.09900000000005</v>
      </c>
      <c r="I40" s="5">
        <v>491.69200000000001</v>
      </c>
      <c r="J40" s="5">
        <v>465.66</v>
      </c>
      <c r="K40" s="5"/>
      <c r="L40" s="5">
        <v>741.33500000000004</v>
      </c>
      <c r="M40" s="5">
        <v>734.76700000000005</v>
      </c>
      <c r="N40" s="5">
        <v>735.19600000000003</v>
      </c>
      <c r="O40" s="5">
        <v>724.76700000000005</v>
      </c>
      <c r="P40" s="5">
        <v>716.93</v>
      </c>
      <c r="Q40" s="5">
        <v>707.61099999999999</v>
      </c>
      <c r="R40" s="5">
        <v>680.73900000000003</v>
      </c>
      <c r="S40" s="5">
        <v>644.14</v>
      </c>
      <c r="T40" s="5">
        <v>611.48800000000006</v>
      </c>
      <c r="U40" s="5">
        <v>566.04</v>
      </c>
      <c r="V40" s="5">
        <v>528.51</v>
      </c>
      <c r="W40" s="6">
        <v>518.35800000000017</v>
      </c>
      <c r="X40" s="5">
        <v>507.79700000000003</v>
      </c>
      <c r="Y40" s="5">
        <v>492.96499999999997</v>
      </c>
      <c r="Z40" s="5">
        <v>486.625</v>
      </c>
      <c r="AA40" s="5">
        <v>477.16500000000002</v>
      </c>
      <c r="AB40" s="5">
        <v>474.59800000000001</v>
      </c>
      <c r="AC40" s="5">
        <v>464.61799999999999</v>
      </c>
      <c r="AD40" s="5">
        <v>461.50700000000001</v>
      </c>
      <c r="AE40" s="5">
        <v>461.91500000000002</v>
      </c>
      <c r="AF40" s="5">
        <v>453.42899999999997</v>
      </c>
    </row>
    <row r="42" spans="1:32" x14ac:dyDescent="0.2">
      <c r="E42" s="4"/>
      <c r="F42" s="4"/>
      <c r="G42" s="4"/>
    </row>
    <row r="43" spans="1:32" x14ac:dyDescent="0.2">
      <c r="E43" s="4"/>
      <c r="F43" s="4"/>
      <c r="G43" s="4"/>
    </row>
    <row r="44" spans="1:32" x14ac:dyDescent="0.2">
      <c r="F44" s="4"/>
      <c r="G44" s="4"/>
      <c r="I44" s="4"/>
      <c r="J44" s="4"/>
      <c r="K44" s="4"/>
    </row>
    <row r="60" spans="8:8" x14ac:dyDescent="0.2">
      <c r="H60" s="1">
        <v>0.4</v>
      </c>
    </row>
  </sheetData>
  <pageMargins left="0.7" right="0.7" top="0.75" bottom="0.75" header="0.3" footer="0.3"/>
  <pageSetup scale="2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61"/>
  <sheetViews>
    <sheetView zoomScaleNormal="10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50.7109375" style="1" customWidth="1"/>
    <col min="2" max="2" width="2" style="43" customWidth="1"/>
    <col min="3" max="5" width="10" style="1" bestFit="1" customWidth="1"/>
    <col min="6" max="6" width="10.42578125" style="1" bestFit="1" customWidth="1"/>
    <col min="7" max="10" width="10" style="1" bestFit="1" customWidth="1"/>
    <col min="11" max="11" width="9.140625" style="1" customWidth="1"/>
    <col min="12" max="32" width="10" style="1" customWidth="1"/>
    <col min="33" max="16384" width="9.140625" style="1"/>
  </cols>
  <sheetData>
    <row r="1" spans="1:37" x14ac:dyDescent="0.2">
      <c r="C1" s="41" t="s">
        <v>67</v>
      </c>
      <c r="D1" s="41" t="s">
        <v>66</v>
      </c>
      <c r="E1" s="41" t="s">
        <v>65</v>
      </c>
      <c r="F1" s="41" t="s">
        <v>64</v>
      </c>
      <c r="G1" s="41" t="s">
        <v>63</v>
      </c>
      <c r="H1" s="41" t="s">
        <v>62</v>
      </c>
      <c r="I1" s="41" t="s">
        <v>61</v>
      </c>
      <c r="J1" s="41" t="s">
        <v>60</v>
      </c>
      <c r="K1" s="42"/>
      <c r="L1" s="41" t="s">
        <v>59</v>
      </c>
      <c r="M1" s="41" t="s">
        <v>58</v>
      </c>
      <c r="N1" s="41" t="s">
        <v>57</v>
      </c>
      <c r="O1" s="41" t="s">
        <v>56</v>
      </c>
      <c r="P1" s="41" t="s">
        <v>55</v>
      </c>
      <c r="Q1" s="41" t="s">
        <v>54</v>
      </c>
      <c r="R1" s="41" t="s">
        <v>53</v>
      </c>
      <c r="S1" s="41" t="s">
        <v>52</v>
      </c>
      <c r="T1" s="41" t="s">
        <v>51</v>
      </c>
      <c r="U1" s="41" t="s">
        <v>50</v>
      </c>
      <c r="V1" s="41" t="s">
        <v>49</v>
      </c>
      <c r="W1" s="41" t="s">
        <v>48</v>
      </c>
      <c r="X1" s="41" t="s">
        <v>47</v>
      </c>
      <c r="Y1" s="41" t="s">
        <v>46</v>
      </c>
      <c r="Z1" s="41" t="s">
        <v>45</v>
      </c>
      <c r="AA1" s="41" t="s">
        <v>44</v>
      </c>
      <c r="AB1" s="41" t="s">
        <v>43</v>
      </c>
      <c r="AC1" s="41" t="s">
        <v>42</v>
      </c>
      <c r="AD1" s="41" t="s">
        <v>41</v>
      </c>
      <c r="AE1" s="41" t="s">
        <v>40</v>
      </c>
      <c r="AF1" s="41" t="s">
        <v>39</v>
      </c>
    </row>
    <row r="2" spans="1:37" x14ac:dyDescent="0.2">
      <c r="C2" s="39">
        <v>40908</v>
      </c>
      <c r="D2" s="39">
        <v>41274</v>
      </c>
      <c r="E2" s="39">
        <v>41639</v>
      </c>
      <c r="F2" s="39">
        <v>42004</v>
      </c>
      <c r="G2" s="39">
        <v>42369</v>
      </c>
      <c r="H2" s="39">
        <v>42735</v>
      </c>
      <c r="I2" s="39">
        <v>43100</v>
      </c>
      <c r="J2" s="39">
        <v>43465</v>
      </c>
      <c r="K2" s="40"/>
      <c r="L2" s="39">
        <v>41729</v>
      </c>
      <c r="M2" s="39">
        <v>41820</v>
      </c>
      <c r="N2" s="39">
        <v>41912</v>
      </c>
      <c r="O2" s="39">
        <v>42004</v>
      </c>
      <c r="P2" s="39">
        <v>42094</v>
      </c>
      <c r="Q2" s="39">
        <v>42185</v>
      </c>
      <c r="R2" s="39">
        <v>42277</v>
      </c>
      <c r="S2" s="39">
        <v>42369</v>
      </c>
      <c r="T2" s="39">
        <v>42460</v>
      </c>
      <c r="U2" s="39">
        <v>42551</v>
      </c>
      <c r="V2" s="39">
        <v>42643</v>
      </c>
      <c r="W2" s="39">
        <v>42735</v>
      </c>
      <c r="X2" s="39">
        <v>42825</v>
      </c>
      <c r="Y2" s="39">
        <v>42916</v>
      </c>
      <c r="Z2" s="39">
        <v>43008</v>
      </c>
      <c r="AA2" s="39">
        <v>43100</v>
      </c>
      <c r="AB2" s="39">
        <v>43190</v>
      </c>
      <c r="AC2" s="39">
        <v>43281</v>
      </c>
      <c r="AD2" s="39">
        <v>43373</v>
      </c>
      <c r="AE2" s="39">
        <v>43465</v>
      </c>
      <c r="AF2" s="39">
        <v>43555</v>
      </c>
    </row>
    <row r="3" spans="1:37" s="2" customFormat="1" x14ac:dyDescent="0.2">
      <c r="A3" s="66" t="s">
        <v>38</v>
      </c>
      <c r="B3" s="43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6"/>
    </row>
    <row r="4" spans="1:37" x14ac:dyDescent="0.2">
      <c r="A4" s="12" t="s">
        <v>146</v>
      </c>
      <c r="B4" s="53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</row>
    <row r="5" spans="1:37" x14ac:dyDescent="0.2">
      <c r="A5" s="33" t="s">
        <v>145</v>
      </c>
      <c r="B5" s="50" t="s">
        <v>144</v>
      </c>
      <c r="C5" s="5">
        <v>283</v>
      </c>
      <c r="D5" s="5">
        <v>480</v>
      </c>
      <c r="E5" s="5">
        <v>1140</v>
      </c>
      <c r="F5" s="5">
        <v>994</v>
      </c>
      <c r="G5" s="5">
        <v>390</v>
      </c>
      <c r="H5" s="6">
        <f t="shared" ref="H5:H11" si="0">W5</f>
        <v>322</v>
      </c>
      <c r="I5" s="6">
        <f t="shared" ref="I5:I11" si="1">AA5</f>
        <v>295</v>
      </c>
      <c r="J5" s="6">
        <f>AE5</f>
        <v>275</v>
      </c>
      <c r="K5" s="52"/>
      <c r="L5" s="5">
        <v>1259</v>
      </c>
      <c r="M5" s="5">
        <v>1210</v>
      </c>
      <c r="N5" s="5">
        <v>1178</v>
      </c>
      <c r="O5" s="5">
        <v>994</v>
      </c>
      <c r="P5" s="5">
        <v>1048</v>
      </c>
      <c r="Q5" s="5">
        <v>952</v>
      </c>
      <c r="R5" s="5">
        <v>1016</v>
      </c>
      <c r="S5" s="5">
        <v>390</v>
      </c>
      <c r="T5" s="5">
        <v>495</v>
      </c>
      <c r="U5" s="5">
        <v>446</v>
      </c>
      <c r="V5" s="5">
        <v>381</v>
      </c>
      <c r="W5" s="5">
        <v>322</v>
      </c>
      <c r="X5" s="5">
        <v>374</v>
      </c>
      <c r="Y5" s="5">
        <v>386</v>
      </c>
      <c r="Z5" s="5">
        <v>340</v>
      </c>
      <c r="AA5" s="5">
        <v>295</v>
      </c>
      <c r="AB5" s="5">
        <v>297</v>
      </c>
      <c r="AC5" s="5">
        <v>293</v>
      </c>
      <c r="AD5" s="5">
        <v>303</v>
      </c>
      <c r="AE5" s="5">
        <v>275</v>
      </c>
      <c r="AF5" s="5">
        <v>337</v>
      </c>
      <c r="AG5" s="52"/>
      <c r="AH5" s="52"/>
      <c r="AI5" s="52"/>
      <c r="AJ5" s="52"/>
      <c r="AK5" s="52"/>
    </row>
    <row r="6" spans="1:37" x14ac:dyDescent="0.2">
      <c r="A6" s="8" t="s">
        <v>143</v>
      </c>
      <c r="B6" s="53" t="s">
        <v>142</v>
      </c>
      <c r="C6" s="5">
        <v>3718</v>
      </c>
      <c r="D6" s="5">
        <v>3412</v>
      </c>
      <c r="E6" s="5">
        <v>8111</v>
      </c>
      <c r="F6" s="5">
        <v>6309</v>
      </c>
      <c r="G6" s="5">
        <v>5864</v>
      </c>
      <c r="H6" s="6">
        <f t="shared" si="0"/>
        <v>6037</v>
      </c>
      <c r="I6" s="6">
        <f t="shared" si="1"/>
        <v>4771</v>
      </c>
      <c r="J6" s="6">
        <f>AE6</f>
        <v>4485</v>
      </c>
      <c r="K6" s="52"/>
      <c r="L6" s="5">
        <v>8405</v>
      </c>
      <c r="M6" s="5">
        <v>8249</v>
      </c>
      <c r="N6" s="5">
        <v>6721</v>
      </c>
      <c r="O6" s="5">
        <v>6309</v>
      </c>
      <c r="P6" s="5">
        <v>8125</v>
      </c>
      <c r="Q6" s="5">
        <v>7967</v>
      </c>
      <c r="R6" s="5">
        <v>7857</v>
      </c>
      <c r="S6" s="5">
        <v>5864</v>
      </c>
      <c r="T6" s="5">
        <v>6435</v>
      </c>
      <c r="U6" s="5">
        <v>6672</v>
      </c>
      <c r="V6" s="5">
        <v>6374</v>
      </c>
      <c r="W6" s="5">
        <v>6037</v>
      </c>
      <c r="X6" s="5">
        <v>6302</v>
      </c>
      <c r="Y6" s="5">
        <v>6500</v>
      </c>
      <c r="Z6" s="5">
        <v>5428</v>
      </c>
      <c r="AA6" s="5">
        <v>4771</v>
      </c>
      <c r="AB6" s="5">
        <v>4994</v>
      </c>
      <c r="AC6" s="5">
        <v>4381</v>
      </c>
      <c r="AD6" s="5">
        <v>4552</v>
      </c>
      <c r="AE6" s="5">
        <v>4485</v>
      </c>
      <c r="AF6" s="5">
        <v>4012</v>
      </c>
      <c r="AG6" s="52"/>
      <c r="AH6" s="52"/>
      <c r="AI6" s="52"/>
      <c r="AJ6" s="52"/>
      <c r="AK6" s="52"/>
    </row>
    <row r="7" spans="1:37" x14ac:dyDescent="0.2">
      <c r="A7" s="8" t="s">
        <v>141</v>
      </c>
      <c r="B7" s="53"/>
      <c r="C7" s="5">
        <v>738</v>
      </c>
      <c r="D7" s="5">
        <v>850</v>
      </c>
      <c r="E7" s="5">
        <v>1035</v>
      </c>
      <c r="F7" s="5">
        <v>774</v>
      </c>
      <c r="G7" s="5">
        <v>695</v>
      </c>
      <c r="H7" s="6">
        <f t="shared" si="0"/>
        <v>638</v>
      </c>
      <c r="I7" s="6">
        <f t="shared" si="1"/>
        <v>318</v>
      </c>
      <c r="J7" s="6">
        <f>AE7</f>
        <v>154</v>
      </c>
      <c r="K7" s="52"/>
      <c r="L7" s="5">
        <v>947</v>
      </c>
      <c r="M7" s="5">
        <v>882</v>
      </c>
      <c r="N7" s="5">
        <v>875</v>
      </c>
      <c r="O7" s="5">
        <v>774</v>
      </c>
      <c r="P7" s="5">
        <v>757</v>
      </c>
      <c r="Q7" s="5">
        <v>747</v>
      </c>
      <c r="R7" s="5">
        <v>710</v>
      </c>
      <c r="S7" s="5">
        <v>695</v>
      </c>
      <c r="T7" s="5">
        <v>691</v>
      </c>
      <c r="U7" s="5">
        <v>640</v>
      </c>
      <c r="V7" s="5">
        <v>635</v>
      </c>
      <c r="W7" s="5">
        <v>638</v>
      </c>
      <c r="X7" s="5">
        <v>543</v>
      </c>
      <c r="Y7" s="5">
        <v>554</v>
      </c>
      <c r="Z7" s="5">
        <v>393</v>
      </c>
      <c r="AA7" s="5">
        <v>318</v>
      </c>
      <c r="AB7" s="5">
        <v>294</v>
      </c>
      <c r="AC7" s="5">
        <v>183</v>
      </c>
      <c r="AD7" s="5">
        <v>154</v>
      </c>
      <c r="AE7" s="5">
        <v>154</v>
      </c>
      <c r="AF7" s="5">
        <v>156</v>
      </c>
      <c r="AG7" s="52"/>
      <c r="AH7" s="52"/>
      <c r="AI7" s="52"/>
      <c r="AJ7" s="52"/>
      <c r="AK7" s="52"/>
    </row>
    <row r="8" spans="1:37" x14ac:dyDescent="0.2">
      <c r="A8" s="8" t="s">
        <v>140</v>
      </c>
      <c r="B8" s="50" t="s">
        <v>139</v>
      </c>
      <c r="C8" s="5">
        <v>902</v>
      </c>
      <c r="D8" s="5">
        <v>1124</v>
      </c>
      <c r="E8" s="5">
        <v>1560</v>
      </c>
      <c r="F8" s="5">
        <v>1771</v>
      </c>
      <c r="G8" s="5">
        <v>1425</v>
      </c>
      <c r="H8" s="6">
        <f t="shared" si="0"/>
        <v>1594</v>
      </c>
      <c r="I8" s="6">
        <f t="shared" si="1"/>
        <v>1752</v>
      </c>
      <c r="J8" s="6">
        <f>AE8</f>
        <v>1706</v>
      </c>
      <c r="K8" s="52"/>
      <c r="L8" s="5">
        <v>2008</v>
      </c>
      <c r="M8" s="5">
        <v>1981</v>
      </c>
      <c r="N8" s="5">
        <v>1961</v>
      </c>
      <c r="O8" s="5">
        <v>1771</v>
      </c>
      <c r="P8" s="5">
        <v>1826</v>
      </c>
      <c r="Q8" s="5">
        <v>1892</v>
      </c>
      <c r="R8" s="5">
        <v>1828</v>
      </c>
      <c r="S8" s="5">
        <v>1425</v>
      </c>
      <c r="T8" s="5">
        <v>1450</v>
      </c>
      <c r="U8" s="5">
        <v>1593</v>
      </c>
      <c r="V8" s="5">
        <v>1703</v>
      </c>
      <c r="W8" s="5">
        <v>1594</v>
      </c>
      <c r="X8" s="5">
        <v>1397</v>
      </c>
      <c r="Y8" s="5">
        <v>1543</v>
      </c>
      <c r="Z8" s="5">
        <v>1700</v>
      </c>
      <c r="AA8" s="5">
        <v>1752</v>
      </c>
      <c r="AB8" s="5">
        <v>1809</v>
      </c>
      <c r="AC8" s="5">
        <v>1941</v>
      </c>
      <c r="AD8" s="5">
        <v>2170</v>
      </c>
      <c r="AE8" s="5">
        <v>1706</v>
      </c>
      <c r="AF8" s="5">
        <v>1876</v>
      </c>
      <c r="AG8" s="52"/>
      <c r="AH8" s="52"/>
      <c r="AI8" s="52"/>
      <c r="AJ8" s="52"/>
      <c r="AK8" s="52"/>
    </row>
    <row r="9" spans="1:37" x14ac:dyDescent="0.2">
      <c r="A9" s="8" t="s">
        <v>138</v>
      </c>
      <c r="B9" s="53"/>
      <c r="C9" s="5">
        <v>617</v>
      </c>
      <c r="D9" s="5">
        <v>580</v>
      </c>
      <c r="E9" s="5">
        <v>1012</v>
      </c>
      <c r="F9" s="5">
        <v>1004</v>
      </c>
      <c r="G9" s="5">
        <v>863</v>
      </c>
      <c r="H9" s="6">
        <f t="shared" si="0"/>
        <v>1094</v>
      </c>
      <c r="I9" s="6">
        <f t="shared" si="1"/>
        <v>1359</v>
      </c>
      <c r="J9" s="6">
        <f>AE9</f>
        <v>1522</v>
      </c>
      <c r="K9" s="52"/>
      <c r="L9" s="5">
        <v>1052</v>
      </c>
      <c r="M9" s="5">
        <v>1093</v>
      </c>
      <c r="N9" s="5">
        <v>1182</v>
      </c>
      <c r="O9" s="5">
        <v>1004</v>
      </c>
      <c r="P9" s="5">
        <v>995</v>
      </c>
      <c r="Q9" s="5">
        <v>1069</v>
      </c>
      <c r="R9" s="5">
        <v>1010</v>
      </c>
      <c r="S9" s="5">
        <v>863</v>
      </c>
      <c r="T9" s="5">
        <v>886</v>
      </c>
      <c r="U9" s="5">
        <v>999</v>
      </c>
      <c r="V9" s="5">
        <v>1100</v>
      </c>
      <c r="W9" s="5">
        <v>1094</v>
      </c>
      <c r="X9" s="5">
        <v>1154</v>
      </c>
      <c r="Y9" s="5">
        <v>1206</v>
      </c>
      <c r="Z9" s="5">
        <v>1315</v>
      </c>
      <c r="AA9" s="5">
        <v>1359</v>
      </c>
      <c r="AB9" s="5">
        <v>1455</v>
      </c>
      <c r="AC9" s="5">
        <v>1522</v>
      </c>
      <c r="AD9" s="5">
        <v>1576</v>
      </c>
      <c r="AE9" s="5">
        <v>1522</v>
      </c>
      <c r="AF9" s="5">
        <v>1666</v>
      </c>
      <c r="AG9" s="52"/>
      <c r="AH9" s="52"/>
      <c r="AI9" s="52"/>
      <c r="AJ9" s="52"/>
      <c r="AK9" s="52"/>
    </row>
    <row r="10" spans="1:37" s="30" customFormat="1" x14ac:dyDescent="0.2">
      <c r="A10" s="28" t="s">
        <v>137</v>
      </c>
      <c r="B10" s="56"/>
      <c r="C10" s="25">
        <v>499</v>
      </c>
      <c r="D10" s="25">
        <v>626</v>
      </c>
      <c r="E10" s="25">
        <v>1465</v>
      </c>
      <c r="F10" s="25">
        <v>898</v>
      </c>
      <c r="G10" s="25">
        <v>748</v>
      </c>
      <c r="H10" s="26">
        <f t="shared" si="0"/>
        <v>639</v>
      </c>
      <c r="I10" s="26">
        <f t="shared" si="1"/>
        <v>651</v>
      </c>
      <c r="J10" s="26">
        <f>AE10</f>
        <v>495</v>
      </c>
      <c r="K10" s="51"/>
      <c r="L10" s="25">
        <v>1522</v>
      </c>
      <c r="M10" s="25">
        <v>1551</v>
      </c>
      <c r="N10" s="25">
        <v>1533</v>
      </c>
      <c r="O10" s="25">
        <v>898</v>
      </c>
      <c r="P10" s="25">
        <v>1378</v>
      </c>
      <c r="Q10" s="25">
        <v>1482</v>
      </c>
      <c r="R10" s="25">
        <v>1285</v>
      </c>
      <c r="S10" s="25">
        <v>748</v>
      </c>
      <c r="T10" s="25">
        <v>845</v>
      </c>
      <c r="U10" s="25">
        <v>834</v>
      </c>
      <c r="V10" s="25">
        <v>855</v>
      </c>
      <c r="W10" s="25">
        <v>639</v>
      </c>
      <c r="X10" s="25">
        <v>856</v>
      </c>
      <c r="Y10" s="25">
        <v>827</v>
      </c>
      <c r="Z10" s="25">
        <v>826</v>
      </c>
      <c r="AA10" s="25">
        <v>651</v>
      </c>
      <c r="AB10" s="25">
        <v>824</v>
      </c>
      <c r="AC10" s="25">
        <v>856</v>
      </c>
      <c r="AD10" s="25">
        <v>743</v>
      </c>
      <c r="AE10" s="25">
        <v>495</v>
      </c>
      <c r="AF10" s="25">
        <v>607</v>
      </c>
      <c r="AG10" s="51"/>
      <c r="AH10" s="51"/>
      <c r="AI10" s="51"/>
      <c r="AJ10" s="51"/>
      <c r="AK10" s="51"/>
    </row>
    <row r="11" spans="1:37" s="11" customFormat="1" x14ac:dyDescent="0.2">
      <c r="A11" s="12" t="s">
        <v>136</v>
      </c>
      <c r="B11" s="50" t="s">
        <v>135</v>
      </c>
      <c r="C11" s="21">
        <v>6757</v>
      </c>
      <c r="D11" s="21">
        <v>7072</v>
      </c>
      <c r="E11" s="21">
        <v>14323</v>
      </c>
      <c r="F11" s="21">
        <v>11750</v>
      </c>
      <c r="G11" s="21">
        <v>9985</v>
      </c>
      <c r="H11" s="22">
        <f t="shared" si="0"/>
        <v>10324</v>
      </c>
      <c r="I11" s="22">
        <f t="shared" si="1"/>
        <v>9146</v>
      </c>
      <c r="J11" s="22">
        <f>AE11</f>
        <v>8637</v>
      </c>
      <c r="K11" s="35"/>
      <c r="L11" s="21">
        <v>15193</v>
      </c>
      <c r="M11" s="21">
        <v>14966</v>
      </c>
      <c r="N11" s="21">
        <v>13450</v>
      </c>
      <c r="O11" s="21">
        <v>11750</v>
      </c>
      <c r="P11" s="21">
        <v>14129</v>
      </c>
      <c r="Q11" s="21">
        <v>14109</v>
      </c>
      <c r="R11" s="21">
        <v>13706</v>
      </c>
      <c r="S11" s="21">
        <v>9985</v>
      </c>
      <c r="T11" s="21">
        <v>10802</v>
      </c>
      <c r="U11" s="21">
        <v>11184</v>
      </c>
      <c r="V11" s="21">
        <v>11048</v>
      </c>
      <c r="W11" s="21">
        <v>10324</v>
      </c>
      <c r="X11" s="21">
        <v>10626</v>
      </c>
      <c r="Y11" s="21">
        <v>11016</v>
      </c>
      <c r="Z11" s="21">
        <v>10002</v>
      </c>
      <c r="AA11" s="21">
        <v>9146</v>
      </c>
      <c r="AB11" s="21">
        <v>9673</v>
      </c>
      <c r="AC11" s="21">
        <v>9176</v>
      </c>
      <c r="AD11" s="21">
        <v>9498</v>
      </c>
      <c r="AE11" s="21">
        <v>8637</v>
      </c>
      <c r="AF11" s="21">
        <v>8654</v>
      </c>
      <c r="AG11" s="35"/>
      <c r="AH11" s="35"/>
      <c r="AI11" s="35"/>
      <c r="AJ11" s="35"/>
      <c r="AK11" s="35"/>
    </row>
    <row r="12" spans="1:37" x14ac:dyDescent="0.2">
      <c r="A12" s="12" t="s">
        <v>134</v>
      </c>
      <c r="B12" s="53"/>
      <c r="C12" s="5"/>
      <c r="D12" s="5"/>
      <c r="E12" s="5"/>
      <c r="F12" s="5"/>
      <c r="G12" s="5"/>
      <c r="H12" s="6"/>
      <c r="I12" s="6"/>
      <c r="J12" s="6"/>
      <c r="K12" s="52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2"/>
      <c r="AH12" s="52"/>
      <c r="AI12" s="52"/>
      <c r="AJ12" s="52"/>
      <c r="AK12" s="52"/>
    </row>
    <row r="13" spans="1:37" x14ac:dyDescent="0.2">
      <c r="A13" s="8" t="s">
        <v>133</v>
      </c>
      <c r="B13" s="53"/>
      <c r="C13" s="5">
        <v>18777</v>
      </c>
      <c r="D13" s="5">
        <v>18221</v>
      </c>
      <c r="E13" s="5">
        <v>23730</v>
      </c>
      <c r="F13" s="5">
        <v>28213</v>
      </c>
      <c r="G13" s="5">
        <v>33185</v>
      </c>
      <c r="H13" s="6">
        <f t="shared" ref="H13:H18" si="2">W13</f>
        <v>37028</v>
      </c>
      <c r="I13" s="6">
        <f t="shared" ref="I13:I18" si="3">AA13</f>
        <v>40318</v>
      </c>
      <c r="J13" s="6">
        <f>AE13</f>
        <v>41499</v>
      </c>
      <c r="K13" s="52"/>
      <c r="L13" s="5">
        <v>24687</v>
      </c>
      <c r="M13" s="5">
        <v>26113</v>
      </c>
      <c r="N13" s="5">
        <v>27212</v>
      </c>
      <c r="O13" s="5">
        <v>28213</v>
      </c>
      <c r="P13" s="5">
        <v>29273</v>
      </c>
      <c r="Q13" s="5">
        <v>30829</v>
      </c>
      <c r="R13" s="5">
        <v>31872</v>
      </c>
      <c r="S13" s="5">
        <v>33185</v>
      </c>
      <c r="T13" s="5">
        <v>34407</v>
      </c>
      <c r="U13" s="5">
        <v>35553</v>
      </c>
      <c r="V13" s="5">
        <v>36259</v>
      </c>
      <c r="W13" s="5">
        <v>37028</v>
      </c>
      <c r="X13" s="5">
        <v>38352</v>
      </c>
      <c r="Y13" s="5">
        <v>39329</v>
      </c>
      <c r="Z13" s="5">
        <v>39545</v>
      </c>
      <c r="AA13" s="5">
        <v>40318</v>
      </c>
      <c r="AB13" s="5">
        <v>40662</v>
      </c>
      <c r="AC13" s="5">
        <v>40854</v>
      </c>
      <c r="AD13" s="5">
        <v>40983</v>
      </c>
      <c r="AE13" s="5">
        <v>41499</v>
      </c>
      <c r="AF13" s="5">
        <v>42013</v>
      </c>
      <c r="AG13" s="52"/>
      <c r="AH13" s="52"/>
      <c r="AI13" s="52"/>
      <c r="AJ13" s="52"/>
      <c r="AK13" s="52"/>
    </row>
    <row r="14" spans="1:37" x14ac:dyDescent="0.2">
      <c r="A14" s="8" t="s">
        <v>132</v>
      </c>
      <c r="B14" s="53"/>
      <c r="C14" s="5">
        <v>5331</v>
      </c>
      <c r="D14" s="5">
        <v>5302</v>
      </c>
      <c r="E14" s="5">
        <v>5585</v>
      </c>
      <c r="F14" s="5">
        <v>5900</v>
      </c>
      <c r="G14" s="5">
        <v>6402</v>
      </c>
      <c r="H14" s="6">
        <f t="shared" si="2"/>
        <v>7116</v>
      </c>
      <c r="I14" s="6">
        <f t="shared" si="3"/>
        <v>8267</v>
      </c>
      <c r="J14" s="6">
        <f>AE14</f>
        <v>8764</v>
      </c>
      <c r="K14" s="52"/>
      <c r="L14" s="5">
        <v>5663</v>
      </c>
      <c r="M14" s="5">
        <v>5712</v>
      </c>
      <c r="N14" s="5">
        <v>5812</v>
      </c>
      <c r="O14" s="5">
        <v>5900</v>
      </c>
      <c r="P14" s="5">
        <v>6013</v>
      </c>
      <c r="Q14" s="5">
        <v>6132</v>
      </c>
      <c r="R14" s="5">
        <v>6262</v>
      </c>
      <c r="S14" s="5">
        <v>6402</v>
      </c>
      <c r="T14" s="5">
        <v>6561</v>
      </c>
      <c r="U14" s="5">
        <v>6726</v>
      </c>
      <c r="V14" s="5">
        <v>6915</v>
      </c>
      <c r="W14" s="5">
        <v>7116</v>
      </c>
      <c r="X14" s="5">
        <v>7332</v>
      </c>
      <c r="Y14" s="5">
        <v>7580</v>
      </c>
      <c r="Z14" s="5">
        <v>7902</v>
      </c>
      <c r="AA14" s="5">
        <v>8267</v>
      </c>
      <c r="AB14" s="5">
        <v>8599</v>
      </c>
      <c r="AC14" s="5">
        <v>8903</v>
      </c>
      <c r="AD14" s="5">
        <v>9187</v>
      </c>
      <c r="AE14" s="5">
        <v>8764</v>
      </c>
      <c r="AF14" s="5">
        <v>8932</v>
      </c>
      <c r="AG14" s="52"/>
      <c r="AH14" s="52"/>
      <c r="AI14" s="52"/>
      <c r="AJ14" s="52"/>
      <c r="AK14" s="52"/>
    </row>
    <row r="15" spans="1:37" s="30" customFormat="1" x14ac:dyDescent="0.2">
      <c r="A15" s="28" t="s">
        <v>131</v>
      </c>
      <c r="B15" s="56"/>
      <c r="C15" s="25">
        <v>746</v>
      </c>
      <c r="D15" s="25">
        <v>710</v>
      </c>
      <c r="E15" s="25">
        <v>1077</v>
      </c>
      <c r="F15" s="25">
        <v>1230</v>
      </c>
      <c r="G15" s="25">
        <v>1067</v>
      </c>
      <c r="H15" s="26">
        <f t="shared" si="2"/>
        <v>1209</v>
      </c>
      <c r="I15" s="26">
        <f t="shared" si="3"/>
        <v>1217</v>
      </c>
      <c r="J15" s="26">
        <f>AE15</f>
        <v>1278</v>
      </c>
      <c r="K15" s="51"/>
      <c r="L15" s="25">
        <v>1045</v>
      </c>
      <c r="M15" s="25">
        <v>1043</v>
      </c>
      <c r="N15" s="25">
        <v>1172</v>
      </c>
      <c r="O15" s="25">
        <v>1230</v>
      </c>
      <c r="P15" s="25">
        <v>1265</v>
      </c>
      <c r="Q15" s="25">
        <v>1124</v>
      </c>
      <c r="R15" s="25">
        <v>1073</v>
      </c>
      <c r="S15" s="25">
        <v>1067</v>
      </c>
      <c r="T15" s="25">
        <v>1058</v>
      </c>
      <c r="U15" s="25">
        <v>1136</v>
      </c>
      <c r="V15" s="25">
        <v>1149</v>
      </c>
      <c r="W15" s="25">
        <v>1209</v>
      </c>
      <c r="X15" s="25">
        <v>1247</v>
      </c>
      <c r="Y15" s="25">
        <v>1212</v>
      </c>
      <c r="Z15" s="25">
        <v>1280</v>
      </c>
      <c r="AA15" s="25">
        <v>1217</v>
      </c>
      <c r="AB15" s="25">
        <v>1231</v>
      </c>
      <c r="AC15" s="25">
        <v>1392</v>
      </c>
      <c r="AD15" s="25">
        <v>1330</v>
      </c>
      <c r="AE15" s="25">
        <v>1278</v>
      </c>
      <c r="AF15" s="25">
        <v>1211</v>
      </c>
      <c r="AG15" s="51"/>
      <c r="AH15" s="51"/>
      <c r="AI15" s="51"/>
      <c r="AJ15" s="51"/>
      <c r="AK15" s="51"/>
    </row>
    <row r="16" spans="1:37" x14ac:dyDescent="0.2">
      <c r="A16" s="8" t="s">
        <v>130</v>
      </c>
      <c r="B16" s="50" t="s">
        <v>129</v>
      </c>
      <c r="C16" s="6">
        <f>SUM(C13:C15)</f>
        <v>24854</v>
      </c>
      <c r="D16" s="5">
        <v>24233</v>
      </c>
      <c r="E16" s="5">
        <v>30392</v>
      </c>
      <c r="F16" s="5">
        <v>35343</v>
      </c>
      <c r="G16" s="5">
        <v>40654</v>
      </c>
      <c r="H16" s="64">
        <f t="shared" si="2"/>
        <v>45353</v>
      </c>
      <c r="I16" s="64">
        <f t="shared" si="3"/>
        <v>49802</v>
      </c>
      <c r="J16" s="64">
        <f>AE16</f>
        <v>51541</v>
      </c>
      <c r="K16" s="63"/>
      <c r="L16" s="5">
        <v>31395</v>
      </c>
      <c r="M16" s="5">
        <v>32868</v>
      </c>
      <c r="N16" s="5">
        <v>34196</v>
      </c>
      <c r="O16" s="5">
        <v>35343</v>
      </c>
      <c r="P16" s="5">
        <v>36551</v>
      </c>
      <c r="Q16" s="5">
        <v>38085</v>
      </c>
      <c r="R16" s="5">
        <v>39207</v>
      </c>
      <c r="S16" s="5">
        <v>40654</v>
      </c>
      <c r="T16" s="5">
        <v>42026</v>
      </c>
      <c r="U16" s="5">
        <v>43415</v>
      </c>
      <c r="V16" s="5">
        <v>44323</v>
      </c>
      <c r="W16" s="5">
        <v>45353</v>
      </c>
      <c r="X16" s="5">
        <v>46931</v>
      </c>
      <c r="Y16" s="5">
        <v>48121</v>
      </c>
      <c r="Z16" s="5">
        <v>48727</v>
      </c>
      <c r="AA16" s="5">
        <v>49802</v>
      </c>
      <c r="AB16" s="5">
        <v>50492</v>
      </c>
      <c r="AC16" s="5">
        <v>51149</v>
      </c>
      <c r="AD16" s="5">
        <v>51500</v>
      </c>
      <c r="AE16" s="5">
        <v>51541</v>
      </c>
      <c r="AF16" s="5">
        <v>52156</v>
      </c>
      <c r="AG16" s="63"/>
      <c r="AH16" s="63"/>
      <c r="AI16" s="63"/>
      <c r="AJ16" s="63"/>
      <c r="AK16" s="63"/>
    </row>
    <row r="17" spans="1:37" s="59" customFormat="1" x14ac:dyDescent="0.2">
      <c r="A17" s="28" t="s">
        <v>128</v>
      </c>
      <c r="B17" s="50" t="s">
        <v>127</v>
      </c>
      <c r="C17" s="26">
        <f>C18-C16</f>
        <v>-10548</v>
      </c>
      <c r="D17" s="25">
        <v>-10831</v>
      </c>
      <c r="E17" s="25">
        <v>-11133</v>
      </c>
      <c r="F17" s="25">
        <v>-12259</v>
      </c>
      <c r="G17" s="25">
        <v>-13144</v>
      </c>
      <c r="H17" s="65">
        <f t="shared" si="2"/>
        <v>-14194</v>
      </c>
      <c r="I17" s="65">
        <f t="shared" si="3"/>
        <v>-15646</v>
      </c>
      <c r="J17" s="65">
        <f>AE17</f>
        <v>-17443</v>
      </c>
      <c r="K17" s="60"/>
      <c r="L17" s="25">
        <v>-11451</v>
      </c>
      <c r="M17" s="25">
        <v>-11632</v>
      </c>
      <c r="N17" s="25">
        <v>-12033</v>
      </c>
      <c r="O17" s="25">
        <v>-12259</v>
      </c>
      <c r="P17" s="25">
        <v>-12509</v>
      </c>
      <c r="Q17" s="25">
        <v>-12797</v>
      </c>
      <c r="R17" s="25">
        <v>-12915</v>
      </c>
      <c r="S17" s="25">
        <v>-13144</v>
      </c>
      <c r="T17" s="25">
        <v>-13393</v>
      </c>
      <c r="U17" s="25">
        <v>-13804</v>
      </c>
      <c r="V17" s="25">
        <v>-14019</v>
      </c>
      <c r="W17" s="25">
        <v>-14194</v>
      </c>
      <c r="X17" s="25">
        <v>-14640</v>
      </c>
      <c r="Y17" s="25">
        <v>-15128</v>
      </c>
      <c r="Z17" s="25">
        <v>-15416</v>
      </c>
      <c r="AA17" s="25">
        <v>-15646</v>
      </c>
      <c r="AB17" s="25">
        <v>-16159</v>
      </c>
      <c r="AC17" s="25">
        <v>-16725</v>
      </c>
      <c r="AD17" s="25">
        <v>-17277</v>
      </c>
      <c r="AE17" s="25">
        <v>-17443</v>
      </c>
      <c r="AF17" s="25">
        <v>-17746</v>
      </c>
      <c r="AG17" s="60"/>
      <c r="AH17" s="60"/>
      <c r="AI17" s="60"/>
      <c r="AJ17" s="60"/>
      <c r="AK17" s="60"/>
    </row>
    <row r="18" spans="1:37" s="11" customFormat="1" x14ac:dyDescent="0.2">
      <c r="A18" s="12" t="s">
        <v>126</v>
      </c>
      <c r="B18" s="50" t="s">
        <v>125</v>
      </c>
      <c r="C18" s="21">
        <v>14306</v>
      </c>
      <c r="D18" s="21">
        <v>13402</v>
      </c>
      <c r="E18" s="21">
        <v>19259</v>
      </c>
      <c r="F18" s="21">
        <v>23084</v>
      </c>
      <c r="G18" s="21">
        <v>27510</v>
      </c>
      <c r="H18" s="22">
        <f t="shared" si="2"/>
        <v>31159</v>
      </c>
      <c r="I18" s="22">
        <f t="shared" si="3"/>
        <v>34156</v>
      </c>
      <c r="J18" s="22">
        <f>AE18</f>
        <v>34098</v>
      </c>
      <c r="K18" s="35"/>
      <c r="L18" s="21">
        <v>19944</v>
      </c>
      <c r="M18" s="21">
        <v>21236</v>
      </c>
      <c r="N18" s="21">
        <v>22163</v>
      </c>
      <c r="O18" s="21">
        <v>23084</v>
      </c>
      <c r="P18" s="21">
        <v>24042</v>
      </c>
      <c r="Q18" s="21">
        <v>25288</v>
      </c>
      <c r="R18" s="21">
        <v>26292</v>
      </c>
      <c r="S18" s="21">
        <v>27510</v>
      </c>
      <c r="T18" s="21">
        <v>28633</v>
      </c>
      <c r="U18" s="21">
        <v>29611</v>
      </c>
      <c r="V18" s="21">
        <v>30304</v>
      </c>
      <c r="W18" s="21">
        <v>31159</v>
      </c>
      <c r="X18" s="21">
        <v>32291</v>
      </c>
      <c r="Y18" s="21">
        <v>32993</v>
      </c>
      <c r="Z18" s="21">
        <v>33311</v>
      </c>
      <c r="AA18" s="21">
        <v>34156</v>
      </c>
      <c r="AB18" s="21">
        <v>34333</v>
      </c>
      <c r="AC18" s="21">
        <v>34424</v>
      </c>
      <c r="AD18" s="21">
        <v>34223</v>
      </c>
      <c r="AE18" s="21">
        <v>34098</v>
      </c>
      <c r="AF18" s="21">
        <v>34410</v>
      </c>
      <c r="AG18" s="35"/>
      <c r="AH18" s="35"/>
      <c r="AI18" s="35"/>
      <c r="AJ18" s="35"/>
      <c r="AK18" s="35"/>
    </row>
    <row r="19" spans="1:37" x14ac:dyDescent="0.2">
      <c r="A19" s="8" t="s">
        <v>124</v>
      </c>
      <c r="B19" s="53"/>
      <c r="C19" s="5"/>
      <c r="D19" s="5"/>
      <c r="E19" s="5"/>
      <c r="F19" s="5"/>
      <c r="G19" s="5"/>
      <c r="H19" s="64"/>
      <c r="I19" s="64">
        <f>AA19</f>
        <v>0</v>
      </c>
      <c r="J19" s="64">
        <f>AE19</f>
        <v>9151</v>
      </c>
      <c r="K19" s="63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>
        <v>0</v>
      </c>
      <c r="AB19" s="5"/>
      <c r="AC19" s="5"/>
      <c r="AD19" s="5"/>
      <c r="AE19" s="5">
        <v>9151</v>
      </c>
      <c r="AF19" s="5">
        <v>9124</v>
      </c>
      <c r="AG19" s="63"/>
      <c r="AH19" s="63"/>
      <c r="AI19" s="63"/>
      <c r="AJ19" s="63"/>
      <c r="AK19" s="63"/>
    </row>
    <row r="20" spans="1:37" x14ac:dyDescent="0.2">
      <c r="A20" s="12" t="s">
        <v>123</v>
      </c>
      <c r="B20" s="53"/>
      <c r="C20" s="5"/>
      <c r="D20" s="5"/>
      <c r="E20" s="5"/>
      <c r="F20" s="5"/>
      <c r="G20" s="5"/>
      <c r="H20" s="6"/>
      <c r="I20" s="6"/>
      <c r="J20" s="6"/>
      <c r="K20" s="52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2"/>
      <c r="AH20" s="52"/>
      <c r="AI20" s="52"/>
      <c r="AJ20" s="52"/>
      <c r="AK20" s="52"/>
    </row>
    <row r="21" spans="1:37" x14ac:dyDescent="0.2">
      <c r="A21" s="33" t="s">
        <v>122</v>
      </c>
      <c r="B21" s="53"/>
      <c r="C21" s="5"/>
      <c r="D21" s="5"/>
      <c r="E21" s="5">
        <v>4086</v>
      </c>
      <c r="F21" s="5">
        <v>4091</v>
      </c>
      <c r="G21" s="5">
        <v>4091</v>
      </c>
      <c r="H21" s="6">
        <f t="shared" ref="H21:H26" si="4">W21</f>
        <v>4091</v>
      </c>
      <c r="I21" s="6">
        <f t="shared" ref="I21:I26" si="5">AA21</f>
        <v>4091</v>
      </c>
      <c r="J21" s="6">
        <f>AE21</f>
        <v>4091</v>
      </c>
      <c r="K21" s="52"/>
      <c r="L21" s="5">
        <v>4089</v>
      </c>
      <c r="M21" s="5">
        <v>4089</v>
      </c>
      <c r="N21" s="5">
        <v>4089</v>
      </c>
      <c r="O21" s="5">
        <v>4091</v>
      </c>
      <c r="P21" s="5">
        <v>4091</v>
      </c>
      <c r="Q21" s="5">
        <v>4091</v>
      </c>
      <c r="R21" s="5">
        <v>4091</v>
      </c>
      <c r="S21" s="5">
        <v>4091</v>
      </c>
      <c r="T21" s="5">
        <v>4091</v>
      </c>
      <c r="U21" s="5">
        <v>4091</v>
      </c>
      <c r="V21" s="5">
        <v>4091</v>
      </c>
      <c r="W21" s="5">
        <v>4091</v>
      </c>
      <c r="X21" s="5">
        <v>4091</v>
      </c>
      <c r="Y21" s="5">
        <v>4091</v>
      </c>
      <c r="Z21" s="5">
        <v>4091</v>
      </c>
      <c r="AA21" s="5">
        <v>4091</v>
      </c>
      <c r="AB21" s="5">
        <v>4091</v>
      </c>
      <c r="AC21" s="5">
        <v>4091</v>
      </c>
      <c r="AD21" s="5">
        <v>4091</v>
      </c>
      <c r="AE21" s="5">
        <v>4091</v>
      </c>
      <c r="AF21" s="5">
        <v>4091</v>
      </c>
      <c r="AG21" s="52"/>
      <c r="AH21" s="52"/>
      <c r="AI21" s="52"/>
      <c r="AJ21" s="52"/>
      <c r="AK21" s="52"/>
    </row>
    <row r="22" spans="1:37" s="30" customFormat="1" x14ac:dyDescent="0.2">
      <c r="A22" s="28" t="s">
        <v>121</v>
      </c>
      <c r="B22" s="56"/>
      <c r="C22" s="25">
        <v>894</v>
      </c>
      <c r="D22" s="25">
        <v>869</v>
      </c>
      <c r="E22" s="25">
        <v>2311</v>
      </c>
      <c r="F22" s="25">
        <v>2240</v>
      </c>
      <c r="G22" s="25">
        <v>2249</v>
      </c>
      <c r="H22" s="26">
        <f t="shared" si="4"/>
        <v>2173</v>
      </c>
      <c r="I22" s="26">
        <f t="shared" si="5"/>
        <v>2203</v>
      </c>
      <c r="J22" s="26">
        <f>AE22</f>
        <v>2137</v>
      </c>
      <c r="K22" s="51"/>
      <c r="L22" s="25">
        <v>2319</v>
      </c>
      <c r="M22" s="25">
        <v>2330</v>
      </c>
      <c r="N22" s="25">
        <v>2305</v>
      </c>
      <c r="O22" s="25">
        <v>2240</v>
      </c>
      <c r="P22" s="25">
        <v>2281</v>
      </c>
      <c r="Q22" s="25">
        <v>2274</v>
      </c>
      <c r="R22" s="25">
        <v>2261</v>
      </c>
      <c r="S22" s="25">
        <v>2249</v>
      </c>
      <c r="T22" s="25">
        <v>2236</v>
      </c>
      <c r="U22" s="25">
        <v>2213</v>
      </c>
      <c r="V22" s="25">
        <v>2189</v>
      </c>
      <c r="W22" s="25">
        <v>2173</v>
      </c>
      <c r="X22" s="25">
        <v>2236</v>
      </c>
      <c r="Y22" s="25">
        <v>2224</v>
      </c>
      <c r="Z22" s="25">
        <v>2214</v>
      </c>
      <c r="AA22" s="25">
        <v>2203</v>
      </c>
      <c r="AB22" s="25">
        <v>2193</v>
      </c>
      <c r="AC22" s="25">
        <v>2157</v>
      </c>
      <c r="AD22" s="25">
        <v>2147</v>
      </c>
      <c r="AE22" s="25">
        <v>2137</v>
      </c>
      <c r="AF22" s="25">
        <v>2115</v>
      </c>
      <c r="AG22" s="51"/>
      <c r="AH22" s="51"/>
      <c r="AI22" s="51"/>
      <c r="AJ22" s="51"/>
      <c r="AK22" s="51"/>
    </row>
    <row r="23" spans="1:37" x14ac:dyDescent="0.2">
      <c r="A23" s="8" t="s">
        <v>120</v>
      </c>
      <c r="B23" s="50" t="s">
        <v>119</v>
      </c>
      <c r="C23" s="6">
        <f>SUM(C21:C22)</f>
        <v>894</v>
      </c>
      <c r="D23" s="6">
        <f>SUM(D21:D22)</f>
        <v>869</v>
      </c>
      <c r="E23" s="6">
        <f>SUM(E21:E22)</f>
        <v>6397</v>
      </c>
      <c r="F23" s="6">
        <f>SUM(F21:F22)</f>
        <v>6331</v>
      </c>
      <c r="G23" s="6">
        <f>SUM(G21:G22)</f>
        <v>6340</v>
      </c>
      <c r="H23" s="6">
        <f t="shared" si="4"/>
        <v>6264</v>
      </c>
      <c r="I23" s="6">
        <f t="shared" si="5"/>
        <v>6294</v>
      </c>
      <c r="J23" s="6">
        <f>AE23</f>
        <v>6228</v>
      </c>
      <c r="K23" s="52"/>
      <c r="L23" s="6">
        <f t="shared" ref="L23:AF23" si="6">SUM(L21:L22)</f>
        <v>6408</v>
      </c>
      <c r="M23" s="6">
        <f t="shared" si="6"/>
        <v>6419</v>
      </c>
      <c r="N23" s="6">
        <f t="shared" si="6"/>
        <v>6394</v>
      </c>
      <c r="O23" s="6">
        <f t="shared" si="6"/>
        <v>6331</v>
      </c>
      <c r="P23" s="6">
        <f t="shared" si="6"/>
        <v>6372</v>
      </c>
      <c r="Q23" s="6">
        <f t="shared" si="6"/>
        <v>6365</v>
      </c>
      <c r="R23" s="6">
        <f t="shared" si="6"/>
        <v>6352</v>
      </c>
      <c r="S23" s="6">
        <f t="shared" si="6"/>
        <v>6340</v>
      </c>
      <c r="T23" s="6">
        <f t="shared" si="6"/>
        <v>6327</v>
      </c>
      <c r="U23" s="6">
        <f t="shared" si="6"/>
        <v>6304</v>
      </c>
      <c r="V23" s="6">
        <f t="shared" si="6"/>
        <v>6280</v>
      </c>
      <c r="W23" s="6">
        <f t="shared" si="6"/>
        <v>6264</v>
      </c>
      <c r="X23" s="6">
        <f t="shared" si="6"/>
        <v>6327</v>
      </c>
      <c r="Y23" s="6">
        <f t="shared" si="6"/>
        <v>6315</v>
      </c>
      <c r="Z23" s="6">
        <f t="shared" si="6"/>
        <v>6305</v>
      </c>
      <c r="AA23" s="6">
        <f t="shared" si="6"/>
        <v>6294</v>
      </c>
      <c r="AB23" s="6">
        <f t="shared" si="6"/>
        <v>6284</v>
      </c>
      <c r="AC23" s="6">
        <f t="shared" si="6"/>
        <v>6248</v>
      </c>
      <c r="AD23" s="6">
        <f t="shared" si="6"/>
        <v>6238</v>
      </c>
      <c r="AE23" s="6">
        <f t="shared" si="6"/>
        <v>6228</v>
      </c>
      <c r="AF23" s="6">
        <f t="shared" si="6"/>
        <v>6206</v>
      </c>
      <c r="AG23" s="52"/>
      <c r="AH23" s="52"/>
      <c r="AI23" s="52"/>
      <c r="AJ23" s="52"/>
      <c r="AK23" s="52"/>
    </row>
    <row r="24" spans="1:37" x14ac:dyDescent="0.2">
      <c r="A24" s="8" t="s">
        <v>118</v>
      </c>
      <c r="B24" s="53"/>
      <c r="C24" s="5"/>
      <c r="D24" s="5"/>
      <c r="E24" s="5"/>
      <c r="F24" s="5"/>
      <c r="G24" s="5">
        <v>2477</v>
      </c>
      <c r="H24" s="6">
        <f t="shared" si="4"/>
        <v>1498</v>
      </c>
      <c r="I24" s="6">
        <f t="shared" si="5"/>
        <v>1816</v>
      </c>
      <c r="J24" s="6">
        <f>AE24</f>
        <v>1145</v>
      </c>
      <c r="K24" s="52"/>
      <c r="L24" s="5"/>
      <c r="M24" s="5"/>
      <c r="N24" s="5"/>
      <c r="O24" s="5"/>
      <c r="P24" s="5"/>
      <c r="Q24" s="5"/>
      <c r="R24" s="5"/>
      <c r="S24" s="5">
        <v>2477</v>
      </c>
      <c r="T24" s="5">
        <v>2072</v>
      </c>
      <c r="U24" s="5">
        <v>1965</v>
      </c>
      <c r="V24" s="5">
        <v>1524</v>
      </c>
      <c r="W24" s="5">
        <v>1498</v>
      </c>
      <c r="X24" s="5">
        <v>1379</v>
      </c>
      <c r="Y24" s="5">
        <v>905</v>
      </c>
      <c r="Z24" s="5">
        <v>538</v>
      </c>
      <c r="AA24" s="5">
        <v>1816</v>
      </c>
      <c r="AB24" s="5">
        <v>1581</v>
      </c>
      <c r="AC24" s="5">
        <v>1399</v>
      </c>
      <c r="AD24" s="5">
        <v>1293</v>
      </c>
      <c r="AE24" s="5">
        <v>1145</v>
      </c>
      <c r="AF24" s="5">
        <v>1007</v>
      </c>
      <c r="AG24" s="52"/>
      <c r="AH24" s="52"/>
      <c r="AI24" s="52"/>
      <c r="AJ24" s="52"/>
      <c r="AK24" s="52"/>
    </row>
    <row r="25" spans="1:37" s="30" customFormat="1" x14ac:dyDescent="0.2">
      <c r="A25" s="28" t="s">
        <v>117</v>
      </c>
      <c r="B25" s="56"/>
      <c r="C25" s="25">
        <v>1891</v>
      </c>
      <c r="D25" s="25">
        <v>2167</v>
      </c>
      <c r="E25" s="25">
        <v>2299</v>
      </c>
      <c r="F25" s="25">
        <v>2060</v>
      </c>
      <c r="G25" s="25">
        <v>2103</v>
      </c>
      <c r="H25" s="26">
        <f t="shared" si="4"/>
        <v>2029</v>
      </c>
      <c r="I25" s="26">
        <f t="shared" si="5"/>
        <v>1373</v>
      </c>
      <c r="J25" s="26">
        <f>AE25</f>
        <v>1321</v>
      </c>
      <c r="K25" s="62"/>
      <c r="L25" s="25">
        <v>2192</v>
      </c>
      <c r="M25" s="25">
        <v>2190</v>
      </c>
      <c r="N25" s="25">
        <v>2166</v>
      </c>
      <c r="O25" s="25">
        <v>2060</v>
      </c>
      <c r="P25" s="25">
        <v>2211</v>
      </c>
      <c r="Q25" s="25">
        <v>2106</v>
      </c>
      <c r="R25" s="25">
        <v>2365</v>
      </c>
      <c r="S25" s="25">
        <v>2103</v>
      </c>
      <c r="T25" s="25">
        <v>2075</v>
      </c>
      <c r="U25" s="25">
        <v>1987</v>
      </c>
      <c r="V25" s="25">
        <v>1952</v>
      </c>
      <c r="W25" s="25">
        <v>2029</v>
      </c>
      <c r="X25" s="25">
        <v>2004</v>
      </c>
      <c r="Y25" s="25">
        <v>2107</v>
      </c>
      <c r="Z25" s="25">
        <v>2245</v>
      </c>
      <c r="AA25" s="25">
        <v>1373</v>
      </c>
      <c r="AB25" s="25">
        <v>1409</v>
      </c>
      <c r="AC25" s="25">
        <v>1375</v>
      </c>
      <c r="AD25" s="25">
        <v>1383</v>
      </c>
      <c r="AE25" s="25">
        <v>1321</v>
      </c>
      <c r="AF25" s="25">
        <v>1386</v>
      </c>
      <c r="AG25" s="62"/>
      <c r="AH25" s="62"/>
      <c r="AI25" s="62"/>
      <c r="AJ25" s="62"/>
      <c r="AK25" s="62"/>
    </row>
    <row r="26" spans="1:37" s="59" customFormat="1" x14ac:dyDescent="0.2">
      <c r="A26" s="28" t="s">
        <v>116</v>
      </c>
      <c r="B26" s="61"/>
      <c r="C26" s="25">
        <v>2785</v>
      </c>
      <c r="D26" s="25">
        <v>3036</v>
      </c>
      <c r="E26" s="25">
        <v>8696</v>
      </c>
      <c r="F26" s="25">
        <v>8391</v>
      </c>
      <c r="G26" s="25">
        <v>10920</v>
      </c>
      <c r="H26" s="26">
        <f t="shared" si="4"/>
        <v>9791</v>
      </c>
      <c r="I26" s="26">
        <f t="shared" si="5"/>
        <v>9483</v>
      </c>
      <c r="J26" s="26">
        <f>AE26</f>
        <v>8694</v>
      </c>
      <c r="K26" s="60"/>
      <c r="L26" s="26">
        <f t="shared" ref="L26:S26" si="7">SUM(L23:L25)</f>
        <v>8600</v>
      </c>
      <c r="M26" s="26">
        <f t="shared" si="7"/>
        <v>8609</v>
      </c>
      <c r="N26" s="26">
        <f t="shared" si="7"/>
        <v>8560</v>
      </c>
      <c r="O26" s="26">
        <f t="shared" si="7"/>
        <v>8391</v>
      </c>
      <c r="P26" s="26">
        <f t="shared" si="7"/>
        <v>8583</v>
      </c>
      <c r="Q26" s="26">
        <f t="shared" si="7"/>
        <v>8471</v>
      </c>
      <c r="R26" s="26">
        <f t="shared" si="7"/>
        <v>8717</v>
      </c>
      <c r="S26" s="26">
        <f t="shared" si="7"/>
        <v>10920</v>
      </c>
      <c r="T26" s="25">
        <v>10474</v>
      </c>
      <c r="U26" s="25">
        <v>10256</v>
      </c>
      <c r="V26" s="25">
        <v>9756</v>
      </c>
      <c r="W26" s="25">
        <v>9791</v>
      </c>
      <c r="X26" s="25">
        <v>9710</v>
      </c>
      <c r="Y26" s="25">
        <v>9327</v>
      </c>
      <c r="Z26" s="25">
        <v>9088</v>
      </c>
      <c r="AA26" s="25">
        <v>9483</v>
      </c>
      <c r="AB26" s="25">
        <v>9274</v>
      </c>
      <c r="AC26" s="25">
        <v>9022</v>
      </c>
      <c r="AD26" s="25">
        <v>8914</v>
      </c>
      <c r="AE26" s="25">
        <v>8694</v>
      </c>
      <c r="AF26" s="25">
        <v>8599</v>
      </c>
      <c r="AG26" s="60"/>
      <c r="AH26" s="60"/>
      <c r="AI26" s="60"/>
      <c r="AJ26" s="60"/>
      <c r="AK26" s="60"/>
    </row>
    <row r="27" spans="1:37" s="11" customFormat="1" x14ac:dyDescent="0.2">
      <c r="A27" s="12" t="s">
        <v>115</v>
      </c>
      <c r="B27" s="50" t="s">
        <v>114</v>
      </c>
      <c r="C27" s="21">
        <v>23848</v>
      </c>
      <c r="D27" s="21">
        <v>23510</v>
      </c>
      <c r="E27" s="21">
        <v>42278</v>
      </c>
      <c r="F27" s="21">
        <v>43225</v>
      </c>
      <c r="G27" s="21">
        <v>48415</v>
      </c>
      <c r="H27" s="22">
        <f>W27</f>
        <v>51274</v>
      </c>
      <c r="I27" s="22">
        <f>AA27</f>
        <v>52785</v>
      </c>
      <c r="J27" s="22">
        <f>AE27</f>
        <v>60580</v>
      </c>
      <c r="K27" s="58"/>
      <c r="L27" s="21">
        <v>43737</v>
      </c>
      <c r="M27" s="21">
        <v>44811</v>
      </c>
      <c r="N27" s="21">
        <v>44173</v>
      </c>
      <c r="O27" s="21">
        <v>43225</v>
      </c>
      <c r="P27" s="21">
        <v>46754</v>
      </c>
      <c r="Q27" s="21">
        <v>47868</v>
      </c>
      <c r="R27" s="21">
        <v>48715</v>
      </c>
      <c r="S27" s="21">
        <v>48415</v>
      </c>
      <c r="T27" s="21">
        <v>49909</v>
      </c>
      <c r="U27" s="21">
        <v>51051</v>
      </c>
      <c r="V27" s="21">
        <v>51108</v>
      </c>
      <c r="W27" s="21">
        <v>51274</v>
      </c>
      <c r="X27" s="21">
        <v>52627</v>
      </c>
      <c r="Y27" s="21">
        <v>53336</v>
      </c>
      <c r="Z27" s="21">
        <v>52401</v>
      </c>
      <c r="AA27" s="21">
        <v>52785</v>
      </c>
      <c r="AB27" s="21">
        <v>53280</v>
      </c>
      <c r="AC27" s="21">
        <v>52622</v>
      </c>
      <c r="AD27" s="21">
        <v>52635</v>
      </c>
      <c r="AE27" s="21">
        <v>60580</v>
      </c>
      <c r="AF27" s="21">
        <v>60787</v>
      </c>
      <c r="AG27" s="58"/>
      <c r="AH27" s="58"/>
      <c r="AI27" s="58"/>
      <c r="AJ27" s="58"/>
      <c r="AK27" s="58"/>
    </row>
    <row r="28" spans="1:37" x14ac:dyDescent="0.2">
      <c r="A28" s="12" t="s">
        <v>113</v>
      </c>
      <c r="B28" s="53"/>
      <c r="C28" s="5"/>
      <c r="D28" s="5"/>
      <c r="E28" s="5"/>
      <c r="F28" s="5"/>
      <c r="G28" s="5"/>
      <c r="H28" s="5"/>
      <c r="I28" s="5"/>
      <c r="J28" s="5"/>
      <c r="K28" s="52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2"/>
      <c r="AH28" s="52"/>
      <c r="AI28" s="52"/>
      <c r="AJ28" s="52"/>
      <c r="AK28" s="52"/>
    </row>
    <row r="29" spans="1:37" s="9" customFormat="1" x14ac:dyDescent="0.2">
      <c r="A29" s="8" t="s">
        <v>112</v>
      </c>
      <c r="B29" s="47"/>
      <c r="C29" s="5">
        <v>1518</v>
      </c>
      <c r="D29" s="5">
        <v>1419</v>
      </c>
      <c r="E29" s="5">
        <v>1446</v>
      </c>
      <c r="F29" s="5">
        <v>1677</v>
      </c>
      <c r="G29" s="5">
        <v>2231</v>
      </c>
      <c r="H29" s="6">
        <f>W29</f>
        <v>1855</v>
      </c>
      <c r="I29" s="6">
        <f t="shared" ref="I29:I36" si="8">AA29</f>
        <v>2554</v>
      </c>
      <c r="J29" s="6">
        <f>AE29</f>
        <v>3294</v>
      </c>
      <c r="K29" s="57"/>
      <c r="L29" s="5">
        <v>1441</v>
      </c>
      <c r="M29" s="5">
        <v>1523</v>
      </c>
      <c r="N29" s="5">
        <v>1439</v>
      </c>
      <c r="O29" s="5">
        <v>1677</v>
      </c>
      <c r="P29" s="5">
        <v>1284</v>
      </c>
      <c r="Q29" s="5">
        <v>1642</v>
      </c>
      <c r="R29" s="5">
        <v>1712</v>
      </c>
      <c r="S29" s="5">
        <v>2231</v>
      </c>
      <c r="T29" s="5">
        <v>2610</v>
      </c>
      <c r="U29" s="5">
        <v>1715</v>
      </c>
      <c r="V29" s="5">
        <v>1798</v>
      </c>
      <c r="W29" s="5">
        <v>1855</v>
      </c>
      <c r="X29" s="5">
        <v>1714</v>
      </c>
      <c r="Y29" s="5">
        <v>2334</v>
      </c>
      <c r="Z29" s="5">
        <v>2467</v>
      </c>
      <c r="AA29" s="5">
        <v>2554</v>
      </c>
      <c r="AB29" s="5">
        <v>2793</v>
      </c>
      <c r="AC29" s="5">
        <v>2213</v>
      </c>
      <c r="AD29" s="5">
        <v>2493</v>
      </c>
      <c r="AE29" s="5">
        <v>3294</v>
      </c>
      <c r="AF29" s="5">
        <v>3370</v>
      </c>
      <c r="AG29" s="57"/>
      <c r="AH29" s="57"/>
      <c r="AI29" s="57"/>
      <c r="AJ29" s="57"/>
      <c r="AK29" s="57"/>
    </row>
    <row r="30" spans="1:37" x14ac:dyDescent="0.2">
      <c r="A30" s="8" t="s">
        <v>111</v>
      </c>
      <c r="B30" s="50" t="s">
        <v>110</v>
      </c>
      <c r="C30" s="5">
        <v>1007</v>
      </c>
      <c r="D30" s="5">
        <v>975</v>
      </c>
      <c r="E30" s="5">
        <v>1368</v>
      </c>
      <c r="F30" s="5">
        <v>1377</v>
      </c>
      <c r="G30" s="5">
        <v>1563</v>
      </c>
      <c r="H30" s="6">
        <f>W30</f>
        <v>1592</v>
      </c>
      <c r="I30" s="6">
        <f t="shared" si="8"/>
        <v>1688</v>
      </c>
      <c r="J30" s="6">
        <f>AE30</f>
        <v>1773</v>
      </c>
      <c r="K30" s="52"/>
      <c r="L30" s="5">
        <v>1646</v>
      </c>
      <c r="M30" s="5">
        <v>1653</v>
      </c>
      <c r="N30" s="5">
        <v>1498</v>
      </c>
      <c r="O30" s="5">
        <v>1377</v>
      </c>
      <c r="P30" s="5">
        <v>1587</v>
      </c>
      <c r="Q30" s="5">
        <v>1683</v>
      </c>
      <c r="R30" s="5">
        <v>1525</v>
      </c>
      <c r="S30" s="5">
        <v>1563</v>
      </c>
      <c r="T30" s="5">
        <v>1913</v>
      </c>
      <c r="U30" s="5">
        <v>1944</v>
      </c>
      <c r="V30" s="5">
        <v>1673</v>
      </c>
      <c r="W30" s="5">
        <v>1592</v>
      </c>
      <c r="X30" s="5">
        <v>1882</v>
      </c>
      <c r="Y30" s="5">
        <v>1924</v>
      </c>
      <c r="Z30" s="5">
        <v>1638</v>
      </c>
      <c r="AA30" s="5">
        <v>1688</v>
      </c>
      <c r="AB30" s="5">
        <v>1953</v>
      </c>
      <c r="AC30" s="5">
        <v>2053</v>
      </c>
      <c r="AD30" s="5">
        <v>1886</v>
      </c>
      <c r="AE30" s="5">
        <v>1773</v>
      </c>
      <c r="AF30" s="5">
        <v>2139</v>
      </c>
      <c r="AG30" s="52"/>
      <c r="AH30" s="52"/>
      <c r="AI30" s="52"/>
      <c r="AJ30" s="52"/>
      <c r="AK30" s="52"/>
    </row>
    <row r="31" spans="1:37" x14ac:dyDescent="0.2">
      <c r="A31" s="8" t="s">
        <v>109</v>
      </c>
      <c r="B31" s="53"/>
      <c r="C31" s="5">
        <v>524</v>
      </c>
      <c r="D31" s="5">
        <v>666</v>
      </c>
      <c r="E31" s="5">
        <v>1143</v>
      </c>
      <c r="F31" s="5">
        <v>1194</v>
      </c>
      <c r="G31" s="5">
        <v>1205</v>
      </c>
      <c r="H31" s="6">
        <f>W31</f>
        <v>1516</v>
      </c>
      <c r="I31" s="6">
        <f t="shared" si="8"/>
        <v>1672</v>
      </c>
      <c r="J31" s="6">
        <f>AE31</f>
        <v>1427</v>
      </c>
      <c r="K31" s="52"/>
      <c r="L31" s="5">
        <v>908</v>
      </c>
      <c r="M31" s="5">
        <v>961</v>
      </c>
      <c r="N31" s="5">
        <v>1054</v>
      </c>
      <c r="O31" s="5">
        <v>1194</v>
      </c>
      <c r="P31" s="5">
        <v>1009</v>
      </c>
      <c r="Q31" s="5">
        <v>1040</v>
      </c>
      <c r="R31" s="5">
        <v>1162</v>
      </c>
      <c r="S31" s="5">
        <v>1205</v>
      </c>
      <c r="T31" s="5">
        <v>1183</v>
      </c>
      <c r="U31" s="5">
        <v>1327</v>
      </c>
      <c r="V31" s="5">
        <v>1365</v>
      </c>
      <c r="W31" s="5">
        <v>1516</v>
      </c>
      <c r="X31" s="5">
        <v>1064</v>
      </c>
      <c r="Y31" s="5">
        <v>1295</v>
      </c>
      <c r="Z31" s="5">
        <v>1413</v>
      </c>
      <c r="AA31" s="5">
        <v>1672</v>
      </c>
      <c r="AB31" s="5">
        <v>1178</v>
      </c>
      <c r="AC31" s="5">
        <v>1299</v>
      </c>
      <c r="AD31" s="5">
        <v>1386</v>
      </c>
      <c r="AE31" s="5">
        <v>1427</v>
      </c>
      <c r="AF31" s="5">
        <v>1217</v>
      </c>
      <c r="AG31" s="52"/>
      <c r="AH31" s="52"/>
      <c r="AI31" s="52"/>
      <c r="AJ31" s="52"/>
      <c r="AK31" s="52"/>
    </row>
    <row r="32" spans="1:37" x14ac:dyDescent="0.2">
      <c r="A32" s="8" t="s">
        <v>108</v>
      </c>
      <c r="B32" s="53"/>
      <c r="C32" s="5">
        <v>4223</v>
      </c>
      <c r="D32" s="5">
        <v>2813</v>
      </c>
      <c r="E32" s="5">
        <v>4380</v>
      </c>
      <c r="F32" s="5">
        <v>4252</v>
      </c>
      <c r="G32" s="5">
        <v>3747</v>
      </c>
      <c r="H32" s="6">
        <f>W32</f>
        <v>3912</v>
      </c>
      <c r="I32" s="6">
        <f t="shared" si="8"/>
        <v>4042</v>
      </c>
      <c r="J32" s="6">
        <f>AE32</f>
        <v>4339</v>
      </c>
      <c r="K32" s="52"/>
      <c r="L32" s="5">
        <v>5686</v>
      </c>
      <c r="M32" s="5">
        <v>5683</v>
      </c>
      <c r="N32" s="5">
        <v>4952</v>
      </c>
      <c r="O32" s="5">
        <v>4252</v>
      </c>
      <c r="P32" s="5">
        <v>5415</v>
      </c>
      <c r="Q32" s="5">
        <v>5664</v>
      </c>
      <c r="R32" s="5">
        <v>4811</v>
      </c>
      <c r="S32" s="5">
        <v>3747</v>
      </c>
      <c r="T32" s="5">
        <v>4692</v>
      </c>
      <c r="U32" s="5">
        <v>4984</v>
      </c>
      <c r="V32" s="5">
        <v>4513</v>
      </c>
      <c r="W32" s="5">
        <v>3912</v>
      </c>
      <c r="X32" s="5">
        <v>5298</v>
      </c>
      <c r="Y32" s="5">
        <v>5222</v>
      </c>
      <c r="Z32" s="5">
        <v>4653</v>
      </c>
      <c r="AA32" s="5">
        <v>4042</v>
      </c>
      <c r="AB32" s="5">
        <v>5549</v>
      </c>
      <c r="AC32" s="5">
        <v>5512</v>
      </c>
      <c r="AD32" s="5">
        <v>5040</v>
      </c>
      <c r="AE32" s="5">
        <v>4339</v>
      </c>
      <c r="AF32" s="5">
        <v>5930</v>
      </c>
      <c r="AG32" s="52"/>
      <c r="AH32" s="52"/>
      <c r="AI32" s="52"/>
      <c r="AJ32" s="52"/>
      <c r="AK32" s="52"/>
    </row>
    <row r="33" spans="1:37" x14ac:dyDescent="0.2">
      <c r="A33" s="8" t="s">
        <v>100</v>
      </c>
      <c r="B33" s="53"/>
      <c r="C33" s="5"/>
      <c r="D33" s="5">
        <v>1711</v>
      </c>
      <c r="E33" s="5">
        <v>3005</v>
      </c>
      <c r="F33" s="5">
        <v>2807</v>
      </c>
      <c r="G33" s="5">
        <v>2525</v>
      </c>
      <c r="H33" s="6">
        <f>W33</f>
        <v>2789</v>
      </c>
      <c r="I33" s="6">
        <f t="shared" si="8"/>
        <v>3121</v>
      </c>
      <c r="J33" s="6">
        <f>AE33</f>
        <v>3267</v>
      </c>
      <c r="K33" s="52"/>
      <c r="L33" s="5">
        <v>2951</v>
      </c>
      <c r="M33" s="5">
        <v>2879</v>
      </c>
      <c r="N33" s="5">
        <v>2871</v>
      </c>
      <c r="O33" s="5">
        <v>2807</v>
      </c>
      <c r="P33" s="5">
        <v>2776</v>
      </c>
      <c r="Q33" s="5">
        <v>2745</v>
      </c>
      <c r="R33" s="5">
        <v>2649</v>
      </c>
      <c r="S33" s="5">
        <v>2525</v>
      </c>
      <c r="T33" s="5">
        <v>2535</v>
      </c>
      <c r="U33" s="5">
        <v>2511</v>
      </c>
      <c r="V33" s="5">
        <v>2950</v>
      </c>
      <c r="W33" s="5">
        <v>2789</v>
      </c>
      <c r="X33" s="5">
        <v>3056</v>
      </c>
      <c r="Y33" s="5">
        <v>3014</v>
      </c>
      <c r="Z33" s="5">
        <v>2893</v>
      </c>
      <c r="AA33" s="5">
        <v>3121</v>
      </c>
      <c r="AB33" s="5">
        <v>3176</v>
      </c>
      <c r="AC33" s="5">
        <v>3191</v>
      </c>
      <c r="AD33" s="5">
        <v>3242</v>
      </c>
      <c r="AE33" s="5">
        <v>3267</v>
      </c>
      <c r="AF33" s="5">
        <v>3354</v>
      </c>
      <c r="AG33" s="52"/>
      <c r="AH33" s="52"/>
      <c r="AI33" s="52"/>
      <c r="AJ33" s="52"/>
      <c r="AK33" s="52"/>
    </row>
    <row r="34" spans="1:37" x14ac:dyDescent="0.2">
      <c r="A34" s="8" t="s">
        <v>99</v>
      </c>
      <c r="B34" s="53"/>
      <c r="C34" s="5"/>
      <c r="D34" s="5"/>
      <c r="E34" s="5"/>
      <c r="F34" s="5"/>
      <c r="G34" s="5"/>
      <c r="H34" s="6"/>
      <c r="I34" s="6">
        <f t="shared" si="8"/>
        <v>0</v>
      </c>
      <c r="J34" s="6">
        <f>AE34</f>
        <v>1654</v>
      </c>
      <c r="K34" s="52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>
        <v>0</v>
      </c>
      <c r="AB34" s="5"/>
      <c r="AC34" s="5"/>
      <c r="AD34" s="5"/>
      <c r="AE34" s="5">
        <v>1654</v>
      </c>
      <c r="AF34" s="5">
        <v>1629</v>
      </c>
      <c r="AG34" s="52"/>
      <c r="AH34" s="52"/>
      <c r="AI34" s="52"/>
      <c r="AJ34" s="52"/>
      <c r="AK34" s="52"/>
    </row>
    <row r="35" spans="1:37" s="30" customFormat="1" x14ac:dyDescent="0.2">
      <c r="A35" s="28" t="s">
        <v>107</v>
      </c>
      <c r="B35" s="56"/>
      <c r="C35" s="25">
        <v>1358</v>
      </c>
      <c r="D35" s="25">
        <v>1427</v>
      </c>
      <c r="E35" s="25">
        <v>2464</v>
      </c>
      <c r="F35" s="25">
        <v>2097</v>
      </c>
      <c r="G35" s="25">
        <v>2334</v>
      </c>
      <c r="H35" s="26">
        <f>W35</f>
        <v>2208</v>
      </c>
      <c r="I35" s="26">
        <f t="shared" si="8"/>
        <v>2281</v>
      </c>
      <c r="J35" s="26">
        <f>AE35</f>
        <v>2342</v>
      </c>
      <c r="K35" s="51"/>
      <c r="L35" s="25">
        <v>2447</v>
      </c>
      <c r="M35" s="25">
        <v>2389</v>
      </c>
      <c r="N35" s="25">
        <v>2074</v>
      </c>
      <c r="O35" s="25">
        <v>2097</v>
      </c>
      <c r="P35" s="25">
        <v>2162</v>
      </c>
      <c r="Q35" s="25">
        <v>2271</v>
      </c>
      <c r="R35" s="25">
        <v>2302</v>
      </c>
      <c r="S35" s="25">
        <v>2334</v>
      </c>
      <c r="T35" s="25">
        <v>2344</v>
      </c>
      <c r="U35" s="25">
        <v>2436</v>
      </c>
      <c r="V35" s="25">
        <v>2234</v>
      </c>
      <c r="W35" s="25">
        <v>2208</v>
      </c>
      <c r="X35" s="25">
        <v>2272</v>
      </c>
      <c r="Y35" s="25">
        <v>2323</v>
      </c>
      <c r="Z35" s="25">
        <v>2243</v>
      </c>
      <c r="AA35" s="25">
        <v>2281</v>
      </c>
      <c r="AB35" s="25">
        <v>2359</v>
      </c>
      <c r="AC35" s="25">
        <v>2401</v>
      </c>
      <c r="AD35" s="25">
        <v>2301</v>
      </c>
      <c r="AE35" s="25">
        <v>2342</v>
      </c>
      <c r="AF35" s="25">
        <v>2210</v>
      </c>
      <c r="AG35" s="51"/>
      <c r="AH35" s="51"/>
      <c r="AI35" s="51"/>
      <c r="AJ35" s="51"/>
      <c r="AK35" s="51"/>
    </row>
    <row r="36" spans="1:37" s="11" customFormat="1" x14ac:dyDescent="0.2">
      <c r="A36" s="12" t="s">
        <v>106</v>
      </c>
      <c r="B36" s="50" t="s">
        <v>105</v>
      </c>
      <c r="C36" s="21">
        <v>8630</v>
      </c>
      <c r="D36" s="21">
        <v>9011</v>
      </c>
      <c r="E36" s="21">
        <v>13806</v>
      </c>
      <c r="F36" s="21">
        <v>13404</v>
      </c>
      <c r="G36" s="21">
        <v>13605</v>
      </c>
      <c r="H36" s="22">
        <f>W36</f>
        <v>13872</v>
      </c>
      <c r="I36" s="22">
        <f t="shared" si="8"/>
        <v>15358</v>
      </c>
      <c r="J36" s="22">
        <f>AE36</f>
        <v>18096</v>
      </c>
      <c r="K36" s="35"/>
      <c r="L36" s="21">
        <v>15079</v>
      </c>
      <c r="M36" s="21">
        <v>15088</v>
      </c>
      <c r="N36" s="21">
        <v>13888</v>
      </c>
      <c r="O36" s="21">
        <v>13404</v>
      </c>
      <c r="P36" s="21">
        <v>14233</v>
      </c>
      <c r="Q36" s="21">
        <v>15045</v>
      </c>
      <c r="R36" s="21">
        <v>14161</v>
      </c>
      <c r="S36" s="21">
        <v>13605</v>
      </c>
      <c r="T36" s="21">
        <v>15277</v>
      </c>
      <c r="U36" s="21">
        <v>14917</v>
      </c>
      <c r="V36" s="21">
        <v>14533</v>
      </c>
      <c r="W36" s="21">
        <v>13872</v>
      </c>
      <c r="X36" s="21">
        <v>15286</v>
      </c>
      <c r="Y36" s="21">
        <v>16112</v>
      </c>
      <c r="Z36" s="21">
        <v>15307</v>
      </c>
      <c r="AA36" s="21">
        <v>15358</v>
      </c>
      <c r="AB36" s="21">
        <v>17008</v>
      </c>
      <c r="AC36" s="21">
        <v>16669</v>
      </c>
      <c r="AD36" s="21">
        <v>16348</v>
      </c>
      <c r="AE36" s="21">
        <v>18096</v>
      </c>
      <c r="AF36" s="21">
        <v>19849</v>
      </c>
      <c r="AG36" s="35"/>
      <c r="AH36" s="35"/>
      <c r="AI36" s="35"/>
      <c r="AJ36" s="35"/>
      <c r="AK36" s="35"/>
    </row>
    <row r="37" spans="1:37" s="30" customFormat="1" x14ac:dyDescent="0.2">
      <c r="A37" s="12" t="s">
        <v>104</v>
      </c>
      <c r="B37" s="56"/>
      <c r="C37" s="5"/>
      <c r="D37" s="5"/>
      <c r="E37" s="5"/>
      <c r="F37" s="5"/>
      <c r="G37" s="5"/>
      <c r="H37" s="5"/>
      <c r="I37" s="5"/>
      <c r="J37" s="5"/>
      <c r="K37" s="51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1"/>
      <c r="AH37" s="51"/>
      <c r="AI37" s="51"/>
      <c r="AJ37" s="51"/>
      <c r="AK37" s="51"/>
    </row>
    <row r="38" spans="1:37" s="11" customFormat="1" x14ac:dyDescent="0.2">
      <c r="A38" s="8" t="s">
        <v>103</v>
      </c>
      <c r="B38" s="53"/>
      <c r="C38" s="5">
        <v>6702</v>
      </c>
      <c r="D38" s="5">
        <v>7116</v>
      </c>
      <c r="E38" s="5">
        <v>15353</v>
      </c>
      <c r="F38" s="5">
        <v>16043</v>
      </c>
      <c r="G38" s="5">
        <v>18330</v>
      </c>
      <c r="H38" s="6">
        <f>W38</f>
        <v>22489</v>
      </c>
      <c r="I38" s="6">
        <f>AA38</f>
        <v>22511</v>
      </c>
      <c r="J38" s="6">
        <f>AE38</f>
        <v>21179</v>
      </c>
      <c r="K38" s="35"/>
      <c r="L38" s="5">
        <v>15244</v>
      </c>
      <c r="M38" s="5">
        <v>15205</v>
      </c>
      <c r="N38" s="5">
        <v>15651</v>
      </c>
      <c r="O38" s="5">
        <v>16043</v>
      </c>
      <c r="P38" s="5">
        <v>17638</v>
      </c>
      <c r="Q38" s="5">
        <v>17152</v>
      </c>
      <c r="R38" s="5">
        <v>18849</v>
      </c>
      <c r="S38" s="5">
        <v>18330</v>
      </c>
      <c r="T38" s="5">
        <v>19134</v>
      </c>
      <c r="U38" s="5">
        <v>21131</v>
      </c>
      <c r="V38" s="5">
        <v>21545</v>
      </c>
      <c r="W38" s="5">
        <v>22489</v>
      </c>
      <c r="X38" s="5">
        <v>22829</v>
      </c>
      <c r="Y38" s="5">
        <v>22525</v>
      </c>
      <c r="Z38" s="5">
        <v>22217</v>
      </c>
      <c r="AA38" s="5">
        <v>22511</v>
      </c>
      <c r="AB38" s="5">
        <v>21946</v>
      </c>
      <c r="AC38" s="5">
        <v>21863</v>
      </c>
      <c r="AD38" s="5">
        <v>22274</v>
      </c>
      <c r="AE38" s="5">
        <v>21179</v>
      </c>
      <c r="AF38" s="5">
        <v>20660</v>
      </c>
      <c r="AG38" s="35"/>
      <c r="AH38" s="35"/>
      <c r="AI38" s="35"/>
      <c r="AJ38" s="35"/>
      <c r="AK38" s="35"/>
    </row>
    <row r="39" spans="1:37" s="9" customFormat="1" x14ac:dyDescent="0.2">
      <c r="A39" s="8" t="s">
        <v>102</v>
      </c>
      <c r="B39" s="47"/>
      <c r="C39" s="5">
        <v>9204</v>
      </c>
      <c r="D39" s="5">
        <v>6780</v>
      </c>
      <c r="E39" s="5">
        <v>5828</v>
      </c>
      <c r="F39" s="5">
        <v>7562</v>
      </c>
      <c r="G39" s="5">
        <v>7450</v>
      </c>
      <c r="H39" s="6">
        <f>W39</f>
        <v>7842</v>
      </c>
      <c r="I39" s="6">
        <f>AA39</f>
        <v>7497</v>
      </c>
      <c r="J39" s="6">
        <f>AE39</f>
        <v>6907</v>
      </c>
      <c r="K39" s="57"/>
      <c r="L39" s="5">
        <v>5766</v>
      </c>
      <c r="M39" s="5">
        <v>5704</v>
      </c>
      <c r="N39" s="5">
        <v>4964</v>
      </c>
      <c r="O39" s="5">
        <v>7562</v>
      </c>
      <c r="P39" s="5">
        <v>7517</v>
      </c>
      <c r="Q39" s="5">
        <v>7477</v>
      </c>
      <c r="R39" s="5">
        <v>7433</v>
      </c>
      <c r="S39" s="5">
        <v>7450</v>
      </c>
      <c r="T39" s="5">
        <v>7440</v>
      </c>
      <c r="U39" s="5">
        <v>7426</v>
      </c>
      <c r="V39" s="5">
        <v>7387</v>
      </c>
      <c r="W39" s="5">
        <v>7842</v>
      </c>
      <c r="X39" s="5">
        <v>7808</v>
      </c>
      <c r="Y39" s="5">
        <v>7500</v>
      </c>
      <c r="Z39" s="5">
        <v>7467</v>
      </c>
      <c r="AA39" s="5">
        <v>7497</v>
      </c>
      <c r="AB39" s="5">
        <v>7259</v>
      </c>
      <c r="AC39" s="5">
        <v>7118</v>
      </c>
      <c r="AD39" s="5">
        <v>6898</v>
      </c>
      <c r="AE39" s="5">
        <v>6907</v>
      </c>
      <c r="AF39" s="5">
        <v>6519</v>
      </c>
      <c r="AG39" s="57"/>
      <c r="AH39" s="57"/>
      <c r="AI39" s="57"/>
      <c r="AJ39" s="57"/>
      <c r="AK39" s="57"/>
    </row>
    <row r="40" spans="1:37" s="9" customFormat="1" x14ac:dyDescent="0.2">
      <c r="A40" s="8" t="s">
        <v>101</v>
      </c>
      <c r="B40" s="47"/>
      <c r="C40" s="5">
        <v>110</v>
      </c>
      <c r="D40" s="5">
        <v>223</v>
      </c>
      <c r="E40" s="5">
        <v>935</v>
      </c>
      <c r="F40" s="5">
        <v>829</v>
      </c>
      <c r="G40" s="5">
        <v>667</v>
      </c>
      <c r="H40" s="6"/>
      <c r="I40" s="6"/>
      <c r="J40" s="6"/>
      <c r="K40" s="57"/>
      <c r="L40" s="5">
        <v>990</v>
      </c>
      <c r="M40" s="5">
        <v>905</v>
      </c>
      <c r="N40" s="5">
        <v>871</v>
      </c>
      <c r="O40" s="5">
        <v>829</v>
      </c>
      <c r="P40" s="5">
        <v>788</v>
      </c>
      <c r="Q40" s="5">
        <v>746</v>
      </c>
      <c r="R40" s="5">
        <v>709</v>
      </c>
      <c r="S40" s="5">
        <v>667</v>
      </c>
      <c r="T40" s="5">
        <v>625</v>
      </c>
      <c r="U40" s="5">
        <v>590</v>
      </c>
      <c r="V40" s="5">
        <v>554</v>
      </c>
      <c r="W40" s="5"/>
      <c r="X40" s="5">
        <v>494</v>
      </c>
      <c r="Y40" s="5"/>
      <c r="Z40" s="5"/>
      <c r="AA40" s="5"/>
      <c r="AB40" s="5"/>
      <c r="AC40" s="5"/>
      <c r="AD40" s="5"/>
      <c r="AE40" s="5"/>
      <c r="AF40" s="5"/>
      <c r="AG40" s="57"/>
      <c r="AH40" s="57"/>
      <c r="AI40" s="57"/>
      <c r="AJ40" s="57"/>
      <c r="AK40" s="57"/>
    </row>
    <row r="41" spans="1:37" x14ac:dyDescent="0.2">
      <c r="A41" s="8" t="s">
        <v>100</v>
      </c>
      <c r="B41" s="53"/>
      <c r="C41" s="5"/>
      <c r="D41" s="5"/>
      <c r="E41" s="5"/>
      <c r="F41" s="5"/>
      <c r="G41" s="5"/>
      <c r="H41" s="6"/>
      <c r="I41" s="6">
        <f>AA41</f>
        <v>5701</v>
      </c>
      <c r="J41" s="6">
        <f>AE41</f>
        <v>5272</v>
      </c>
      <c r="K41" s="52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>
        <v>5701</v>
      </c>
      <c r="AB41" s="5">
        <v>5610</v>
      </c>
      <c r="AC41" s="5">
        <v>5484</v>
      </c>
      <c r="AD41" s="5">
        <v>5317</v>
      </c>
      <c r="AE41" s="5">
        <v>5272</v>
      </c>
      <c r="AF41" s="5">
        <v>5214</v>
      </c>
      <c r="AG41" s="52"/>
      <c r="AH41" s="52"/>
      <c r="AI41" s="52"/>
      <c r="AJ41" s="52"/>
      <c r="AK41" s="52"/>
    </row>
    <row r="42" spans="1:37" x14ac:dyDescent="0.2">
      <c r="A42" s="8" t="s">
        <v>99</v>
      </c>
      <c r="B42" s="53"/>
      <c r="C42" s="5"/>
      <c r="D42" s="5"/>
      <c r="E42" s="5"/>
      <c r="F42" s="5"/>
      <c r="G42" s="5"/>
      <c r="H42" s="6"/>
      <c r="I42" s="6">
        <f>AA42</f>
        <v>0</v>
      </c>
      <c r="J42" s="6">
        <f>AE42</f>
        <v>7902</v>
      </c>
      <c r="K42" s="52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>
        <v>0</v>
      </c>
      <c r="AB42" s="5"/>
      <c r="AC42" s="5"/>
      <c r="AD42" s="5"/>
      <c r="AE42" s="5">
        <v>7902</v>
      </c>
      <c r="AF42" s="5">
        <v>7785</v>
      </c>
      <c r="AG42" s="52"/>
      <c r="AH42" s="52"/>
      <c r="AI42" s="52"/>
      <c r="AJ42" s="52"/>
      <c r="AK42" s="52"/>
    </row>
    <row r="43" spans="1:37" x14ac:dyDescent="0.2">
      <c r="A43" s="8" t="s">
        <v>98</v>
      </c>
      <c r="B43" s="53"/>
      <c r="C43" s="5"/>
      <c r="D43" s="5"/>
      <c r="E43" s="5">
        <v>5928</v>
      </c>
      <c r="F43" s="5">
        <v>325</v>
      </c>
      <c r="G43" s="5"/>
      <c r="H43" s="6"/>
      <c r="I43" s="6"/>
      <c r="J43" s="6"/>
      <c r="K43" s="52"/>
      <c r="L43" s="5">
        <v>2322</v>
      </c>
      <c r="M43" s="5">
        <v>415</v>
      </c>
      <c r="N43" s="5">
        <v>239</v>
      </c>
      <c r="O43" s="5">
        <v>325</v>
      </c>
      <c r="P43" s="5">
        <v>275</v>
      </c>
      <c r="Q43" s="5">
        <v>208</v>
      </c>
      <c r="R43" s="5">
        <v>177</v>
      </c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2"/>
      <c r="AH43" s="52"/>
      <c r="AI43" s="52"/>
      <c r="AJ43" s="52"/>
      <c r="AK43" s="52"/>
    </row>
    <row r="44" spans="1:37" s="30" customFormat="1" x14ac:dyDescent="0.2">
      <c r="A44" s="28" t="s">
        <v>97</v>
      </c>
      <c r="B44" s="56"/>
      <c r="C44" s="25">
        <v>1470</v>
      </c>
      <c r="D44" s="25">
        <v>1761</v>
      </c>
      <c r="E44" s="25">
        <v>3159</v>
      </c>
      <c r="F44" s="25">
        <v>3041</v>
      </c>
      <c r="G44" s="25">
        <v>2728</v>
      </c>
      <c r="H44" s="26">
        <f>W44</f>
        <v>3286</v>
      </c>
      <c r="I44" s="26">
        <f>AA44</f>
        <v>2498</v>
      </c>
      <c r="J44" s="26">
        <f>AE44</f>
        <v>1393</v>
      </c>
      <c r="K44" s="51"/>
      <c r="L44" s="25">
        <v>3241</v>
      </c>
      <c r="M44" s="25">
        <v>3408</v>
      </c>
      <c r="N44" s="25">
        <v>3589</v>
      </c>
      <c r="O44" s="25">
        <v>3041</v>
      </c>
      <c r="P44" s="25">
        <v>3539</v>
      </c>
      <c r="Q44" s="25">
        <v>3604</v>
      </c>
      <c r="R44" s="25">
        <v>3624</v>
      </c>
      <c r="S44" s="25">
        <v>2728</v>
      </c>
      <c r="T44" s="25">
        <v>2723</v>
      </c>
      <c r="U44" s="25">
        <v>2675</v>
      </c>
      <c r="V44" s="25">
        <v>2698</v>
      </c>
      <c r="W44" s="25">
        <v>3286</v>
      </c>
      <c r="X44" s="25">
        <v>2753</v>
      </c>
      <c r="Y44" s="25">
        <v>3484</v>
      </c>
      <c r="Z44" s="25">
        <v>3462</v>
      </c>
      <c r="AA44" s="25">
        <v>2498</v>
      </c>
      <c r="AB44" s="25">
        <v>2475</v>
      </c>
      <c r="AC44" s="25">
        <v>2357</v>
      </c>
      <c r="AD44" s="25">
        <v>2366</v>
      </c>
      <c r="AE44" s="25">
        <v>1393</v>
      </c>
      <c r="AF44" s="25">
        <v>1396</v>
      </c>
      <c r="AG44" s="51"/>
      <c r="AH44" s="51"/>
      <c r="AI44" s="51"/>
      <c r="AJ44" s="51"/>
      <c r="AK44" s="51"/>
    </row>
    <row r="45" spans="1:37" s="11" customFormat="1" x14ac:dyDescent="0.2">
      <c r="A45" s="12" t="s">
        <v>96</v>
      </c>
      <c r="B45" s="53"/>
      <c r="C45" s="22">
        <f>SUM(C38:C44)</f>
        <v>17486</v>
      </c>
      <c r="D45" s="21">
        <v>15880</v>
      </c>
      <c r="E45" s="21">
        <v>31203</v>
      </c>
      <c r="F45" s="21">
        <v>27800</v>
      </c>
      <c r="G45" s="21">
        <v>29175</v>
      </c>
      <c r="H45" s="22">
        <f>W45</f>
        <v>33617</v>
      </c>
      <c r="I45" s="22">
        <f>AA45</f>
        <v>38207</v>
      </c>
      <c r="J45" s="22">
        <f>AE45</f>
        <v>42653</v>
      </c>
      <c r="K45" s="35"/>
      <c r="L45" s="22">
        <f t="shared" ref="L45:S45" si="9">SUM(L38:L44)</f>
        <v>27563</v>
      </c>
      <c r="M45" s="22">
        <f t="shared" si="9"/>
        <v>25637</v>
      </c>
      <c r="N45" s="22">
        <f t="shared" si="9"/>
        <v>25314</v>
      </c>
      <c r="O45" s="22">
        <f t="shared" si="9"/>
        <v>27800</v>
      </c>
      <c r="P45" s="22">
        <f t="shared" si="9"/>
        <v>29757</v>
      </c>
      <c r="Q45" s="22">
        <f t="shared" si="9"/>
        <v>29187</v>
      </c>
      <c r="R45" s="22">
        <f t="shared" si="9"/>
        <v>30792</v>
      </c>
      <c r="S45" s="22">
        <f t="shared" si="9"/>
        <v>29175</v>
      </c>
      <c r="T45" s="21">
        <v>29922</v>
      </c>
      <c r="U45" s="21">
        <v>31822</v>
      </c>
      <c r="V45" s="21">
        <v>32184</v>
      </c>
      <c r="W45" s="21">
        <v>33617</v>
      </c>
      <c r="X45" s="21">
        <v>33884</v>
      </c>
      <c r="Y45" s="21">
        <v>33509</v>
      </c>
      <c r="Z45" s="21">
        <v>33146</v>
      </c>
      <c r="AA45" s="21">
        <v>38207</v>
      </c>
      <c r="AB45" s="21">
        <v>37290</v>
      </c>
      <c r="AC45" s="21">
        <v>36822</v>
      </c>
      <c r="AD45" s="21">
        <v>36855</v>
      </c>
      <c r="AE45" s="21">
        <v>42653</v>
      </c>
      <c r="AF45" s="21">
        <v>41574</v>
      </c>
      <c r="AG45" s="35"/>
      <c r="AH45" s="35"/>
      <c r="AI45" s="35"/>
      <c r="AJ45" s="35"/>
      <c r="AK45" s="35"/>
    </row>
    <row r="46" spans="1:37" s="11" customFormat="1" x14ac:dyDescent="0.2">
      <c r="A46" s="55" t="s">
        <v>95</v>
      </c>
      <c r="B46" s="50" t="s">
        <v>94</v>
      </c>
      <c r="C46" s="22">
        <f>C45+C36</f>
        <v>26116</v>
      </c>
      <c r="D46" s="22">
        <f>D45+D36</f>
        <v>24891</v>
      </c>
      <c r="E46" s="22">
        <f>E45+E36</f>
        <v>45009</v>
      </c>
      <c r="F46" s="22">
        <f>F45+F36</f>
        <v>41204</v>
      </c>
      <c r="G46" s="22">
        <f>G45+G36</f>
        <v>42780</v>
      </c>
      <c r="H46" s="22">
        <f>H45+H36</f>
        <v>47489</v>
      </c>
      <c r="I46" s="22">
        <f>I45+I36</f>
        <v>53565</v>
      </c>
      <c r="J46" s="22">
        <f>J45+J36</f>
        <v>60749</v>
      </c>
      <c r="K46" s="35"/>
      <c r="L46" s="22">
        <f>L45+L36</f>
        <v>42642</v>
      </c>
      <c r="M46" s="22">
        <f>M45+M36</f>
        <v>40725</v>
      </c>
      <c r="N46" s="22">
        <f>N45+N36</f>
        <v>39202</v>
      </c>
      <c r="O46" s="22">
        <f>O45+O36</f>
        <v>41204</v>
      </c>
      <c r="P46" s="22">
        <f>P45+P36</f>
        <v>43990</v>
      </c>
      <c r="Q46" s="22">
        <f>Q45+Q36</f>
        <v>44232</v>
      </c>
      <c r="R46" s="22">
        <f>R45+R36</f>
        <v>44953</v>
      </c>
      <c r="S46" s="22">
        <f>S45+S36</f>
        <v>42780</v>
      </c>
      <c r="T46" s="22">
        <f>T45+T36</f>
        <v>45199</v>
      </c>
      <c r="U46" s="22">
        <f>U45+U36</f>
        <v>46739</v>
      </c>
      <c r="V46" s="22">
        <f>V45+V36</f>
        <v>46717</v>
      </c>
      <c r="W46" s="22">
        <f>W45+W36</f>
        <v>47489</v>
      </c>
      <c r="X46" s="22">
        <f>X45+X36</f>
        <v>49170</v>
      </c>
      <c r="Y46" s="22">
        <f>Y45+Y36</f>
        <v>49621</v>
      </c>
      <c r="Z46" s="22">
        <f>Z45+Z36</f>
        <v>48453</v>
      </c>
      <c r="AA46" s="22">
        <f>AA45+AA36</f>
        <v>53565</v>
      </c>
      <c r="AB46" s="22">
        <f>AB45+AB36</f>
        <v>54298</v>
      </c>
      <c r="AC46" s="22">
        <f>AC45+AC36</f>
        <v>53491</v>
      </c>
      <c r="AD46" s="22">
        <f>AD45+AD36</f>
        <v>53203</v>
      </c>
      <c r="AE46" s="22">
        <f>AE45+AE36</f>
        <v>60749</v>
      </c>
      <c r="AF46" s="22">
        <f>AF45+AF36</f>
        <v>61423</v>
      </c>
      <c r="AG46" s="35"/>
      <c r="AH46" s="35"/>
      <c r="AI46" s="35"/>
      <c r="AJ46" s="35"/>
      <c r="AK46" s="35"/>
    </row>
    <row r="47" spans="1:37" x14ac:dyDescent="0.2">
      <c r="A47" s="8" t="s">
        <v>93</v>
      </c>
      <c r="B47" s="53"/>
      <c r="C47" s="5">
        <v>4843</v>
      </c>
      <c r="D47" s="5">
        <v>6606</v>
      </c>
      <c r="E47" s="5"/>
      <c r="F47" s="5"/>
      <c r="G47" s="5"/>
      <c r="H47" s="6"/>
      <c r="I47" s="6"/>
      <c r="J47" s="6"/>
      <c r="K47" s="52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2"/>
      <c r="AH47" s="52"/>
      <c r="AI47" s="52"/>
      <c r="AJ47" s="52"/>
      <c r="AK47" s="52"/>
    </row>
    <row r="48" spans="1:37" x14ac:dyDescent="0.2">
      <c r="A48" s="12" t="s">
        <v>92</v>
      </c>
      <c r="B48" s="53"/>
      <c r="C48" s="5"/>
      <c r="D48" s="5"/>
      <c r="E48" s="5"/>
      <c r="F48" s="5"/>
      <c r="G48" s="5"/>
      <c r="H48" s="6"/>
      <c r="I48" s="6"/>
      <c r="J48" s="6"/>
      <c r="K48" s="52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2"/>
      <c r="AH48" s="52"/>
      <c r="AI48" s="52"/>
      <c r="AJ48" s="52"/>
      <c r="AK48" s="52"/>
    </row>
    <row r="49" spans="1:37" x14ac:dyDescent="0.2">
      <c r="A49" s="8" t="s">
        <v>91</v>
      </c>
      <c r="B49" s="50" t="s">
        <v>90</v>
      </c>
      <c r="C49" s="5">
        <v>341</v>
      </c>
      <c r="D49" s="5">
        <v>127</v>
      </c>
      <c r="E49" s="5">
        <v>5</v>
      </c>
      <c r="F49" s="5">
        <v>7</v>
      </c>
      <c r="G49" s="5">
        <v>6</v>
      </c>
      <c r="H49" s="6">
        <f>W49</f>
        <v>5</v>
      </c>
      <c r="I49" s="6">
        <f>AA49</f>
        <v>5</v>
      </c>
      <c r="J49" s="6">
        <f>AE49</f>
        <v>5</v>
      </c>
      <c r="K49" s="52"/>
      <c r="L49" s="5">
        <v>6</v>
      </c>
      <c r="M49" s="5">
        <v>7</v>
      </c>
      <c r="N49" s="5">
        <v>7</v>
      </c>
      <c r="O49" s="5">
        <v>7</v>
      </c>
      <c r="P49" s="5">
        <v>7</v>
      </c>
      <c r="Q49" s="5">
        <v>7</v>
      </c>
      <c r="R49" s="5">
        <v>6</v>
      </c>
      <c r="S49" s="5">
        <v>6</v>
      </c>
      <c r="T49" s="5">
        <v>6</v>
      </c>
      <c r="U49" s="5">
        <v>5</v>
      </c>
      <c r="V49" s="5">
        <v>5</v>
      </c>
      <c r="W49" s="5">
        <v>5</v>
      </c>
      <c r="X49" s="5">
        <v>5</v>
      </c>
      <c r="Y49" s="5">
        <v>5</v>
      </c>
      <c r="Z49" s="5">
        <v>5</v>
      </c>
      <c r="AA49" s="5">
        <v>5</v>
      </c>
      <c r="AB49" s="5">
        <v>5</v>
      </c>
      <c r="AC49" s="5">
        <v>5</v>
      </c>
      <c r="AD49" s="5">
        <v>5</v>
      </c>
      <c r="AE49" s="5">
        <v>5</v>
      </c>
      <c r="AF49" s="5">
        <v>5</v>
      </c>
      <c r="AG49" s="52"/>
      <c r="AH49" s="52"/>
      <c r="AI49" s="52"/>
      <c r="AJ49" s="52"/>
      <c r="AK49" s="52"/>
    </row>
    <row r="50" spans="1:37" s="54" customFormat="1" x14ac:dyDescent="0.2">
      <c r="A50" s="8" t="s">
        <v>89</v>
      </c>
      <c r="B50" s="50" t="s">
        <v>88</v>
      </c>
      <c r="C50" s="5">
        <v>4465</v>
      </c>
      <c r="D50" s="5">
        <v>4695</v>
      </c>
      <c r="E50" s="5">
        <v>10592</v>
      </c>
      <c r="F50" s="5">
        <v>15135</v>
      </c>
      <c r="G50" s="5">
        <v>11591</v>
      </c>
      <c r="H50" s="6">
        <f>W50</f>
        <v>7223</v>
      </c>
      <c r="I50" s="6">
        <f>AA50</f>
        <v>5714</v>
      </c>
      <c r="J50" s="6">
        <f>AE50</f>
        <v>4964</v>
      </c>
      <c r="K50" s="6"/>
      <c r="L50" s="5">
        <v>14040</v>
      </c>
      <c r="M50" s="5">
        <v>15879</v>
      </c>
      <c r="N50" s="5">
        <v>15943</v>
      </c>
      <c r="O50" s="5">
        <v>15135</v>
      </c>
      <c r="P50" s="5">
        <v>15049</v>
      </c>
      <c r="Q50" s="5">
        <v>14319</v>
      </c>
      <c r="R50" s="5">
        <v>12852</v>
      </c>
      <c r="S50" s="5">
        <v>11591</v>
      </c>
      <c r="T50" s="5">
        <v>10044</v>
      </c>
      <c r="U50" s="5">
        <v>8351</v>
      </c>
      <c r="V50" s="5">
        <v>7761</v>
      </c>
      <c r="W50" s="5">
        <v>7223</v>
      </c>
      <c r="X50" s="5">
        <v>6726</v>
      </c>
      <c r="Y50" s="5">
        <v>6245</v>
      </c>
      <c r="Z50" s="5">
        <v>5918</v>
      </c>
      <c r="AA50" s="5">
        <v>5714</v>
      </c>
      <c r="AB50" s="5">
        <v>5279</v>
      </c>
      <c r="AC50" s="5">
        <v>4923</v>
      </c>
      <c r="AD50" s="5">
        <v>4946</v>
      </c>
      <c r="AE50" s="5">
        <v>4964</v>
      </c>
      <c r="AF50" s="5">
        <v>4371</v>
      </c>
      <c r="AG50" s="6"/>
      <c r="AH50" s="6"/>
      <c r="AI50" s="6"/>
      <c r="AJ50" s="6"/>
      <c r="AK50" s="6"/>
    </row>
    <row r="51" spans="1:37" s="54" customFormat="1" x14ac:dyDescent="0.2">
      <c r="A51" s="8" t="s">
        <v>87</v>
      </c>
      <c r="B51" s="53"/>
      <c r="C51" s="5">
        <v>-367</v>
      </c>
      <c r="D51" s="5">
        <v>-367</v>
      </c>
      <c r="E51" s="5"/>
      <c r="F51" s="5"/>
      <c r="G51" s="5"/>
      <c r="H51" s="6"/>
      <c r="I51" s="6"/>
      <c r="J51" s="6"/>
      <c r="K51" s="6"/>
      <c r="L51" s="5"/>
      <c r="M51" s="5">
        <v>-1</v>
      </c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6"/>
      <c r="AH51" s="6"/>
      <c r="AI51" s="6"/>
      <c r="AJ51" s="6"/>
      <c r="AK51" s="6"/>
    </row>
    <row r="52" spans="1:37" x14ac:dyDescent="0.2">
      <c r="A52" s="8" t="s">
        <v>86</v>
      </c>
      <c r="B52" s="53"/>
      <c r="C52" s="5">
        <v>-3964</v>
      </c>
      <c r="D52" s="5">
        <v>-2980</v>
      </c>
      <c r="E52" s="5">
        <v>-2032</v>
      </c>
      <c r="F52" s="5">
        <v>-4559</v>
      </c>
      <c r="G52" s="5">
        <v>-4732</v>
      </c>
      <c r="H52" s="6">
        <f>W52</f>
        <v>-5083</v>
      </c>
      <c r="I52" s="6">
        <f>AA52</f>
        <v>-5154</v>
      </c>
      <c r="J52" s="6">
        <f>AE52</f>
        <v>-5896</v>
      </c>
      <c r="K52" s="52"/>
      <c r="L52" s="5">
        <v>-2135</v>
      </c>
      <c r="M52" s="5">
        <v>-1846</v>
      </c>
      <c r="N52" s="5">
        <v>-1893</v>
      </c>
      <c r="O52" s="5">
        <v>-4559</v>
      </c>
      <c r="P52" s="5">
        <v>-4590</v>
      </c>
      <c r="Q52" s="5">
        <v>-4620</v>
      </c>
      <c r="R52" s="5">
        <v>-4651</v>
      </c>
      <c r="S52" s="5">
        <v>-4732</v>
      </c>
      <c r="T52" s="5">
        <v>-4749</v>
      </c>
      <c r="U52" s="5">
        <v>-4763</v>
      </c>
      <c r="V52" s="5">
        <v>-4778</v>
      </c>
      <c r="W52" s="5">
        <v>-5083</v>
      </c>
      <c r="X52" s="5">
        <v>-5097</v>
      </c>
      <c r="Y52" s="5">
        <v>-5112</v>
      </c>
      <c r="Z52" s="5">
        <v>-5127</v>
      </c>
      <c r="AA52" s="5">
        <v>-5154</v>
      </c>
      <c r="AB52" s="5">
        <v>-5172</v>
      </c>
      <c r="AC52" s="5">
        <v>-5187</v>
      </c>
      <c r="AD52" s="5">
        <v>-5203</v>
      </c>
      <c r="AE52" s="5">
        <v>-5896</v>
      </c>
      <c r="AF52" s="5">
        <v>-5909</v>
      </c>
      <c r="AG52" s="52"/>
      <c r="AH52" s="52"/>
      <c r="AI52" s="52"/>
      <c r="AJ52" s="52"/>
      <c r="AK52" s="52"/>
    </row>
    <row r="53" spans="1:37" s="30" customFormat="1" x14ac:dyDescent="0.2">
      <c r="A53" s="28" t="s">
        <v>85</v>
      </c>
      <c r="B53" s="49" t="s">
        <v>84</v>
      </c>
      <c r="C53" s="25">
        <v>-7586</v>
      </c>
      <c r="D53" s="25">
        <v>-9462</v>
      </c>
      <c r="E53" s="25">
        <v>-11296</v>
      </c>
      <c r="F53" s="25">
        <v>-8562</v>
      </c>
      <c r="G53" s="25">
        <v>-1230</v>
      </c>
      <c r="H53" s="26">
        <f>W53</f>
        <v>1640</v>
      </c>
      <c r="I53" s="26">
        <f>AA53</f>
        <v>-1345</v>
      </c>
      <c r="J53" s="26">
        <f>AE53</f>
        <v>758</v>
      </c>
      <c r="K53" s="51"/>
      <c r="L53" s="25">
        <v>-10816</v>
      </c>
      <c r="M53" s="25">
        <v>-9953</v>
      </c>
      <c r="N53" s="25">
        <v>-9086</v>
      </c>
      <c r="O53" s="25">
        <v>-8562</v>
      </c>
      <c r="P53" s="25">
        <v>-7702</v>
      </c>
      <c r="Q53" s="25">
        <v>-6070</v>
      </c>
      <c r="R53" s="25">
        <v>-4445</v>
      </c>
      <c r="S53" s="25">
        <v>-1230</v>
      </c>
      <c r="T53" s="25">
        <v>-591</v>
      </c>
      <c r="U53" s="25">
        <v>719</v>
      </c>
      <c r="V53" s="25">
        <v>1403</v>
      </c>
      <c r="W53" s="25">
        <v>1640</v>
      </c>
      <c r="X53" s="25">
        <v>1823</v>
      </c>
      <c r="Y53" s="25">
        <v>2577</v>
      </c>
      <c r="Z53" s="25">
        <v>3152</v>
      </c>
      <c r="AA53" s="25">
        <v>-1345</v>
      </c>
      <c r="AB53" s="25">
        <v>-1130</v>
      </c>
      <c r="AC53" s="25">
        <v>-610</v>
      </c>
      <c r="AD53" s="25">
        <v>-316</v>
      </c>
      <c r="AE53" s="25">
        <v>758</v>
      </c>
      <c r="AF53" s="25">
        <v>897</v>
      </c>
      <c r="AG53" s="51"/>
      <c r="AH53" s="51"/>
      <c r="AI53" s="51"/>
      <c r="AJ53" s="51"/>
      <c r="AK53" s="51"/>
    </row>
    <row r="54" spans="1:37" s="11" customFormat="1" x14ac:dyDescent="0.2">
      <c r="A54" s="12" t="s">
        <v>83</v>
      </c>
      <c r="B54" s="50" t="s">
        <v>82</v>
      </c>
      <c r="C54" s="21">
        <v>-7111</v>
      </c>
      <c r="D54" s="21">
        <v>-7987</v>
      </c>
      <c r="E54" s="21">
        <v>-2731</v>
      </c>
      <c r="F54" s="21">
        <v>2021</v>
      </c>
      <c r="G54" s="21">
        <v>5635</v>
      </c>
      <c r="H54" s="22">
        <f>W54</f>
        <v>3785</v>
      </c>
      <c r="I54" s="22">
        <f>AA54</f>
        <v>-780</v>
      </c>
      <c r="J54" s="22">
        <f>AE54</f>
        <v>-169</v>
      </c>
      <c r="K54" s="35"/>
      <c r="L54" s="21">
        <v>1095</v>
      </c>
      <c r="M54" s="21">
        <v>4086</v>
      </c>
      <c r="N54" s="21">
        <v>4971</v>
      </c>
      <c r="O54" s="21">
        <v>2021</v>
      </c>
      <c r="P54" s="21">
        <v>2764</v>
      </c>
      <c r="Q54" s="21">
        <v>3636</v>
      </c>
      <c r="R54" s="21">
        <v>3762</v>
      </c>
      <c r="S54" s="21">
        <v>5635</v>
      </c>
      <c r="T54" s="21">
        <v>4710</v>
      </c>
      <c r="U54" s="21">
        <v>4312</v>
      </c>
      <c r="V54" s="21">
        <v>4391</v>
      </c>
      <c r="W54" s="21">
        <v>3785</v>
      </c>
      <c r="X54" s="21">
        <v>3457</v>
      </c>
      <c r="Y54" s="21">
        <v>3715</v>
      </c>
      <c r="Z54" s="21">
        <v>3948</v>
      </c>
      <c r="AA54" s="21">
        <v>-780</v>
      </c>
      <c r="AB54" s="21">
        <v>-1018</v>
      </c>
      <c r="AC54" s="21">
        <v>-869</v>
      </c>
      <c r="AD54" s="21">
        <v>-568</v>
      </c>
      <c r="AE54" s="21">
        <v>-169</v>
      </c>
      <c r="AF54" s="21">
        <v>-636</v>
      </c>
      <c r="AG54" s="35"/>
      <c r="AH54" s="35"/>
      <c r="AI54" s="35"/>
      <c r="AJ54" s="35"/>
      <c r="AK54" s="35"/>
    </row>
    <row r="55" spans="1:37" s="24" customFormat="1" x14ac:dyDescent="0.2">
      <c r="A55" s="12" t="s">
        <v>81</v>
      </c>
      <c r="B55" s="49" t="s">
        <v>80</v>
      </c>
      <c r="C55" s="21">
        <v>23848</v>
      </c>
      <c r="D55" s="21">
        <v>23510</v>
      </c>
      <c r="E55" s="21">
        <v>42278</v>
      </c>
      <c r="F55" s="21">
        <v>43225</v>
      </c>
      <c r="G55" s="21">
        <v>48415</v>
      </c>
      <c r="H55" s="22">
        <f>W55</f>
        <v>51274</v>
      </c>
      <c r="I55" s="22">
        <f>AA55</f>
        <v>52785</v>
      </c>
      <c r="J55" s="22">
        <f>AE55</f>
        <v>60580</v>
      </c>
      <c r="K55" s="48"/>
      <c r="L55" s="21">
        <v>43737</v>
      </c>
      <c r="M55" s="21">
        <v>44811</v>
      </c>
      <c r="N55" s="21">
        <v>44173</v>
      </c>
      <c r="O55" s="21">
        <v>43225</v>
      </c>
      <c r="P55" s="21">
        <v>46754</v>
      </c>
      <c r="Q55" s="21">
        <v>47868</v>
      </c>
      <c r="R55" s="21">
        <v>48715</v>
      </c>
      <c r="S55" s="21">
        <v>48415</v>
      </c>
      <c r="T55" s="21">
        <v>49909</v>
      </c>
      <c r="U55" s="21">
        <v>51051</v>
      </c>
      <c r="V55" s="21">
        <v>51108</v>
      </c>
      <c r="W55" s="21">
        <v>51274</v>
      </c>
      <c r="X55" s="21">
        <v>52627</v>
      </c>
      <c r="Y55" s="21">
        <v>53336</v>
      </c>
      <c r="Z55" s="21">
        <v>52401</v>
      </c>
      <c r="AA55" s="21">
        <v>52785</v>
      </c>
      <c r="AB55" s="21">
        <v>53280</v>
      </c>
      <c r="AC55" s="21">
        <v>52622</v>
      </c>
      <c r="AD55" s="21">
        <v>52635</v>
      </c>
      <c r="AE55" s="21">
        <v>60580</v>
      </c>
      <c r="AF55" s="21">
        <v>60787</v>
      </c>
      <c r="AG55" s="48"/>
      <c r="AH55" s="48"/>
      <c r="AI55" s="48"/>
      <c r="AJ55" s="48"/>
      <c r="AK55" s="48"/>
    </row>
    <row r="56" spans="1:37" x14ac:dyDescent="0.2">
      <c r="A56" s="46" t="s">
        <v>79</v>
      </c>
      <c r="B56" s="45" t="s">
        <v>78</v>
      </c>
      <c r="C56" s="44">
        <f>C5+C6</f>
        <v>4001</v>
      </c>
      <c r="D56" s="44">
        <f>D5+D6</f>
        <v>3892</v>
      </c>
      <c r="E56" s="44">
        <f>E5+E6</f>
        <v>9251</v>
      </c>
      <c r="F56" s="44">
        <f>F5+F6</f>
        <v>7303</v>
      </c>
      <c r="G56" s="44">
        <f>G5+G6</f>
        <v>6254</v>
      </c>
      <c r="H56" s="44">
        <f>H5+H6</f>
        <v>6359</v>
      </c>
      <c r="I56" s="44">
        <f>I5+I6</f>
        <v>5066</v>
      </c>
      <c r="J56" s="44">
        <f>J5+J6</f>
        <v>4760</v>
      </c>
      <c r="L56" s="44">
        <f>L5+L6</f>
        <v>9664</v>
      </c>
      <c r="M56" s="44">
        <f>M5+M6</f>
        <v>9459</v>
      </c>
      <c r="N56" s="44">
        <f>N5+N6</f>
        <v>7899</v>
      </c>
      <c r="O56" s="44">
        <f>O5+O6</f>
        <v>7303</v>
      </c>
      <c r="P56" s="44">
        <f>P5+P6</f>
        <v>9173</v>
      </c>
      <c r="Q56" s="44">
        <f>Q5+Q6</f>
        <v>8919</v>
      </c>
      <c r="R56" s="44">
        <f>R5+R6</f>
        <v>8873</v>
      </c>
      <c r="S56" s="44">
        <f>S5+S6</f>
        <v>6254</v>
      </c>
      <c r="T56" s="44">
        <f>T5+T6</f>
        <v>6930</v>
      </c>
      <c r="U56" s="44">
        <f>U5+U6</f>
        <v>7118</v>
      </c>
      <c r="V56" s="44">
        <f>V5+V6</f>
        <v>6755</v>
      </c>
      <c r="W56" s="44">
        <f>W5+W6</f>
        <v>6359</v>
      </c>
      <c r="X56" s="44">
        <f>X5+X6</f>
        <v>6676</v>
      </c>
      <c r="Y56" s="44">
        <f>Y5+Y6</f>
        <v>6886</v>
      </c>
      <c r="Z56" s="44">
        <f>Z5+Z6</f>
        <v>5768</v>
      </c>
      <c r="AA56" s="44">
        <f>AA5+AA6</f>
        <v>5066</v>
      </c>
      <c r="AB56" s="44">
        <f>AB5+AB6</f>
        <v>5291</v>
      </c>
      <c r="AC56" s="44">
        <f>AC5+AC6</f>
        <v>4674</v>
      </c>
      <c r="AD56" s="44">
        <f>AD5+AD6</f>
        <v>4855</v>
      </c>
      <c r="AE56" s="44">
        <f>AE5+AE6</f>
        <v>4760</v>
      </c>
      <c r="AF56" s="44">
        <f>AF5+AF6</f>
        <v>4349</v>
      </c>
    </row>
    <row r="57" spans="1:37" x14ac:dyDescent="0.2">
      <c r="A57" s="1" t="s">
        <v>77</v>
      </c>
      <c r="B57" s="45" t="s">
        <v>76</v>
      </c>
      <c r="C57" s="44">
        <f>C29+C34</f>
        <v>1518</v>
      </c>
      <c r="D57" s="44">
        <f>D29+D34</f>
        <v>1419</v>
      </c>
      <c r="E57" s="44">
        <f>E29+E34</f>
        <v>1446</v>
      </c>
      <c r="F57" s="44">
        <f>F29+F34</f>
        <v>1677</v>
      </c>
      <c r="G57" s="44">
        <f>G29+G34</f>
        <v>2231</v>
      </c>
      <c r="H57" s="44">
        <f>H29+H34</f>
        <v>1855</v>
      </c>
      <c r="I57" s="44">
        <f>I29+I34</f>
        <v>2554</v>
      </c>
      <c r="J57" s="44">
        <f>J29+J34</f>
        <v>4948</v>
      </c>
      <c r="L57" s="44">
        <f>L29+L34</f>
        <v>1441</v>
      </c>
      <c r="M57" s="44">
        <f>M29+M34</f>
        <v>1523</v>
      </c>
      <c r="N57" s="44">
        <f>N29+N34</f>
        <v>1439</v>
      </c>
      <c r="O57" s="44">
        <f>O29+O34</f>
        <v>1677</v>
      </c>
      <c r="P57" s="44">
        <f>P29+P34</f>
        <v>1284</v>
      </c>
      <c r="Q57" s="44">
        <f>Q29+Q34</f>
        <v>1642</v>
      </c>
      <c r="R57" s="44">
        <f>R29+R34</f>
        <v>1712</v>
      </c>
      <c r="S57" s="44">
        <f>S29+S34</f>
        <v>2231</v>
      </c>
      <c r="T57" s="44">
        <f>T29+T34</f>
        <v>2610</v>
      </c>
      <c r="U57" s="44">
        <f>U29+U34</f>
        <v>1715</v>
      </c>
      <c r="V57" s="44">
        <f>V29+V34</f>
        <v>1798</v>
      </c>
      <c r="W57" s="44">
        <f>W29+W34</f>
        <v>1855</v>
      </c>
      <c r="X57" s="44">
        <f>X29+X34</f>
        <v>1714</v>
      </c>
      <c r="Y57" s="44">
        <f>Y29+Y34</f>
        <v>2334</v>
      </c>
      <c r="Z57" s="44">
        <f>Z29+Z34</f>
        <v>2467</v>
      </c>
      <c r="AA57" s="44">
        <f>AA29+AA34</f>
        <v>2554</v>
      </c>
      <c r="AB57" s="44">
        <f>AB29+AB34</f>
        <v>2793</v>
      </c>
      <c r="AC57" s="44">
        <f>AC29+AC34</f>
        <v>2213</v>
      </c>
      <c r="AD57" s="44">
        <f>AD29+AD34</f>
        <v>2493</v>
      </c>
      <c r="AE57" s="44">
        <f>AE29+AE34</f>
        <v>4948</v>
      </c>
      <c r="AF57" s="44">
        <f>AF29+AF34</f>
        <v>4999</v>
      </c>
    </row>
    <row r="58" spans="1:37" x14ac:dyDescent="0.2">
      <c r="A58" s="1" t="s">
        <v>75</v>
      </c>
      <c r="B58" s="45" t="s">
        <v>74</v>
      </c>
      <c r="C58" s="44">
        <f>C38</f>
        <v>6702</v>
      </c>
      <c r="D58" s="44">
        <f>D38</f>
        <v>7116</v>
      </c>
      <c r="E58" s="44">
        <f>E38</f>
        <v>15353</v>
      </c>
      <c r="F58" s="44">
        <f>F38</f>
        <v>16043</v>
      </c>
      <c r="G58" s="44">
        <f>G38</f>
        <v>18330</v>
      </c>
      <c r="H58" s="44">
        <f>H38</f>
        <v>22489</v>
      </c>
      <c r="I58" s="44">
        <f>I38</f>
        <v>22511</v>
      </c>
      <c r="J58" s="44">
        <f>J38</f>
        <v>21179</v>
      </c>
      <c r="L58" s="44">
        <f>L38</f>
        <v>15244</v>
      </c>
      <c r="M58" s="44">
        <f>M38</f>
        <v>15205</v>
      </c>
      <c r="N58" s="44">
        <f>N38</f>
        <v>15651</v>
      </c>
      <c r="O58" s="44">
        <f>O38</f>
        <v>16043</v>
      </c>
      <c r="P58" s="44">
        <f>P38</f>
        <v>17638</v>
      </c>
      <c r="Q58" s="44">
        <f>Q38</f>
        <v>17152</v>
      </c>
      <c r="R58" s="44">
        <f>R38</f>
        <v>18849</v>
      </c>
      <c r="S58" s="44">
        <f>S38</f>
        <v>18330</v>
      </c>
      <c r="T58" s="44">
        <f>T38</f>
        <v>19134</v>
      </c>
      <c r="U58" s="44">
        <f>U38</f>
        <v>21131</v>
      </c>
      <c r="V58" s="44">
        <f>V38</f>
        <v>21545</v>
      </c>
      <c r="W58" s="44">
        <f>W38</f>
        <v>22489</v>
      </c>
      <c r="X58" s="44">
        <f>X38</f>
        <v>22829</v>
      </c>
      <c r="Y58" s="44">
        <f>Y38</f>
        <v>22525</v>
      </c>
      <c r="Z58" s="44">
        <f>Z38</f>
        <v>22217</v>
      </c>
      <c r="AA58" s="44">
        <f>AA38</f>
        <v>22511</v>
      </c>
      <c r="AB58" s="44">
        <f>AB38</f>
        <v>21946</v>
      </c>
      <c r="AC58" s="44">
        <f>AC38</f>
        <v>21863</v>
      </c>
      <c r="AD58" s="44">
        <f>AD38</f>
        <v>22274</v>
      </c>
      <c r="AE58" s="44">
        <f>AE38</f>
        <v>21179</v>
      </c>
      <c r="AF58" s="44">
        <f>AF38</f>
        <v>20660</v>
      </c>
    </row>
    <row r="59" spans="1:37" x14ac:dyDescent="0.2">
      <c r="A59" s="1" t="s">
        <v>73</v>
      </c>
      <c r="B59" s="45" t="s">
        <v>72</v>
      </c>
      <c r="C59" s="44">
        <f t="shared" ref="C59:J59" si="10">C58+C57</f>
        <v>8220</v>
      </c>
      <c r="D59" s="44">
        <f t="shared" si="10"/>
        <v>8535</v>
      </c>
      <c r="E59" s="44">
        <f t="shared" si="10"/>
        <v>16799</v>
      </c>
      <c r="F59" s="44">
        <f t="shared" si="10"/>
        <v>17720</v>
      </c>
      <c r="G59" s="44">
        <f t="shared" si="10"/>
        <v>20561</v>
      </c>
      <c r="H59" s="44">
        <f t="shared" si="10"/>
        <v>24344</v>
      </c>
      <c r="I59" s="44">
        <f t="shared" si="10"/>
        <v>25065</v>
      </c>
      <c r="J59" s="44">
        <f t="shared" si="10"/>
        <v>26127</v>
      </c>
      <c r="L59" s="44">
        <f t="shared" ref="L59:AF59" si="11">L58+L57</f>
        <v>16685</v>
      </c>
      <c r="M59" s="44">
        <f t="shared" si="11"/>
        <v>16728</v>
      </c>
      <c r="N59" s="44">
        <f t="shared" si="11"/>
        <v>17090</v>
      </c>
      <c r="O59" s="44">
        <f t="shared" si="11"/>
        <v>17720</v>
      </c>
      <c r="P59" s="44">
        <f t="shared" si="11"/>
        <v>18922</v>
      </c>
      <c r="Q59" s="44">
        <f t="shared" si="11"/>
        <v>18794</v>
      </c>
      <c r="R59" s="44">
        <f t="shared" si="11"/>
        <v>20561</v>
      </c>
      <c r="S59" s="44">
        <f t="shared" si="11"/>
        <v>20561</v>
      </c>
      <c r="T59" s="44">
        <f t="shared" si="11"/>
        <v>21744</v>
      </c>
      <c r="U59" s="44">
        <f t="shared" si="11"/>
        <v>22846</v>
      </c>
      <c r="V59" s="44">
        <f t="shared" si="11"/>
        <v>23343</v>
      </c>
      <c r="W59" s="44">
        <f t="shared" si="11"/>
        <v>24344</v>
      </c>
      <c r="X59" s="44">
        <f t="shared" si="11"/>
        <v>24543</v>
      </c>
      <c r="Y59" s="44">
        <f t="shared" si="11"/>
        <v>24859</v>
      </c>
      <c r="Z59" s="44">
        <f t="shared" si="11"/>
        <v>24684</v>
      </c>
      <c r="AA59" s="44">
        <f t="shared" si="11"/>
        <v>25065</v>
      </c>
      <c r="AB59" s="44">
        <f t="shared" si="11"/>
        <v>24739</v>
      </c>
      <c r="AC59" s="44">
        <f t="shared" si="11"/>
        <v>24076</v>
      </c>
      <c r="AD59" s="44">
        <f t="shared" si="11"/>
        <v>24767</v>
      </c>
      <c r="AE59" s="44">
        <f t="shared" si="11"/>
        <v>26127</v>
      </c>
      <c r="AF59" s="44">
        <f t="shared" si="11"/>
        <v>25659</v>
      </c>
    </row>
    <row r="60" spans="1:37" x14ac:dyDescent="0.2">
      <c r="A60" s="1" t="s">
        <v>71</v>
      </c>
      <c r="B60" s="45" t="s">
        <v>70</v>
      </c>
      <c r="C60" s="44">
        <f t="shared" ref="C60:J60" si="12">C59-C56</f>
        <v>4219</v>
      </c>
      <c r="D60" s="44">
        <f t="shared" si="12"/>
        <v>4643</v>
      </c>
      <c r="E60" s="44">
        <f t="shared" si="12"/>
        <v>7548</v>
      </c>
      <c r="F60" s="44">
        <f t="shared" si="12"/>
        <v>10417</v>
      </c>
      <c r="G60" s="44">
        <f t="shared" si="12"/>
        <v>14307</v>
      </c>
      <c r="H60" s="44">
        <f t="shared" si="12"/>
        <v>17985</v>
      </c>
      <c r="I60" s="44">
        <f t="shared" si="12"/>
        <v>19999</v>
      </c>
      <c r="J60" s="44">
        <f t="shared" si="12"/>
        <v>21367</v>
      </c>
      <c r="L60" s="44">
        <f t="shared" ref="L60:AF60" si="13">L59-L56</f>
        <v>7021</v>
      </c>
      <c r="M60" s="44">
        <f t="shared" si="13"/>
        <v>7269</v>
      </c>
      <c r="N60" s="44">
        <f t="shared" si="13"/>
        <v>9191</v>
      </c>
      <c r="O60" s="44">
        <f t="shared" si="13"/>
        <v>10417</v>
      </c>
      <c r="P60" s="44">
        <f t="shared" si="13"/>
        <v>9749</v>
      </c>
      <c r="Q60" s="44">
        <f t="shared" si="13"/>
        <v>9875</v>
      </c>
      <c r="R60" s="44">
        <f t="shared" si="13"/>
        <v>11688</v>
      </c>
      <c r="S60" s="44">
        <f t="shared" si="13"/>
        <v>14307</v>
      </c>
      <c r="T60" s="44">
        <f t="shared" si="13"/>
        <v>14814</v>
      </c>
      <c r="U60" s="44">
        <f t="shared" si="13"/>
        <v>15728</v>
      </c>
      <c r="V60" s="44">
        <f t="shared" si="13"/>
        <v>16588</v>
      </c>
      <c r="W60" s="44">
        <f t="shared" si="13"/>
        <v>17985</v>
      </c>
      <c r="X60" s="44">
        <f t="shared" si="13"/>
        <v>17867</v>
      </c>
      <c r="Y60" s="44">
        <f t="shared" si="13"/>
        <v>17973</v>
      </c>
      <c r="Z60" s="44">
        <f t="shared" si="13"/>
        <v>18916</v>
      </c>
      <c r="AA60" s="44">
        <f t="shared" si="13"/>
        <v>19999</v>
      </c>
      <c r="AB60" s="44">
        <f t="shared" si="13"/>
        <v>19448</v>
      </c>
      <c r="AC60" s="44">
        <f t="shared" si="13"/>
        <v>19402</v>
      </c>
      <c r="AD60" s="44">
        <f t="shared" si="13"/>
        <v>19912</v>
      </c>
      <c r="AE60" s="44">
        <f t="shared" si="13"/>
        <v>21367</v>
      </c>
      <c r="AF60" s="44">
        <f t="shared" si="13"/>
        <v>21310</v>
      </c>
    </row>
    <row r="61" spans="1:37" x14ac:dyDescent="0.2">
      <c r="A61" s="1" t="s">
        <v>69</v>
      </c>
      <c r="B61" s="45" t="s">
        <v>68</v>
      </c>
      <c r="C61" s="44">
        <f>C60+C54</f>
        <v>-2892</v>
      </c>
      <c r="D61" s="44">
        <f>D60+D54</f>
        <v>-3344</v>
      </c>
      <c r="E61" s="44">
        <f>E60+E54</f>
        <v>4817</v>
      </c>
      <c r="F61" s="44">
        <f>F60+F54</f>
        <v>12438</v>
      </c>
      <c r="G61" s="44">
        <f>G60+G54</f>
        <v>19942</v>
      </c>
      <c r="H61" s="44">
        <f>H60+H54</f>
        <v>21770</v>
      </c>
      <c r="I61" s="44">
        <f>I60+I54</f>
        <v>19219</v>
      </c>
      <c r="J61" s="44">
        <f>J60+J54</f>
        <v>21198</v>
      </c>
      <c r="L61" s="44">
        <f>L60+L54</f>
        <v>8116</v>
      </c>
      <c r="M61" s="44">
        <f>M60+M54</f>
        <v>11355</v>
      </c>
      <c r="N61" s="44">
        <f>N60+N54</f>
        <v>14162</v>
      </c>
      <c r="O61" s="44">
        <f>O60+O54</f>
        <v>12438</v>
      </c>
      <c r="P61" s="44">
        <f>P60+P54</f>
        <v>12513</v>
      </c>
      <c r="Q61" s="44">
        <f>Q60+Q54</f>
        <v>13511</v>
      </c>
      <c r="R61" s="44">
        <f>R60+R54</f>
        <v>15450</v>
      </c>
      <c r="S61" s="44">
        <f>S60+S54</f>
        <v>19942</v>
      </c>
      <c r="T61" s="44">
        <f>T60+T54</f>
        <v>19524</v>
      </c>
      <c r="U61" s="44">
        <f>U60+U54</f>
        <v>20040</v>
      </c>
      <c r="V61" s="44">
        <f>V60+V54</f>
        <v>20979</v>
      </c>
      <c r="W61" s="44">
        <f>W60+W54</f>
        <v>21770</v>
      </c>
      <c r="X61" s="44">
        <f>X60+X54</f>
        <v>21324</v>
      </c>
      <c r="Y61" s="44">
        <f>Y60+Y54</f>
        <v>21688</v>
      </c>
      <c r="Z61" s="44">
        <f>Z60+Z54</f>
        <v>22864</v>
      </c>
      <c r="AA61" s="44">
        <f>AA60+AA54</f>
        <v>19219</v>
      </c>
      <c r="AB61" s="44">
        <f>AB60+AB54</f>
        <v>18430</v>
      </c>
      <c r="AC61" s="44">
        <f>AC60+AC54</f>
        <v>18533</v>
      </c>
      <c r="AD61" s="44">
        <f>AD60+AD54</f>
        <v>19344</v>
      </c>
      <c r="AE61" s="44">
        <f>AE60+AE54</f>
        <v>21198</v>
      </c>
      <c r="AF61" s="44">
        <f>AF60+AF54</f>
        <v>20674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3"/>
  <sheetViews>
    <sheetView zoomScaleNormal="10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50.7109375" style="1" customWidth="1"/>
    <col min="2" max="2" width="1.7109375" style="2" customWidth="1"/>
    <col min="3" max="4" width="10" style="1" bestFit="1" customWidth="1"/>
    <col min="5" max="6" width="10.5703125" style="1" bestFit="1" customWidth="1"/>
    <col min="7" max="7" width="10" style="1" bestFit="1" customWidth="1"/>
    <col min="8" max="8" width="8.85546875" style="1" bestFit="1" customWidth="1"/>
    <col min="9" max="10" width="8.85546875" style="1" customWidth="1"/>
    <col min="11" max="11" width="9.140625" style="1" customWidth="1"/>
    <col min="12" max="21" width="9.42578125" style="1" customWidth="1"/>
    <col min="22" max="22" width="8.85546875" style="1" customWidth="1"/>
    <col min="23" max="23" width="9.140625" style="1" customWidth="1"/>
    <col min="24" max="26" width="9.42578125" style="1" bestFit="1" customWidth="1"/>
    <col min="27" max="27" width="9.140625" style="1"/>
    <col min="28" max="30" width="9.42578125" style="1" bestFit="1" customWidth="1"/>
    <col min="31" max="31" width="9.42578125" style="1" customWidth="1"/>
    <col min="32" max="32" width="9.42578125" style="1" bestFit="1" customWidth="1"/>
    <col min="33" max="16384" width="9.140625" style="1"/>
  </cols>
  <sheetData>
    <row r="1" spans="1:32" x14ac:dyDescent="0.2">
      <c r="C1" s="41" t="s">
        <v>67</v>
      </c>
      <c r="D1" s="41" t="s">
        <v>66</v>
      </c>
      <c r="E1" s="41" t="s">
        <v>65</v>
      </c>
      <c r="F1" s="41" t="s">
        <v>64</v>
      </c>
      <c r="G1" s="41" t="s">
        <v>63</v>
      </c>
      <c r="H1" s="41" t="s">
        <v>62</v>
      </c>
      <c r="I1" s="41" t="s">
        <v>61</v>
      </c>
      <c r="J1" s="41" t="s">
        <v>60</v>
      </c>
      <c r="K1" s="42"/>
      <c r="L1" s="41" t="s">
        <v>59</v>
      </c>
      <c r="M1" s="41" t="s">
        <v>58</v>
      </c>
      <c r="N1" s="41" t="s">
        <v>57</v>
      </c>
      <c r="O1" s="41" t="s">
        <v>56</v>
      </c>
      <c r="P1" s="41" t="s">
        <v>55</v>
      </c>
      <c r="Q1" s="41" t="s">
        <v>54</v>
      </c>
      <c r="R1" s="41" t="s">
        <v>53</v>
      </c>
      <c r="S1" s="41" t="s">
        <v>52</v>
      </c>
      <c r="T1" s="41" t="s">
        <v>51</v>
      </c>
      <c r="U1" s="41" t="s">
        <v>50</v>
      </c>
      <c r="V1" s="41" t="s">
        <v>49</v>
      </c>
      <c r="W1" s="41" t="s">
        <v>48</v>
      </c>
      <c r="X1" s="41" t="s">
        <v>47</v>
      </c>
      <c r="Y1" s="41" t="s">
        <v>46</v>
      </c>
      <c r="Z1" s="41" t="s">
        <v>45</v>
      </c>
      <c r="AA1" s="41" t="s">
        <v>44</v>
      </c>
      <c r="AB1" s="41" t="s">
        <v>43</v>
      </c>
      <c r="AC1" s="41" t="s">
        <v>42</v>
      </c>
      <c r="AD1" s="41" t="s">
        <v>41</v>
      </c>
      <c r="AE1" s="41" t="s">
        <v>40</v>
      </c>
      <c r="AF1" s="41" t="s">
        <v>39</v>
      </c>
    </row>
    <row r="2" spans="1:32" x14ac:dyDescent="0.2">
      <c r="C2" s="39">
        <v>40908</v>
      </c>
      <c r="D2" s="39">
        <v>41274</v>
      </c>
      <c r="E2" s="39">
        <v>41639</v>
      </c>
      <c r="F2" s="39">
        <v>42004</v>
      </c>
      <c r="G2" s="39">
        <v>42369</v>
      </c>
      <c r="H2" s="39">
        <v>42735</v>
      </c>
      <c r="I2" s="39">
        <v>43100</v>
      </c>
      <c r="J2" s="39">
        <v>43465</v>
      </c>
      <c r="K2" s="40"/>
      <c r="L2" s="39">
        <v>41729</v>
      </c>
      <c r="M2" s="39">
        <v>41820</v>
      </c>
      <c r="N2" s="39">
        <v>41912</v>
      </c>
      <c r="O2" s="39">
        <v>42004</v>
      </c>
      <c r="P2" s="39">
        <v>42094</v>
      </c>
      <c r="Q2" s="39">
        <v>42185</v>
      </c>
      <c r="R2" s="39">
        <v>42277</v>
      </c>
      <c r="S2" s="39">
        <v>42369</v>
      </c>
      <c r="T2" s="39">
        <v>42460</v>
      </c>
      <c r="U2" s="39">
        <v>42551</v>
      </c>
      <c r="V2" s="39">
        <v>42643</v>
      </c>
      <c r="W2" s="39">
        <v>42735</v>
      </c>
      <c r="X2" s="39">
        <v>42825</v>
      </c>
      <c r="Y2" s="39">
        <v>42916</v>
      </c>
      <c r="Z2" s="39">
        <v>43008</v>
      </c>
      <c r="AA2" s="39">
        <v>43100</v>
      </c>
      <c r="AB2" s="39">
        <v>43190</v>
      </c>
      <c r="AC2" s="39">
        <v>43281</v>
      </c>
      <c r="AD2" s="39">
        <v>43373</v>
      </c>
      <c r="AE2" s="39">
        <v>43465</v>
      </c>
      <c r="AF2" s="39">
        <v>43555</v>
      </c>
    </row>
    <row r="3" spans="1:32" s="2" customFormat="1" x14ac:dyDescent="0.2">
      <c r="A3" s="66" t="s">
        <v>38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</row>
    <row r="4" spans="1:32" x14ac:dyDescent="0.2">
      <c r="A4" s="12" t="s">
        <v>208</v>
      </c>
      <c r="B4" s="76"/>
    </row>
    <row r="5" spans="1:32" x14ac:dyDescent="0.2">
      <c r="A5" s="8" t="s">
        <v>207</v>
      </c>
      <c r="B5" s="76"/>
      <c r="C5" s="68">
        <v>-1979</v>
      </c>
      <c r="D5" s="68">
        <v>-1876</v>
      </c>
      <c r="E5" s="68">
        <v>-1834</v>
      </c>
      <c r="F5" s="68">
        <v>2882</v>
      </c>
      <c r="G5" s="68">
        <v>7610</v>
      </c>
      <c r="H5" s="68">
        <v>2584</v>
      </c>
      <c r="I5" s="68">
        <v>1282</v>
      </c>
      <c r="J5" s="68">
        <v>1412</v>
      </c>
      <c r="K5" s="68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</row>
    <row r="6" spans="1:32" x14ac:dyDescent="0.2">
      <c r="A6" s="12" t="s">
        <v>206</v>
      </c>
      <c r="B6" s="76"/>
      <c r="C6" s="68"/>
      <c r="D6" s="68"/>
      <c r="E6" s="68"/>
      <c r="F6" s="68"/>
      <c r="G6" s="68"/>
      <c r="H6" s="68"/>
      <c r="I6" s="68"/>
      <c r="J6" s="68"/>
      <c r="K6" s="68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</row>
    <row r="7" spans="1:32" x14ac:dyDescent="0.2">
      <c r="A7" s="8" t="s">
        <v>21</v>
      </c>
      <c r="B7" s="72" t="s">
        <v>205</v>
      </c>
      <c r="C7" s="68">
        <v>1086</v>
      </c>
      <c r="D7" s="68">
        <v>1015</v>
      </c>
      <c r="E7" s="68">
        <v>1020</v>
      </c>
      <c r="F7" s="68">
        <v>1513</v>
      </c>
      <c r="G7" s="68">
        <v>1609</v>
      </c>
      <c r="H7" s="68">
        <v>1818</v>
      </c>
      <c r="I7" s="68">
        <v>2017</v>
      </c>
      <c r="J7" s="68">
        <v>2159</v>
      </c>
      <c r="K7" s="68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86"/>
      <c r="AF7" s="67"/>
    </row>
    <row r="8" spans="1:32" x14ac:dyDescent="0.2">
      <c r="A8" s="8" t="s">
        <v>204</v>
      </c>
      <c r="B8" s="76"/>
      <c r="C8" s="68">
        <v>-1</v>
      </c>
      <c r="D8" s="68">
        <v>-569</v>
      </c>
      <c r="E8" s="68">
        <v>-324</v>
      </c>
      <c r="F8" s="68">
        <v>346</v>
      </c>
      <c r="G8" s="68">
        <v>-3014</v>
      </c>
      <c r="H8" s="68">
        <v>1556</v>
      </c>
      <c r="I8" s="68">
        <v>2089</v>
      </c>
      <c r="J8" s="68">
        <v>440</v>
      </c>
      <c r="K8" s="68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</row>
    <row r="9" spans="1:32" x14ac:dyDescent="0.2">
      <c r="A9" s="8" t="s">
        <v>203</v>
      </c>
      <c r="B9" s="76"/>
      <c r="C9" s="68">
        <v>-11</v>
      </c>
      <c r="D9" s="68">
        <v>-14</v>
      </c>
      <c r="E9" s="68"/>
      <c r="F9" s="68">
        <v>-171</v>
      </c>
      <c r="G9" s="68">
        <v>-122</v>
      </c>
      <c r="H9" s="68">
        <v>-119</v>
      </c>
      <c r="I9" s="68">
        <v>-114</v>
      </c>
      <c r="J9" s="68">
        <v>-92</v>
      </c>
      <c r="K9" s="68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</row>
    <row r="10" spans="1:32" x14ac:dyDescent="0.2">
      <c r="A10" s="8" t="s">
        <v>202</v>
      </c>
      <c r="B10" s="76"/>
      <c r="C10" s="68">
        <v>725</v>
      </c>
      <c r="D10" s="68">
        <v>215</v>
      </c>
      <c r="E10" s="68">
        <v>95</v>
      </c>
      <c r="F10" s="68">
        <v>52</v>
      </c>
      <c r="G10" s="68">
        <v>273</v>
      </c>
      <c r="H10" s="68">
        <v>270</v>
      </c>
      <c r="I10" s="68">
        <v>272</v>
      </c>
      <c r="J10" s="68">
        <v>458</v>
      </c>
      <c r="K10" s="68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</row>
    <row r="11" spans="1:32" x14ac:dyDescent="0.2">
      <c r="A11" s="8" t="s">
        <v>201</v>
      </c>
      <c r="B11" s="76"/>
      <c r="C11" s="68">
        <v>180</v>
      </c>
      <c r="D11" s="68">
        <v>287</v>
      </c>
      <c r="E11" s="68">
        <v>-154</v>
      </c>
      <c r="F11" s="68">
        <v>-163</v>
      </c>
      <c r="G11" s="68">
        <v>-193</v>
      </c>
      <c r="H11" s="68">
        <v>-68</v>
      </c>
      <c r="I11" s="68">
        <v>-132</v>
      </c>
      <c r="J11" s="68">
        <v>-300</v>
      </c>
      <c r="K11" s="68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  <c r="AA11" s="67"/>
      <c r="AB11" s="67"/>
      <c r="AC11" s="67"/>
      <c r="AD11" s="67"/>
      <c r="AE11" s="67"/>
      <c r="AF11" s="67"/>
    </row>
    <row r="12" spans="1:32" x14ac:dyDescent="0.2">
      <c r="A12" s="8" t="s">
        <v>200</v>
      </c>
      <c r="B12" s="76" t="s">
        <v>199</v>
      </c>
      <c r="C12" s="68">
        <v>40</v>
      </c>
      <c r="D12" s="68">
        <v>29</v>
      </c>
      <c r="E12" s="68">
        <v>39</v>
      </c>
      <c r="F12" s="68">
        <v>304</v>
      </c>
      <c r="G12" s="68">
        <v>284</v>
      </c>
      <c r="H12" s="68">
        <v>100</v>
      </c>
      <c r="I12" s="68">
        <v>90</v>
      </c>
      <c r="J12" s="68">
        <v>86</v>
      </c>
      <c r="K12" s="68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</row>
    <row r="13" spans="1:32" x14ac:dyDescent="0.2">
      <c r="A13" s="8" t="s">
        <v>198</v>
      </c>
      <c r="B13" s="76"/>
      <c r="C13" s="68">
        <v>118</v>
      </c>
      <c r="D13" s="68">
        <v>2066</v>
      </c>
      <c r="E13" s="68">
        <v>2112</v>
      </c>
      <c r="F13" s="68"/>
      <c r="G13" s="68"/>
      <c r="H13" s="68"/>
      <c r="I13" s="68"/>
      <c r="J13" s="68"/>
      <c r="K13" s="68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</row>
    <row r="14" spans="1:32" x14ac:dyDescent="0.2">
      <c r="A14" s="8" t="s">
        <v>197</v>
      </c>
      <c r="B14" s="76"/>
      <c r="C14" s="68">
        <v>0</v>
      </c>
      <c r="D14" s="68"/>
      <c r="E14" s="68">
        <v>181</v>
      </c>
      <c r="F14" s="68"/>
      <c r="G14" s="68"/>
      <c r="H14" s="68"/>
      <c r="I14" s="68"/>
      <c r="J14" s="68"/>
      <c r="K14" s="68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</row>
    <row r="15" spans="1:32" x14ac:dyDescent="0.2">
      <c r="A15" s="8" t="s">
        <v>196</v>
      </c>
      <c r="B15" s="76"/>
      <c r="C15" s="68">
        <v>87</v>
      </c>
      <c r="D15" s="68">
        <v>22</v>
      </c>
      <c r="E15" s="68">
        <v>-76</v>
      </c>
      <c r="F15" s="68">
        <v>3</v>
      </c>
      <c r="G15" s="68">
        <v>-12</v>
      </c>
      <c r="H15" s="68">
        <v>-18</v>
      </c>
      <c r="I15" s="68">
        <v>-39</v>
      </c>
      <c r="J15" s="68">
        <v>-64</v>
      </c>
      <c r="K15" s="68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7"/>
    </row>
    <row r="16" spans="1:32" x14ac:dyDescent="0.2">
      <c r="A16" s="12" t="s">
        <v>195</v>
      </c>
      <c r="B16" s="76"/>
      <c r="C16" s="68"/>
      <c r="D16" s="68"/>
      <c r="E16" s="68"/>
      <c r="F16" s="68"/>
      <c r="G16" s="68"/>
      <c r="H16" s="68"/>
      <c r="I16" s="68"/>
      <c r="J16" s="68"/>
      <c r="K16" s="68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  <c r="AF16" s="67"/>
    </row>
    <row r="17" spans="1:32" x14ac:dyDescent="0.2">
      <c r="A17" s="8" t="s">
        <v>194</v>
      </c>
      <c r="B17" s="76"/>
      <c r="C17" s="68">
        <v>-164</v>
      </c>
      <c r="D17" s="68">
        <v>-222</v>
      </c>
      <c r="E17" s="68">
        <v>-93</v>
      </c>
      <c r="F17" s="68">
        <v>-160</v>
      </c>
      <c r="G17" s="68">
        <v>352</v>
      </c>
      <c r="H17" s="68">
        <v>-160</v>
      </c>
      <c r="I17" s="68">
        <v>-190</v>
      </c>
      <c r="J17" s="68">
        <v>222</v>
      </c>
      <c r="K17" s="68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7"/>
      <c r="AE17" s="67"/>
      <c r="AF17" s="67"/>
    </row>
    <row r="18" spans="1:32" x14ac:dyDescent="0.2">
      <c r="A18" s="8" t="s">
        <v>193</v>
      </c>
      <c r="B18" s="76"/>
      <c r="C18" s="68">
        <v>-146</v>
      </c>
      <c r="D18" s="68">
        <v>-133</v>
      </c>
      <c r="E18" s="68">
        <v>-29</v>
      </c>
      <c r="F18" s="68">
        <v>-168</v>
      </c>
      <c r="G18" s="68">
        <v>-27</v>
      </c>
      <c r="H18" s="68">
        <v>-184</v>
      </c>
      <c r="I18" s="68">
        <v>-433</v>
      </c>
      <c r="J18" s="68">
        <v>-390</v>
      </c>
      <c r="K18" s="68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  <c r="AF18" s="67"/>
    </row>
    <row r="19" spans="1:32" x14ac:dyDescent="0.2">
      <c r="A19" s="8" t="s">
        <v>192</v>
      </c>
      <c r="B19" s="76"/>
      <c r="C19" s="68">
        <v>-73</v>
      </c>
      <c r="D19" s="68">
        <v>-1</v>
      </c>
      <c r="E19" s="68">
        <v>1</v>
      </c>
      <c r="F19" s="68"/>
      <c r="G19" s="68"/>
      <c r="H19" s="68"/>
      <c r="I19" s="68"/>
      <c r="J19" s="68"/>
      <c r="K19" s="68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7"/>
      <c r="AF19" s="67"/>
    </row>
    <row r="20" spans="1:32" x14ac:dyDescent="0.2">
      <c r="A20" s="8" t="s">
        <v>191</v>
      </c>
      <c r="B20" s="76"/>
      <c r="C20" s="68">
        <v>189</v>
      </c>
      <c r="D20" s="68">
        <v>449</v>
      </c>
      <c r="E20" s="68">
        <v>71</v>
      </c>
      <c r="F20" s="68">
        <v>110</v>
      </c>
      <c r="G20" s="68">
        <v>173</v>
      </c>
      <c r="H20" s="68">
        <v>307</v>
      </c>
      <c r="I20" s="68">
        <v>299</v>
      </c>
      <c r="J20" s="68">
        <v>-147</v>
      </c>
      <c r="K20" s="68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D20" s="67"/>
      <c r="AE20" s="67"/>
      <c r="AF20" s="67"/>
    </row>
    <row r="21" spans="1:32" x14ac:dyDescent="0.2">
      <c r="A21" s="8" t="s">
        <v>190</v>
      </c>
      <c r="B21" s="76"/>
      <c r="C21" s="68">
        <v>374</v>
      </c>
      <c r="D21" s="68">
        <v>161</v>
      </c>
      <c r="E21" s="68">
        <v>150</v>
      </c>
      <c r="F21" s="68">
        <v>-97</v>
      </c>
      <c r="G21" s="68">
        <v>-505</v>
      </c>
      <c r="H21" s="68">
        <v>158</v>
      </c>
      <c r="I21" s="68">
        <v>65</v>
      </c>
      <c r="J21" s="68">
        <v>297</v>
      </c>
      <c r="K21" s="68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7"/>
      <c r="AE21" s="67"/>
      <c r="AF21" s="67"/>
    </row>
    <row r="22" spans="1:32" x14ac:dyDescent="0.2">
      <c r="A22" s="8" t="s">
        <v>189</v>
      </c>
      <c r="B22" s="76"/>
      <c r="C22" s="68">
        <v>193</v>
      </c>
      <c r="D22" s="68">
        <v>140</v>
      </c>
      <c r="E22" s="68">
        <v>38</v>
      </c>
      <c r="F22" s="68">
        <v>-229</v>
      </c>
      <c r="G22" s="68">
        <v>-295</v>
      </c>
      <c r="H22" s="68">
        <v>417</v>
      </c>
      <c r="I22" s="68">
        <v>-308</v>
      </c>
      <c r="J22" s="68">
        <v>-283</v>
      </c>
      <c r="K22" s="68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D22" s="67"/>
      <c r="AE22" s="67"/>
      <c r="AF22" s="67"/>
    </row>
    <row r="23" spans="1:32" x14ac:dyDescent="0.2">
      <c r="A23" s="8" t="s">
        <v>188</v>
      </c>
      <c r="B23" s="76"/>
      <c r="C23" s="68">
        <v>125</v>
      </c>
      <c r="D23" s="68">
        <v>-277</v>
      </c>
      <c r="E23" s="68">
        <v>-494</v>
      </c>
      <c r="F23" s="68">
        <v>-810</v>
      </c>
      <c r="G23" s="68">
        <v>-6</v>
      </c>
      <c r="H23" s="68">
        <v>-32</v>
      </c>
      <c r="I23" s="68">
        <v>-286</v>
      </c>
      <c r="J23" s="68">
        <v>-475</v>
      </c>
      <c r="K23" s="68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7"/>
      <c r="AE23" s="67"/>
      <c r="AF23" s="67"/>
    </row>
    <row r="24" spans="1:32" s="30" customFormat="1" x14ac:dyDescent="0.2">
      <c r="A24" s="28" t="s">
        <v>187</v>
      </c>
      <c r="B24" s="76"/>
      <c r="C24" s="82"/>
      <c r="D24" s="82">
        <v>-7</v>
      </c>
      <c r="E24" s="82">
        <v>-28</v>
      </c>
      <c r="F24" s="82">
        <v>-332</v>
      </c>
      <c r="G24" s="82">
        <v>122</v>
      </c>
      <c r="H24" s="82">
        <v>-105</v>
      </c>
      <c r="I24" s="82">
        <v>132</v>
      </c>
      <c r="J24" s="82">
        <v>210</v>
      </c>
      <c r="K24" s="82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</row>
    <row r="25" spans="1:32" s="30" customFormat="1" x14ac:dyDescent="0.2">
      <c r="A25" s="28" t="s">
        <v>186</v>
      </c>
      <c r="B25" s="76" t="s">
        <v>185</v>
      </c>
      <c r="C25" s="83">
        <f t="shared" ref="C25:J25" si="0">SUM(C17:C24)</f>
        <v>498</v>
      </c>
      <c r="D25" s="83">
        <f t="shared" si="0"/>
        <v>110</v>
      </c>
      <c r="E25" s="83">
        <f t="shared" si="0"/>
        <v>-384</v>
      </c>
      <c r="F25" s="83">
        <f t="shared" si="0"/>
        <v>-1686</v>
      </c>
      <c r="G25" s="83">
        <f t="shared" si="0"/>
        <v>-186</v>
      </c>
      <c r="H25" s="83">
        <f t="shared" si="0"/>
        <v>401</v>
      </c>
      <c r="I25" s="83">
        <f t="shared" si="0"/>
        <v>-721</v>
      </c>
      <c r="J25" s="83">
        <f t="shared" si="0"/>
        <v>-566</v>
      </c>
      <c r="K25" s="82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</row>
    <row r="26" spans="1:32" s="11" customFormat="1" x14ac:dyDescent="0.2">
      <c r="A26" s="12" t="s">
        <v>184</v>
      </c>
      <c r="B26" s="72" t="s">
        <v>183</v>
      </c>
      <c r="C26" s="79">
        <v>743</v>
      </c>
      <c r="D26" s="79">
        <v>1285</v>
      </c>
      <c r="E26" s="79">
        <v>675</v>
      </c>
      <c r="F26" s="79">
        <v>3080</v>
      </c>
      <c r="G26" s="79">
        <v>6249</v>
      </c>
      <c r="H26" s="79">
        <v>6524</v>
      </c>
      <c r="I26" s="79">
        <v>4744</v>
      </c>
      <c r="J26" s="79">
        <v>3533</v>
      </c>
      <c r="K26" s="79"/>
      <c r="L26" s="77">
        <v>1256</v>
      </c>
      <c r="M26" s="77">
        <v>1381</v>
      </c>
      <c r="N26" s="77">
        <v>-361</v>
      </c>
      <c r="O26" s="77">
        <v>804</v>
      </c>
      <c r="P26" s="77">
        <v>2494</v>
      </c>
      <c r="Q26" s="77">
        <v>2347</v>
      </c>
      <c r="R26" s="77">
        <v>1180</v>
      </c>
      <c r="S26" s="77">
        <v>228</v>
      </c>
      <c r="T26" s="77">
        <v>2620</v>
      </c>
      <c r="U26" s="77">
        <v>2213</v>
      </c>
      <c r="V26" s="77">
        <v>1064</v>
      </c>
      <c r="W26" s="78">
        <f>H26-T26-U26-V26</f>
        <v>627</v>
      </c>
      <c r="X26" s="77">
        <v>2250</v>
      </c>
      <c r="Y26" s="77">
        <v>1688</v>
      </c>
      <c r="Z26" s="77">
        <v>369</v>
      </c>
      <c r="AA26" s="78">
        <f>I26-X26-Y26-Z26</f>
        <v>437</v>
      </c>
      <c r="AB26" s="77">
        <v>1800</v>
      </c>
      <c r="AC26" s="77">
        <v>1083</v>
      </c>
      <c r="AD26" s="77">
        <v>-79</v>
      </c>
      <c r="AE26" s="78">
        <f>J26-AB26-AC26-AD26</f>
        <v>729</v>
      </c>
      <c r="AF26" s="77">
        <v>1651</v>
      </c>
    </row>
    <row r="27" spans="1:32" s="9" customFormat="1" x14ac:dyDescent="0.2">
      <c r="A27" s="12" t="s">
        <v>182</v>
      </c>
      <c r="B27" s="74"/>
      <c r="C27" s="68" t="s">
        <v>255</v>
      </c>
      <c r="D27" s="68"/>
      <c r="E27" s="68"/>
      <c r="F27" s="68"/>
      <c r="G27" s="68"/>
      <c r="H27" s="68"/>
      <c r="I27" s="68"/>
      <c r="J27" s="68"/>
      <c r="K27" s="68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</row>
    <row r="28" spans="1:32" x14ac:dyDescent="0.2">
      <c r="A28" s="8" t="s">
        <v>181</v>
      </c>
      <c r="B28" s="72" t="s">
        <v>180</v>
      </c>
      <c r="C28" s="68">
        <v>-1610</v>
      </c>
      <c r="D28" s="68">
        <v>-1888</v>
      </c>
      <c r="E28" s="68">
        <v>-3114</v>
      </c>
      <c r="F28" s="68">
        <v>-5311</v>
      </c>
      <c r="G28" s="68">
        <v>-6151</v>
      </c>
      <c r="H28" s="68">
        <v>-5731</v>
      </c>
      <c r="I28" s="68">
        <v>-5971</v>
      </c>
      <c r="J28" s="68">
        <v>-3745</v>
      </c>
      <c r="K28" s="68"/>
      <c r="L28" s="67">
        <v>-1047</v>
      </c>
      <c r="M28" s="67">
        <v>-1631</v>
      </c>
      <c r="N28" s="67">
        <v>-1328</v>
      </c>
      <c r="O28" s="67">
        <v>-1305</v>
      </c>
      <c r="P28" s="67">
        <v>-1409</v>
      </c>
      <c r="Q28" s="67">
        <v>-1730</v>
      </c>
      <c r="R28" s="67">
        <v>-1482</v>
      </c>
      <c r="S28" s="67">
        <v>-1530</v>
      </c>
      <c r="T28" s="67">
        <v>-1557</v>
      </c>
      <c r="U28" s="67">
        <v>-1506</v>
      </c>
      <c r="V28" s="67">
        <v>-1208</v>
      </c>
      <c r="W28" s="75">
        <f>H28-T28-U28-V28</f>
        <v>-1460</v>
      </c>
      <c r="X28" s="67">
        <v>-1714</v>
      </c>
      <c r="Y28" s="67">
        <v>-1480</v>
      </c>
      <c r="Z28" s="67">
        <v>-1369</v>
      </c>
      <c r="AA28" s="75">
        <f>I28-X28-Y28-Z28</f>
        <v>-1408</v>
      </c>
      <c r="AB28" s="67">
        <v>-779</v>
      </c>
      <c r="AC28" s="67">
        <v>-952</v>
      </c>
      <c r="AD28" s="67">
        <v>-1005</v>
      </c>
      <c r="AE28" s="75">
        <f>J28-AB28-AC28-AD28</f>
        <v>-1009</v>
      </c>
      <c r="AF28" s="67">
        <v>-1305</v>
      </c>
    </row>
    <row r="29" spans="1:32" x14ac:dyDescent="0.2">
      <c r="A29" s="8" t="s">
        <v>179</v>
      </c>
      <c r="B29" s="76"/>
      <c r="C29" s="68"/>
      <c r="D29" s="68"/>
      <c r="E29" s="68">
        <v>206</v>
      </c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75"/>
      <c r="X29" s="68"/>
      <c r="Y29" s="68"/>
      <c r="Z29" s="68"/>
      <c r="AA29" s="75"/>
      <c r="AB29" s="68"/>
      <c r="AC29" s="68"/>
      <c r="AD29" s="68"/>
      <c r="AE29" s="75"/>
      <c r="AF29" s="68"/>
    </row>
    <row r="30" spans="1:32" x14ac:dyDescent="0.2">
      <c r="A30" s="8" t="s">
        <v>178</v>
      </c>
      <c r="B30" s="76"/>
      <c r="C30" s="68"/>
      <c r="D30" s="68"/>
      <c r="E30" s="68"/>
      <c r="F30" s="68"/>
      <c r="G30" s="68">
        <v>35</v>
      </c>
      <c r="H30" s="68">
        <v>125</v>
      </c>
      <c r="I30" s="68">
        <v>947</v>
      </c>
      <c r="J30" s="68">
        <v>1207</v>
      </c>
      <c r="K30" s="68"/>
      <c r="L30" s="67">
        <v>3</v>
      </c>
      <c r="M30" s="67">
        <v>6</v>
      </c>
      <c r="N30" s="67">
        <v>15</v>
      </c>
      <c r="O30" s="67">
        <v>9</v>
      </c>
      <c r="P30" s="67"/>
      <c r="Q30" s="67">
        <v>22</v>
      </c>
      <c r="R30" s="67">
        <v>1</v>
      </c>
      <c r="S30" s="67">
        <v>12</v>
      </c>
      <c r="T30" s="67">
        <v>4</v>
      </c>
      <c r="U30" s="67">
        <v>28</v>
      </c>
      <c r="V30" s="67">
        <v>28</v>
      </c>
      <c r="W30" s="75">
        <f>H30-T30-U30-V30</f>
        <v>65</v>
      </c>
      <c r="X30" s="67">
        <v>32</v>
      </c>
      <c r="Y30" s="67">
        <v>281</v>
      </c>
      <c r="Z30" s="67">
        <v>518</v>
      </c>
      <c r="AA30" s="75">
        <f>I30-X30-Y30-Z30</f>
        <v>116</v>
      </c>
      <c r="AB30" s="67">
        <v>22</v>
      </c>
      <c r="AC30" s="67">
        <v>236</v>
      </c>
      <c r="AD30" s="67">
        <v>602</v>
      </c>
      <c r="AE30" s="75">
        <f>J30-AB30-AC30-AD30</f>
        <v>347</v>
      </c>
      <c r="AF30" s="67">
        <v>359</v>
      </c>
    </row>
    <row r="31" spans="1:32" x14ac:dyDescent="0.2">
      <c r="A31" s="8" t="s">
        <v>177</v>
      </c>
      <c r="B31" s="76"/>
      <c r="C31" s="68">
        <v>-2918</v>
      </c>
      <c r="D31" s="68">
        <v>-1078</v>
      </c>
      <c r="E31" s="68">
        <v>-3342</v>
      </c>
      <c r="F31" s="68">
        <v>-5380</v>
      </c>
      <c r="G31" s="68">
        <v>-8126</v>
      </c>
      <c r="H31" s="68">
        <v>-6241</v>
      </c>
      <c r="I31" s="68">
        <v>-4633</v>
      </c>
      <c r="J31" s="68">
        <v>-3412</v>
      </c>
      <c r="K31" s="68"/>
      <c r="L31" s="67">
        <v>-1176</v>
      </c>
      <c r="M31" s="67">
        <v>-685</v>
      </c>
      <c r="N31" s="67">
        <v>-1742</v>
      </c>
      <c r="O31" s="67">
        <v>-1777</v>
      </c>
      <c r="P31" s="67">
        <v>-3474</v>
      </c>
      <c r="Q31" s="67">
        <v>-1619</v>
      </c>
      <c r="R31" s="67">
        <v>-2624</v>
      </c>
      <c r="S31" s="67">
        <v>-409</v>
      </c>
      <c r="T31" s="67">
        <v>-1715</v>
      </c>
      <c r="U31" s="67">
        <v>-1890</v>
      </c>
      <c r="V31" s="67">
        <v>-1473</v>
      </c>
      <c r="W31" s="75">
        <f>H31-T31-U31-V31</f>
        <v>-1163</v>
      </c>
      <c r="X31" s="67">
        <v>-1922</v>
      </c>
      <c r="Y31" s="67">
        <v>-1907</v>
      </c>
      <c r="Z31" s="67">
        <v>-264</v>
      </c>
      <c r="AA31" s="75">
        <f>I31-X31-Y31-Z31</f>
        <v>-540</v>
      </c>
      <c r="AB31" s="67">
        <v>-1252</v>
      </c>
      <c r="AC31" s="67">
        <v>68</v>
      </c>
      <c r="AD31" s="67">
        <v>-1406</v>
      </c>
      <c r="AE31" s="75">
        <f>J31-AB31-AC31-AD31</f>
        <v>-822</v>
      </c>
      <c r="AF31" s="67">
        <v>-570</v>
      </c>
    </row>
    <row r="32" spans="1:32" x14ac:dyDescent="0.2">
      <c r="A32" s="8" t="s">
        <v>176</v>
      </c>
      <c r="B32" s="76"/>
      <c r="C32" s="68">
        <v>3528</v>
      </c>
      <c r="D32" s="68">
        <v>1384</v>
      </c>
      <c r="E32" s="68">
        <v>2161</v>
      </c>
      <c r="F32" s="68">
        <v>7179</v>
      </c>
      <c r="G32" s="68">
        <v>8517</v>
      </c>
      <c r="H32" s="68">
        <v>6092</v>
      </c>
      <c r="I32" s="68">
        <v>5915</v>
      </c>
      <c r="J32" s="68">
        <v>3705</v>
      </c>
      <c r="K32" s="68"/>
      <c r="L32" s="67">
        <v>882</v>
      </c>
      <c r="M32" s="67">
        <v>841</v>
      </c>
      <c r="N32" s="67">
        <v>3270</v>
      </c>
      <c r="O32" s="67">
        <v>2186</v>
      </c>
      <c r="P32" s="67">
        <v>1660</v>
      </c>
      <c r="Q32" s="67">
        <v>1776</v>
      </c>
      <c r="R32" s="67">
        <v>2731</v>
      </c>
      <c r="S32" s="67">
        <v>2350</v>
      </c>
      <c r="T32" s="67">
        <v>1150</v>
      </c>
      <c r="U32" s="67">
        <v>1660</v>
      </c>
      <c r="V32" s="67">
        <v>1777</v>
      </c>
      <c r="W32" s="75">
        <f>H32-T32-U32-V32</f>
        <v>1505</v>
      </c>
      <c r="X32" s="67">
        <v>1660</v>
      </c>
      <c r="Y32" s="67">
        <v>1713</v>
      </c>
      <c r="Z32" s="67">
        <v>1341</v>
      </c>
      <c r="AA32" s="75">
        <f>I32-X32-Y32-Z32</f>
        <v>1201</v>
      </c>
      <c r="AB32" s="67">
        <v>1029</v>
      </c>
      <c r="AC32" s="67">
        <v>550</v>
      </c>
      <c r="AD32" s="67">
        <v>1237</v>
      </c>
      <c r="AE32" s="75">
        <f>J32-AB32-AC32-AD32</f>
        <v>889</v>
      </c>
      <c r="AF32" s="67">
        <v>1051</v>
      </c>
    </row>
    <row r="33" spans="1:32" x14ac:dyDescent="0.2">
      <c r="A33" s="8" t="s">
        <v>175</v>
      </c>
      <c r="B33" s="76"/>
      <c r="C33" s="68">
        <v>-288</v>
      </c>
      <c r="D33" s="68">
        <v>-112</v>
      </c>
      <c r="E33" s="68">
        <v>147</v>
      </c>
      <c r="F33" s="68">
        <v>261</v>
      </c>
      <c r="G33" s="68">
        <v>79</v>
      </c>
      <c r="H33" s="68">
        <v>53</v>
      </c>
      <c r="I33" s="68">
        <v>309</v>
      </c>
      <c r="J33" s="68">
        <v>72</v>
      </c>
      <c r="K33" s="68"/>
      <c r="L33" s="67">
        <v>88</v>
      </c>
      <c r="M33" s="67">
        <v>65</v>
      </c>
      <c r="N33" s="67">
        <v>7</v>
      </c>
      <c r="O33" s="67">
        <v>101</v>
      </c>
      <c r="P33" s="67">
        <v>17</v>
      </c>
      <c r="Q33" s="67">
        <v>10</v>
      </c>
      <c r="R33" s="67">
        <v>37</v>
      </c>
      <c r="S33" s="67">
        <v>15</v>
      </c>
      <c r="T33" s="67">
        <v>4</v>
      </c>
      <c r="U33" s="67">
        <v>51</v>
      </c>
      <c r="V33" s="67">
        <v>5</v>
      </c>
      <c r="W33" s="75">
        <f>H33-T33-U33-V33</f>
        <v>-7</v>
      </c>
      <c r="X33" s="67">
        <v>74</v>
      </c>
      <c r="Y33" s="67">
        <v>-1</v>
      </c>
      <c r="Z33" s="67">
        <v>162</v>
      </c>
      <c r="AA33" s="75">
        <f>I33-X33-Y33-Z33</f>
        <v>74</v>
      </c>
      <c r="AB33" s="67">
        <v>24</v>
      </c>
      <c r="AC33" s="67">
        <v>19</v>
      </c>
      <c r="AD33" s="67">
        <v>29</v>
      </c>
      <c r="AE33" s="75">
        <f>J33-AB33-AC33-AD33</f>
        <v>0</v>
      </c>
      <c r="AF33" s="67">
        <v>-1</v>
      </c>
    </row>
    <row r="34" spans="1:32" x14ac:dyDescent="0.2">
      <c r="A34" s="8" t="s">
        <v>174</v>
      </c>
      <c r="B34" s="76"/>
      <c r="C34" s="68"/>
      <c r="D34" s="68"/>
      <c r="E34" s="68"/>
      <c r="F34" s="68">
        <v>307</v>
      </c>
      <c r="G34" s="68"/>
      <c r="H34" s="68"/>
      <c r="I34" s="68"/>
      <c r="J34" s="68"/>
      <c r="K34" s="68"/>
      <c r="L34" s="68">
        <v>307</v>
      </c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75"/>
      <c r="X34" s="68"/>
      <c r="Y34" s="68"/>
      <c r="Z34" s="68"/>
      <c r="AA34" s="75"/>
      <c r="AB34" s="68"/>
      <c r="AC34" s="68"/>
      <c r="AD34" s="68"/>
      <c r="AE34" s="75"/>
      <c r="AF34" s="68"/>
    </row>
    <row r="35" spans="1:32" x14ac:dyDescent="0.2">
      <c r="A35" s="8" t="s">
        <v>173</v>
      </c>
      <c r="B35" s="76"/>
      <c r="C35" s="68"/>
      <c r="D35" s="68"/>
      <c r="E35" s="68"/>
      <c r="F35" s="68"/>
      <c r="G35" s="68">
        <v>0</v>
      </c>
      <c r="H35" s="68">
        <v>0</v>
      </c>
      <c r="I35" s="68">
        <v>-203</v>
      </c>
      <c r="J35" s="68">
        <v>0</v>
      </c>
      <c r="K35" s="68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85"/>
      <c r="X35" s="67"/>
      <c r="Y35" s="67"/>
      <c r="Z35" s="67">
        <v>-203</v>
      </c>
      <c r="AA35" s="75"/>
      <c r="AB35" s="67"/>
      <c r="AC35" s="67"/>
      <c r="AD35" s="67">
        <v>0</v>
      </c>
      <c r="AE35" s="75"/>
      <c r="AF35" s="67"/>
    </row>
    <row r="36" spans="1:32" x14ac:dyDescent="0.2">
      <c r="A36" s="8" t="s">
        <v>172</v>
      </c>
      <c r="B36" s="76"/>
      <c r="C36" s="68"/>
      <c r="D36" s="68"/>
      <c r="E36" s="68"/>
      <c r="F36" s="68"/>
      <c r="G36" s="68">
        <v>52</v>
      </c>
      <c r="H36" s="68">
        <v>0</v>
      </c>
      <c r="I36" s="68">
        <v>0</v>
      </c>
      <c r="J36" s="68">
        <v>207</v>
      </c>
      <c r="K36" s="68"/>
      <c r="L36" s="68"/>
      <c r="M36" s="68"/>
      <c r="N36" s="68"/>
      <c r="O36" s="68"/>
      <c r="P36" s="68">
        <v>4</v>
      </c>
      <c r="Q36" s="68">
        <v>48</v>
      </c>
      <c r="R36" s="68"/>
      <c r="S36" s="68"/>
      <c r="T36" s="68"/>
      <c r="U36" s="68"/>
      <c r="V36" s="68"/>
      <c r="W36" s="85"/>
      <c r="X36" s="68"/>
      <c r="Y36" s="68"/>
      <c r="Z36" s="68"/>
      <c r="AA36" s="75"/>
      <c r="AB36" s="68"/>
      <c r="AC36" s="68"/>
      <c r="AD36" s="68"/>
      <c r="AE36" s="75">
        <f>J36-AB36-AC36-AD36</f>
        <v>207</v>
      </c>
      <c r="AF36" s="68"/>
    </row>
    <row r="37" spans="1:32" x14ac:dyDescent="0.2">
      <c r="A37" s="8" t="s">
        <v>171</v>
      </c>
      <c r="B37" s="76"/>
      <c r="C37" s="68">
        <v>-4</v>
      </c>
      <c r="D37" s="68">
        <v>123</v>
      </c>
      <c r="E37" s="68">
        <v>128</v>
      </c>
      <c r="F37" s="68">
        <v>33</v>
      </c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85"/>
      <c r="X37" s="68"/>
      <c r="Y37" s="68"/>
      <c r="Z37" s="68"/>
      <c r="AA37" s="75"/>
      <c r="AB37" s="68"/>
      <c r="AC37" s="68"/>
      <c r="AD37" s="68"/>
      <c r="AE37" s="75"/>
      <c r="AF37" s="68"/>
    </row>
    <row r="38" spans="1:32" s="30" customFormat="1" x14ac:dyDescent="0.2">
      <c r="A38" s="28" t="s">
        <v>170</v>
      </c>
      <c r="B38" s="76"/>
      <c r="C38" s="82"/>
      <c r="D38" s="82"/>
      <c r="E38" s="82"/>
      <c r="F38" s="82"/>
      <c r="G38" s="82"/>
      <c r="H38" s="82">
        <v>0</v>
      </c>
      <c r="I38" s="82">
        <v>0</v>
      </c>
      <c r="J38" s="82">
        <v>-7</v>
      </c>
      <c r="K38" s="82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4"/>
      <c r="X38" s="80"/>
      <c r="Y38" s="80"/>
      <c r="Z38" s="80">
        <v>0</v>
      </c>
      <c r="AA38" s="81"/>
      <c r="AB38" s="80">
        <v>0</v>
      </c>
      <c r="AC38" s="80"/>
      <c r="AD38" s="80">
        <v>-5</v>
      </c>
      <c r="AE38" s="81">
        <f>J38-AB38-AC38-AD38</f>
        <v>-2</v>
      </c>
      <c r="AF38" s="80">
        <v>-14</v>
      </c>
    </row>
    <row r="39" spans="1:32" s="11" customFormat="1" x14ac:dyDescent="0.2">
      <c r="A39" s="12" t="s">
        <v>169</v>
      </c>
      <c r="B39" s="72" t="s">
        <v>168</v>
      </c>
      <c r="C39" s="79">
        <v>-1292</v>
      </c>
      <c r="D39" s="79">
        <v>-1571</v>
      </c>
      <c r="E39" s="79">
        <v>-3814</v>
      </c>
      <c r="F39" s="79">
        <v>-2911</v>
      </c>
      <c r="G39" s="79">
        <v>-5594</v>
      </c>
      <c r="H39" s="79">
        <v>-5702</v>
      </c>
      <c r="I39" s="79">
        <v>-3636</v>
      </c>
      <c r="J39" s="79">
        <v>-1973</v>
      </c>
      <c r="K39" s="79"/>
      <c r="L39" s="77">
        <v>-943</v>
      </c>
      <c r="M39" s="77">
        <v>-1404</v>
      </c>
      <c r="N39" s="77">
        <v>222</v>
      </c>
      <c r="O39" s="77">
        <v>-786</v>
      </c>
      <c r="P39" s="77">
        <v>-3202</v>
      </c>
      <c r="Q39" s="77">
        <v>-1493</v>
      </c>
      <c r="R39" s="77">
        <v>-1337</v>
      </c>
      <c r="S39" s="77">
        <v>438</v>
      </c>
      <c r="T39" s="77">
        <v>-2114</v>
      </c>
      <c r="U39" s="77">
        <v>-1657</v>
      </c>
      <c r="V39" s="77">
        <v>-871</v>
      </c>
      <c r="W39" s="78">
        <f>H39-T39-U39-V39</f>
        <v>-1060</v>
      </c>
      <c r="X39" s="77">
        <v>-1870</v>
      </c>
      <c r="Y39" s="77">
        <v>-1394</v>
      </c>
      <c r="Z39" s="77">
        <v>185</v>
      </c>
      <c r="AA39" s="78">
        <f>I39-X39-Y39-Z39</f>
        <v>-557</v>
      </c>
      <c r="AB39" s="77">
        <v>-956</v>
      </c>
      <c r="AC39" s="77">
        <v>-79</v>
      </c>
      <c r="AD39" s="77">
        <v>-548</v>
      </c>
      <c r="AE39" s="78">
        <f>J39-AB39-AC39-AD39</f>
        <v>-390</v>
      </c>
      <c r="AF39" s="77">
        <v>-480</v>
      </c>
    </row>
    <row r="40" spans="1:32" x14ac:dyDescent="0.2">
      <c r="A40" s="12" t="s">
        <v>167</v>
      </c>
      <c r="B40" s="76"/>
      <c r="C40" s="68"/>
      <c r="D40" s="68"/>
      <c r="E40" s="68"/>
      <c r="F40" s="68"/>
      <c r="G40" s="68"/>
      <c r="H40" s="68"/>
      <c r="I40" s="68"/>
      <c r="J40" s="68"/>
      <c r="K40" s="68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  <c r="AA40" s="67"/>
      <c r="AB40" s="67"/>
      <c r="AC40" s="67"/>
      <c r="AD40" s="67"/>
      <c r="AE40" s="67"/>
      <c r="AF40" s="67"/>
    </row>
    <row r="41" spans="1:32" x14ac:dyDescent="0.2">
      <c r="A41" s="8" t="s">
        <v>166</v>
      </c>
      <c r="B41" s="76"/>
      <c r="C41" s="68">
        <v>2569</v>
      </c>
      <c r="D41" s="68">
        <v>268</v>
      </c>
      <c r="E41" s="68">
        <v>5134</v>
      </c>
      <c r="F41" s="68">
        <v>3302</v>
      </c>
      <c r="G41" s="68">
        <v>5009</v>
      </c>
      <c r="H41" s="68">
        <v>7701</v>
      </c>
      <c r="I41" s="68">
        <v>3058</v>
      </c>
      <c r="J41" s="68">
        <v>2354</v>
      </c>
      <c r="K41" s="68"/>
      <c r="L41" s="67">
        <v>224</v>
      </c>
      <c r="M41" s="67">
        <v>310</v>
      </c>
      <c r="N41" s="67">
        <v>1873</v>
      </c>
      <c r="O41" s="67">
        <v>895</v>
      </c>
      <c r="P41" s="67">
        <v>1766</v>
      </c>
      <c r="Q41" s="67">
        <v>230</v>
      </c>
      <c r="R41" s="67">
        <v>2467</v>
      </c>
      <c r="S41" s="67">
        <v>546</v>
      </c>
      <c r="T41" s="67">
        <v>1500</v>
      </c>
      <c r="U41" s="67">
        <v>3022</v>
      </c>
      <c r="V41" s="67">
        <v>870</v>
      </c>
      <c r="W41" s="75">
        <f>H41-T41-U41-V41</f>
        <v>2309</v>
      </c>
      <c r="X41" s="67">
        <v>899</v>
      </c>
      <c r="Y41" s="67">
        <v>726</v>
      </c>
      <c r="Z41" s="67">
        <v>535</v>
      </c>
      <c r="AA41" s="75">
        <f>I41-X41-Y41-Z41</f>
        <v>898</v>
      </c>
      <c r="AB41" s="67">
        <v>236</v>
      </c>
      <c r="AC41" s="67">
        <v>656</v>
      </c>
      <c r="AD41" s="67">
        <v>1257</v>
      </c>
      <c r="AE41" s="75">
        <f>J41-AB41-AC41-AD41</f>
        <v>205</v>
      </c>
      <c r="AF41" s="67">
        <v>400</v>
      </c>
    </row>
    <row r="42" spans="1:32" x14ac:dyDescent="0.2">
      <c r="A42" s="8" t="s">
        <v>165</v>
      </c>
      <c r="B42" s="76"/>
      <c r="C42" s="68">
        <v>-2545</v>
      </c>
      <c r="D42" s="68">
        <v>-1288</v>
      </c>
      <c r="E42" s="68">
        <v>-2926</v>
      </c>
      <c r="F42" s="68">
        <v>-3132</v>
      </c>
      <c r="G42" s="68">
        <v>-2153</v>
      </c>
      <c r="H42" s="68">
        <v>-3827</v>
      </c>
      <c r="I42" s="68">
        <v>-2332</v>
      </c>
      <c r="J42" s="68">
        <v>-2941</v>
      </c>
      <c r="K42" s="68"/>
      <c r="L42" s="67">
        <v>-501</v>
      </c>
      <c r="M42" s="67">
        <v>-644</v>
      </c>
      <c r="N42" s="67">
        <v>-1635</v>
      </c>
      <c r="O42" s="67">
        <v>-352</v>
      </c>
      <c r="P42" s="67">
        <v>-746</v>
      </c>
      <c r="Q42" s="67">
        <v>-361</v>
      </c>
      <c r="R42" s="67">
        <v>-714</v>
      </c>
      <c r="S42" s="67">
        <v>-332</v>
      </c>
      <c r="T42" s="67">
        <v>-310</v>
      </c>
      <c r="U42" s="67">
        <v>-1853</v>
      </c>
      <c r="V42" s="67">
        <v>-371</v>
      </c>
      <c r="W42" s="75">
        <f>H42-T42-U42-V42</f>
        <v>-1293</v>
      </c>
      <c r="X42" s="67">
        <v>-686</v>
      </c>
      <c r="Y42" s="67">
        <v>-415</v>
      </c>
      <c r="Z42" s="67">
        <v>-712</v>
      </c>
      <c r="AA42" s="75">
        <f>I42-X42-Y42-Z42</f>
        <v>-519</v>
      </c>
      <c r="AB42" s="67">
        <v>-568</v>
      </c>
      <c r="AC42" s="67">
        <v>-1317</v>
      </c>
      <c r="AD42" s="67">
        <v>-557</v>
      </c>
      <c r="AE42" s="75">
        <f>J42-AB42-AC42-AD42</f>
        <v>-499</v>
      </c>
      <c r="AF42" s="67">
        <v>-849</v>
      </c>
    </row>
    <row r="43" spans="1:32" x14ac:dyDescent="0.2">
      <c r="A43" s="8" t="s">
        <v>164</v>
      </c>
      <c r="B43" s="76"/>
      <c r="C43" s="68">
        <v>-63</v>
      </c>
      <c r="D43" s="68">
        <v>-6</v>
      </c>
      <c r="E43" s="68">
        <v>-120</v>
      </c>
      <c r="F43" s="68">
        <v>-106</v>
      </c>
      <c r="G43" s="68">
        <v>-87</v>
      </c>
      <c r="H43" s="68">
        <v>-77</v>
      </c>
      <c r="I43" s="68">
        <v>-85</v>
      </c>
      <c r="J43" s="68">
        <v>-59</v>
      </c>
      <c r="K43" s="68"/>
      <c r="L43" s="67">
        <v>-7</v>
      </c>
      <c r="M43" s="67"/>
      <c r="N43" s="67">
        <v>-61</v>
      </c>
      <c r="O43" s="67">
        <v>-38</v>
      </c>
      <c r="P43" s="67">
        <v>-25</v>
      </c>
      <c r="Q43" s="67">
        <v>-15</v>
      </c>
      <c r="R43" s="67">
        <v>-29</v>
      </c>
      <c r="S43" s="67">
        <v>-18</v>
      </c>
      <c r="T43" s="67">
        <v>-20</v>
      </c>
      <c r="U43" s="67">
        <v>-67</v>
      </c>
      <c r="V43" s="67">
        <v>48</v>
      </c>
      <c r="W43" s="75">
        <f>H43-T43-U43-V43</f>
        <v>-38</v>
      </c>
      <c r="X43" s="67">
        <v>-31</v>
      </c>
      <c r="Y43" s="67">
        <v>-8</v>
      </c>
      <c r="Z43" s="67">
        <v>-27</v>
      </c>
      <c r="AA43" s="75">
        <f>I43-X43-Y43-Z43</f>
        <v>-19</v>
      </c>
      <c r="AB43" s="67">
        <v>-1</v>
      </c>
      <c r="AC43" s="67">
        <v>-27</v>
      </c>
      <c r="AD43" s="67">
        <v>-20</v>
      </c>
      <c r="AE43" s="75">
        <f>J43-AB43-AC43-AD43</f>
        <v>-11</v>
      </c>
      <c r="AF43" s="67">
        <v>-6</v>
      </c>
    </row>
    <row r="44" spans="1:32" x14ac:dyDescent="0.2">
      <c r="A44" s="8" t="s">
        <v>163</v>
      </c>
      <c r="B44" s="76"/>
      <c r="C44" s="68">
        <v>703</v>
      </c>
      <c r="D44" s="68">
        <v>1509</v>
      </c>
      <c r="E44" s="68">
        <v>1700</v>
      </c>
      <c r="F44" s="68">
        <v>811</v>
      </c>
      <c r="G44" s="68"/>
      <c r="H44" s="68"/>
      <c r="I44" s="68"/>
      <c r="J44" s="68"/>
      <c r="K44" s="68"/>
      <c r="L44" s="68">
        <v>165</v>
      </c>
      <c r="M44" s="68">
        <v>246</v>
      </c>
      <c r="N44" s="68">
        <v>120</v>
      </c>
      <c r="O44" s="68">
        <v>280</v>
      </c>
      <c r="P44" s="68"/>
      <c r="Q44" s="68"/>
      <c r="R44" s="68">
        <v>43</v>
      </c>
      <c r="S44" s="68"/>
      <c r="T44" s="68"/>
      <c r="U44" s="68"/>
      <c r="V44" s="68"/>
      <c r="W44" s="75"/>
      <c r="X44" s="68"/>
      <c r="Y44" s="68"/>
      <c r="Z44" s="68"/>
      <c r="AA44" s="75"/>
      <c r="AB44" s="68"/>
      <c r="AC44" s="68"/>
      <c r="AD44" s="68"/>
      <c r="AE44" s="75"/>
      <c r="AF44" s="68"/>
    </row>
    <row r="45" spans="1:32" x14ac:dyDescent="0.2">
      <c r="A45" s="8" t="s">
        <v>162</v>
      </c>
      <c r="B45" s="76" t="s">
        <v>161</v>
      </c>
      <c r="C45" s="68"/>
      <c r="D45" s="68"/>
      <c r="E45" s="68"/>
      <c r="F45" s="68">
        <v>10</v>
      </c>
      <c r="G45" s="68"/>
      <c r="H45" s="68"/>
      <c r="I45" s="68"/>
      <c r="J45" s="68"/>
      <c r="K45" s="68"/>
      <c r="L45" s="68">
        <v>9</v>
      </c>
      <c r="M45" s="68"/>
      <c r="N45" s="68"/>
      <c r="O45" s="68">
        <v>1</v>
      </c>
      <c r="P45" s="68"/>
      <c r="Q45" s="68"/>
      <c r="R45" s="68"/>
      <c r="S45" s="68"/>
      <c r="T45" s="68"/>
      <c r="U45" s="68"/>
      <c r="V45" s="68"/>
      <c r="W45" s="75"/>
      <c r="X45" s="68"/>
      <c r="Y45" s="68"/>
      <c r="Z45" s="68"/>
      <c r="AA45" s="75"/>
      <c r="AB45" s="68"/>
      <c r="AC45" s="68"/>
      <c r="AD45" s="68"/>
      <c r="AE45" s="75"/>
      <c r="AF45" s="68"/>
    </row>
    <row r="46" spans="1:32" x14ac:dyDescent="0.2">
      <c r="A46" s="8" t="s">
        <v>160</v>
      </c>
      <c r="B46" s="76" t="s">
        <v>159</v>
      </c>
      <c r="C46" s="68"/>
      <c r="D46" s="68"/>
      <c r="E46" s="68"/>
      <c r="F46" s="68">
        <v>-1062</v>
      </c>
      <c r="G46" s="68">
        <v>-3846</v>
      </c>
      <c r="H46" s="68">
        <v>-4500</v>
      </c>
      <c r="I46" s="68">
        <v>-1615</v>
      </c>
      <c r="J46" s="68">
        <v>-837</v>
      </c>
      <c r="K46" s="68"/>
      <c r="L46" s="67">
        <v>-84</v>
      </c>
      <c r="M46" s="67">
        <v>56</v>
      </c>
      <c r="N46" s="67">
        <v>-127</v>
      </c>
      <c r="O46" s="67">
        <v>-907</v>
      </c>
      <c r="P46" s="67">
        <v>-181</v>
      </c>
      <c r="Q46" s="67">
        <v>-750</v>
      </c>
      <c r="R46" s="67">
        <v>-1480</v>
      </c>
      <c r="S46" s="67">
        <v>-1435</v>
      </c>
      <c r="T46" s="67">
        <v>-1525</v>
      </c>
      <c r="U46" s="67">
        <v>-1711</v>
      </c>
      <c r="V46" s="67">
        <v>-695</v>
      </c>
      <c r="W46" s="75">
        <f>H46-T46-U46-V46</f>
        <v>-569</v>
      </c>
      <c r="X46" s="67">
        <v>-484</v>
      </c>
      <c r="Y46" s="67">
        <v>-529</v>
      </c>
      <c r="Z46" s="67">
        <v>-359</v>
      </c>
      <c r="AA46" s="75">
        <f>I46-X46-Y46-Z46</f>
        <v>-243</v>
      </c>
      <c r="AB46" s="67">
        <v>-461</v>
      </c>
      <c r="AC46" s="67">
        <v>-376</v>
      </c>
      <c r="AD46" s="67">
        <v>0</v>
      </c>
      <c r="AE46" s="75">
        <f>J46-AB46-AC46-AD46</f>
        <v>0</v>
      </c>
      <c r="AF46" s="67">
        <v>-608</v>
      </c>
    </row>
    <row r="47" spans="1:32" x14ac:dyDescent="0.2">
      <c r="A47" s="8" t="s">
        <v>158</v>
      </c>
      <c r="B47" s="76"/>
      <c r="C47" s="68"/>
      <c r="D47" s="68"/>
      <c r="E47" s="68"/>
      <c r="F47" s="68">
        <v>-144</v>
      </c>
      <c r="G47" s="68">
        <v>-278</v>
      </c>
      <c r="H47" s="68">
        <v>-224</v>
      </c>
      <c r="I47" s="68">
        <v>-198</v>
      </c>
      <c r="J47" s="68">
        <v>-186</v>
      </c>
      <c r="K47" s="68"/>
      <c r="L47" s="67"/>
      <c r="M47" s="67"/>
      <c r="N47" s="67">
        <v>-72</v>
      </c>
      <c r="O47" s="67">
        <v>-72</v>
      </c>
      <c r="P47" s="67">
        <v>-70</v>
      </c>
      <c r="Q47" s="67">
        <v>-70</v>
      </c>
      <c r="R47" s="67">
        <v>-66</v>
      </c>
      <c r="S47" s="67">
        <v>-72</v>
      </c>
      <c r="T47" s="67">
        <v>-61</v>
      </c>
      <c r="U47" s="67">
        <v>-58</v>
      </c>
      <c r="V47" s="67">
        <v>-53</v>
      </c>
      <c r="W47" s="75">
        <f>H47-T47-U47-V47</f>
        <v>-52</v>
      </c>
      <c r="X47" s="67">
        <v>-51</v>
      </c>
      <c r="Y47" s="67">
        <v>-51</v>
      </c>
      <c r="Z47" s="67">
        <v>-48</v>
      </c>
      <c r="AA47" s="75">
        <f>I47-X47-Y47-Z47</f>
        <v>-48</v>
      </c>
      <c r="AB47" s="67">
        <v>-48</v>
      </c>
      <c r="AC47" s="67">
        <v>-46</v>
      </c>
      <c r="AD47" s="67">
        <v>-46</v>
      </c>
      <c r="AE47" s="75">
        <f>J47-AB47-AC47-AD47</f>
        <v>-46</v>
      </c>
      <c r="AF47" s="67">
        <v>-46</v>
      </c>
    </row>
    <row r="48" spans="1:32" s="30" customFormat="1" x14ac:dyDescent="0.2">
      <c r="A48" s="28" t="s">
        <v>157</v>
      </c>
      <c r="B48" s="76"/>
      <c r="C48" s="82">
        <v>0</v>
      </c>
      <c r="D48" s="82"/>
      <c r="E48" s="82">
        <v>11</v>
      </c>
      <c r="F48" s="82">
        <v>6</v>
      </c>
      <c r="G48" s="82">
        <v>96</v>
      </c>
      <c r="H48" s="82">
        <v>33</v>
      </c>
      <c r="I48" s="82">
        <v>27</v>
      </c>
      <c r="J48" s="82">
        <v>-3</v>
      </c>
      <c r="K48" s="82"/>
      <c r="L48" s="80"/>
      <c r="M48" s="80">
        <v>6</v>
      </c>
      <c r="N48" s="80">
        <v>9</v>
      </c>
      <c r="O48" s="80">
        <v>-9</v>
      </c>
      <c r="P48" s="80">
        <v>18</v>
      </c>
      <c r="Q48" s="80">
        <v>16</v>
      </c>
      <c r="R48" s="80"/>
      <c r="S48" s="80">
        <v>19</v>
      </c>
      <c r="T48" s="80">
        <v>15</v>
      </c>
      <c r="U48" s="80">
        <v>62</v>
      </c>
      <c r="V48" s="80">
        <v>-57</v>
      </c>
      <c r="W48" s="81">
        <f>H48-T48-U48-V48</f>
        <v>13</v>
      </c>
      <c r="X48" s="80">
        <v>4</v>
      </c>
      <c r="Y48" s="80">
        <v>5</v>
      </c>
      <c r="Z48" s="80">
        <v>12</v>
      </c>
      <c r="AA48" s="81">
        <f>I48-X48-Y48-Z48</f>
        <v>6</v>
      </c>
      <c r="AB48" s="80"/>
      <c r="AC48" s="80">
        <v>11</v>
      </c>
      <c r="AD48" s="80">
        <v>2</v>
      </c>
      <c r="AE48" s="81">
        <f>J48-AB48-AC48-AD48</f>
        <v>-16</v>
      </c>
      <c r="AF48" s="80"/>
    </row>
    <row r="49" spans="1:32" s="11" customFormat="1" x14ac:dyDescent="0.2">
      <c r="A49" s="12" t="s">
        <v>156</v>
      </c>
      <c r="B49" s="72" t="s">
        <v>155</v>
      </c>
      <c r="C49" s="79">
        <v>664</v>
      </c>
      <c r="D49" s="79">
        <v>483</v>
      </c>
      <c r="E49" s="79">
        <v>3799</v>
      </c>
      <c r="F49" s="79">
        <v>-315</v>
      </c>
      <c r="G49" s="79">
        <v>-1259</v>
      </c>
      <c r="H49" s="79">
        <v>-894</v>
      </c>
      <c r="I49" s="79">
        <v>-1145</v>
      </c>
      <c r="J49" s="79">
        <v>-1672</v>
      </c>
      <c r="K49" s="79"/>
      <c r="L49" s="77">
        <v>-194</v>
      </c>
      <c r="M49" s="77">
        <v>-26</v>
      </c>
      <c r="N49" s="77">
        <v>107</v>
      </c>
      <c r="O49" s="77">
        <v>-202</v>
      </c>
      <c r="P49" s="77">
        <v>762</v>
      </c>
      <c r="Q49" s="77">
        <v>-950</v>
      </c>
      <c r="R49" s="77">
        <v>221</v>
      </c>
      <c r="S49" s="77">
        <v>-1292</v>
      </c>
      <c r="T49" s="77">
        <v>-401</v>
      </c>
      <c r="U49" s="77">
        <v>-605</v>
      </c>
      <c r="V49" s="77">
        <v>-258</v>
      </c>
      <c r="W49" s="78">
        <f>H49-T49-U49-V49</f>
        <v>370</v>
      </c>
      <c r="X49" s="77">
        <v>-349</v>
      </c>
      <c r="Y49" s="77">
        <v>-272</v>
      </c>
      <c r="Z49" s="77">
        <v>-599</v>
      </c>
      <c r="AA49" s="78">
        <f>I49-X49-Y49-Z49</f>
        <v>75</v>
      </c>
      <c r="AB49" s="77">
        <v>-842</v>
      </c>
      <c r="AC49" s="77">
        <v>-1099</v>
      </c>
      <c r="AD49" s="77">
        <v>636</v>
      </c>
      <c r="AE49" s="78">
        <f>J49-AB49-AC49-AD49</f>
        <v>-367</v>
      </c>
      <c r="AF49" s="77">
        <v>-1109</v>
      </c>
    </row>
    <row r="50" spans="1:32" x14ac:dyDescent="0.2">
      <c r="A50" s="8" t="s">
        <v>154</v>
      </c>
      <c r="B50" s="76" t="s">
        <v>153</v>
      </c>
      <c r="C50" s="68">
        <v>115</v>
      </c>
      <c r="D50" s="68">
        <v>197</v>
      </c>
      <c r="E50" s="68">
        <v>660</v>
      </c>
      <c r="F50" s="68">
        <v>-146</v>
      </c>
      <c r="G50" s="68">
        <v>-604</v>
      </c>
      <c r="H50" s="68">
        <v>-72</v>
      </c>
      <c r="I50" s="68">
        <v>-37</v>
      </c>
      <c r="J50" s="68">
        <v>-112</v>
      </c>
      <c r="K50" s="68"/>
      <c r="L50" s="67">
        <v>119</v>
      </c>
      <c r="M50" s="67">
        <v>-49</v>
      </c>
      <c r="N50" s="67">
        <v>-32</v>
      </c>
      <c r="O50" s="67">
        <v>-184</v>
      </c>
      <c r="P50" s="67">
        <v>54</v>
      </c>
      <c r="Q50" s="67">
        <v>-96</v>
      </c>
      <c r="R50" s="67">
        <v>64</v>
      </c>
      <c r="S50" s="67">
        <v>-626</v>
      </c>
      <c r="T50" s="67">
        <v>105</v>
      </c>
      <c r="U50" s="67">
        <v>-49</v>
      </c>
      <c r="V50" s="67">
        <v>-65</v>
      </c>
      <c r="W50" s="75">
        <f>H50-T50-U50-V50</f>
        <v>-63</v>
      </c>
      <c r="X50" s="67">
        <v>31</v>
      </c>
      <c r="Y50" s="67">
        <v>22</v>
      </c>
      <c r="Z50" s="67">
        <v>-45</v>
      </c>
      <c r="AA50" s="75">
        <f>I50-X50-Y50-Z50</f>
        <v>-45</v>
      </c>
      <c r="AB50" s="67">
        <v>2</v>
      </c>
      <c r="AC50" s="67">
        <v>-95</v>
      </c>
      <c r="AD50" s="67">
        <v>9</v>
      </c>
      <c r="AE50" s="75">
        <f>J50-AB50-AC50-AD50</f>
        <v>-28</v>
      </c>
      <c r="AF50" s="67">
        <v>62</v>
      </c>
    </row>
    <row r="51" spans="1:32" x14ac:dyDescent="0.2">
      <c r="A51" s="8" t="s">
        <v>152</v>
      </c>
      <c r="B51" s="76"/>
      <c r="C51" s="68">
        <v>168</v>
      </c>
      <c r="D51" s="75">
        <f t="shared" ref="D51:J51" si="1">C52</f>
        <v>283</v>
      </c>
      <c r="E51" s="75">
        <f t="shared" si="1"/>
        <v>480</v>
      </c>
      <c r="F51" s="75">
        <f t="shared" si="1"/>
        <v>1140</v>
      </c>
      <c r="G51" s="75">
        <f t="shared" si="1"/>
        <v>994</v>
      </c>
      <c r="H51" s="75">
        <f t="shared" si="1"/>
        <v>390</v>
      </c>
      <c r="I51" s="75">
        <f t="shared" si="1"/>
        <v>435</v>
      </c>
      <c r="J51" s="75">
        <f t="shared" si="1"/>
        <v>398</v>
      </c>
      <c r="K51" s="68"/>
      <c r="L51" s="75">
        <f>E52</f>
        <v>1140</v>
      </c>
      <c r="M51" s="75">
        <f t="shared" ref="M51:AF51" si="2">L52</f>
        <v>1259</v>
      </c>
      <c r="N51" s="75">
        <f t="shared" si="2"/>
        <v>1210</v>
      </c>
      <c r="O51" s="75">
        <f t="shared" si="2"/>
        <v>1178</v>
      </c>
      <c r="P51" s="75">
        <f t="shared" si="2"/>
        <v>994</v>
      </c>
      <c r="Q51" s="75">
        <f t="shared" si="2"/>
        <v>1048</v>
      </c>
      <c r="R51" s="75">
        <f t="shared" si="2"/>
        <v>952</v>
      </c>
      <c r="S51" s="75">
        <f t="shared" si="2"/>
        <v>1016</v>
      </c>
      <c r="T51" s="75">
        <f t="shared" si="2"/>
        <v>390</v>
      </c>
      <c r="U51" s="75">
        <f t="shared" si="2"/>
        <v>495</v>
      </c>
      <c r="V51" s="75">
        <f t="shared" si="2"/>
        <v>446</v>
      </c>
      <c r="W51" s="75">
        <f t="shared" si="2"/>
        <v>381</v>
      </c>
      <c r="X51" s="75">
        <f t="shared" si="2"/>
        <v>435</v>
      </c>
      <c r="Y51" s="75">
        <f t="shared" si="2"/>
        <v>467</v>
      </c>
      <c r="Z51" s="75">
        <f t="shared" si="2"/>
        <v>489</v>
      </c>
      <c r="AA51" s="75">
        <f t="shared" si="2"/>
        <v>444</v>
      </c>
      <c r="AB51" s="75">
        <f t="shared" si="2"/>
        <v>398</v>
      </c>
      <c r="AC51" s="75">
        <f t="shared" si="2"/>
        <v>400</v>
      </c>
      <c r="AD51" s="75">
        <f t="shared" si="2"/>
        <v>305</v>
      </c>
      <c r="AE51" s="75">
        <f t="shared" si="2"/>
        <v>314</v>
      </c>
      <c r="AF51" s="75">
        <f t="shared" si="2"/>
        <v>286</v>
      </c>
    </row>
    <row r="52" spans="1:32" x14ac:dyDescent="0.2">
      <c r="A52" s="8" t="s">
        <v>151</v>
      </c>
      <c r="B52" s="76"/>
      <c r="C52" s="68">
        <v>283</v>
      </c>
      <c r="D52" s="68">
        <v>480</v>
      </c>
      <c r="E52" s="68">
        <v>1140</v>
      </c>
      <c r="F52" s="68">
        <v>994</v>
      </c>
      <c r="G52" s="68">
        <v>390</v>
      </c>
      <c r="H52" s="68">
        <v>435</v>
      </c>
      <c r="I52" s="68">
        <v>398</v>
      </c>
      <c r="J52" s="68">
        <v>286</v>
      </c>
      <c r="K52" s="68"/>
      <c r="L52" s="67">
        <v>1259</v>
      </c>
      <c r="M52" s="67">
        <v>1210</v>
      </c>
      <c r="N52" s="67">
        <v>1178</v>
      </c>
      <c r="O52" s="67">
        <v>994</v>
      </c>
      <c r="P52" s="67">
        <v>1048</v>
      </c>
      <c r="Q52" s="67">
        <v>952</v>
      </c>
      <c r="R52" s="67">
        <v>1016</v>
      </c>
      <c r="S52" s="67">
        <v>390</v>
      </c>
      <c r="T52" s="67">
        <v>495</v>
      </c>
      <c r="U52" s="67">
        <v>446</v>
      </c>
      <c r="V52" s="67">
        <v>381</v>
      </c>
      <c r="W52" s="75">
        <f>H52</f>
        <v>435</v>
      </c>
      <c r="X52" s="67">
        <v>467</v>
      </c>
      <c r="Y52" s="67">
        <v>489</v>
      </c>
      <c r="Z52" s="67">
        <v>444</v>
      </c>
      <c r="AA52" s="75">
        <f>I52</f>
        <v>398</v>
      </c>
      <c r="AB52" s="67">
        <v>400</v>
      </c>
      <c r="AC52" s="67">
        <v>305</v>
      </c>
      <c r="AD52" s="67">
        <v>314</v>
      </c>
      <c r="AE52" s="75">
        <f>J52</f>
        <v>286</v>
      </c>
      <c r="AF52" s="67">
        <v>348</v>
      </c>
    </row>
    <row r="53" spans="1:32" s="54" customFormat="1" x14ac:dyDescent="0.2">
      <c r="A53" s="73" t="s">
        <v>150</v>
      </c>
      <c r="B53" s="72" t="s">
        <v>149</v>
      </c>
      <c r="C53" s="71">
        <f>C26+C28</f>
        <v>-867</v>
      </c>
      <c r="D53" s="71">
        <f>D26+D28</f>
        <v>-603</v>
      </c>
      <c r="E53" s="71">
        <f>E26+E28</f>
        <v>-2439</v>
      </c>
      <c r="F53" s="71">
        <f>F26+F28</f>
        <v>-2231</v>
      </c>
      <c r="G53" s="71">
        <f>G26+G28</f>
        <v>98</v>
      </c>
      <c r="H53" s="71">
        <f>H26+H28</f>
        <v>793</v>
      </c>
      <c r="I53" s="71">
        <f>I26+I28</f>
        <v>-1227</v>
      </c>
      <c r="J53" s="71">
        <f>J26+J28</f>
        <v>-212</v>
      </c>
      <c r="K53" s="71"/>
      <c r="L53" s="71">
        <f>L26+L28</f>
        <v>209</v>
      </c>
      <c r="M53" s="71">
        <f>M26+M28</f>
        <v>-250</v>
      </c>
      <c r="N53" s="71">
        <f>N26+N28</f>
        <v>-1689</v>
      </c>
      <c r="O53" s="71">
        <f>O26+O28</f>
        <v>-501</v>
      </c>
      <c r="P53" s="71">
        <f>P26+P28</f>
        <v>1085</v>
      </c>
      <c r="Q53" s="71">
        <f>Q26+Q28</f>
        <v>617</v>
      </c>
      <c r="R53" s="71">
        <f>R26+R28</f>
        <v>-302</v>
      </c>
      <c r="S53" s="71">
        <f>S26+S28</f>
        <v>-1302</v>
      </c>
      <c r="T53" s="71">
        <f>T26+T28</f>
        <v>1063</v>
      </c>
      <c r="U53" s="71">
        <f>U26+U28</f>
        <v>707</v>
      </c>
      <c r="V53" s="71">
        <f>V26+V28</f>
        <v>-144</v>
      </c>
      <c r="W53" s="71">
        <f>W26+W28</f>
        <v>-833</v>
      </c>
      <c r="X53" s="71">
        <f>X26+X28</f>
        <v>536</v>
      </c>
      <c r="Y53" s="71">
        <f>Y26+Y28</f>
        <v>208</v>
      </c>
      <c r="Z53" s="71">
        <f>Z26+Z28</f>
        <v>-1000</v>
      </c>
      <c r="AA53" s="71">
        <f>AA26+AA28</f>
        <v>-971</v>
      </c>
      <c r="AB53" s="71">
        <f>AB26+AB28</f>
        <v>1021</v>
      </c>
      <c r="AC53" s="71">
        <f>AC26+AC28</f>
        <v>131</v>
      </c>
      <c r="AD53" s="71">
        <f>AD26+AD28</f>
        <v>-1084</v>
      </c>
      <c r="AE53" s="71">
        <f>AE26+AE28</f>
        <v>-280</v>
      </c>
      <c r="AF53" s="71">
        <f>AF26+AF28</f>
        <v>346</v>
      </c>
    </row>
    <row r="54" spans="1:32" s="69" customFormat="1" x14ac:dyDescent="0.2">
      <c r="A54" s="70" t="s">
        <v>148</v>
      </c>
      <c r="B54" s="19" t="s">
        <v>147</v>
      </c>
      <c r="C54" s="15">
        <f>-C47/IS!C40</f>
        <v>0</v>
      </c>
      <c r="D54" s="15">
        <f>-D47/IS!D40</f>
        <v>0</v>
      </c>
      <c r="E54" s="15">
        <f>-E47/IS!E40</f>
        <v>0</v>
      </c>
      <c r="F54" s="14">
        <v>0.2</v>
      </c>
      <c r="G54" s="14">
        <v>0.4</v>
      </c>
      <c r="H54" s="14">
        <v>0.4</v>
      </c>
      <c r="I54" s="14">
        <v>0.4</v>
      </c>
      <c r="J54" s="14">
        <v>0.4</v>
      </c>
      <c r="K54" s="14"/>
      <c r="L54" s="15">
        <f>-L47/IS!L40</f>
        <v>0</v>
      </c>
      <c r="M54" s="15">
        <f>-M47/IS!M40</f>
        <v>0</v>
      </c>
      <c r="N54" s="15">
        <f>-N47/IS!N40</f>
        <v>9.7933068188619091E-2</v>
      </c>
      <c r="O54" s="15">
        <f>-O47/IS!O40</f>
        <v>9.934227137824983E-2</v>
      </c>
      <c r="P54" s="15">
        <f>-P47/IS!P40</f>
        <v>9.7638542117082561E-2</v>
      </c>
      <c r="Q54" s="15">
        <f>-Q47/IS!Q40</f>
        <v>9.8924409032646474E-2</v>
      </c>
      <c r="R54" s="15">
        <f>-R47/IS!R40</f>
        <v>9.6953457933216691E-2</v>
      </c>
      <c r="S54" s="15">
        <f>-S47/IS!S40</f>
        <v>0.11177694290061167</v>
      </c>
      <c r="T54" s="14">
        <v>0.1</v>
      </c>
      <c r="U54" s="14">
        <v>0.1</v>
      </c>
      <c r="V54" s="14">
        <v>0.1</v>
      </c>
      <c r="W54" s="15">
        <f>H54-V54-U54-T54</f>
        <v>0.10000000000000003</v>
      </c>
      <c r="X54" s="14">
        <v>0.1</v>
      </c>
      <c r="Y54" s="14">
        <v>0.1</v>
      </c>
      <c r="Z54" s="14">
        <v>0.1</v>
      </c>
      <c r="AA54" s="14">
        <v>0.1</v>
      </c>
      <c r="AB54" s="14">
        <v>0.1</v>
      </c>
      <c r="AC54" s="14">
        <v>0.1</v>
      </c>
      <c r="AD54" s="14">
        <v>0.1</v>
      </c>
      <c r="AE54" s="14">
        <v>0.1</v>
      </c>
      <c r="AF54" s="14">
        <v>0.1</v>
      </c>
    </row>
    <row r="55" spans="1:32" x14ac:dyDescent="0.2">
      <c r="C55" s="68"/>
      <c r="D55" s="68"/>
      <c r="E55" s="68"/>
      <c r="F55" s="68"/>
      <c r="G55" s="68"/>
      <c r="H55" s="68"/>
      <c r="I55" s="68"/>
      <c r="J55" s="68"/>
      <c r="K55" s="68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67"/>
      <c r="AF55" s="67"/>
    </row>
    <row r="56" spans="1:32" x14ac:dyDescent="0.2">
      <c r="C56" s="68"/>
      <c r="D56" s="68"/>
      <c r="E56" s="68"/>
      <c r="F56" s="68"/>
      <c r="G56" s="68"/>
      <c r="H56" s="68"/>
      <c r="I56" s="68"/>
      <c r="J56" s="68"/>
      <c r="K56" s="68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67"/>
      <c r="AF56" s="67"/>
    </row>
    <row r="57" spans="1:32" x14ac:dyDescent="0.2">
      <c r="C57" s="68"/>
      <c r="D57" s="68"/>
      <c r="E57" s="68"/>
      <c r="F57" s="68"/>
      <c r="G57" s="68"/>
      <c r="H57" s="68"/>
      <c r="I57" s="68"/>
      <c r="J57" s="68"/>
      <c r="K57" s="68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F57" s="67"/>
    </row>
    <row r="58" spans="1:32" x14ac:dyDescent="0.2">
      <c r="C58" s="68"/>
      <c r="D58" s="68"/>
      <c r="E58" s="68"/>
      <c r="F58" s="68"/>
      <c r="G58" s="68"/>
      <c r="H58" s="68"/>
      <c r="I58" s="68"/>
      <c r="J58" s="68"/>
      <c r="K58" s="68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F58" s="67"/>
    </row>
    <row r="59" spans="1:32" x14ac:dyDescent="0.2">
      <c r="C59" s="68"/>
      <c r="D59" s="68"/>
      <c r="E59" s="68"/>
      <c r="F59" s="68"/>
      <c r="G59" s="68"/>
      <c r="H59" s="68"/>
      <c r="I59" s="68"/>
      <c r="J59" s="68"/>
      <c r="K59" s="68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F59" s="67"/>
    </row>
    <row r="60" spans="1:32" x14ac:dyDescent="0.2">
      <c r="C60" s="68"/>
      <c r="D60" s="68"/>
      <c r="E60" s="68"/>
      <c r="F60" s="68"/>
      <c r="G60" s="68"/>
      <c r="H60" s="68"/>
      <c r="I60" s="68"/>
      <c r="J60" s="68"/>
      <c r="K60" s="68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  <c r="AA60" s="67"/>
      <c r="AB60" s="67"/>
      <c r="AC60" s="67"/>
      <c r="AD60" s="67"/>
      <c r="AF60" s="67"/>
    </row>
    <row r="61" spans="1:32" x14ac:dyDescent="0.2">
      <c r="C61" s="68"/>
      <c r="D61" s="68"/>
      <c r="E61" s="68"/>
      <c r="F61" s="68"/>
      <c r="G61" s="68"/>
      <c r="H61" s="68"/>
      <c r="I61" s="68"/>
      <c r="J61" s="68"/>
      <c r="K61" s="68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F61" s="67"/>
    </row>
    <row r="62" spans="1:32" x14ac:dyDescent="0.2">
      <c r="C62" s="68"/>
      <c r="D62" s="68"/>
      <c r="E62" s="68"/>
      <c r="F62" s="68"/>
      <c r="G62" s="68"/>
      <c r="H62" s="68"/>
      <c r="I62" s="68"/>
      <c r="J62" s="68"/>
      <c r="K62" s="68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D62" s="67"/>
      <c r="AF62" s="67"/>
    </row>
    <row r="63" spans="1:32" x14ac:dyDescent="0.2">
      <c r="C63" s="68"/>
      <c r="D63" s="68"/>
      <c r="E63" s="68"/>
      <c r="F63" s="68"/>
      <c r="G63" s="68"/>
      <c r="H63" s="68"/>
      <c r="I63" s="68"/>
      <c r="J63" s="68"/>
      <c r="K63" s="68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F63" s="67"/>
    </row>
    <row r="64" spans="1:32" x14ac:dyDescent="0.2">
      <c r="C64" s="68"/>
      <c r="D64" s="68"/>
      <c r="E64" s="68"/>
      <c r="F64" s="68"/>
      <c r="G64" s="68"/>
      <c r="H64" s="68"/>
      <c r="I64" s="68"/>
      <c r="J64" s="68"/>
      <c r="K64" s="68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  <c r="AF64" s="67"/>
    </row>
    <row r="65" spans="3:32" x14ac:dyDescent="0.2">
      <c r="C65" s="68"/>
      <c r="D65" s="68"/>
      <c r="E65" s="68"/>
      <c r="F65" s="68"/>
      <c r="G65" s="68"/>
      <c r="H65" s="68"/>
      <c r="I65" s="68"/>
      <c r="J65" s="68"/>
      <c r="K65" s="68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D65" s="67"/>
      <c r="AF65" s="67"/>
    </row>
    <row r="66" spans="3:32" x14ac:dyDescent="0.2">
      <c r="C66" s="68"/>
      <c r="D66" s="68"/>
      <c r="E66" s="68"/>
      <c r="F66" s="68"/>
      <c r="G66" s="68"/>
      <c r="H66" s="68"/>
      <c r="I66" s="68"/>
      <c r="J66" s="68"/>
      <c r="K66" s="68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F66" s="67"/>
    </row>
    <row r="67" spans="3:32" x14ac:dyDescent="0.2">
      <c r="C67" s="68"/>
      <c r="D67" s="68"/>
      <c r="E67" s="68"/>
      <c r="F67" s="68"/>
      <c r="G67" s="68"/>
      <c r="H67" s="68"/>
      <c r="I67" s="68"/>
      <c r="J67" s="68"/>
      <c r="K67" s="68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F67" s="67"/>
    </row>
    <row r="68" spans="3:32" x14ac:dyDescent="0.2">
      <c r="C68" s="68"/>
      <c r="D68" s="68"/>
      <c r="E68" s="68"/>
      <c r="F68" s="68"/>
      <c r="G68" s="68"/>
      <c r="H68" s="68"/>
      <c r="I68" s="68"/>
      <c r="J68" s="68"/>
      <c r="K68" s="68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F68" s="67"/>
    </row>
    <row r="69" spans="3:32" x14ac:dyDescent="0.2">
      <c r="C69" s="68"/>
      <c r="D69" s="68"/>
      <c r="E69" s="68"/>
      <c r="F69" s="68"/>
      <c r="G69" s="68"/>
      <c r="H69" s="68"/>
      <c r="I69" s="68"/>
      <c r="J69" s="68"/>
      <c r="K69" s="68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  <c r="AA69" s="67"/>
      <c r="AB69" s="67"/>
      <c r="AC69" s="67"/>
      <c r="AD69" s="67"/>
      <c r="AF69" s="67"/>
    </row>
    <row r="70" spans="3:32" x14ac:dyDescent="0.2">
      <c r="C70" s="68"/>
      <c r="D70" s="68"/>
      <c r="E70" s="68"/>
      <c r="F70" s="68"/>
      <c r="G70" s="68"/>
      <c r="H70" s="68"/>
      <c r="I70" s="68"/>
      <c r="J70" s="68"/>
      <c r="K70" s="68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  <c r="AA70" s="67"/>
      <c r="AB70" s="67"/>
      <c r="AC70" s="67"/>
      <c r="AD70" s="67"/>
      <c r="AF70" s="67"/>
    </row>
    <row r="71" spans="3:32" x14ac:dyDescent="0.2">
      <c r="C71" s="68"/>
      <c r="D71" s="68"/>
      <c r="E71" s="68"/>
      <c r="F71" s="68"/>
      <c r="G71" s="68"/>
      <c r="H71" s="68"/>
      <c r="I71" s="68"/>
      <c r="J71" s="68"/>
      <c r="K71" s="68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  <c r="AA71" s="67"/>
      <c r="AB71" s="67"/>
      <c r="AC71" s="67"/>
      <c r="AD71" s="67"/>
      <c r="AF71" s="67"/>
    </row>
    <row r="72" spans="3:32" x14ac:dyDescent="0.2">
      <c r="C72" s="68"/>
      <c r="D72" s="68"/>
      <c r="E72" s="68"/>
      <c r="F72" s="68"/>
      <c r="G72" s="68"/>
      <c r="H72" s="68"/>
      <c r="I72" s="68"/>
      <c r="J72" s="68"/>
      <c r="K72" s="68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  <c r="AA72" s="67"/>
      <c r="AB72" s="67"/>
      <c r="AC72" s="67"/>
      <c r="AD72" s="67"/>
      <c r="AF72" s="67"/>
    </row>
    <row r="73" spans="3:32" x14ac:dyDescent="0.2">
      <c r="C73" s="68"/>
      <c r="D73" s="68"/>
      <c r="E73" s="68"/>
      <c r="F73" s="68"/>
      <c r="G73" s="68"/>
      <c r="H73" s="68"/>
      <c r="I73" s="68"/>
      <c r="J73" s="68"/>
      <c r="K73" s="68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  <c r="AF73" s="67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7"/>
  <sheetViews>
    <sheetView zoomScale="90" zoomScaleNormal="9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50.7109375" style="87" customWidth="1"/>
    <col min="2" max="2" width="2.85546875" style="88" customWidth="1"/>
    <col min="3" max="6" width="9.28515625" style="87" bestFit="1" customWidth="1"/>
    <col min="7" max="7" width="10" style="87" bestFit="1" customWidth="1"/>
    <col min="8" max="10" width="9.28515625" style="87" bestFit="1" customWidth="1"/>
    <col min="11" max="11" width="9.140625" style="87"/>
    <col min="12" max="12" width="8.28515625" style="87" customWidth="1"/>
    <col min="13" max="15" width="9.28515625" style="87" bestFit="1" customWidth="1"/>
    <col min="16" max="16" width="8.28515625" style="87" customWidth="1"/>
    <col min="17" max="18" width="9.28515625" style="87" bestFit="1" customWidth="1"/>
    <col min="19" max="19" width="8.28515625" style="87" customWidth="1"/>
    <col min="20" max="20" width="8.7109375" style="87" bestFit="1" customWidth="1"/>
    <col min="21" max="21" width="9.28515625" style="87" customWidth="1"/>
    <col min="22" max="22" width="9.28515625" style="87" bestFit="1" customWidth="1"/>
    <col min="23" max="24" width="8.7109375" style="87" bestFit="1" customWidth="1"/>
    <col min="25" max="25" width="9.28515625" style="87" customWidth="1"/>
    <col min="26" max="28" width="9.28515625" style="87" bestFit="1" customWidth="1"/>
    <col min="29" max="29" width="9.28515625" style="87" customWidth="1"/>
    <col min="30" max="32" width="9.28515625" style="87" bestFit="1" customWidth="1"/>
    <col min="33" max="16384" width="9.140625" style="87"/>
  </cols>
  <sheetData>
    <row r="1" spans="1:32" x14ac:dyDescent="0.2">
      <c r="C1" s="41" t="s">
        <v>67</v>
      </c>
      <c r="D1" s="41" t="s">
        <v>66</v>
      </c>
      <c r="E1" s="41" t="s">
        <v>65</v>
      </c>
      <c r="F1" s="41" t="s">
        <v>64</v>
      </c>
      <c r="G1" s="41" t="s">
        <v>63</v>
      </c>
      <c r="H1" s="41" t="s">
        <v>62</v>
      </c>
      <c r="I1" s="41" t="s">
        <v>61</v>
      </c>
      <c r="J1" s="41" t="s">
        <v>60</v>
      </c>
      <c r="K1" s="42"/>
      <c r="L1" s="112" t="s">
        <v>59</v>
      </c>
      <c r="M1" s="112" t="s">
        <v>58</v>
      </c>
      <c r="N1" s="112" t="s">
        <v>57</v>
      </c>
      <c r="O1" s="112" t="s">
        <v>56</v>
      </c>
      <c r="P1" s="112" t="s">
        <v>55</v>
      </c>
      <c r="Q1" s="112" t="s">
        <v>54</v>
      </c>
      <c r="R1" s="112" t="s">
        <v>53</v>
      </c>
      <c r="S1" s="112" t="s">
        <v>52</v>
      </c>
      <c r="T1" s="41" t="s">
        <v>51</v>
      </c>
      <c r="U1" s="41" t="s">
        <v>50</v>
      </c>
      <c r="V1" s="41" t="s">
        <v>49</v>
      </c>
      <c r="W1" s="41" t="s">
        <v>48</v>
      </c>
      <c r="X1" s="41" t="s">
        <v>47</v>
      </c>
      <c r="Y1" s="41" t="s">
        <v>46</v>
      </c>
      <c r="Z1" s="41" t="s">
        <v>45</v>
      </c>
      <c r="AA1" s="41" t="s">
        <v>44</v>
      </c>
      <c r="AB1" s="41" t="s">
        <v>43</v>
      </c>
      <c r="AC1" s="41" t="s">
        <v>42</v>
      </c>
      <c r="AD1" s="41" t="s">
        <v>41</v>
      </c>
      <c r="AE1" s="41" t="s">
        <v>40</v>
      </c>
      <c r="AF1" s="41" t="s">
        <v>39</v>
      </c>
    </row>
    <row r="2" spans="1:32" x14ac:dyDescent="0.2">
      <c r="C2" s="39">
        <v>40908</v>
      </c>
      <c r="D2" s="39">
        <v>41274</v>
      </c>
      <c r="E2" s="39">
        <v>41639</v>
      </c>
      <c r="F2" s="39">
        <v>42004</v>
      </c>
      <c r="G2" s="39">
        <v>42369</v>
      </c>
      <c r="H2" s="39">
        <v>42735</v>
      </c>
      <c r="I2" s="39">
        <v>43100</v>
      </c>
      <c r="J2" s="39">
        <v>43465</v>
      </c>
      <c r="K2" s="40"/>
      <c r="L2" s="111">
        <v>41729</v>
      </c>
      <c r="M2" s="111">
        <v>41820</v>
      </c>
      <c r="N2" s="111">
        <v>41912</v>
      </c>
      <c r="O2" s="111">
        <v>42004</v>
      </c>
      <c r="P2" s="111">
        <v>42094</v>
      </c>
      <c r="Q2" s="111">
        <v>42185</v>
      </c>
      <c r="R2" s="111">
        <v>42277</v>
      </c>
      <c r="S2" s="111">
        <v>42369</v>
      </c>
      <c r="T2" s="39">
        <v>42460</v>
      </c>
      <c r="U2" s="39">
        <v>42551</v>
      </c>
      <c r="V2" s="39">
        <v>42643</v>
      </c>
      <c r="W2" s="39">
        <v>42735</v>
      </c>
      <c r="X2" s="39">
        <v>42825</v>
      </c>
      <c r="Y2" s="39">
        <v>42916</v>
      </c>
      <c r="Z2" s="39">
        <v>43008</v>
      </c>
      <c r="AA2" s="39">
        <v>43100</v>
      </c>
      <c r="AB2" s="39">
        <v>43190</v>
      </c>
      <c r="AC2" s="39">
        <v>43281</v>
      </c>
      <c r="AD2" s="39">
        <v>43373</v>
      </c>
      <c r="AE2" s="39">
        <v>43465</v>
      </c>
      <c r="AF2" s="39">
        <v>43555</v>
      </c>
    </row>
    <row r="3" spans="1:32" s="88" customFormat="1" x14ac:dyDescent="0.2">
      <c r="A3" s="110" t="s">
        <v>38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</row>
    <row r="4" spans="1:32" s="103" customFormat="1" x14ac:dyDescent="0.2">
      <c r="A4" s="55" t="s">
        <v>32</v>
      </c>
      <c r="B4" s="106" t="s">
        <v>223</v>
      </c>
      <c r="C4" s="104"/>
      <c r="D4" s="104">
        <v>38620</v>
      </c>
      <c r="E4" s="104">
        <v>40388</v>
      </c>
      <c r="F4" s="104">
        <v>42650</v>
      </c>
      <c r="G4" s="104">
        <v>40990</v>
      </c>
      <c r="H4" s="104">
        <v>40180</v>
      </c>
      <c r="I4" s="104">
        <v>42622</v>
      </c>
      <c r="J4" s="104">
        <v>44541</v>
      </c>
      <c r="K4" s="104"/>
      <c r="L4" s="104">
        <v>9995</v>
      </c>
      <c r="M4" s="104">
        <v>11355</v>
      </c>
      <c r="N4" s="104">
        <v>11139</v>
      </c>
      <c r="O4" s="104">
        <v>10160</v>
      </c>
      <c r="P4" s="104">
        <v>9827</v>
      </c>
      <c r="Q4" s="104">
        <v>10827</v>
      </c>
      <c r="R4" s="104">
        <v>10706</v>
      </c>
      <c r="S4" s="104">
        <v>9630</v>
      </c>
      <c r="T4" s="104">
        <v>9435</v>
      </c>
      <c r="U4" s="104">
        <v>10363</v>
      </c>
      <c r="V4" s="104">
        <v>10594</v>
      </c>
      <c r="W4" s="104">
        <v>9789</v>
      </c>
      <c r="X4" s="104">
        <v>9820</v>
      </c>
      <c r="Y4" s="104">
        <v>11227</v>
      </c>
      <c r="Z4" s="104">
        <v>10965</v>
      </c>
      <c r="AA4" s="104">
        <v>10611</v>
      </c>
      <c r="AB4" s="104">
        <v>10401</v>
      </c>
      <c r="AC4" s="104">
        <v>11643</v>
      </c>
      <c r="AD4" s="104">
        <v>11559</v>
      </c>
      <c r="AE4" s="104">
        <v>10938</v>
      </c>
      <c r="AF4" s="104">
        <v>10584</v>
      </c>
    </row>
    <row r="5" spans="1:32" x14ac:dyDescent="0.2">
      <c r="A5" s="33" t="s">
        <v>18</v>
      </c>
      <c r="C5" s="108"/>
      <c r="D5" s="108">
        <v>37198</v>
      </c>
      <c r="E5" s="108">
        <v>37147</v>
      </c>
      <c r="F5" s="108">
        <v>37577</v>
      </c>
      <c r="G5" s="108">
        <v>33706</v>
      </c>
      <c r="H5" s="108">
        <v>34173</v>
      </c>
      <c r="I5" s="108">
        <v>37657</v>
      </c>
      <c r="J5" s="108">
        <v>41092</v>
      </c>
      <c r="K5" s="108"/>
      <c r="L5" s="108">
        <v>9398</v>
      </c>
      <c r="M5" s="108">
        <v>9703</v>
      </c>
      <c r="N5" s="108">
        <v>9656</v>
      </c>
      <c r="O5" s="108">
        <v>8818</v>
      </c>
      <c r="P5" s="108">
        <v>8301</v>
      </c>
      <c r="Q5" s="108">
        <v>8752</v>
      </c>
      <c r="R5" s="108">
        <v>8542</v>
      </c>
      <c r="S5" s="108">
        <v>8112</v>
      </c>
      <c r="T5" s="108">
        <v>7996</v>
      </c>
      <c r="U5" s="108">
        <v>8547</v>
      </c>
      <c r="V5" s="108">
        <v>8869</v>
      </c>
      <c r="W5" s="108">
        <v>8761</v>
      </c>
      <c r="X5" s="108">
        <v>8962</v>
      </c>
      <c r="Y5" s="108">
        <v>9425</v>
      </c>
      <c r="Z5" s="108">
        <v>9602</v>
      </c>
      <c r="AA5" s="108">
        <v>9670</v>
      </c>
      <c r="AB5" s="108">
        <v>9780</v>
      </c>
      <c r="AC5" s="108">
        <v>10463</v>
      </c>
      <c r="AD5" s="108">
        <v>10693</v>
      </c>
      <c r="AE5" s="108">
        <v>10159</v>
      </c>
      <c r="AF5" s="108">
        <v>10071</v>
      </c>
    </row>
    <row r="6" spans="1:32" s="103" customFormat="1" x14ac:dyDescent="0.2">
      <c r="A6" s="55" t="s">
        <v>17</v>
      </c>
      <c r="B6" s="106" t="s">
        <v>222</v>
      </c>
      <c r="C6" s="104"/>
      <c r="D6" s="104">
        <v>1422</v>
      </c>
      <c r="E6" s="104">
        <v>3241</v>
      </c>
      <c r="F6" s="104">
        <v>5073</v>
      </c>
      <c r="G6" s="104">
        <v>7284</v>
      </c>
      <c r="H6" s="104">
        <v>6007</v>
      </c>
      <c r="I6" s="104">
        <v>4965</v>
      </c>
      <c r="J6" s="104">
        <v>3449</v>
      </c>
      <c r="K6" s="104"/>
      <c r="L6" s="104">
        <v>597</v>
      </c>
      <c r="M6" s="104">
        <v>1652</v>
      </c>
      <c r="N6" s="104">
        <v>1483</v>
      </c>
      <c r="O6" s="104">
        <v>1342</v>
      </c>
      <c r="P6" s="104">
        <v>1526</v>
      </c>
      <c r="Q6" s="104">
        <v>2075</v>
      </c>
      <c r="R6" s="104">
        <v>2164</v>
      </c>
      <c r="S6" s="104">
        <v>1518</v>
      </c>
      <c r="T6" s="104">
        <v>1439</v>
      </c>
      <c r="U6" s="104">
        <v>1816</v>
      </c>
      <c r="V6" s="104">
        <v>1725</v>
      </c>
      <c r="W6" s="104">
        <v>1028</v>
      </c>
      <c r="X6" s="104">
        <v>858</v>
      </c>
      <c r="Y6" s="104">
        <v>1802</v>
      </c>
      <c r="Z6" s="104">
        <v>1363</v>
      </c>
      <c r="AA6" s="104">
        <v>941</v>
      </c>
      <c r="AB6" s="104">
        <v>621</v>
      </c>
      <c r="AC6" s="104">
        <v>1180</v>
      </c>
      <c r="AD6" s="104">
        <v>866</v>
      </c>
      <c r="AE6" s="104">
        <v>779</v>
      </c>
      <c r="AF6" s="104">
        <v>513</v>
      </c>
    </row>
    <row r="7" spans="1:32" s="109" customFormat="1" x14ac:dyDescent="0.2">
      <c r="A7" s="55" t="s">
        <v>221</v>
      </c>
      <c r="B7" s="102" t="s">
        <v>220</v>
      </c>
      <c r="C7" s="105"/>
      <c r="D7" s="105">
        <f>D6+CF!D7</f>
        <v>2437</v>
      </c>
      <c r="E7" s="105">
        <f>E6+CF!E7</f>
        <v>4261</v>
      </c>
      <c r="F7" s="105">
        <f>F6+CF!F7</f>
        <v>6586</v>
      </c>
      <c r="G7" s="105">
        <f>G6+CF!G7</f>
        <v>8893</v>
      </c>
      <c r="H7" s="105">
        <f>H6+CF!H7</f>
        <v>7825</v>
      </c>
      <c r="I7" s="105">
        <f>I6+CF!I7</f>
        <v>6982</v>
      </c>
      <c r="J7" s="105">
        <f>J6+CF!J7</f>
        <v>5608</v>
      </c>
      <c r="K7" s="10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</row>
    <row r="8" spans="1:32" s="101" customFormat="1" x14ac:dyDescent="0.2">
      <c r="A8" s="33" t="s">
        <v>9</v>
      </c>
      <c r="B8" s="102"/>
      <c r="C8" s="107"/>
      <c r="D8" s="107">
        <f>D9-D6</f>
        <v>-887</v>
      </c>
      <c r="E8" s="107">
        <f>E9-E6</f>
        <v>-1046</v>
      </c>
      <c r="F8" s="107">
        <f>F9-F6</f>
        <v>-905</v>
      </c>
      <c r="G8" s="107">
        <f>G9-G6</f>
        <v>-994</v>
      </c>
      <c r="H8" s="107">
        <f>H9-H6</f>
        <v>-936</v>
      </c>
      <c r="I8" s="107">
        <f>I9-I6</f>
        <v>-814</v>
      </c>
      <c r="J8" s="107">
        <f>J9-J6</f>
        <v>-659</v>
      </c>
      <c r="K8" s="108"/>
      <c r="L8" s="107">
        <f>L9-L6</f>
        <v>-190</v>
      </c>
      <c r="M8" s="107">
        <f>M9-M6</f>
        <v>-193</v>
      </c>
      <c r="N8" s="107">
        <f>N9-N6</f>
        <v>-261</v>
      </c>
      <c r="O8" s="107">
        <f>O9-O6</f>
        <v>-262</v>
      </c>
      <c r="P8" s="107">
        <f>P9-P6</f>
        <v>-281</v>
      </c>
      <c r="Q8" s="107">
        <f>Q9-Q6</f>
        <v>-213</v>
      </c>
      <c r="R8" s="107">
        <f>R9-R6</f>
        <v>-269</v>
      </c>
      <c r="S8" s="107">
        <f>S9-S6</f>
        <v>-232</v>
      </c>
      <c r="T8" s="107">
        <f>T9-T6</f>
        <v>-218</v>
      </c>
      <c r="U8" s="107">
        <f>U9-U6</f>
        <v>-222</v>
      </c>
      <c r="V8" s="107">
        <f>V9-V6</f>
        <v>-242</v>
      </c>
      <c r="W8" s="107">
        <f>W9-W6</f>
        <v>-255</v>
      </c>
      <c r="X8" s="107">
        <f>X9-X6</f>
        <v>-197</v>
      </c>
      <c r="Y8" s="107">
        <f>Y9-Y6</f>
        <v>-208</v>
      </c>
      <c r="Z8" s="107">
        <f>Z9-Z6</f>
        <v>-190</v>
      </c>
      <c r="AA8" s="107">
        <f>AA9-AA6</f>
        <v>-219</v>
      </c>
      <c r="AB8" s="107">
        <f>AB9-AB6</f>
        <v>-158</v>
      </c>
      <c r="AC8" s="107">
        <f>AC9-AC6</f>
        <v>-179</v>
      </c>
      <c r="AD8" s="107">
        <f>AD9-AD6</f>
        <v>-178</v>
      </c>
      <c r="AE8" s="107">
        <f>AE9-AE6</f>
        <v>-145</v>
      </c>
      <c r="AF8" s="107">
        <f>AF9-AF6</f>
        <v>-199</v>
      </c>
    </row>
    <row r="9" spans="1:32" s="109" customFormat="1" x14ac:dyDescent="0.2">
      <c r="A9" s="55" t="s">
        <v>7</v>
      </c>
      <c r="B9" s="102" t="s">
        <v>219</v>
      </c>
      <c r="C9" s="104"/>
      <c r="D9" s="104">
        <v>535</v>
      </c>
      <c r="E9" s="104">
        <v>2195</v>
      </c>
      <c r="F9" s="104">
        <v>4168</v>
      </c>
      <c r="G9" s="104">
        <v>6290</v>
      </c>
      <c r="H9" s="104">
        <v>5071</v>
      </c>
      <c r="I9" s="104">
        <v>4151</v>
      </c>
      <c r="J9" s="104">
        <v>2790</v>
      </c>
      <c r="K9" s="104"/>
      <c r="L9" s="104">
        <v>407</v>
      </c>
      <c r="M9" s="104">
        <v>1459</v>
      </c>
      <c r="N9" s="104">
        <v>1222</v>
      </c>
      <c r="O9" s="104">
        <v>1080</v>
      </c>
      <c r="P9" s="104">
        <v>1245</v>
      </c>
      <c r="Q9" s="104">
        <v>1862</v>
      </c>
      <c r="R9" s="104">
        <v>1895</v>
      </c>
      <c r="S9" s="104">
        <v>1286</v>
      </c>
      <c r="T9" s="104">
        <v>1221</v>
      </c>
      <c r="U9" s="104">
        <v>1594</v>
      </c>
      <c r="V9" s="104">
        <v>1483</v>
      </c>
      <c r="W9" s="104">
        <v>773</v>
      </c>
      <c r="X9" s="104">
        <v>661</v>
      </c>
      <c r="Y9" s="104">
        <v>1594</v>
      </c>
      <c r="Z9" s="104">
        <v>1173</v>
      </c>
      <c r="AA9" s="104">
        <v>722</v>
      </c>
      <c r="AB9" s="104">
        <v>463</v>
      </c>
      <c r="AC9" s="104">
        <v>1001</v>
      </c>
      <c r="AD9" s="104">
        <v>688</v>
      </c>
      <c r="AE9" s="104">
        <v>634</v>
      </c>
      <c r="AF9" s="104">
        <v>314</v>
      </c>
    </row>
    <row r="10" spans="1:32" x14ac:dyDescent="0.2">
      <c r="A10" s="8" t="s">
        <v>254</v>
      </c>
      <c r="B10" s="106" t="s">
        <v>218</v>
      </c>
      <c r="C10" s="107"/>
      <c r="D10" s="107">
        <f>D9-D12</f>
        <v>128</v>
      </c>
      <c r="E10" s="107">
        <f>E9-E12</f>
        <v>246</v>
      </c>
      <c r="F10" s="107">
        <f>F9-F12</f>
        <v>-16</v>
      </c>
      <c r="G10" s="107">
        <f>G9-G12</f>
        <v>21</v>
      </c>
      <c r="H10" s="107">
        <f>H9-H12</f>
        <v>1898</v>
      </c>
      <c r="I10" s="107">
        <f>I9-I12</f>
        <v>1559</v>
      </c>
      <c r="J10" s="107">
        <f>J9-J12</f>
        <v>673</v>
      </c>
      <c r="K10" s="108"/>
      <c r="L10" s="107">
        <f>L9-L12</f>
        <v>5</v>
      </c>
      <c r="M10" s="107">
        <f>M9-M12</f>
        <v>3</v>
      </c>
      <c r="N10" s="107">
        <f>N9-N12</f>
        <v>-1</v>
      </c>
      <c r="O10" s="107">
        <f>O9-O12</f>
        <v>-24</v>
      </c>
      <c r="P10" s="107">
        <f>P9-P12</f>
        <v>2</v>
      </c>
      <c r="Q10" s="107">
        <f>Q9-Q12</f>
        <v>8</v>
      </c>
      <c r="R10" s="107">
        <f>R9-R12</f>
        <v>10</v>
      </c>
      <c r="S10" s="107">
        <f>S9-S12</f>
        <v>0</v>
      </c>
      <c r="T10" s="107">
        <f>T9-T12</f>
        <v>456</v>
      </c>
      <c r="U10" s="107">
        <f>U9-U12</f>
        <v>593</v>
      </c>
      <c r="V10" s="107">
        <f>V9-V12</f>
        <v>550</v>
      </c>
      <c r="W10" s="107">
        <f>W9-W12</f>
        <v>298</v>
      </c>
      <c r="X10" s="107">
        <f>X9-X12</f>
        <v>247</v>
      </c>
      <c r="Y10" s="107">
        <f>Y9-Y12</f>
        <v>589</v>
      </c>
      <c r="Z10" s="107">
        <f>Z9-Z12</f>
        <v>444</v>
      </c>
      <c r="AA10" s="107">
        <f>AA9-AA12</f>
        <v>278</v>
      </c>
      <c r="AB10" s="107">
        <f>AB9-AB12</f>
        <v>110</v>
      </c>
      <c r="AC10" s="107">
        <f>AC9-AC12</f>
        <v>244</v>
      </c>
      <c r="AD10" s="107">
        <f>AD9-AD12</f>
        <v>165</v>
      </c>
      <c r="AE10" s="107">
        <f>AE9-AE12</f>
        <v>153</v>
      </c>
      <c r="AF10" s="107">
        <f>AF9-AF12</f>
        <v>77</v>
      </c>
    </row>
    <row r="11" spans="1:32" s="92" customFormat="1" x14ac:dyDescent="0.2">
      <c r="A11" s="96" t="s">
        <v>217</v>
      </c>
      <c r="B11" s="95" t="s">
        <v>216</v>
      </c>
      <c r="C11" s="93"/>
      <c r="D11" s="93">
        <f>D10/D9</f>
        <v>0.23925233644859814</v>
      </c>
      <c r="E11" s="93">
        <f>E10/E9</f>
        <v>0.11207289293849658</v>
      </c>
      <c r="F11" s="93">
        <f>F10/F9</f>
        <v>-3.838771593090211E-3</v>
      </c>
      <c r="G11" s="93">
        <f>G10/G9</f>
        <v>3.3386327503974562E-3</v>
      </c>
      <c r="H11" s="93">
        <f>H10/H9</f>
        <v>0.37428515085781899</v>
      </c>
      <c r="I11" s="93">
        <f>I10/I9</f>
        <v>0.37557215128884608</v>
      </c>
      <c r="J11" s="93">
        <f>J10/J9</f>
        <v>0.24121863799283155</v>
      </c>
      <c r="K11" s="94"/>
      <c r="L11" s="93">
        <f>L10/L9</f>
        <v>1.2285012285012284E-2</v>
      </c>
      <c r="M11" s="93">
        <f>M10/M9</f>
        <v>2.0562028786840301E-3</v>
      </c>
      <c r="N11" s="93">
        <f>N10/N9</f>
        <v>-8.1833060556464816E-4</v>
      </c>
      <c r="O11" s="93">
        <f>O10/O9</f>
        <v>-2.2222222222222223E-2</v>
      </c>
      <c r="P11" s="93">
        <f>P10/P9</f>
        <v>1.606425702811245E-3</v>
      </c>
      <c r="Q11" s="93">
        <f>Q10/Q9</f>
        <v>4.296455424274973E-3</v>
      </c>
      <c r="R11" s="93">
        <f>R10/R9</f>
        <v>5.2770448548812663E-3</v>
      </c>
      <c r="S11" s="93">
        <f>S10/S9</f>
        <v>0</v>
      </c>
      <c r="T11" s="93">
        <f>T10/T9</f>
        <v>0.37346437346437344</v>
      </c>
      <c r="U11" s="93">
        <f>U10/U9</f>
        <v>0.37202007528230868</v>
      </c>
      <c r="V11" s="93">
        <f>V10/V9</f>
        <v>0.37086985839514497</v>
      </c>
      <c r="W11" s="93">
        <f>W10/W9</f>
        <v>0.38551099611901679</v>
      </c>
      <c r="X11" s="93">
        <f>X10/X9</f>
        <v>0.37367624810892586</v>
      </c>
      <c r="Y11" s="93">
        <f>Y10/Y9</f>
        <v>0.36951066499372648</v>
      </c>
      <c r="Z11" s="93">
        <f>Z10/Z9</f>
        <v>0.37851662404092073</v>
      </c>
      <c r="AA11" s="93">
        <f>AA10/AA9</f>
        <v>0.38504155124653738</v>
      </c>
      <c r="AB11" s="93">
        <f>AB10/AB9</f>
        <v>0.23758099352051837</v>
      </c>
      <c r="AC11" s="93">
        <f>AC10/AC9</f>
        <v>0.24375624375624375</v>
      </c>
      <c r="AD11" s="93">
        <f>AD10/AD9</f>
        <v>0.23982558139534885</v>
      </c>
      <c r="AE11" s="93">
        <f>AE10/AE9</f>
        <v>0.24132492113564669</v>
      </c>
      <c r="AF11" s="93">
        <f>AF10/AF9</f>
        <v>0.24522292993630573</v>
      </c>
    </row>
    <row r="12" spans="1:32" s="103" customFormat="1" x14ac:dyDescent="0.2">
      <c r="A12" s="55" t="s">
        <v>6</v>
      </c>
      <c r="B12" s="106" t="s">
        <v>215</v>
      </c>
      <c r="C12" s="104"/>
      <c r="D12" s="104">
        <v>407</v>
      </c>
      <c r="E12" s="104">
        <v>1949</v>
      </c>
      <c r="F12" s="104">
        <v>4184</v>
      </c>
      <c r="G12" s="104">
        <v>6269</v>
      </c>
      <c r="H12" s="104">
        <v>3173</v>
      </c>
      <c r="I12" s="104">
        <v>2592</v>
      </c>
      <c r="J12" s="104">
        <v>2117</v>
      </c>
      <c r="K12" s="104"/>
      <c r="L12" s="104">
        <v>402</v>
      </c>
      <c r="M12" s="104">
        <v>1456</v>
      </c>
      <c r="N12" s="104">
        <v>1223</v>
      </c>
      <c r="O12" s="104">
        <v>1104</v>
      </c>
      <c r="P12" s="104">
        <v>1243</v>
      </c>
      <c r="Q12" s="104">
        <v>1854</v>
      </c>
      <c r="R12" s="104">
        <v>1885</v>
      </c>
      <c r="S12" s="104">
        <v>1286</v>
      </c>
      <c r="T12" s="104">
        <v>765</v>
      </c>
      <c r="U12" s="104">
        <v>1001</v>
      </c>
      <c r="V12" s="104">
        <v>933</v>
      </c>
      <c r="W12" s="104">
        <v>475</v>
      </c>
      <c r="X12" s="104">
        <v>414</v>
      </c>
      <c r="Y12" s="104">
        <v>1005</v>
      </c>
      <c r="Z12" s="104">
        <v>729</v>
      </c>
      <c r="AA12" s="104">
        <v>444</v>
      </c>
      <c r="AB12" s="104">
        <v>353</v>
      </c>
      <c r="AC12" s="104">
        <v>757</v>
      </c>
      <c r="AD12" s="104">
        <v>523</v>
      </c>
      <c r="AE12" s="104">
        <v>481</v>
      </c>
      <c r="AF12" s="104">
        <v>237</v>
      </c>
    </row>
    <row r="13" spans="1:32" s="97" customFormat="1" x14ac:dyDescent="0.2">
      <c r="A13" s="17" t="s">
        <v>214</v>
      </c>
      <c r="B13" s="100" t="s">
        <v>213</v>
      </c>
      <c r="C13" s="99"/>
      <c r="D13" s="99">
        <f>D12/D15</f>
        <v>1.6313279089342259</v>
      </c>
      <c r="E13" s="99">
        <f>E12/E15</f>
        <v>6.955423195925956</v>
      </c>
      <c r="F13" s="98">
        <v>5.7</v>
      </c>
      <c r="G13" s="98">
        <v>9.1199999999999992</v>
      </c>
      <c r="H13" s="98">
        <v>5.71</v>
      </c>
      <c r="I13" s="98">
        <v>5.27</v>
      </c>
      <c r="J13" s="98">
        <v>4.55</v>
      </c>
      <c r="K13" s="98"/>
      <c r="L13" s="98">
        <v>0.54</v>
      </c>
      <c r="M13" s="98">
        <v>1.98</v>
      </c>
      <c r="N13" s="98">
        <v>1.66</v>
      </c>
      <c r="O13" s="98">
        <v>1.52</v>
      </c>
      <c r="P13" s="98">
        <v>1.73</v>
      </c>
      <c r="Q13" s="98">
        <v>2.62</v>
      </c>
      <c r="R13" s="98">
        <v>2.77</v>
      </c>
      <c r="S13" s="98">
        <v>2</v>
      </c>
      <c r="T13" s="98">
        <v>1.25</v>
      </c>
      <c r="U13" s="98">
        <v>1.77</v>
      </c>
      <c r="V13" s="98">
        <v>1.76</v>
      </c>
      <c r="W13" s="98">
        <v>0.92</v>
      </c>
      <c r="X13" s="98">
        <v>0.82</v>
      </c>
      <c r="Y13" s="98">
        <v>2.04</v>
      </c>
      <c r="Z13" s="98">
        <v>1.5</v>
      </c>
      <c r="AA13" s="98">
        <v>0.93</v>
      </c>
      <c r="AB13" s="98">
        <v>0.74</v>
      </c>
      <c r="AC13" s="98">
        <v>1.63</v>
      </c>
      <c r="AD13" s="98">
        <v>1.1299999999999999</v>
      </c>
      <c r="AE13" s="98">
        <v>1.04</v>
      </c>
      <c r="AF13" s="98">
        <v>0.52</v>
      </c>
    </row>
    <row r="14" spans="1:32" s="92" customFormat="1" x14ac:dyDescent="0.2">
      <c r="A14" s="96" t="s">
        <v>212</v>
      </c>
      <c r="B14" s="95" t="s">
        <v>211</v>
      </c>
      <c r="C14" s="93"/>
      <c r="D14" s="93"/>
      <c r="E14" s="93">
        <f t="shared" ref="E14:J14" si="0">E13/D13-1</f>
        <v>3.2636573296107292</v>
      </c>
      <c r="F14" s="93">
        <f t="shared" si="0"/>
        <v>-0.18049558748075933</v>
      </c>
      <c r="G14" s="93">
        <f t="shared" si="0"/>
        <v>0.59999999999999987</v>
      </c>
      <c r="H14" s="93">
        <f t="shared" si="0"/>
        <v>-0.37390350877192979</v>
      </c>
      <c r="I14" s="93">
        <f t="shared" si="0"/>
        <v>-7.705779334500884E-2</v>
      </c>
      <c r="J14" s="93">
        <f t="shared" si="0"/>
        <v>-0.13662239089184058</v>
      </c>
      <c r="K14" s="94"/>
      <c r="L14" s="93"/>
      <c r="M14" s="93"/>
      <c r="N14" s="93"/>
      <c r="O14" s="93"/>
      <c r="P14" s="93">
        <f t="shared" ref="P14:AF14" si="1">P13/L13-1</f>
        <v>2.2037037037037033</v>
      </c>
      <c r="Q14" s="93">
        <f t="shared" si="1"/>
        <v>0.32323232323232332</v>
      </c>
      <c r="R14" s="93">
        <f t="shared" si="1"/>
        <v>0.66867469879518082</v>
      </c>
      <c r="S14" s="93">
        <f t="shared" si="1"/>
        <v>0.31578947368421062</v>
      </c>
      <c r="T14" s="93">
        <f t="shared" si="1"/>
        <v>-0.2774566473988439</v>
      </c>
      <c r="U14" s="93">
        <f t="shared" si="1"/>
        <v>-0.32442748091603058</v>
      </c>
      <c r="V14" s="93">
        <f t="shared" si="1"/>
        <v>-0.36462093862815881</v>
      </c>
      <c r="W14" s="93">
        <f t="shared" si="1"/>
        <v>-0.54</v>
      </c>
      <c r="X14" s="93">
        <f t="shared" si="1"/>
        <v>-0.34400000000000008</v>
      </c>
      <c r="Y14" s="93">
        <f t="shared" si="1"/>
        <v>0.15254237288135597</v>
      </c>
      <c r="Z14" s="93">
        <f t="shared" si="1"/>
        <v>-0.14772727272727271</v>
      </c>
      <c r="AA14" s="93">
        <f t="shared" si="1"/>
        <v>1.0869565217391353E-2</v>
      </c>
      <c r="AB14" s="93">
        <f t="shared" si="1"/>
        <v>-9.7560975609756073E-2</v>
      </c>
      <c r="AC14" s="93">
        <f t="shared" si="1"/>
        <v>-0.20098039215686281</v>
      </c>
      <c r="AD14" s="93">
        <f t="shared" si="1"/>
        <v>-0.2466666666666667</v>
      </c>
      <c r="AE14" s="93">
        <f t="shared" si="1"/>
        <v>0.11827956989247301</v>
      </c>
      <c r="AF14" s="93">
        <f t="shared" si="1"/>
        <v>-0.29729729729729726</v>
      </c>
    </row>
    <row r="15" spans="1:32" s="90" customFormat="1" x14ac:dyDescent="0.2">
      <c r="A15" s="90" t="s">
        <v>210</v>
      </c>
      <c r="B15" s="91" t="s">
        <v>209</v>
      </c>
      <c r="D15" s="90">
        <f>IS!D40</f>
        <v>249.49</v>
      </c>
      <c r="E15" s="90">
        <f>IS!E40</f>
        <v>280.21300000000002</v>
      </c>
      <c r="F15" s="90">
        <f>IS!F40</f>
        <v>734.01599999999996</v>
      </c>
      <c r="G15" s="90">
        <f>IS!G40</f>
        <v>687.35500000000002</v>
      </c>
      <c r="H15" s="90">
        <f>IS!H40</f>
        <v>556.09900000000005</v>
      </c>
      <c r="I15" s="90">
        <f>IS!I40</f>
        <v>491.69200000000001</v>
      </c>
      <c r="J15" s="90">
        <f>IS!J40</f>
        <v>465.66</v>
      </c>
      <c r="L15" s="90">
        <f>IS!L40</f>
        <v>741.33500000000004</v>
      </c>
      <c r="M15" s="90">
        <f>IS!M40</f>
        <v>734.76700000000005</v>
      </c>
      <c r="N15" s="90">
        <f>IS!N40</f>
        <v>735.19600000000003</v>
      </c>
      <c r="O15" s="90">
        <f>IS!O40</f>
        <v>724.76700000000005</v>
      </c>
      <c r="P15" s="90">
        <f>IS!P40</f>
        <v>716.93</v>
      </c>
      <c r="Q15" s="90">
        <f>IS!Q40</f>
        <v>707.61099999999999</v>
      </c>
      <c r="R15" s="90">
        <f>IS!R40</f>
        <v>680.73900000000003</v>
      </c>
      <c r="S15" s="90">
        <f>IS!S40</f>
        <v>644.14</v>
      </c>
      <c r="T15" s="90">
        <f>IS!T40</f>
        <v>611.48800000000006</v>
      </c>
      <c r="U15" s="90">
        <f>IS!U40</f>
        <v>566.04</v>
      </c>
      <c r="V15" s="90">
        <f>IS!V40</f>
        <v>528.51</v>
      </c>
      <c r="W15" s="90">
        <f>IS!W40</f>
        <v>518.35800000000017</v>
      </c>
      <c r="X15" s="90">
        <f>IS!X40</f>
        <v>507.79700000000003</v>
      </c>
      <c r="Y15" s="90">
        <f>IS!Y40</f>
        <v>492.96499999999997</v>
      </c>
      <c r="Z15" s="90">
        <f>IS!Z40</f>
        <v>486.625</v>
      </c>
      <c r="AA15" s="90">
        <f>IS!AA40</f>
        <v>477.16500000000002</v>
      </c>
      <c r="AB15" s="90">
        <f>IS!AB40</f>
        <v>474.59800000000001</v>
      </c>
      <c r="AC15" s="90">
        <f>IS!AC40</f>
        <v>464.61799999999999</v>
      </c>
      <c r="AD15" s="90">
        <f>IS!AD40</f>
        <v>461.50700000000001</v>
      </c>
      <c r="AE15" s="90">
        <f>IS!AE40</f>
        <v>461.91500000000002</v>
      </c>
      <c r="AF15" s="90">
        <f>IS!AF40</f>
        <v>453.42899999999997</v>
      </c>
    </row>
    <row r="16" spans="1:32" x14ac:dyDescent="0.2">
      <c r="A16" s="3"/>
      <c r="E16" s="89"/>
      <c r="F16" s="89"/>
      <c r="G16" s="89"/>
    </row>
    <row r="17" spans="6:11" x14ac:dyDescent="0.2">
      <c r="F17" s="89"/>
      <c r="G17" s="89"/>
      <c r="I17" s="89"/>
      <c r="J17" s="89"/>
      <c r="K17" s="8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78"/>
  <sheetViews>
    <sheetView zoomScale="90" zoomScaleNormal="9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50.7109375" style="113" customWidth="1"/>
    <col min="2" max="2" width="2.85546875" style="114" bestFit="1" customWidth="1"/>
    <col min="3" max="10" width="10.42578125" style="113" customWidth="1"/>
    <col min="11" max="11" width="9.140625" style="113" customWidth="1"/>
    <col min="12" max="30" width="10.42578125" style="113" customWidth="1"/>
    <col min="31" max="32" width="10.42578125" style="113" bestFit="1" customWidth="1"/>
    <col min="33" max="33" width="9.140625" style="113"/>
    <col min="34" max="35" width="10.42578125" style="113" bestFit="1" customWidth="1"/>
    <col min="36" max="16384" width="9.140625" style="113"/>
  </cols>
  <sheetData>
    <row r="1" spans="1:33" x14ac:dyDescent="0.25">
      <c r="C1" s="134" t="s">
        <v>67</v>
      </c>
      <c r="D1" s="134" t="s">
        <v>66</v>
      </c>
      <c r="E1" s="134" t="s">
        <v>65</v>
      </c>
      <c r="F1" s="134" t="s">
        <v>64</v>
      </c>
      <c r="G1" s="134" t="s">
        <v>63</v>
      </c>
      <c r="H1" s="134" t="s">
        <v>62</v>
      </c>
      <c r="I1" s="134" t="s">
        <v>61</v>
      </c>
      <c r="J1" s="134" t="s">
        <v>60</v>
      </c>
      <c r="K1" s="135"/>
      <c r="L1" s="112" t="s">
        <v>59</v>
      </c>
      <c r="M1" s="112" t="s">
        <v>58</v>
      </c>
      <c r="N1" s="112" t="s">
        <v>57</v>
      </c>
      <c r="O1" s="112" t="s">
        <v>56</v>
      </c>
      <c r="P1" s="112" t="s">
        <v>55</v>
      </c>
      <c r="Q1" s="112" t="s">
        <v>54</v>
      </c>
      <c r="R1" s="112" t="s">
        <v>53</v>
      </c>
      <c r="S1" s="112" t="s">
        <v>52</v>
      </c>
      <c r="T1" s="134" t="s">
        <v>51</v>
      </c>
      <c r="U1" s="134" t="s">
        <v>50</v>
      </c>
      <c r="V1" s="134" t="s">
        <v>49</v>
      </c>
      <c r="W1" s="134" t="s">
        <v>48</v>
      </c>
      <c r="X1" s="134" t="s">
        <v>47</v>
      </c>
      <c r="Y1" s="134" t="s">
        <v>46</v>
      </c>
      <c r="Z1" s="134" t="s">
        <v>45</v>
      </c>
      <c r="AA1" s="134" t="s">
        <v>44</v>
      </c>
      <c r="AB1" s="134" t="s">
        <v>43</v>
      </c>
      <c r="AC1" s="134" t="s">
        <v>42</v>
      </c>
      <c r="AD1" s="134" t="s">
        <v>41</v>
      </c>
      <c r="AE1" s="134" t="s">
        <v>40</v>
      </c>
      <c r="AF1" s="134" t="s">
        <v>39</v>
      </c>
    </row>
    <row r="2" spans="1:33" x14ac:dyDescent="0.25">
      <c r="C2" s="133">
        <v>40908</v>
      </c>
      <c r="D2" s="133">
        <v>41274</v>
      </c>
      <c r="E2" s="133">
        <v>41639</v>
      </c>
      <c r="F2" s="133">
        <v>42004</v>
      </c>
      <c r="G2" s="133">
        <v>42369</v>
      </c>
      <c r="H2" s="133">
        <v>42735</v>
      </c>
      <c r="I2" s="133">
        <v>43100</v>
      </c>
      <c r="J2" s="133">
        <v>43465</v>
      </c>
      <c r="K2" s="129"/>
      <c r="L2" s="111">
        <v>41729</v>
      </c>
      <c r="M2" s="111">
        <v>41820</v>
      </c>
      <c r="N2" s="111">
        <v>41912</v>
      </c>
      <c r="O2" s="111">
        <v>42004</v>
      </c>
      <c r="P2" s="111">
        <v>42094</v>
      </c>
      <c r="Q2" s="111">
        <v>42185</v>
      </c>
      <c r="R2" s="111">
        <v>42277</v>
      </c>
      <c r="S2" s="111">
        <v>42369</v>
      </c>
      <c r="T2" s="133">
        <v>42460</v>
      </c>
      <c r="U2" s="133">
        <v>42551</v>
      </c>
      <c r="V2" s="133">
        <v>42643</v>
      </c>
      <c r="W2" s="133">
        <v>42735</v>
      </c>
      <c r="X2" s="133">
        <v>42825</v>
      </c>
      <c r="Y2" s="133">
        <v>42916</v>
      </c>
      <c r="Z2" s="133">
        <v>43008</v>
      </c>
      <c r="AA2" s="133">
        <v>43100</v>
      </c>
      <c r="AB2" s="133">
        <v>43190</v>
      </c>
      <c r="AC2" s="133">
        <v>43281</v>
      </c>
      <c r="AD2" s="133">
        <v>43373</v>
      </c>
      <c r="AE2" s="133">
        <v>43465</v>
      </c>
      <c r="AF2" s="133">
        <v>43555</v>
      </c>
    </row>
    <row r="3" spans="1:33" s="130" customFormat="1" x14ac:dyDescent="0.25">
      <c r="A3" s="132" t="s">
        <v>38</v>
      </c>
      <c r="B3" s="132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</row>
    <row r="4" spans="1:33" s="128" customFormat="1" x14ac:dyDescent="0.25">
      <c r="A4" s="127" t="s">
        <v>253</v>
      </c>
      <c r="B4" s="114"/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29"/>
    </row>
    <row r="5" spans="1:33" s="128" customFormat="1" x14ac:dyDescent="0.25">
      <c r="A5" s="127" t="s">
        <v>252</v>
      </c>
      <c r="B5" s="114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29"/>
      <c r="S5" s="129"/>
      <c r="T5" s="129"/>
      <c r="U5" s="129"/>
      <c r="V5" s="129"/>
      <c r="W5" s="129"/>
      <c r="X5" s="129"/>
      <c r="Y5" s="129"/>
      <c r="Z5" s="129"/>
      <c r="AA5" s="129"/>
      <c r="AB5" s="129"/>
      <c r="AC5" s="129"/>
      <c r="AD5" s="129"/>
      <c r="AE5" s="129"/>
      <c r="AF5" s="129"/>
    </row>
    <row r="6" spans="1:33" x14ac:dyDescent="0.25">
      <c r="A6" s="117" t="s">
        <v>229</v>
      </c>
      <c r="C6" s="116"/>
      <c r="D6" s="116">
        <v>188841</v>
      </c>
      <c r="E6" s="116">
        <v>194026</v>
      </c>
      <c r="F6" s="116">
        <v>195651</v>
      </c>
      <c r="G6" s="116">
        <v>199467</v>
      </c>
      <c r="H6" s="116">
        <v>199014</v>
      </c>
      <c r="I6" s="116">
        <v>201351</v>
      </c>
      <c r="J6" s="116">
        <v>205451</v>
      </c>
      <c r="K6" s="116"/>
      <c r="L6" s="116">
        <v>45828</v>
      </c>
      <c r="M6" s="116">
        <v>51407</v>
      </c>
      <c r="N6" s="116">
        <v>51895</v>
      </c>
      <c r="O6" s="116">
        <v>46522</v>
      </c>
      <c r="P6" s="116">
        <v>44849</v>
      </c>
      <c r="Q6" s="116">
        <v>51632</v>
      </c>
      <c r="R6" s="116">
        <v>54667</v>
      </c>
      <c r="S6" s="116">
        <v>48319</v>
      </c>
      <c r="T6" s="116">
        <v>46220</v>
      </c>
      <c r="U6" s="116">
        <v>51927</v>
      </c>
      <c r="V6" s="116">
        <v>53472</v>
      </c>
      <c r="W6" s="116">
        <v>47395</v>
      </c>
      <c r="X6" s="116">
        <v>45211</v>
      </c>
      <c r="Y6" s="116">
        <v>53177</v>
      </c>
      <c r="Z6" s="116">
        <v>54012</v>
      </c>
      <c r="AA6" s="116">
        <v>48951</v>
      </c>
      <c r="AB6" s="116">
        <v>47007</v>
      </c>
      <c r="AC6" s="116">
        <v>54118</v>
      </c>
      <c r="AD6" s="116">
        <v>55182</v>
      </c>
      <c r="AE6" s="116">
        <v>49143</v>
      </c>
      <c r="AF6" s="116">
        <v>48481</v>
      </c>
    </row>
    <row r="7" spans="1:33" x14ac:dyDescent="0.25">
      <c r="A7" s="117" t="s">
        <v>228</v>
      </c>
      <c r="C7" s="116"/>
      <c r="D7" s="116">
        <v>226839</v>
      </c>
      <c r="E7" s="116">
        <v>231873</v>
      </c>
      <c r="F7" s="116">
        <v>237522</v>
      </c>
      <c r="G7" s="116">
        <v>239375</v>
      </c>
      <c r="H7" s="116">
        <v>241734</v>
      </c>
      <c r="I7" s="116">
        <v>243806</v>
      </c>
      <c r="J7" s="116">
        <v>248562</v>
      </c>
      <c r="K7" s="116"/>
      <c r="L7" s="116">
        <v>56831</v>
      </c>
      <c r="M7" s="116">
        <v>60999</v>
      </c>
      <c r="N7" s="116">
        <v>61851</v>
      </c>
      <c r="O7" s="116">
        <v>57840</v>
      </c>
      <c r="P7" s="116">
        <v>55854</v>
      </c>
      <c r="Q7" s="116">
        <v>61920</v>
      </c>
      <c r="R7" s="116">
        <v>63459</v>
      </c>
      <c r="S7" s="116">
        <v>58143</v>
      </c>
      <c r="T7" s="116">
        <v>57564</v>
      </c>
      <c r="U7" s="116">
        <v>62670</v>
      </c>
      <c r="V7" s="116">
        <v>63751</v>
      </c>
      <c r="W7" s="116">
        <v>57749</v>
      </c>
      <c r="X7" s="116">
        <v>56564</v>
      </c>
      <c r="Y7" s="116">
        <v>63520</v>
      </c>
      <c r="Z7" s="116">
        <v>64582</v>
      </c>
      <c r="AA7" s="116">
        <v>59140</v>
      </c>
      <c r="AB7" s="116">
        <v>57963</v>
      </c>
      <c r="AC7" s="116">
        <v>64452</v>
      </c>
      <c r="AD7" s="116">
        <v>66295</v>
      </c>
      <c r="AE7" s="116">
        <v>59852</v>
      </c>
      <c r="AF7" s="116">
        <v>58323</v>
      </c>
    </row>
    <row r="8" spans="1:33" x14ac:dyDescent="0.25">
      <c r="A8" s="117" t="s">
        <v>227</v>
      </c>
      <c r="C8" s="119"/>
      <c r="D8" s="119">
        <v>0.83200000000000007</v>
      </c>
      <c r="E8" s="119">
        <v>0.83700000000000008</v>
      </c>
      <c r="F8" s="119">
        <v>0.82400000000000007</v>
      </c>
      <c r="G8" s="119">
        <v>0.83299999999999996</v>
      </c>
      <c r="H8" s="119">
        <v>0.82299999999999995</v>
      </c>
      <c r="I8" s="119">
        <v>0.82599999999999996</v>
      </c>
      <c r="J8" s="119">
        <v>0.82700000000000007</v>
      </c>
      <c r="K8" s="116"/>
      <c r="L8" s="119">
        <v>0.80599999999999994</v>
      </c>
      <c r="M8" s="119">
        <v>0.84299999999999997</v>
      </c>
      <c r="N8" s="119">
        <v>0.83900000000000008</v>
      </c>
      <c r="O8" s="119">
        <v>0.80400000000000005</v>
      </c>
      <c r="P8" s="119">
        <v>0.80299999999999994</v>
      </c>
      <c r="Q8" s="119">
        <v>0.83400000000000007</v>
      </c>
      <c r="R8" s="119">
        <v>0.86099999999999999</v>
      </c>
      <c r="S8" s="119">
        <v>0.83099999999999996</v>
      </c>
      <c r="T8" s="119">
        <v>0.80299999999999994</v>
      </c>
      <c r="U8" s="119">
        <v>0.82900000000000007</v>
      </c>
      <c r="V8" s="119">
        <v>0.83900000000000008</v>
      </c>
      <c r="W8" s="119">
        <v>0.82099999999999995</v>
      </c>
      <c r="X8" s="119">
        <v>0.79900000000000004</v>
      </c>
      <c r="Y8" s="119">
        <v>0.83700000000000008</v>
      </c>
      <c r="Z8" s="119">
        <v>0.83599999999999997</v>
      </c>
      <c r="AA8" s="119">
        <v>0.82799999999999996</v>
      </c>
      <c r="AB8" s="119">
        <v>0.81099999999999994</v>
      </c>
      <c r="AC8" s="119">
        <v>0.84</v>
      </c>
      <c r="AD8" s="119">
        <v>0.83200000000000007</v>
      </c>
      <c r="AE8" s="119">
        <v>0.82099999999999995</v>
      </c>
      <c r="AF8" s="119">
        <v>0.83099999999999996</v>
      </c>
    </row>
    <row r="9" spans="1:33" x14ac:dyDescent="0.25">
      <c r="A9" s="117" t="s">
        <v>243</v>
      </c>
      <c r="C9" s="116"/>
      <c r="D9" s="116">
        <v>140742</v>
      </c>
      <c r="E9" s="116">
        <v>143747</v>
      </c>
      <c r="F9" s="116">
        <v>145574</v>
      </c>
      <c r="G9" s="116">
        <v>146814</v>
      </c>
      <c r="H9" s="116">
        <v>144530</v>
      </c>
      <c r="I9" s="116">
        <v>144922</v>
      </c>
      <c r="J9" s="116">
        <v>148228</v>
      </c>
      <c r="K9" s="116"/>
      <c r="L9" s="116">
        <v>34843</v>
      </c>
      <c r="M9" s="116">
        <v>37910</v>
      </c>
      <c r="N9" s="116">
        <v>37516</v>
      </c>
      <c r="O9" s="116">
        <v>35305</v>
      </c>
      <c r="P9" s="116">
        <v>33951</v>
      </c>
      <c r="Q9" s="116">
        <v>37823</v>
      </c>
      <c r="R9" s="116">
        <v>38909</v>
      </c>
      <c r="S9" s="116">
        <v>36131</v>
      </c>
      <c r="T9" s="116">
        <v>34547</v>
      </c>
      <c r="U9" s="116">
        <v>37699</v>
      </c>
      <c r="V9" s="116">
        <v>37584</v>
      </c>
      <c r="W9" s="116">
        <v>34700</v>
      </c>
      <c r="X9" s="116">
        <v>33755</v>
      </c>
      <c r="Y9" s="116">
        <v>37767</v>
      </c>
      <c r="Z9" s="116">
        <v>37365</v>
      </c>
      <c r="AA9" s="116">
        <v>36035</v>
      </c>
      <c r="AB9" s="116">
        <v>34840</v>
      </c>
      <c r="AC9" s="116">
        <v>38574</v>
      </c>
      <c r="AD9" s="116">
        <v>38233</v>
      </c>
      <c r="AE9" s="116">
        <v>36581</v>
      </c>
      <c r="AF9" s="116">
        <v>36546</v>
      </c>
    </row>
    <row r="10" spans="1:33" x14ac:dyDescent="0.25">
      <c r="A10" s="117" t="s">
        <v>251</v>
      </c>
      <c r="C10" s="116"/>
      <c r="D10" s="116">
        <v>1113</v>
      </c>
      <c r="E10" s="116">
        <v>1140</v>
      </c>
      <c r="F10" s="116">
        <v>1144</v>
      </c>
      <c r="G10" s="116">
        <v>1114</v>
      </c>
      <c r="H10" s="116">
        <v>1102</v>
      </c>
      <c r="I10" s="116">
        <v>1081</v>
      </c>
      <c r="J10" s="116">
        <v>1098</v>
      </c>
      <c r="K10" s="116"/>
      <c r="L10" s="116">
        <v>279</v>
      </c>
      <c r="M10" s="116">
        <v>292</v>
      </c>
      <c r="N10" s="116">
        <v>291</v>
      </c>
      <c r="O10" s="116">
        <v>282</v>
      </c>
      <c r="P10" s="116">
        <v>269</v>
      </c>
      <c r="Q10" s="116">
        <v>285</v>
      </c>
      <c r="R10" s="116">
        <v>286</v>
      </c>
      <c r="S10" s="116">
        <v>274</v>
      </c>
      <c r="T10" s="116">
        <v>272</v>
      </c>
      <c r="U10" s="116">
        <v>283</v>
      </c>
      <c r="V10" s="116">
        <v>282</v>
      </c>
      <c r="W10" s="116">
        <v>265</v>
      </c>
      <c r="X10" s="116">
        <v>262</v>
      </c>
      <c r="Y10" s="116">
        <v>278</v>
      </c>
      <c r="Z10" s="116">
        <v>275</v>
      </c>
      <c r="AA10" s="116">
        <v>265</v>
      </c>
      <c r="AB10" s="116">
        <v>263</v>
      </c>
      <c r="AC10" s="116">
        <v>280</v>
      </c>
      <c r="AD10" s="116">
        <v>282</v>
      </c>
      <c r="AE10" s="116">
        <v>273</v>
      </c>
      <c r="AF10" s="116">
        <v>271</v>
      </c>
    </row>
    <row r="11" spans="1:33" x14ac:dyDescent="0.25">
      <c r="A11" s="117" t="s">
        <v>242</v>
      </c>
      <c r="C11" s="116"/>
      <c r="D11" s="116">
        <v>954</v>
      </c>
      <c r="E11" s="116">
        <v>970</v>
      </c>
      <c r="F11" s="116">
        <v>983</v>
      </c>
      <c r="G11" s="116">
        <v>946</v>
      </c>
      <c r="H11" s="116">
        <v>930</v>
      </c>
      <c r="I11" s="116">
        <v>948</v>
      </c>
      <c r="J11" s="116">
        <v>956</v>
      </c>
      <c r="K11" s="116"/>
      <c r="L11" s="116">
        <v>977</v>
      </c>
      <c r="M11" s="116">
        <v>984</v>
      </c>
      <c r="N11" s="116">
        <v>978</v>
      </c>
      <c r="O11" s="116">
        <v>983</v>
      </c>
      <c r="P11" s="116">
        <v>973</v>
      </c>
      <c r="Q11" s="116">
        <v>963</v>
      </c>
      <c r="R11" s="116">
        <v>943</v>
      </c>
      <c r="S11" s="116">
        <v>946</v>
      </c>
      <c r="T11" s="116">
        <v>942</v>
      </c>
      <c r="U11" s="116">
        <v>947</v>
      </c>
      <c r="V11" s="116">
        <v>922</v>
      </c>
      <c r="W11" s="116">
        <v>930</v>
      </c>
      <c r="X11" s="116">
        <v>944</v>
      </c>
      <c r="Y11" s="116">
        <v>956</v>
      </c>
      <c r="Z11" s="116">
        <v>947</v>
      </c>
      <c r="AA11" s="116">
        <v>948</v>
      </c>
      <c r="AB11" s="116">
        <v>952</v>
      </c>
      <c r="AC11" s="116">
        <v>955</v>
      </c>
      <c r="AD11" s="116">
        <v>949</v>
      </c>
      <c r="AE11" s="116">
        <v>956</v>
      </c>
      <c r="AF11" s="116">
        <v>962</v>
      </c>
    </row>
    <row r="12" spans="1:33" x14ac:dyDescent="0.25">
      <c r="A12" s="117" t="s">
        <v>250</v>
      </c>
      <c r="C12" s="116"/>
      <c r="D12" s="116">
        <v>3350</v>
      </c>
      <c r="E12" s="116">
        <v>3454</v>
      </c>
      <c r="F12" s="116">
        <v>3514</v>
      </c>
      <c r="G12" s="116">
        <v>3494</v>
      </c>
      <c r="H12" s="116">
        <v>3477</v>
      </c>
      <c r="I12" s="116">
        <v>3441</v>
      </c>
      <c r="J12" s="116">
        <v>3493</v>
      </c>
      <c r="K12" s="116"/>
      <c r="L12" s="116">
        <v>853</v>
      </c>
      <c r="M12" s="116">
        <v>901</v>
      </c>
      <c r="N12" s="116">
        <v>901</v>
      </c>
      <c r="O12" s="116">
        <v>858</v>
      </c>
      <c r="P12" s="116">
        <v>833</v>
      </c>
      <c r="Q12" s="116">
        <v>903</v>
      </c>
      <c r="R12" s="116">
        <v>908</v>
      </c>
      <c r="S12" s="116">
        <v>850</v>
      </c>
      <c r="T12" s="116">
        <v>845</v>
      </c>
      <c r="U12" s="116">
        <v>901</v>
      </c>
      <c r="V12" s="116">
        <v>905</v>
      </c>
      <c r="W12" s="116">
        <v>827</v>
      </c>
      <c r="X12" s="116">
        <v>819</v>
      </c>
      <c r="Y12" s="116">
        <v>896</v>
      </c>
      <c r="Z12" s="116">
        <v>893</v>
      </c>
      <c r="AA12" s="116">
        <v>833</v>
      </c>
      <c r="AB12" s="116">
        <v>831</v>
      </c>
      <c r="AC12" s="116">
        <v>900</v>
      </c>
      <c r="AD12" s="116">
        <v>916</v>
      </c>
      <c r="AE12" s="116">
        <v>846</v>
      </c>
      <c r="AF12" s="116">
        <v>835</v>
      </c>
    </row>
    <row r="13" spans="1:33" x14ac:dyDescent="0.25">
      <c r="A13" s="117" t="s">
        <v>249</v>
      </c>
      <c r="C13" s="116"/>
      <c r="D13" s="116">
        <v>1183</v>
      </c>
      <c r="E13" s="116">
        <v>1190</v>
      </c>
      <c r="F13" s="116">
        <v>1205</v>
      </c>
      <c r="G13" s="116">
        <v>1226</v>
      </c>
      <c r="H13" s="116">
        <v>1230</v>
      </c>
      <c r="I13" s="116">
        <v>1240</v>
      </c>
      <c r="J13" s="116">
        <v>1236</v>
      </c>
      <c r="K13" s="116"/>
      <c r="L13" s="116">
        <v>1189</v>
      </c>
      <c r="M13" s="116">
        <v>1215</v>
      </c>
      <c r="N13" s="116">
        <v>1229</v>
      </c>
      <c r="O13" s="116">
        <v>1187</v>
      </c>
      <c r="P13" s="116">
        <v>1195</v>
      </c>
      <c r="Q13" s="116">
        <v>1236</v>
      </c>
      <c r="R13" s="116">
        <v>1259</v>
      </c>
      <c r="S13" s="116">
        <v>1209</v>
      </c>
      <c r="T13" s="116">
        <v>1205</v>
      </c>
      <c r="U13" s="116">
        <v>1241</v>
      </c>
      <c r="V13" s="116">
        <v>1258</v>
      </c>
      <c r="W13" s="116">
        <v>1215</v>
      </c>
      <c r="X13" s="116">
        <v>1201</v>
      </c>
      <c r="Y13" s="116">
        <v>1254</v>
      </c>
      <c r="Z13" s="116">
        <v>1278</v>
      </c>
      <c r="AA13" s="116">
        <v>1226</v>
      </c>
      <c r="AB13" s="116">
        <v>1217</v>
      </c>
      <c r="AC13" s="116">
        <v>1254</v>
      </c>
      <c r="AD13" s="116">
        <v>1272</v>
      </c>
      <c r="AE13" s="116">
        <v>1198</v>
      </c>
      <c r="AF13" s="116">
        <v>1178</v>
      </c>
    </row>
    <row r="14" spans="1:33" x14ac:dyDescent="0.25">
      <c r="A14" s="117" t="s">
        <v>241</v>
      </c>
      <c r="C14" s="116"/>
      <c r="D14" s="116">
        <v>3512</v>
      </c>
      <c r="E14" s="116">
        <v>3608</v>
      </c>
      <c r="F14" s="116">
        <v>3644</v>
      </c>
      <c r="G14" s="116">
        <v>3611</v>
      </c>
      <c r="H14" s="116">
        <v>3596</v>
      </c>
      <c r="I14" s="116">
        <v>3579</v>
      </c>
      <c r="J14" s="116">
        <v>3644</v>
      </c>
      <c r="K14" s="116"/>
      <c r="L14" s="116">
        <v>874</v>
      </c>
      <c r="M14" s="116">
        <v>937</v>
      </c>
      <c r="N14" s="116">
        <v>952</v>
      </c>
      <c r="O14" s="116">
        <v>881</v>
      </c>
      <c r="P14" s="116">
        <v>846</v>
      </c>
      <c r="Q14" s="116">
        <v>936</v>
      </c>
      <c r="R14" s="116">
        <v>954</v>
      </c>
      <c r="S14" s="116">
        <v>875</v>
      </c>
      <c r="T14" s="116">
        <v>855</v>
      </c>
      <c r="U14" s="116">
        <v>931</v>
      </c>
      <c r="V14" s="116">
        <v>953</v>
      </c>
      <c r="W14" s="116">
        <v>857</v>
      </c>
      <c r="X14" s="116">
        <v>831</v>
      </c>
      <c r="Y14" s="116">
        <v>934</v>
      </c>
      <c r="Z14" s="116">
        <v>947</v>
      </c>
      <c r="AA14" s="116">
        <v>866</v>
      </c>
      <c r="AB14" s="116">
        <v>845</v>
      </c>
      <c r="AC14" s="116">
        <v>944</v>
      </c>
      <c r="AD14" s="116">
        <v>978</v>
      </c>
      <c r="AE14" s="116">
        <v>877</v>
      </c>
      <c r="AF14" s="116">
        <v>853</v>
      </c>
    </row>
    <row r="15" spans="1:33" s="121" customFormat="1" x14ac:dyDescent="0.25">
      <c r="A15" s="124" t="s">
        <v>240</v>
      </c>
      <c r="B15" s="123"/>
      <c r="C15" s="122"/>
      <c r="D15" s="122">
        <v>3.19</v>
      </c>
      <c r="E15" s="122">
        <v>3.08</v>
      </c>
      <c r="F15" s="122">
        <v>2.91</v>
      </c>
      <c r="G15" s="122">
        <v>1.72</v>
      </c>
      <c r="H15" s="122">
        <v>1.41</v>
      </c>
      <c r="I15" s="122">
        <v>1.71</v>
      </c>
      <c r="J15" s="122">
        <v>2.21</v>
      </c>
      <c r="K15" s="122"/>
      <c r="L15" s="122">
        <v>3.1</v>
      </c>
      <c r="M15" s="122">
        <v>3.02</v>
      </c>
      <c r="N15" s="122">
        <v>2.97</v>
      </c>
      <c r="O15" s="122">
        <v>2.52</v>
      </c>
      <c r="P15" s="122">
        <v>1.83</v>
      </c>
      <c r="Q15" s="122">
        <v>1.9</v>
      </c>
      <c r="R15" s="122">
        <v>1.67</v>
      </c>
      <c r="S15" s="122">
        <v>1.5</v>
      </c>
      <c r="T15" s="122">
        <v>1.2</v>
      </c>
      <c r="U15" s="122">
        <v>1.41</v>
      </c>
      <c r="V15" s="122">
        <v>1.46</v>
      </c>
      <c r="W15" s="122">
        <v>1.56</v>
      </c>
      <c r="X15" s="122">
        <v>1.69</v>
      </c>
      <c r="Y15" s="122">
        <v>1.62</v>
      </c>
      <c r="Z15" s="122">
        <v>1.66</v>
      </c>
      <c r="AA15" s="122">
        <v>1.9</v>
      </c>
      <c r="AB15" s="122">
        <v>2.09</v>
      </c>
      <c r="AC15" s="122">
        <v>2.23</v>
      </c>
      <c r="AD15" s="122">
        <v>2.2799999999999998</v>
      </c>
      <c r="AE15" s="122">
        <v>2.23</v>
      </c>
      <c r="AF15" s="122">
        <v>2.02</v>
      </c>
      <c r="AG15" s="113"/>
    </row>
    <row r="16" spans="1:33" x14ac:dyDescent="0.25">
      <c r="A16" s="117" t="s">
        <v>239</v>
      </c>
      <c r="C16" s="116"/>
      <c r="D16" s="116">
        <v>95786</v>
      </c>
      <c r="E16" s="116">
        <v>91500</v>
      </c>
      <c r="F16" s="116">
        <v>94400</v>
      </c>
      <c r="G16" s="116">
        <v>98900</v>
      </c>
      <c r="H16" s="116">
        <v>101500</v>
      </c>
      <c r="I16" s="116">
        <v>103100</v>
      </c>
      <c r="J16" s="116">
        <v>102900</v>
      </c>
      <c r="K16" s="116"/>
      <c r="L16" s="116">
        <v>93400</v>
      </c>
      <c r="M16" s="116">
        <v>94100</v>
      </c>
      <c r="N16" s="116">
        <v>93400</v>
      </c>
      <c r="O16" s="116">
        <v>94400</v>
      </c>
      <c r="P16" s="116">
        <v>97500</v>
      </c>
      <c r="Q16" s="116">
        <v>100700</v>
      </c>
      <c r="R16" s="116">
        <v>99700</v>
      </c>
      <c r="S16" s="116">
        <v>98900</v>
      </c>
      <c r="T16" s="116">
        <v>100200</v>
      </c>
      <c r="U16" s="116">
        <v>103100</v>
      </c>
      <c r="V16" s="116">
        <v>101200</v>
      </c>
      <c r="W16" s="116">
        <v>101500</v>
      </c>
      <c r="X16" s="116">
        <v>102900</v>
      </c>
      <c r="Y16" s="116">
        <v>106100</v>
      </c>
      <c r="Z16" s="116">
        <v>105000</v>
      </c>
      <c r="AA16" s="116">
        <v>103100</v>
      </c>
      <c r="AB16" s="116">
        <v>104400</v>
      </c>
      <c r="AC16" s="116">
        <v>106600</v>
      </c>
      <c r="AD16" s="116">
        <v>105100</v>
      </c>
      <c r="AE16" s="116">
        <v>102900</v>
      </c>
      <c r="AF16" s="116">
        <v>103500</v>
      </c>
    </row>
    <row r="17" spans="1:33" x14ac:dyDescent="0.25">
      <c r="A17" s="127" t="s">
        <v>248</v>
      </c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</row>
    <row r="18" spans="1:33" x14ac:dyDescent="0.25">
      <c r="A18" s="117" t="s">
        <v>229</v>
      </c>
      <c r="C18" s="116"/>
      <c r="D18" s="116">
        <v>21097</v>
      </c>
      <c r="E18" s="116">
        <v>21515</v>
      </c>
      <c r="F18" s="116">
        <v>22219</v>
      </c>
      <c r="G18" s="116">
        <v>23543</v>
      </c>
      <c r="H18" s="116">
        <v>24463</v>
      </c>
      <c r="I18" s="116">
        <v>24995</v>
      </c>
      <c r="J18" s="116">
        <v>25709</v>
      </c>
      <c r="K18" s="116"/>
      <c r="L18" s="116">
        <v>5058</v>
      </c>
      <c r="M18" s="116">
        <v>5787</v>
      </c>
      <c r="N18" s="116">
        <v>5755</v>
      </c>
      <c r="O18" s="116">
        <v>5618</v>
      </c>
      <c r="P18" s="116">
        <v>5341</v>
      </c>
      <c r="Q18" s="116">
        <v>6189</v>
      </c>
      <c r="R18" s="116">
        <v>6199</v>
      </c>
      <c r="S18" s="116">
        <v>5814</v>
      </c>
      <c r="T18" s="116">
        <v>5551</v>
      </c>
      <c r="U18" s="116">
        <v>6409</v>
      </c>
      <c r="V18" s="116">
        <v>6447</v>
      </c>
      <c r="W18" s="116">
        <v>6057</v>
      </c>
      <c r="X18" s="116">
        <v>5773</v>
      </c>
      <c r="Y18" s="116">
        <v>6387</v>
      </c>
      <c r="Z18" s="116">
        <v>6459</v>
      </c>
      <c r="AA18" s="116">
        <v>6376</v>
      </c>
      <c r="AB18" s="116">
        <v>5938</v>
      </c>
      <c r="AC18" s="116">
        <v>6661</v>
      </c>
      <c r="AD18" s="116">
        <v>6683</v>
      </c>
      <c r="AE18" s="116">
        <v>6427</v>
      </c>
      <c r="AF18" s="116">
        <v>6321</v>
      </c>
    </row>
    <row r="19" spans="1:33" x14ac:dyDescent="0.25">
      <c r="A19" s="117" t="s">
        <v>228</v>
      </c>
      <c r="C19" s="116"/>
      <c r="D19" s="116">
        <v>27809</v>
      </c>
      <c r="E19" s="116">
        <v>28041</v>
      </c>
      <c r="F19" s="116">
        <v>28135</v>
      </c>
      <c r="G19" s="116">
        <v>29361</v>
      </c>
      <c r="H19" s="116">
        <v>31676</v>
      </c>
      <c r="I19" s="116">
        <v>32687</v>
      </c>
      <c r="J19" s="116">
        <v>33492</v>
      </c>
      <c r="K19" s="116"/>
      <c r="L19" s="116">
        <v>6561</v>
      </c>
      <c r="M19" s="116">
        <v>7091</v>
      </c>
      <c r="N19" s="116">
        <v>7269</v>
      </c>
      <c r="O19" s="116">
        <v>7213</v>
      </c>
      <c r="P19" s="116">
        <v>6937</v>
      </c>
      <c r="Q19" s="116">
        <v>7481</v>
      </c>
      <c r="R19" s="116">
        <v>7633</v>
      </c>
      <c r="S19" s="116">
        <v>7310</v>
      </c>
      <c r="T19" s="116">
        <v>7500</v>
      </c>
      <c r="U19" s="116">
        <v>8081</v>
      </c>
      <c r="V19" s="116">
        <v>8160</v>
      </c>
      <c r="W19" s="116">
        <v>7934</v>
      </c>
      <c r="X19" s="116">
        <v>7777</v>
      </c>
      <c r="Y19" s="116">
        <v>8223</v>
      </c>
      <c r="Z19" s="116">
        <v>8471</v>
      </c>
      <c r="AA19" s="116">
        <v>8215</v>
      </c>
      <c r="AB19" s="116">
        <v>7860</v>
      </c>
      <c r="AC19" s="116">
        <v>8441</v>
      </c>
      <c r="AD19" s="116">
        <v>8744</v>
      </c>
      <c r="AE19" s="116">
        <v>8446</v>
      </c>
      <c r="AF19" s="116">
        <v>8351</v>
      </c>
    </row>
    <row r="20" spans="1:33" x14ac:dyDescent="0.25">
      <c r="A20" s="117" t="s">
        <v>227</v>
      </c>
      <c r="C20" s="119"/>
      <c r="D20" s="119">
        <v>0.75900000000000001</v>
      </c>
      <c r="E20" s="119">
        <v>0.76700000000000002</v>
      </c>
      <c r="F20" s="119">
        <v>0.79</v>
      </c>
      <c r="G20" s="119">
        <v>0.80200000000000005</v>
      </c>
      <c r="H20" s="119">
        <v>0.77200000000000002</v>
      </c>
      <c r="I20" s="119">
        <v>0.76500000000000001</v>
      </c>
      <c r="J20" s="119">
        <v>0.76800000000000002</v>
      </c>
      <c r="K20" s="116"/>
      <c r="L20" s="119">
        <v>0.77099999999999991</v>
      </c>
      <c r="M20" s="119">
        <v>0.81599999999999995</v>
      </c>
      <c r="N20" s="119">
        <v>0.79200000000000004</v>
      </c>
      <c r="O20" s="119">
        <v>0.77900000000000003</v>
      </c>
      <c r="P20" s="119">
        <v>0.77</v>
      </c>
      <c r="Q20" s="119">
        <v>0.82700000000000007</v>
      </c>
      <c r="R20" s="119">
        <v>0.81200000000000006</v>
      </c>
      <c r="S20" s="119">
        <v>0.79500000000000004</v>
      </c>
      <c r="T20" s="119">
        <v>0.74</v>
      </c>
      <c r="U20" s="119">
        <v>0.79299999999999993</v>
      </c>
      <c r="V20" s="119">
        <v>0.79</v>
      </c>
      <c r="W20" s="119">
        <v>0.76300000000000001</v>
      </c>
      <c r="X20" s="119">
        <v>0.74199999999999999</v>
      </c>
      <c r="Y20" s="119">
        <v>0.77700000000000002</v>
      </c>
      <c r="Z20" s="119">
        <v>0.76300000000000001</v>
      </c>
      <c r="AA20" s="119">
        <v>0.77599999999999991</v>
      </c>
      <c r="AB20" s="119">
        <v>0.755</v>
      </c>
      <c r="AC20" s="119">
        <v>0.78900000000000003</v>
      </c>
      <c r="AD20" s="119">
        <v>0.76400000000000001</v>
      </c>
      <c r="AE20" s="119">
        <v>0.7609999999999999</v>
      </c>
      <c r="AF20" s="119">
        <v>0.75700000000000001</v>
      </c>
    </row>
    <row r="21" spans="1:33" x14ac:dyDescent="0.25">
      <c r="A21" s="117" t="s">
        <v>243</v>
      </c>
      <c r="C21" s="116"/>
      <c r="D21" s="116">
        <v>49757</v>
      </c>
      <c r="E21" s="116">
        <v>49993</v>
      </c>
      <c r="F21" s="116">
        <v>51766</v>
      </c>
      <c r="G21" s="116">
        <v>54435</v>
      </c>
      <c r="H21" s="116">
        <v>54184</v>
      </c>
      <c r="I21" s="116">
        <v>54718</v>
      </c>
      <c r="J21" s="116">
        <v>55517</v>
      </c>
      <c r="K21" s="116"/>
      <c r="L21" s="116">
        <v>11709</v>
      </c>
      <c r="M21" s="116">
        <v>13553</v>
      </c>
      <c r="N21" s="116">
        <v>13483</v>
      </c>
      <c r="O21" s="116">
        <v>13021</v>
      </c>
      <c r="P21" s="116">
        <v>12243</v>
      </c>
      <c r="Q21" s="116">
        <v>14377</v>
      </c>
      <c r="R21" s="116">
        <v>14413</v>
      </c>
      <c r="S21" s="116">
        <v>13402</v>
      </c>
      <c r="T21" s="116">
        <v>12368</v>
      </c>
      <c r="U21" s="116">
        <v>14252</v>
      </c>
      <c r="V21" s="116">
        <v>14288</v>
      </c>
      <c r="W21" s="116">
        <v>13276</v>
      </c>
      <c r="X21" s="116">
        <v>12605</v>
      </c>
      <c r="Y21" s="116">
        <v>14049</v>
      </c>
      <c r="Z21" s="116">
        <v>14073</v>
      </c>
      <c r="AA21" s="116">
        <v>13990</v>
      </c>
      <c r="AB21" s="116">
        <v>12786</v>
      </c>
      <c r="AC21" s="116">
        <v>14486</v>
      </c>
      <c r="AD21" s="116">
        <v>14342</v>
      </c>
      <c r="AE21" s="116">
        <v>13902</v>
      </c>
      <c r="AF21" s="116">
        <v>13389</v>
      </c>
    </row>
    <row r="22" spans="1:33" x14ac:dyDescent="0.25">
      <c r="A22" s="117" t="s">
        <v>242</v>
      </c>
      <c r="C22" s="116"/>
      <c r="D22" s="116">
        <v>536</v>
      </c>
      <c r="E22" s="116">
        <v>558</v>
      </c>
      <c r="F22" s="116">
        <v>566</v>
      </c>
      <c r="G22" s="116">
        <v>587</v>
      </c>
      <c r="H22" s="116">
        <v>606</v>
      </c>
      <c r="I22" s="116">
        <v>597</v>
      </c>
      <c r="J22" s="116">
        <v>595</v>
      </c>
      <c r="K22" s="116"/>
      <c r="L22" s="116">
        <v>560</v>
      </c>
      <c r="M22" s="116">
        <v>557</v>
      </c>
      <c r="N22" s="116">
        <v>557</v>
      </c>
      <c r="O22" s="116">
        <v>566</v>
      </c>
      <c r="P22" s="116">
        <v>577</v>
      </c>
      <c r="Q22" s="116">
        <v>578</v>
      </c>
      <c r="R22" s="116">
        <v>584</v>
      </c>
      <c r="S22" s="116">
        <v>587</v>
      </c>
      <c r="T22" s="116">
        <v>597</v>
      </c>
      <c r="U22" s="116">
        <v>600</v>
      </c>
      <c r="V22" s="116">
        <v>599</v>
      </c>
      <c r="W22" s="116">
        <v>606</v>
      </c>
      <c r="X22" s="116">
        <v>623</v>
      </c>
      <c r="Y22" s="116">
        <v>627</v>
      </c>
      <c r="Z22" s="116">
        <v>611</v>
      </c>
      <c r="AA22" s="116">
        <v>597</v>
      </c>
      <c r="AB22" s="116">
        <v>587</v>
      </c>
      <c r="AC22" s="116">
        <v>604</v>
      </c>
      <c r="AD22" s="116">
        <v>592</v>
      </c>
      <c r="AE22" s="116">
        <v>595</v>
      </c>
      <c r="AF22" s="116">
        <v>602</v>
      </c>
    </row>
    <row r="23" spans="1:33" x14ac:dyDescent="0.25">
      <c r="A23" s="117" t="s">
        <v>241</v>
      </c>
      <c r="C23" s="116"/>
      <c r="D23" s="116">
        <v>658</v>
      </c>
      <c r="E23" s="116">
        <v>687</v>
      </c>
      <c r="F23" s="116">
        <v>688</v>
      </c>
      <c r="G23" s="116">
        <v>712</v>
      </c>
      <c r="H23" s="116">
        <v>751</v>
      </c>
      <c r="I23" s="116">
        <v>773</v>
      </c>
      <c r="J23" s="116">
        <v>803</v>
      </c>
      <c r="K23" s="116"/>
      <c r="L23" s="116">
        <v>161</v>
      </c>
      <c r="M23" s="116">
        <v>174</v>
      </c>
      <c r="N23" s="116">
        <v>178</v>
      </c>
      <c r="O23" s="116">
        <v>174</v>
      </c>
      <c r="P23" s="116">
        <v>167</v>
      </c>
      <c r="Q23" s="116">
        <v>182</v>
      </c>
      <c r="R23" s="116">
        <v>186</v>
      </c>
      <c r="S23" s="116">
        <v>177</v>
      </c>
      <c r="T23" s="116">
        <v>178</v>
      </c>
      <c r="U23" s="116">
        <v>191</v>
      </c>
      <c r="V23" s="116">
        <v>196</v>
      </c>
      <c r="W23" s="116">
        <v>187</v>
      </c>
      <c r="X23" s="116">
        <v>182</v>
      </c>
      <c r="Y23" s="116">
        <v>195</v>
      </c>
      <c r="Z23" s="116">
        <v>201</v>
      </c>
      <c r="AA23" s="116">
        <v>194</v>
      </c>
      <c r="AB23" s="116">
        <v>185</v>
      </c>
      <c r="AC23" s="116">
        <v>203</v>
      </c>
      <c r="AD23" s="116">
        <v>212</v>
      </c>
      <c r="AE23" s="116">
        <v>203</v>
      </c>
      <c r="AF23" s="116">
        <v>200</v>
      </c>
    </row>
    <row r="24" spans="1:33" s="121" customFormat="1" x14ac:dyDescent="0.25">
      <c r="A24" s="124" t="s">
        <v>240</v>
      </c>
      <c r="B24" s="123"/>
      <c r="C24" s="122"/>
      <c r="D24" s="122">
        <v>3.21</v>
      </c>
      <c r="E24" s="122">
        <v>3.07</v>
      </c>
      <c r="F24" s="122">
        <v>2.92</v>
      </c>
      <c r="G24" s="122">
        <v>1.73</v>
      </c>
      <c r="H24" s="122">
        <v>1.48</v>
      </c>
      <c r="I24" s="122">
        <v>1.79</v>
      </c>
      <c r="J24" s="122">
        <v>2.2999999999999998</v>
      </c>
      <c r="K24" s="122"/>
      <c r="L24" s="122">
        <v>3.1</v>
      </c>
      <c r="M24" s="122">
        <v>3.07</v>
      </c>
      <c r="N24" s="122">
        <v>3.02</v>
      </c>
      <c r="O24" s="122">
        <v>2.5099999999999998</v>
      </c>
      <c r="P24" s="122">
        <v>1.86</v>
      </c>
      <c r="Q24" s="122">
        <v>1.91</v>
      </c>
      <c r="R24" s="122">
        <v>1.67</v>
      </c>
      <c r="S24" s="122">
        <v>1.47</v>
      </c>
      <c r="T24" s="122">
        <v>1.24</v>
      </c>
      <c r="U24" s="122">
        <v>1.46</v>
      </c>
      <c r="V24" s="122">
        <v>1.55</v>
      </c>
      <c r="W24" s="122">
        <v>1.65</v>
      </c>
      <c r="X24" s="122">
        <v>1.75</v>
      </c>
      <c r="Y24" s="122">
        <v>1.69</v>
      </c>
      <c r="Z24" s="122">
        <v>1.75</v>
      </c>
      <c r="AA24" s="122">
        <v>1.97</v>
      </c>
      <c r="AB24" s="122">
        <v>2.15</v>
      </c>
      <c r="AC24" s="122">
        <v>2.29</v>
      </c>
      <c r="AD24" s="122">
        <v>2.39</v>
      </c>
      <c r="AE24" s="122">
        <v>2.34</v>
      </c>
      <c r="AF24" s="122">
        <v>2.12</v>
      </c>
    </row>
    <row r="25" spans="1:33" x14ac:dyDescent="0.25">
      <c r="A25" s="117" t="s">
        <v>239</v>
      </c>
      <c r="C25" s="126"/>
      <c r="D25" s="126"/>
      <c r="E25" s="116">
        <v>18200</v>
      </c>
      <c r="F25" s="116">
        <v>18900</v>
      </c>
      <c r="G25" s="116">
        <v>19600</v>
      </c>
      <c r="H25" s="116">
        <v>20800</v>
      </c>
      <c r="I25" s="116">
        <v>23500</v>
      </c>
      <c r="J25" s="116">
        <v>26000</v>
      </c>
      <c r="K25" s="116"/>
      <c r="L25" s="116">
        <v>18000</v>
      </c>
      <c r="M25" s="116">
        <v>18300</v>
      </c>
      <c r="N25" s="116">
        <v>18500</v>
      </c>
      <c r="O25" s="116">
        <v>18900</v>
      </c>
      <c r="P25" s="116">
        <v>19300</v>
      </c>
      <c r="Q25" s="116">
        <v>19700</v>
      </c>
      <c r="R25" s="116">
        <v>19300</v>
      </c>
      <c r="S25" s="116">
        <v>19600</v>
      </c>
      <c r="T25" s="116">
        <v>20000</v>
      </c>
      <c r="U25" s="116">
        <v>20400</v>
      </c>
      <c r="V25" s="116">
        <v>20600</v>
      </c>
      <c r="W25" s="116">
        <v>20800</v>
      </c>
      <c r="X25" s="116">
        <v>21400</v>
      </c>
      <c r="Y25" s="116">
        <v>22200</v>
      </c>
      <c r="Z25" s="116">
        <v>22600</v>
      </c>
      <c r="AA25" s="116">
        <v>23500</v>
      </c>
      <c r="AB25" s="116">
        <v>24200</v>
      </c>
      <c r="AC25" s="116">
        <v>25000</v>
      </c>
      <c r="AD25" s="116">
        <v>25400</v>
      </c>
      <c r="AE25" s="116">
        <v>26000</v>
      </c>
      <c r="AF25" s="116">
        <v>26300</v>
      </c>
    </row>
    <row r="26" spans="1:33" x14ac:dyDescent="0.25">
      <c r="A26" s="120" t="s">
        <v>247</v>
      </c>
      <c r="C26" s="116"/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</row>
    <row r="27" spans="1:33" x14ac:dyDescent="0.25">
      <c r="A27" s="117" t="s">
        <v>229</v>
      </c>
      <c r="C27" s="116"/>
      <c r="D27" s="116">
        <v>209938</v>
      </c>
      <c r="E27" s="116">
        <v>215541</v>
      </c>
      <c r="F27" s="116">
        <v>217870</v>
      </c>
      <c r="G27" s="116">
        <v>223010</v>
      </c>
      <c r="H27" s="116">
        <v>223477</v>
      </c>
      <c r="I27" s="116">
        <v>226346</v>
      </c>
      <c r="J27" s="116">
        <v>231160</v>
      </c>
      <c r="K27" s="116"/>
      <c r="L27" s="116">
        <v>50886</v>
      </c>
      <c r="M27" s="116">
        <v>57194</v>
      </c>
      <c r="N27" s="116">
        <v>57650</v>
      </c>
      <c r="O27" s="116">
        <v>52140</v>
      </c>
      <c r="P27" s="116">
        <v>50190</v>
      </c>
      <c r="Q27" s="116">
        <v>57821</v>
      </c>
      <c r="R27" s="116">
        <v>60866</v>
      </c>
      <c r="S27" s="116">
        <v>54133</v>
      </c>
      <c r="T27" s="116">
        <v>51771</v>
      </c>
      <c r="U27" s="116">
        <v>58336</v>
      </c>
      <c r="V27" s="116">
        <v>59919</v>
      </c>
      <c r="W27" s="116">
        <v>53452</v>
      </c>
      <c r="X27" s="116">
        <v>50984</v>
      </c>
      <c r="Y27" s="116">
        <v>59564</v>
      </c>
      <c r="Z27" s="116">
        <v>60471</v>
      </c>
      <c r="AA27" s="116">
        <v>55327</v>
      </c>
      <c r="AB27" s="116">
        <v>52945</v>
      </c>
      <c r="AC27" s="116">
        <v>60779</v>
      </c>
      <c r="AD27" s="116">
        <v>61865</v>
      </c>
      <c r="AE27" s="116">
        <v>55570</v>
      </c>
      <c r="AF27" s="116">
        <v>54802</v>
      </c>
    </row>
    <row r="28" spans="1:33" x14ac:dyDescent="0.25">
      <c r="A28" s="117" t="s">
        <v>228</v>
      </c>
      <c r="C28" s="116"/>
      <c r="D28" s="116">
        <v>254648</v>
      </c>
      <c r="E28" s="116">
        <v>259914</v>
      </c>
      <c r="F28" s="116">
        <v>265657</v>
      </c>
      <c r="G28" s="116">
        <v>268736</v>
      </c>
      <c r="H28" s="116">
        <v>273410</v>
      </c>
      <c r="I28" s="116">
        <v>276493</v>
      </c>
      <c r="J28" s="116">
        <v>282054</v>
      </c>
      <c r="K28" s="116"/>
      <c r="L28" s="116">
        <v>63392</v>
      </c>
      <c r="M28" s="116">
        <v>68090</v>
      </c>
      <c r="N28" s="116">
        <v>69120</v>
      </c>
      <c r="O28" s="116">
        <v>65053</v>
      </c>
      <c r="P28" s="116">
        <v>62791</v>
      </c>
      <c r="Q28" s="116">
        <v>69401</v>
      </c>
      <c r="R28" s="116">
        <v>71092</v>
      </c>
      <c r="S28" s="116">
        <v>65453</v>
      </c>
      <c r="T28" s="116">
        <v>65064</v>
      </c>
      <c r="U28" s="116">
        <v>70751</v>
      </c>
      <c r="V28" s="116">
        <v>71911</v>
      </c>
      <c r="W28" s="116">
        <v>65683</v>
      </c>
      <c r="X28" s="116">
        <v>64341</v>
      </c>
      <c r="Y28" s="116">
        <v>71743</v>
      </c>
      <c r="Z28" s="116">
        <v>73053</v>
      </c>
      <c r="AA28" s="116">
        <v>67355</v>
      </c>
      <c r="AB28" s="116">
        <v>65823</v>
      </c>
      <c r="AC28" s="116">
        <v>72893</v>
      </c>
      <c r="AD28" s="116">
        <v>75039</v>
      </c>
      <c r="AE28" s="116">
        <v>68298</v>
      </c>
      <c r="AF28" s="116">
        <v>66674</v>
      </c>
      <c r="AG28" s="125"/>
    </row>
    <row r="29" spans="1:33" x14ac:dyDescent="0.25">
      <c r="A29" s="117" t="s">
        <v>227</v>
      </c>
      <c r="C29" s="119"/>
      <c r="D29" s="119">
        <v>0.82400000000000007</v>
      </c>
      <c r="E29" s="119">
        <v>0.82900000000000007</v>
      </c>
      <c r="F29" s="119">
        <v>0.82</v>
      </c>
      <c r="G29" s="119">
        <v>0.83</v>
      </c>
      <c r="H29" s="119">
        <v>0.81700000000000006</v>
      </c>
      <c r="I29" s="119">
        <v>0.81900000000000006</v>
      </c>
      <c r="J29" s="119">
        <v>0.82</v>
      </c>
      <c r="K29" s="116"/>
      <c r="L29" s="119">
        <v>0.80299999999999994</v>
      </c>
      <c r="M29" s="119">
        <v>0.84</v>
      </c>
      <c r="N29" s="119">
        <v>0.83400000000000007</v>
      </c>
      <c r="O29" s="119">
        <v>0.80099999999999993</v>
      </c>
      <c r="P29" s="119">
        <v>0.79900000000000004</v>
      </c>
      <c r="Q29" s="119">
        <v>0.83299999999999996</v>
      </c>
      <c r="R29" s="119">
        <v>0.85599999999999998</v>
      </c>
      <c r="S29" s="119">
        <v>0.82700000000000007</v>
      </c>
      <c r="T29" s="119">
        <v>0.79599999999999993</v>
      </c>
      <c r="U29" s="119">
        <v>0.82499999999999996</v>
      </c>
      <c r="V29" s="119">
        <v>0.83299999999999996</v>
      </c>
      <c r="W29" s="119">
        <v>0.81400000000000006</v>
      </c>
      <c r="X29" s="119">
        <v>0.79200000000000004</v>
      </c>
      <c r="Y29" s="119">
        <v>0.83</v>
      </c>
      <c r="Z29" s="119">
        <v>0.82799999999999996</v>
      </c>
      <c r="AA29" s="119">
        <v>0.82099999999999995</v>
      </c>
      <c r="AB29" s="119">
        <v>0.80400000000000005</v>
      </c>
      <c r="AC29" s="119">
        <v>0.83400000000000007</v>
      </c>
      <c r="AD29" s="119">
        <v>0.82400000000000007</v>
      </c>
      <c r="AE29" s="119">
        <v>0.81400000000000006</v>
      </c>
      <c r="AF29" s="119">
        <v>0.82200000000000006</v>
      </c>
    </row>
    <row r="30" spans="1:33" x14ac:dyDescent="0.25">
      <c r="A30" s="117" t="s">
        <v>225</v>
      </c>
      <c r="C30" s="115"/>
      <c r="D30" s="115">
        <v>16.170000000000002</v>
      </c>
      <c r="E30" s="115">
        <v>16.489999999999998</v>
      </c>
      <c r="F30" s="115">
        <v>17.04</v>
      </c>
      <c r="G30" s="115">
        <v>15.92</v>
      </c>
      <c r="H30" s="115">
        <v>15.47</v>
      </c>
      <c r="I30" s="115">
        <v>17.29</v>
      </c>
      <c r="J30" s="115">
        <v>17.600000000000001</v>
      </c>
      <c r="K30" s="116"/>
      <c r="L30" s="115">
        <v>17.03</v>
      </c>
      <c r="M30" s="115">
        <v>17.34</v>
      </c>
      <c r="N30" s="115">
        <v>16.93</v>
      </c>
      <c r="O30" s="115">
        <v>16.84</v>
      </c>
      <c r="P30" s="115">
        <v>16.82</v>
      </c>
      <c r="Q30" s="115">
        <v>16.28</v>
      </c>
      <c r="R30" s="115">
        <v>15.37</v>
      </c>
      <c r="S30" s="115">
        <v>15.34</v>
      </c>
      <c r="T30" s="115">
        <v>15.62</v>
      </c>
      <c r="U30" s="115">
        <v>15.42</v>
      </c>
      <c r="V30" s="115">
        <v>15.27</v>
      </c>
      <c r="W30" s="115">
        <v>15.62</v>
      </c>
      <c r="X30" s="115">
        <v>17.649999999999999</v>
      </c>
      <c r="Y30" s="115">
        <v>17.38</v>
      </c>
      <c r="Z30" s="115">
        <v>16.7</v>
      </c>
      <c r="AA30" s="115">
        <v>17.510000000000002</v>
      </c>
      <c r="AB30" s="115">
        <v>17.899999999999999</v>
      </c>
      <c r="AC30" s="115">
        <v>17.559999999999999</v>
      </c>
      <c r="AD30" s="115">
        <v>17.07</v>
      </c>
      <c r="AE30" s="115">
        <v>17.93</v>
      </c>
      <c r="AF30" s="115">
        <v>17.62</v>
      </c>
    </row>
    <row r="31" spans="1:33" x14ac:dyDescent="0.25">
      <c r="A31" s="117" t="s">
        <v>224</v>
      </c>
      <c r="C31" s="115"/>
      <c r="D31" s="115">
        <v>13.33</v>
      </c>
      <c r="E31" s="115">
        <v>13.67</v>
      </c>
      <c r="F31" s="115">
        <v>13.97</v>
      </c>
      <c r="G31" s="115">
        <v>13.21</v>
      </c>
      <c r="H31" s="115">
        <v>12.65</v>
      </c>
      <c r="I31" s="115">
        <v>14.15</v>
      </c>
      <c r="J31" s="115">
        <v>14.42</v>
      </c>
      <c r="K31" s="116"/>
      <c r="L31" s="115">
        <v>13.67</v>
      </c>
      <c r="M31" s="115">
        <v>14.57</v>
      </c>
      <c r="N31" s="115">
        <v>14.12</v>
      </c>
      <c r="O31" s="115">
        <v>13.5</v>
      </c>
      <c r="P31" s="115">
        <v>13.44</v>
      </c>
      <c r="Q31" s="115">
        <v>13.57</v>
      </c>
      <c r="R31" s="115">
        <v>13.16</v>
      </c>
      <c r="S31" s="115">
        <v>12.69</v>
      </c>
      <c r="T31" s="115">
        <v>12.43</v>
      </c>
      <c r="U31" s="115">
        <v>12.71</v>
      </c>
      <c r="V31" s="115">
        <v>12.72</v>
      </c>
      <c r="W31" s="115">
        <v>12.71</v>
      </c>
      <c r="X31" s="115">
        <v>13.98</v>
      </c>
      <c r="Y31" s="115">
        <v>14.43</v>
      </c>
      <c r="Z31" s="115">
        <v>13.82</v>
      </c>
      <c r="AA31" s="115">
        <v>14.38</v>
      </c>
      <c r="AB31" s="115">
        <v>14.4</v>
      </c>
      <c r="AC31" s="115">
        <v>14.64</v>
      </c>
      <c r="AD31" s="115">
        <v>14.07</v>
      </c>
      <c r="AE31" s="115">
        <v>14.59</v>
      </c>
      <c r="AF31" s="115">
        <v>14.49</v>
      </c>
      <c r="AG31" s="125"/>
    </row>
    <row r="32" spans="1:33" x14ac:dyDescent="0.25">
      <c r="A32" s="117" t="s">
        <v>246</v>
      </c>
      <c r="C32" s="115"/>
      <c r="D32" s="115">
        <v>15.17</v>
      </c>
      <c r="E32" s="115">
        <v>15.54</v>
      </c>
      <c r="F32" s="115">
        <v>16.05</v>
      </c>
      <c r="G32" s="115">
        <v>15.25</v>
      </c>
      <c r="H32" s="115">
        <v>14.7</v>
      </c>
      <c r="I32" s="115">
        <v>15.42</v>
      </c>
      <c r="J32" s="115">
        <v>15.79</v>
      </c>
      <c r="K32" s="116"/>
      <c r="L32" s="115">
        <v>15.77</v>
      </c>
      <c r="M32" s="115">
        <v>16.68</v>
      </c>
      <c r="N32" s="115">
        <v>16.12</v>
      </c>
      <c r="O32" s="115">
        <v>15.62</v>
      </c>
      <c r="P32" s="115">
        <v>15.65</v>
      </c>
      <c r="Q32" s="115">
        <v>15.6</v>
      </c>
      <c r="R32" s="115">
        <v>15.06</v>
      </c>
      <c r="S32" s="115">
        <v>14.71</v>
      </c>
      <c r="T32" s="115">
        <v>14.5</v>
      </c>
      <c r="U32" s="115">
        <v>14.65</v>
      </c>
      <c r="V32" s="115">
        <v>14.73</v>
      </c>
      <c r="W32" s="115">
        <v>14.9</v>
      </c>
      <c r="X32" s="115">
        <v>15.26</v>
      </c>
      <c r="Y32" s="115">
        <v>15.65</v>
      </c>
      <c r="Z32" s="115">
        <v>15.01</v>
      </c>
      <c r="AA32" s="115">
        <v>15.75</v>
      </c>
      <c r="AB32" s="115">
        <v>15.8</v>
      </c>
      <c r="AC32" s="115">
        <v>15.97</v>
      </c>
      <c r="AD32" s="115">
        <v>15.4</v>
      </c>
      <c r="AE32" s="115">
        <v>16.02</v>
      </c>
      <c r="AF32" s="115">
        <v>15.87</v>
      </c>
      <c r="AG32" s="125"/>
    </row>
    <row r="33" spans="1:33" x14ac:dyDescent="0.25">
      <c r="A33" s="117" t="s">
        <v>245</v>
      </c>
      <c r="C33" s="116"/>
      <c r="D33" s="116">
        <v>2105</v>
      </c>
      <c r="E33" s="116">
        <v>2198</v>
      </c>
      <c r="F33" s="116">
        <v>2333</v>
      </c>
      <c r="G33" s="116">
        <v>2314</v>
      </c>
      <c r="H33" s="116">
        <v>2424</v>
      </c>
      <c r="I33" s="116">
        <v>2788</v>
      </c>
      <c r="J33" s="116">
        <v>2908</v>
      </c>
      <c r="K33" s="116"/>
      <c r="L33" s="116">
        <v>560</v>
      </c>
      <c r="M33" s="116">
        <v>595</v>
      </c>
      <c r="N33" s="116">
        <v>566</v>
      </c>
      <c r="O33" s="116">
        <v>611</v>
      </c>
      <c r="P33" s="116">
        <v>553</v>
      </c>
      <c r="Q33" s="116">
        <v>594</v>
      </c>
      <c r="R33" s="116">
        <v>569</v>
      </c>
      <c r="S33" s="116">
        <v>598</v>
      </c>
      <c r="T33" s="116">
        <v>543</v>
      </c>
      <c r="U33" s="116">
        <v>610</v>
      </c>
      <c r="V33" s="116">
        <v>601</v>
      </c>
      <c r="W33" s="116">
        <v>670</v>
      </c>
      <c r="X33" s="116">
        <v>619</v>
      </c>
      <c r="Y33" s="116">
        <v>701</v>
      </c>
      <c r="Z33" s="116">
        <v>716</v>
      </c>
      <c r="AA33" s="116">
        <v>752</v>
      </c>
      <c r="AB33" s="116">
        <v>687</v>
      </c>
      <c r="AC33" s="116">
        <v>768</v>
      </c>
      <c r="AD33" s="116">
        <v>743</v>
      </c>
      <c r="AE33" s="116">
        <v>710</v>
      </c>
      <c r="AF33" s="116">
        <v>624</v>
      </c>
      <c r="AG33" s="125"/>
    </row>
    <row r="34" spans="1:33" x14ac:dyDescent="0.25">
      <c r="A34" s="117" t="s">
        <v>244</v>
      </c>
      <c r="C34" s="115"/>
      <c r="D34" s="115">
        <v>39.380000000000003</v>
      </c>
      <c r="E34" s="115">
        <v>37.74</v>
      </c>
      <c r="F34" s="115">
        <v>37.5</v>
      </c>
      <c r="G34" s="115">
        <v>32.840000000000003</v>
      </c>
      <c r="H34" s="115">
        <v>28.89</v>
      </c>
      <c r="I34" s="115">
        <v>31.91</v>
      </c>
      <c r="J34" s="115">
        <v>34.81</v>
      </c>
      <c r="K34" s="116"/>
      <c r="L34" s="115">
        <v>36.880000000000003</v>
      </c>
      <c r="M34" s="115">
        <v>37.159999999999997</v>
      </c>
      <c r="N34" s="115">
        <v>37.979999999999997</v>
      </c>
      <c r="O34" s="115">
        <v>37.950000000000003</v>
      </c>
      <c r="P34" s="115">
        <v>35.14</v>
      </c>
      <c r="Q34" s="115">
        <v>32.619999999999997</v>
      </c>
      <c r="R34" s="115">
        <v>31.63</v>
      </c>
      <c r="S34" s="115">
        <v>32.07</v>
      </c>
      <c r="T34" s="115">
        <v>29.77</v>
      </c>
      <c r="U34" s="115">
        <v>28.48</v>
      </c>
      <c r="V34" s="115">
        <v>28.42</v>
      </c>
      <c r="W34" s="115">
        <v>28.97</v>
      </c>
      <c r="X34" s="115">
        <v>30.83</v>
      </c>
      <c r="Y34" s="115">
        <v>31.21</v>
      </c>
      <c r="Z34" s="115">
        <v>31.21</v>
      </c>
      <c r="AA34" s="115">
        <v>34.130000000000003</v>
      </c>
      <c r="AB34" s="115">
        <v>33.03</v>
      </c>
      <c r="AC34" s="115">
        <v>34</v>
      </c>
      <c r="AD34" s="115">
        <v>34.979999999999997</v>
      </c>
      <c r="AE34" s="115">
        <v>37.25</v>
      </c>
      <c r="AF34" s="115">
        <v>34.86</v>
      </c>
    </row>
    <row r="35" spans="1:33" x14ac:dyDescent="0.25">
      <c r="A35" s="117" t="s">
        <v>243</v>
      </c>
      <c r="C35" s="116"/>
      <c r="D35" s="116">
        <v>190499</v>
      </c>
      <c r="E35" s="116">
        <v>193740</v>
      </c>
      <c r="F35" s="116">
        <v>197340</v>
      </c>
      <c r="G35" s="116">
        <v>201249</v>
      </c>
      <c r="H35" s="116">
        <v>198714</v>
      </c>
      <c r="I35" s="116">
        <v>199640</v>
      </c>
      <c r="J35" s="116">
        <v>203745</v>
      </c>
      <c r="K35" s="116"/>
      <c r="L35" s="116">
        <v>46552</v>
      </c>
      <c r="M35" s="116">
        <v>51463</v>
      </c>
      <c r="N35" s="116">
        <v>50999</v>
      </c>
      <c r="O35" s="116">
        <v>48326</v>
      </c>
      <c r="P35" s="116">
        <v>46194</v>
      </c>
      <c r="Q35" s="116">
        <v>52200</v>
      </c>
      <c r="R35" s="116">
        <v>53322</v>
      </c>
      <c r="S35" s="116">
        <v>49533</v>
      </c>
      <c r="T35" s="116">
        <v>46915</v>
      </c>
      <c r="U35" s="116">
        <v>51951</v>
      </c>
      <c r="V35" s="116">
        <v>51872</v>
      </c>
      <c r="W35" s="116">
        <v>47976</v>
      </c>
      <c r="X35" s="116">
        <v>46360</v>
      </c>
      <c r="Y35" s="116">
        <v>51816</v>
      </c>
      <c r="Z35" s="116">
        <v>51438</v>
      </c>
      <c r="AA35" s="116">
        <v>50025</v>
      </c>
      <c r="AB35" s="116">
        <v>47626</v>
      </c>
      <c r="AC35" s="116">
        <v>53060</v>
      </c>
      <c r="AD35" s="116">
        <v>52575</v>
      </c>
      <c r="AE35" s="116">
        <v>50483</v>
      </c>
      <c r="AF35" s="116">
        <v>49935</v>
      </c>
    </row>
    <row r="36" spans="1:33" x14ac:dyDescent="0.25">
      <c r="A36" s="117" t="s">
        <v>242</v>
      </c>
      <c r="C36" s="116"/>
      <c r="D36" s="116">
        <v>1490</v>
      </c>
      <c r="E36" s="116">
        <v>1528</v>
      </c>
      <c r="F36" s="116">
        <v>1549</v>
      </c>
      <c r="G36" s="116">
        <v>1533</v>
      </c>
      <c r="H36" s="116">
        <v>1536</v>
      </c>
      <c r="I36" s="116">
        <v>1545</v>
      </c>
      <c r="J36" s="116">
        <v>1551</v>
      </c>
      <c r="K36" s="116"/>
      <c r="L36" s="116">
        <v>1537</v>
      </c>
      <c r="M36" s="116">
        <v>1541</v>
      </c>
      <c r="N36" s="116">
        <v>1535</v>
      </c>
      <c r="O36" s="116">
        <v>1549</v>
      </c>
      <c r="P36" s="116">
        <v>1550</v>
      </c>
      <c r="Q36" s="116">
        <v>1541</v>
      </c>
      <c r="R36" s="116">
        <v>1527</v>
      </c>
      <c r="S36" s="116">
        <v>1533</v>
      </c>
      <c r="T36" s="116">
        <v>1539</v>
      </c>
      <c r="U36" s="116">
        <v>1547</v>
      </c>
      <c r="V36" s="116">
        <v>1521</v>
      </c>
      <c r="W36" s="116">
        <v>1536</v>
      </c>
      <c r="X36" s="116">
        <v>1567</v>
      </c>
      <c r="Y36" s="116">
        <v>1583</v>
      </c>
      <c r="Z36" s="116">
        <v>1558</v>
      </c>
      <c r="AA36" s="116">
        <v>1545</v>
      </c>
      <c r="AB36" s="116">
        <v>1539</v>
      </c>
      <c r="AC36" s="116">
        <v>1559</v>
      </c>
      <c r="AD36" s="116">
        <v>1541</v>
      </c>
      <c r="AE36" s="116">
        <v>1551</v>
      </c>
      <c r="AF36" s="116">
        <v>1564</v>
      </c>
    </row>
    <row r="37" spans="1:33" x14ac:dyDescent="0.25">
      <c r="A37" s="117" t="s">
        <v>241</v>
      </c>
      <c r="C37" s="116"/>
      <c r="D37" s="116">
        <v>4170</v>
      </c>
      <c r="E37" s="116">
        <v>4295</v>
      </c>
      <c r="F37" s="116">
        <v>4332</v>
      </c>
      <c r="G37" s="116">
        <v>4323</v>
      </c>
      <c r="H37" s="116">
        <v>4347</v>
      </c>
      <c r="I37" s="116">
        <v>4352</v>
      </c>
      <c r="J37" s="116">
        <v>4447</v>
      </c>
      <c r="K37" s="116"/>
      <c r="L37" s="116">
        <v>1035</v>
      </c>
      <c r="M37" s="116">
        <v>1111</v>
      </c>
      <c r="N37" s="116">
        <v>1130</v>
      </c>
      <c r="O37" s="116">
        <v>1055</v>
      </c>
      <c r="P37" s="116">
        <v>1013</v>
      </c>
      <c r="Q37" s="116">
        <v>1118</v>
      </c>
      <c r="R37" s="116">
        <v>1140</v>
      </c>
      <c r="S37" s="116">
        <v>1052</v>
      </c>
      <c r="T37" s="116">
        <v>1033</v>
      </c>
      <c r="U37" s="116">
        <v>1122</v>
      </c>
      <c r="V37" s="116">
        <v>1149</v>
      </c>
      <c r="W37" s="116">
        <v>1044</v>
      </c>
      <c r="X37" s="116">
        <v>1013</v>
      </c>
      <c r="Y37" s="116">
        <v>1129</v>
      </c>
      <c r="Z37" s="116">
        <v>1148</v>
      </c>
      <c r="AA37" s="116">
        <v>1060</v>
      </c>
      <c r="AB37" s="116">
        <v>1030</v>
      </c>
      <c r="AC37" s="116">
        <v>1147</v>
      </c>
      <c r="AD37" s="116">
        <v>1190</v>
      </c>
      <c r="AE37" s="116">
        <v>1080</v>
      </c>
      <c r="AF37" s="116">
        <v>1053</v>
      </c>
    </row>
    <row r="38" spans="1:33" s="121" customFormat="1" x14ac:dyDescent="0.25">
      <c r="A38" s="124" t="s">
        <v>240</v>
      </c>
      <c r="B38" s="123"/>
      <c r="C38" s="122"/>
      <c r="D38" s="122">
        <v>3.19</v>
      </c>
      <c r="E38" s="122">
        <v>3.08</v>
      </c>
      <c r="F38" s="122">
        <v>2.91</v>
      </c>
      <c r="G38" s="122">
        <v>1.72</v>
      </c>
      <c r="H38" s="122">
        <v>1.42</v>
      </c>
      <c r="I38" s="122">
        <v>1.73</v>
      </c>
      <c r="J38" s="122">
        <v>2.23</v>
      </c>
      <c r="K38" s="122"/>
      <c r="L38" s="122">
        <v>3.1</v>
      </c>
      <c r="M38" s="122">
        <v>3.03</v>
      </c>
      <c r="N38" s="122">
        <v>2.98</v>
      </c>
      <c r="O38" s="122">
        <v>2.52</v>
      </c>
      <c r="P38" s="122">
        <v>1.83</v>
      </c>
      <c r="Q38" s="122">
        <v>1.9</v>
      </c>
      <c r="R38" s="122">
        <v>1.67</v>
      </c>
      <c r="S38" s="122">
        <v>1.5</v>
      </c>
      <c r="T38" s="122">
        <v>1.21</v>
      </c>
      <c r="U38" s="122">
        <v>1.42</v>
      </c>
      <c r="V38" s="122">
        <v>1.48</v>
      </c>
      <c r="W38" s="122">
        <v>1.57</v>
      </c>
      <c r="X38" s="122">
        <v>1.7</v>
      </c>
      <c r="Y38" s="122">
        <v>1.63</v>
      </c>
      <c r="Z38" s="122">
        <v>1.67</v>
      </c>
      <c r="AA38" s="122">
        <v>1.91</v>
      </c>
      <c r="AB38" s="122">
        <v>2.1</v>
      </c>
      <c r="AC38" s="122">
        <v>2.2400000000000002</v>
      </c>
      <c r="AD38" s="122">
        <v>2.2999999999999998</v>
      </c>
      <c r="AE38" s="122">
        <v>2.25</v>
      </c>
      <c r="AF38" s="122">
        <v>2.04</v>
      </c>
    </row>
    <row r="39" spans="1:33" x14ac:dyDescent="0.25">
      <c r="A39" s="117" t="s">
        <v>239</v>
      </c>
      <c r="C39" s="116"/>
      <c r="D39" s="116">
        <v>14.77</v>
      </c>
      <c r="E39" s="116">
        <v>109700</v>
      </c>
      <c r="F39" s="116">
        <v>113300</v>
      </c>
      <c r="G39" s="116">
        <v>118500</v>
      </c>
      <c r="H39" s="116">
        <v>122300</v>
      </c>
      <c r="I39" s="116">
        <v>126600</v>
      </c>
      <c r="J39" s="116">
        <v>128900</v>
      </c>
      <c r="K39" s="116"/>
      <c r="L39" s="116">
        <v>111400</v>
      </c>
      <c r="M39" s="116">
        <v>112400</v>
      </c>
      <c r="N39" s="116">
        <v>111900</v>
      </c>
      <c r="O39" s="116">
        <v>113300</v>
      </c>
      <c r="P39" s="116">
        <v>116800</v>
      </c>
      <c r="Q39" s="116">
        <v>120400</v>
      </c>
      <c r="R39" s="116">
        <v>119000</v>
      </c>
      <c r="S39" s="116">
        <v>118500</v>
      </c>
      <c r="T39" s="116">
        <v>120200</v>
      </c>
      <c r="U39" s="116">
        <v>123500</v>
      </c>
      <c r="V39" s="116">
        <v>121800</v>
      </c>
      <c r="W39" s="116">
        <v>122300</v>
      </c>
      <c r="X39" s="116">
        <v>124300</v>
      </c>
      <c r="Y39" s="116">
        <v>128300</v>
      </c>
      <c r="Z39" s="116">
        <v>127600</v>
      </c>
      <c r="AA39" s="116">
        <v>126600</v>
      </c>
      <c r="AB39" s="116">
        <v>128600</v>
      </c>
      <c r="AC39" s="116">
        <v>131600</v>
      </c>
      <c r="AD39" s="116">
        <v>130500</v>
      </c>
      <c r="AE39" s="116">
        <v>128900</v>
      </c>
      <c r="AF39" s="116">
        <v>129800</v>
      </c>
    </row>
    <row r="40" spans="1:33" x14ac:dyDescent="0.25">
      <c r="A40" s="117" t="s">
        <v>238</v>
      </c>
      <c r="C40" s="115"/>
      <c r="D40" s="115">
        <v>14.61</v>
      </c>
      <c r="E40" s="115">
        <v>14.56</v>
      </c>
      <c r="F40" s="115">
        <v>14.45</v>
      </c>
      <c r="G40" s="115">
        <v>12.94</v>
      </c>
      <c r="H40" s="115">
        <v>12.76</v>
      </c>
      <c r="I40" s="115">
        <v>13.88</v>
      </c>
      <c r="J40" s="115">
        <v>14.85</v>
      </c>
      <c r="K40" s="116"/>
      <c r="L40" s="115">
        <v>14.62</v>
      </c>
      <c r="M40" s="115">
        <v>14.62</v>
      </c>
      <c r="N40" s="115">
        <v>14.29</v>
      </c>
      <c r="O40" s="115">
        <v>14.3</v>
      </c>
      <c r="P40" s="115">
        <v>13.71</v>
      </c>
      <c r="Q40" s="115">
        <v>12.83</v>
      </c>
      <c r="R40" s="115">
        <v>12.25</v>
      </c>
      <c r="S40" s="115">
        <v>13.08</v>
      </c>
      <c r="T40" s="115">
        <v>12.45</v>
      </c>
      <c r="U40" s="115">
        <v>12.17</v>
      </c>
      <c r="V40" s="115">
        <v>12.74</v>
      </c>
      <c r="W40" s="115">
        <v>13.74</v>
      </c>
      <c r="X40" s="115">
        <v>14.12</v>
      </c>
      <c r="Y40" s="115">
        <v>13.42</v>
      </c>
      <c r="Z40" s="115">
        <v>13.29</v>
      </c>
      <c r="AA40" s="115">
        <v>14.81</v>
      </c>
      <c r="AB40" s="115">
        <v>15.2</v>
      </c>
      <c r="AC40" s="115">
        <v>14.56</v>
      </c>
      <c r="AD40" s="115">
        <v>14.54</v>
      </c>
      <c r="AE40" s="115">
        <v>15.21</v>
      </c>
      <c r="AF40" s="115">
        <v>15.31</v>
      </c>
    </row>
    <row r="41" spans="1:33" x14ac:dyDescent="0.25">
      <c r="A41" s="117" t="s">
        <v>237</v>
      </c>
      <c r="C41" s="115"/>
      <c r="D41" s="115">
        <v>9.3800000000000008</v>
      </c>
      <c r="E41" s="115">
        <v>14.29</v>
      </c>
      <c r="F41" s="115">
        <v>14.14</v>
      </c>
      <c r="G41" s="115">
        <v>12.54</v>
      </c>
      <c r="H41" s="115">
        <v>12.5</v>
      </c>
      <c r="I41" s="115">
        <v>13.62</v>
      </c>
      <c r="J41" s="115">
        <v>14.57</v>
      </c>
      <c r="K41" s="116"/>
      <c r="L41" s="115">
        <v>14.83</v>
      </c>
      <c r="M41" s="115">
        <v>14.25</v>
      </c>
      <c r="N41" s="115">
        <v>13.97</v>
      </c>
      <c r="O41" s="115">
        <v>13.56</v>
      </c>
      <c r="P41" s="115">
        <v>13.22</v>
      </c>
      <c r="Q41" s="115">
        <v>12.61</v>
      </c>
      <c r="R41" s="115">
        <v>12.02</v>
      </c>
      <c r="S41" s="115">
        <v>12.39</v>
      </c>
      <c r="T41" s="115">
        <v>12.29</v>
      </c>
      <c r="U41" s="115">
        <v>12.08</v>
      </c>
      <c r="V41" s="115">
        <v>12.33</v>
      </c>
      <c r="W41" s="115">
        <v>13.34</v>
      </c>
      <c r="X41" s="115">
        <v>13.93</v>
      </c>
      <c r="Y41" s="115">
        <v>13.14</v>
      </c>
      <c r="Z41" s="115">
        <v>13.14</v>
      </c>
      <c r="AA41" s="115">
        <v>14.35</v>
      </c>
      <c r="AB41" s="115">
        <v>14.86</v>
      </c>
      <c r="AC41" s="115">
        <v>14.35</v>
      </c>
      <c r="AD41" s="115">
        <v>14.25</v>
      </c>
      <c r="AE41" s="115">
        <v>14.88</v>
      </c>
      <c r="AF41" s="115">
        <v>15.11</v>
      </c>
    </row>
    <row r="42" spans="1:33" x14ac:dyDescent="0.25">
      <c r="A42" s="117" t="s">
        <v>236</v>
      </c>
      <c r="C42" s="115"/>
      <c r="D42" s="115">
        <v>9.36</v>
      </c>
      <c r="E42" s="115">
        <v>9.2100000000000009</v>
      </c>
      <c r="F42" s="115">
        <v>9.4</v>
      </c>
      <c r="G42" s="115">
        <v>9.77</v>
      </c>
      <c r="H42" s="115">
        <v>10.24</v>
      </c>
      <c r="I42" s="115">
        <v>10.9</v>
      </c>
      <c r="J42" s="115">
        <v>11.06</v>
      </c>
      <c r="K42" s="116"/>
      <c r="L42" s="115">
        <v>9.76</v>
      </c>
      <c r="M42" s="115">
        <v>9.31</v>
      </c>
      <c r="N42" s="115">
        <v>9.1</v>
      </c>
      <c r="O42" s="115">
        <v>9.4700000000000006</v>
      </c>
      <c r="P42" s="115">
        <v>10.26</v>
      </c>
      <c r="Q42" s="115">
        <v>9.5500000000000007</v>
      </c>
      <c r="R42" s="115">
        <v>9.34</v>
      </c>
      <c r="S42" s="115">
        <v>9.99</v>
      </c>
      <c r="T42" s="115">
        <v>10.37</v>
      </c>
      <c r="U42" s="115">
        <v>9.83</v>
      </c>
      <c r="V42" s="115">
        <v>9.9700000000000006</v>
      </c>
      <c r="W42" s="115">
        <v>10.84</v>
      </c>
      <c r="X42" s="115">
        <v>11.25</v>
      </c>
      <c r="Y42" s="115">
        <v>10.57</v>
      </c>
      <c r="Z42" s="115">
        <v>10.51</v>
      </c>
      <c r="AA42" s="115">
        <v>11.34</v>
      </c>
      <c r="AB42" s="115">
        <v>11.57</v>
      </c>
      <c r="AC42" s="115">
        <v>10.83</v>
      </c>
      <c r="AD42" s="115">
        <v>10.6</v>
      </c>
      <c r="AE42" s="115">
        <v>11.32</v>
      </c>
      <c r="AF42" s="115">
        <v>11.88</v>
      </c>
    </row>
    <row r="43" spans="1:33" x14ac:dyDescent="0.25">
      <c r="A43" s="120" t="s">
        <v>235</v>
      </c>
      <c r="C43" s="116"/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</row>
    <row r="44" spans="1:33" x14ac:dyDescent="0.25">
      <c r="A44" s="120" t="s">
        <v>234</v>
      </c>
      <c r="C44" s="116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</row>
    <row r="45" spans="1:33" x14ac:dyDescent="0.25">
      <c r="A45" s="117" t="s">
        <v>229</v>
      </c>
      <c r="C45" s="116"/>
      <c r="D45" s="116">
        <v>121869</v>
      </c>
      <c r="E45" s="116">
        <v>124276</v>
      </c>
      <c r="F45" s="116">
        <v>125916</v>
      </c>
      <c r="G45" s="116">
        <v>128590</v>
      </c>
      <c r="H45" s="116">
        <v>152332</v>
      </c>
      <c r="I45" s="116">
        <v>151862</v>
      </c>
      <c r="J45" s="116">
        <v>154746</v>
      </c>
      <c r="K45" s="116"/>
      <c r="L45" s="116">
        <v>30176</v>
      </c>
      <c r="M45" s="116">
        <v>32717</v>
      </c>
      <c r="N45" s="116">
        <v>32433</v>
      </c>
      <c r="O45" s="116">
        <v>30591</v>
      </c>
      <c r="P45" s="116">
        <v>29586</v>
      </c>
      <c r="Q45" s="116">
        <v>39359</v>
      </c>
      <c r="R45" s="116">
        <v>34259</v>
      </c>
      <c r="S45" s="116">
        <v>37390</v>
      </c>
      <c r="T45" s="116">
        <v>35942</v>
      </c>
      <c r="U45" s="116">
        <v>39826</v>
      </c>
      <c r="V45" s="116">
        <v>39934</v>
      </c>
      <c r="W45" s="116">
        <v>36631</v>
      </c>
      <c r="X45" s="116">
        <v>35303</v>
      </c>
      <c r="Y45" s="116">
        <v>39166</v>
      </c>
      <c r="Z45" s="116">
        <v>39491</v>
      </c>
      <c r="AA45" s="116">
        <v>37901</v>
      </c>
      <c r="AB45" s="116">
        <v>36261</v>
      </c>
      <c r="AC45" s="116">
        <v>40067</v>
      </c>
      <c r="AD45" s="116">
        <v>40321</v>
      </c>
      <c r="AE45" s="116">
        <v>38096</v>
      </c>
      <c r="AF45" s="116">
        <v>37717</v>
      </c>
    </row>
    <row r="46" spans="1:33" x14ac:dyDescent="0.25">
      <c r="A46" s="117" t="s">
        <v>228</v>
      </c>
      <c r="C46" s="116"/>
      <c r="D46" s="116">
        <v>144361</v>
      </c>
      <c r="E46" s="116">
        <v>146224</v>
      </c>
      <c r="F46" s="116">
        <v>148083</v>
      </c>
      <c r="G46" s="116">
        <v>149584</v>
      </c>
      <c r="H46" s="116">
        <v>182330</v>
      </c>
      <c r="I46" s="116">
        <v>181862</v>
      </c>
      <c r="J46" s="116">
        <v>184901</v>
      </c>
      <c r="K46" s="116"/>
      <c r="L46" s="116">
        <v>35989</v>
      </c>
      <c r="M46" s="116">
        <v>37467</v>
      </c>
      <c r="N46" s="116">
        <v>37619</v>
      </c>
      <c r="O46" s="116">
        <v>37008</v>
      </c>
      <c r="P46" s="116">
        <v>35672</v>
      </c>
      <c r="Q46" s="116">
        <v>45802</v>
      </c>
      <c r="R46" s="116">
        <v>38882</v>
      </c>
      <c r="S46" s="116">
        <v>44019</v>
      </c>
      <c r="T46" s="116">
        <v>44043</v>
      </c>
      <c r="U46" s="116">
        <v>46782</v>
      </c>
      <c r="V46" s="116">
        <v>47211</v>
      </c>
      <c r="W46" s="116">
        <v>44295</v>
      </c>
      <c r="X46" s="116">
        <v>43582</v>
      </c>
      <c r="Y46" s="116">
        <v>46315</v>
      </c>
      <c r="Z46" s="116">
        <v>47221</v>
      </c>
      <c r="AA46" s="116">
        <v>44744</v>
      </c>
      <c r="AB46" s="116">
        <v>43892</v>
      </c>
      <c r="AC46" s="116">
        <v>46817</v>
      </c>
      <c r="AD46" s="116">
        <v>48260</v>
      </c>
      <c r="AE46" s="116">
        <v>45932</v>
      </c>
      <c r="AF46" s="116">
        <v>45282</v>
      </c>
    </row>
    <row r="47" spans="1:33" x14ac:dyDescent="0.25">
      <c r="A47" s="117" t="s">
        <v>227</v>
      </c>
      <c r="C47" s="119"/>
      <c r="D47" s="119">
        <v>0.84400000000000008</v>
      </c>
      <c r="E47" s="119">
        <v>0.85</v>
      </c>
      <c r="F47" s="119">
        <v>0.85</v>
      </c>
      <c r="G47" s="119">
        <v>0.86</v>
      </c>
      <c r="H47" s="119">
        <v>0.83499999999999996</v>
      </c>
      <c r="I47" s="119">
        <v>0.83499999999999996</v>
      </c>
      <c r="J47" s="119">
        <v>0.83700000000000008</v>
      </c>
      <c r="K47" s="116"/>
      <c r="L47" s="119">
        <v>0.83799999999999997</v>
      </c>
      <c r="M47" s="119">
        <v>0.873</v>
      </c>
      <c r="N47" s="119">
        <v>0.86199999999999999</v>
      </c>
      <c r="O47" s="119">
        <v>0.82700000000000007</v>
      </c>
      <c r="P47" s="119">
        <v>0.82900000000000007</v>
      </c>
      <c r="Q47" s="119">
        <v>0.8590000000000001</v>
      </c>
      <c r="R47" s="119">
        <v>0.88099999999999989</v>
      </c>
      <c r="S47" s="119">
        <v>0.84900000000000009</v>
      </c>
      <c r="T47" s="119">
        <v>0.81599999999999995</v>
      </c>
      <c r="U47" s="119">
        <v>0.85099999999999998</v>
      </c>
      <c r="V47" s="119">
        <v>0.84599999999999997</v>
      </c>
      <c r="W47" s="119">
        <v>0.82700000000000007</v>
      </c>
      <c r="X47" s="119">
        <v>0.81</v>
      </c>
      <c r="Y47" s="119">
        <v>0.84599999999999997</v>
      </c>
      <c r="Z47" s="119">
        <v>0.83599999999999997</v>
      </c>
      <c r="AA47" s="119">
        <v>0.84699999999999998</v>
      </c>
      <c r="AB47" s="119">
        <v>0.82599999999999996</v>
      </c>
      <c r="AC47" s="119">
        <v>0.85599999999999998</v>
      </c>
      <c r="AD47" s="119">
        <v>0.83599999999999997</v>
      </c>
      <c r="AE47" s="119">
        <v>0.82900000000000007</v>
      </c>
      <c r="AF47" s="119">
        <v>0.83299999999999996</v>
      </c>
    </row>
    <row r="48" spans="1:33" x14ac:dyDescent="0.25">
      <c r="A48" s="117" t="s">
        <v>226</v>
      </c>
      <c r="C48" s="118"/>
      <c r="D48" s="118">
        <f>D46*D50/100</f>
        <v>17756.403000000002</v>
      </c>
      <c r="E48" s="118">
        <f>E46*E50/100</f>
        <v>18570.447999999997</v>
      </c>
      <c r="F48" s="118">
        <f>F46*F50/100</f>
        <v>20006.013300000002</v>
      </c>
      <c r="G48" s="118">
        <f>G46*G50/100</f>
        <v>19236.502400000001</v>
      </c>
      <c r="H48" s="118">
        <f>H46*H50/100</f>
        <v>25380.335999999999</v>
      </c>
      <c r="I48" s="116">
        <v>28749</v>
      </c>
      <c r="J48" s="116">
        <v>29573</v>
      </c>
      <c r="K48" s="116"/>
      <c r="L48" s="118">
        <f t="shared" ref="L48:W48" si="0">L46*L50/100</f>
        <v>4764.9435999999996</v>
      </c>
      <c r="M48" s="118">
        <f t="shared" si="0"/>
        <v>5294.0871000000006</v>
      </c>
      <c r="N48" s="118">
        <f t="shared" si="0"/>
        <v>5089.8506999999991</v>
      </c>
      <c r="O48" s="118">
        <f t="shared" si="0"/>
        <v>4855.4495999999999</v>
      </c>
      <c r="P48" s="118">
        <f t="shared" si="0"/>
        <v>4673.0320000000002</v>
      </c>
      <c r="Q48" s="118">
        <f t="shared" si="0"/>
        <v>6842.8188</v>
      </c>
      <c r="R48" s="118">
        <f t="shared" si="0"/>
        <v>4864.1382000000003</v>
      </c>
      <c r="S48" s="118">
        <f t="shared" si="0"/>
        <v>6167.0618999999997</v>
      </c>
      <c r="T48" s="118">
        <f t="shared" si="0"/>
        <v>5994.2523000000001</v>
      </c>
      <c r="U48" s="118">
        <f t="shared" si="0"/>
        <v>6619.6530000000002</v>
      </c>
      <c r="V48" s="118">
        <f t="shared" si="0"/>
        <v>6538.7235000000001</v>
      </c>
      <c r="W48" s="118">
        <f t="shared" si="0"/>
        <v>6223.4475000000002</v>
      </c>
      <c r="X48" s="116">
        <v>6781</v>
      </c>
      <c r="Y48" s="116">
        <v>7578</v>
      </c>
      <c r="Z48" s="116">
        <v>7162</v>
      </c>
      <c r="AA48" s="116">
        <v>7228</v>
      </c>
      <c r="AB48" s="116">
        <v>6963</v>
      </c>
      <c r="AC48" s="116">
        <v>7685</v>
      </c>
      <c r="AD48" s="116">
        <v>7424</v>
      </c>
      <c r="AE48" s="116">
        <v>7502</v>
      </c>
      <c r="AF48" s="116">
        <v>7226</v>
      </c>
    </row>
    <row r="49" spans="1:32" x14ac:dyDescent="0.25">
      <c r="A49" s="117" t="s">
        <v>225</v>
      </c>
      <c r="C49" s="115"/>
      <c r="D49" s="115">
        <v>14.57</v>
      </c>
      <c r="E49" s="115">
        <v>14.94</v>
      </c>
      <c r="F49" s="115">
        <v>15.89</v>
      </c>
      <c r="G49" s="115">
        <v>14.96</v>
      </c>
      <c r="H49" s="115">
        <v>16.66</v>
      </c>
      <c r="I49" s="115">
        <v>18.93</v>
      </c>
      <c r="J49" s="115">
        <v>19.11</v>
      </c>
      <c r="K49" s="116"/>
      <c r="L49" s="115">
        <v>15.79</v>
      </c>
      <c r="M49" s="115">
        <v>16.190000000000001</v>
      </c>
      <c r="N49" s="115">
        <v>15.7</v>
      </c>
      <c r="O49" s="115">
        <v>15.88</v>
      </c>
      <c r="P49" s="115">
        <v>15.8</v>
      </c>
      <c r="Q49" s="115">
        <v>17.38</v>
      </c>
      <c r="R49" s="115">
        <v>14.19</v>
      </c>
      <c r="S49" s="115">
        <v>16.5</v>
      </c>
      <c r="T49" s="115">
        <v>16.68</v>
      </c>
      <c r="U49" s="115">
        <v>16.63</v>
      </c>
      <c r="V49" s="115">
        <v>16.37</v>
      </c>
      <c r="W49" s="115">
        <v>16.989999999999998</v>
      </c>
      <c r="X49" s="115">
        <v>19.21</v>
      </c>
      <c r="Y49" s="115">
        <v>19.350000000000001</v>
      </c>
      <c r="Z49" s="115">
        <v>18.14</v>
      </c>
      <c r="AA49" s="115">
        <v>19.07</v>
      </c>
      <c r="AB49" s="115">
        <v>19.2</v>
      </c>
      <c r="AC49" s="115">
        <v>19.18</v>
      </c>
      <c r="AD49" s="115">
        <v>18.41</v>
      </c>
      <c r="AE49" s="115">
        <v>19.690000000000001</v>
      </c>
      <c r="AF49" s="115">
        <v>19.16</v>
      </c>
    </row>
    <row r="50" spans="1:32" x14ac:dyDescent="0.25">
      <c r="A50" s="117" t="s">
        <v>224</v>
      </c>
      <c r="C50" s="115"/>
      <c r="D50" s="115">
        <v>12.3</v>
      </c>
      <c r="E50" s="115">
        <v>12.7</v>
      </c>
      <c r="F50" s="115">
        <v>13.51</v>
      </c>
      <c r="G50" s="115">
        <v>12.86</v>
      </c>
      <c r="H50" s="115">
        <v>13.92</v>
      </c>
      <c r="I50" s="115">
        <v>15.81</v>
      </c>
      <c r="J50" s="115">
        <v>15.99</v>
      </c>
      <c r="K50" s="116"/>
      <c r="L50" s="115">
        <v>13.24</v>
      </c>
      <c r="M50" s="115">
        <v>14.13</v>
      </c>
      <c r="N50" s="115">
        <v>13.53</v>
      </c>
      <c r="O50" s="115">
        <v>13.12</v>
      </c>
      <c r="P50" s="115">
        <v>13.1</v>
      </c>
      <c r="Q50" s="115">
        <v>14.94</v>
      </c>
      <c r="R50" s="115">
        <v>12.51</v>
      </c>
      <c r="S50" s="115">
        <v>14.01</v>
      </c>
      <c r="T50" s="115">
        <v>13.61</v>
      </c>
      <c r="U50" s="115">
        <v>14.15</v>
      </c>
      <c r="V50" s="115">
        <v>13.85</v>
      </c>
      <c r="W50" s="115">
        <v>14.05</v>
      </c>
      <c r="X50" s="115">
        <v>15.56</v>
      </c>
      <c r="Y50" s="115">
        <v>16.36</v>
      </c>
      <c r="Z50" s="115">
        <v>15.17</v>
      </c>
      <c r="AA50" s="115">
        <v>16.149999999999999</v>
      </c>
      <c r="AB50" s="115">
        <v>15.86</v>
      </c>
      <c r="AC50" s="115">
        <v>16.41</v>
      </c>
      <c r="AD50" s="115">
        <v>15.38</v>
      </c>
      <c r="AE50" s="115">
        <v>16.329999999999998</v>
      </c>
      <c r="AF50" s="115">
        <v>15.96</v>
      </c>
    </row>
    <row r="51" spans="1:32" x14ac:dyDescent="0.25">
      <c r="A51" s="120" t="s">
        <v>233</v>
      </c>
      <c r="C51" s="116"/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</row>
    <row r="52" spans="1:32" x14ac:dyDescent="0.25">
      <c r="A52" s="117" t="s">
        <v>229</v>
      </c>
      <c r="C52" s="116"/>
      <c r="D52" s="116">
        <v>30253</v>
      </c>
      <c r="E52" s="116">
        <v>32181</v>
      </c>
      <c r="F52" s="116">
        <v>32093</v>
      </c>
      <c r="G52" s="116">
        <v>152133</v>
      </c>
      <c r="H52" s="116">
        <v>29927</v>
      </c>
      <c r="I52" s="116">
        <v>29725</v>
      </c>
      <c r="J52" s="116">
        <v>30628</v>
      </c>
      <c r="K52" s="116"/>
      <c r="L52" s="116">
        <v>8683</v>
      </c>
      <c r="M52" s="116">
        <v>8095</v>
      </c>
      <c r="N52" s="116">
        <v>7839</v>
      </c>
      <c r="O52" s="116">
        <v>7477</v>
      </c>
      <c r="P52" s="116">
        <v>8182</v>
      </c>
      <c r="Q52" s="116">
        <v>7570</v>
      </c>
      <c r="R52" s="116">
        <v>7920</v>
      </c>
      <c r="S52" s="116">
        <v>7529</v>
      </c>
      <c r="T52" s="116">
        <v>8054</v>
      </c>
      <c r="U52" s="116">
        <v>7421</v>
      </c>
      <c r="V52" s="116">
        <v>7382</v>
      </c>
      <c r="W52" s="116">
        <v>7070</v>
      </c>
      <c r="X52" s="116">
        <v>7490</v>
      </c>
      <c r="Y52" s="116">
        <v>7592</v>
      </c>
      <c r="Z52" s="116">
        <v>7362</v>
      </c>
      <c r="AA52" s="116">
        <v>7281</v>
      </c>
      <c r="AB52" s="116">
        <v>8085</v>
      </c>
      <c r="AC52" s="116">
        <v>7903</v>
      </c>
      <c r="AD52" s="116">
        <v>7411</v>
      </c>
      <c r="AE52" s="116">
        <v>7229</v>
      </c>
      <c r="AF52" s="116">
        <v>8351</v>
      </c>
    </row>
    <row r="53" spans="1:32" x14ac:dyDescent="0.25">
      <c r="A53" s="117" t="s">
        <v>228</v>
      </c>
      <c r="C53" s="116"/>
      <c r="D53" s="116">
        <v>37464</v>
      </c>
      <c r="E53" s="116">
        <v>40081</v>
      </c>
      <c r="F53" s="116">
        <v>41581</v>
      </c>
      <c r="G53" s="116">
        <v>178945</v>
      </c>
      <c r="H53" s="116">
        <v>37760</v>
      </c>
      <c r="I53" s="116">
        <v>37702</v>
      </c>
      <c r="J53" s="116">
        <v>38493</v>
      </c>
      <c r="K53" s="116"/>
      <c r="L53" s="116">
        <v>11358</v>
      </c>
      <c r="M53" s="116">
        <v>10663</v>
      </c>
      <c r="N53" s="116">
        <v>9819</v>
      </c>
      <c r="O53" s="116">
        <v>9742</v>
      </c>
      <c r="P53" s="116">
        <v>10593</v>
      </c>
      <c r="Q53" s="116">
        <v>9895</v>
      </c>
      <c r="R53" s="116">
        <v>9542</v>
      </c>
      <c r="S53" s="116">
        <v>9695</v>
      </c>
      <c r="T53" s="116">
        <v>10480</v>
      </c>
      <c r="U53" s="116">
        <v>9469</v>
      </c>
      <c r="V53" s="116">
        <v>8944</v>
      </c>
      <c r="W53" s="116">
        <v>8866</v>
      </c>
      <c r="X53" s="116">
        <v>9775</v>
      </c>
      <c r="Y53" s="116">
        <v>9739</v>
      </c>
      <c r="Z53" s="116">
        <v>8919</v>
      </c>
      <c r="AA53" s="116">
        <v>9269</v>
      </c>
      <c r="AB53" s="116">
        <v>10239</v>
      </c>
      <c r="AC53" s="116">
        <v>9894</v>
      </c>
      <c r="AD53" s="116">
        <v>9274</v>
      </c>
      <c r="AE53" s="116">
        <v>9085</v>
      </c>
      <c r="AF53" s="116">
        <v>10208</v>
      </c>
    </row>
    <row r="54" spans="1:32" x14ac:dyDescent="0.25">
      <c r="A54" s="117" t="s">
        <v>227</v>
      </c>
      <c r="C54" s="119"/>
      <c r="D54" s="119">
        <v>0.80799999999999994</v>
      </c>
      <c r="E54" s="119">
        <v>0.80299999999999994</v>
      </c>
      <c r="F54" s="119">
        <v>0.77200000000000002</v>
      </c>
      <c r="G54" s="119">
        <v>0.85</v>
      </c>
      <c r="H54" s="119">
        <v>0.79299999999999993</v>
      </c>
      <c r="I54" s="119">
        <v>0.78799999999999992</v>
      </c>
      <c r="J54" s="119">
        <v>0.79599999999999993</v>
      </c>
      <c r="K54" s="116"/>
      <c r="L54" s="119">
        <v>0.76400000000000001</v>
      </c>
      <c r="M54" s="119">
        <v>0.75900000000000001</v>
      </c>
      <c r="N54" s="119">
        <v>0.79799999999999993</v>
      </c>
      <c r="O54" s="119">
        <v>0.76800000000000002</v>
      </c>
      <c r="P54" s="119">
        <v>0.77200000000000002</v>
      </c>
      <c r="Q54" s="119">
        <v>0.76500000000000001</v>
      </c>
      <c r="R54" s="119">
        <v>0.83</v>
      </c>
      <c r="S54" s="119">
        <v>0.77700000000000002</v>
      </c>
      <c r="T54" s="119">
        <v>0.76900000000000002</v>
      </c>
      <c r="U54" s="119">
        <v>0.78400000000000003</v>
      </c>
      <c r="V54" s="119">
        <v>0.82499999999999996</v>
      </c>
      <c r="W54" s="119">
        <v>0.79700000000000004</v>
      </c>
      <c r="X54" s="119">
        <v>0.7659999999999999</v>
      </c>
      <c r="Y54" s="119">
        <v>0.78</v>
      </c>
      <c r="Z54" s="119">
        <v>0.82499999999999996</v>
      </c>
      <c r="AA54" s="119">
        <v>0.78500000000000003</v>
      </c>
      <c r="AB54" s="119">
        <v>0.79</v>
      </c>
      <c r="AC54" s="119">
        <v>0.79900000000000004</v>
      </c>
      <c r="AD54" s="119">
        <v>0.79900000000000004</v>
      </c>
      <c r="AE54" s="119">
        <v>0.79599999999999993</v>
      </c>
      <c r="AF54" s="119">
        <v>0.81799999999999995</v>
      </c>
    </row>
    <row r="55" spans="1:32" x14ac:dyDescent="0.25">
      <c r="A55" s="117" t="s">
        <v>226</v>
      </c>
      <c r="C55" s="118"/>
      <c r="D55" s="118">
        <f>D53*D57/100</f>
        <v>5110.0896000000002</v>
      </c>
      <c r="E55" s="118">
        <f>E53*E57/100</f>
        <v>5555.2266</v>
      </c>
      <c r="F55" s="118">
        <f>F53*F57/100</f>
        <v>5380.5814</v>
      </c>
      <c r="G55" s="118">
        <f>G53*G57/100</f>
        <v>25714.396499999999</v>
      </c>
      <c r="H55" s="118">
        <f>H53*H57/100</f>
        <v>4104.5119999999997</v>
      </c>
      <c r="I55" s="116">
        <v>4840</v>
      </c>
      <c r="J55" s="116">
        <v>5125</v>
      </c>
      <c r="K55" s="116"/>
      <c r="L55" s="118">
        <f t="shared" ref="L55:W55" si="1">L53*L57/100</f>
        <v>1546.9595999999999</v>
      </c>
      <c r="M55" s="118">
        <f t="shared" si="1"/>
        <v>1359.5325</v>
      </c>
      <c r="N55" s="118">
        <f t="shared" si="1"/>
        <v>1242.1035000000002</v>
      </c>
      <c r="O55" s="118">
        <f t="shared" si="1"/>
        <v>1231.3887999999999</v>
      </c>
      <c r="P55" s="118">
        <f t="shared" si="1"/>
        <v>1353.7853999999998</v>
      </c>
      <c r="Q55" s="118">
        <f t="shared" si="1"/>
        <v>1092.4079999999999</v>
      </c>
      <c r="R55" s="118">
        <f t="shared" si="1"/>
        <v>1081.1086</v>
      </c>
      <c r="S55" s="118">
        <f t="shared" si="1"/>
        <v>1018.9444999999999</v>
      </c>
      <c r="T55" s="118">
        <f t="shared" si="1"/>
        <v>1109.8319999999999</v>
      </c>
      <c r="U55" s="118">
        <f t="shared" si="1"/>
        <v>938.37790000000007</v>
      </c>
      <c r="V55" s="118">
        <f t="shared" si="1"/>
        <v>1031.2431999999999</v>
      </c>
      <c r="W55" s="118">
        <f t="shared" si="1"/>
        <v>1026.6828</v>
      </c>
      <c r="X55" s="116">
        <v>1231</v>
      </c>
      <c r="Y55" s="116">
        <v>1209</v>
      </c>
      <c r="Z55" s="116">
        <v>1183</v>
      </c>
      <c r="AA55" s="116">
        <v>1218</v>
      </c>
      <c r="AB55" s="116">
        <v>1445</v>
      </c>
      <c r="AC55" s="116">
        <v>1284</v>
      </c>
      <c r="AD55" s="116">
        <v>1210</v>
      </c>
      <c r="AE55" s="116">
        <v>1186</v>
      </c>
      <c r="AF55" s="116">
        <v>1371</v>
      </c>
    </row>
    <row r="56" spans="1:32" x14ac:dyDescent="0.25">
      <c r="A56" s="117" t="s">
        <v>225</v>
      </c>
      <c r="C56" s="115"/>
      <c r="D56" s="115">
        <v>16.89</v>
      </c>
      <c r="E56" s="115">
        <v>17.260000000000002</v>
      </c>
      <c r="F56" s="115">
        <v>16.760000000000002</v>
      </c>
      <c r="G56" s="115">
        <v>16.899999999999999</v>
      </c>
      <c r="H56" s="115">
        <v>13.72</v>
      </c>
      <c r="I56" s="115">
        <v>16.28</v>
      </c>
      <c r="J56" s="115">
        <v>16.73</v>
      </c>
      <c r="K56" s="116"/>
      <c r="L56" s="115">
        <v>17.82</v>
      </c>
      <c r="M56" s="115">
        <v>16.79</v>
      </c>
      <c r="N56" s="115">
        <v>15.84</v>
      </c>
      <c r="O56" s="115">
        <v>16.47</v>
      </c>
      <c r="P56" s="115">
        <v>16.54</v>
      </c>
      <c r="Q56" s="115">
        <v>14.42</v>
      </c>
      <c r="R56" s="115">
        <v>13.65</v>
      </c>
      <c r="S56" s="115">
        <v>13.53</v>
      </c>
      <c r="T56" s="115">
        <v>13.78</v>
      </c>
      <c r="U56" s="115">
        <v>12.65</v>
      </c>
      <c r="V56" s="115">
        <v>13.97</v>
      </c>
      <c r="W56" s="115">
        <v>14.52</v>
      </c>
      <c r="X56" s="115">
        <v>16.43</v>
      </c>
      <c r="Y56" s="115">
        <v>15.92</v>
      </c>
      <c r="Z56" s="115">
        <v>16.059999999999999</v>
      </c>
      <c r="AA56" s="115">
        <v>16.73</v>
      </c>
      <c r="AB56" s="115">
        <v>17.87</v>
      </c>
      <c r="AC56" s="115">
        <v>16.25</v>
      </c>
      <c r="AD56" s="115">
        <v>16.329999999999998</v>
      </c>
      <c r="AE56" s="115">
        <v>16.41</v>
      </c>
      <c r="AF56" s="115">
        <v>16.420000000000002</v>
      </c>
    </row>
    <row r="57" spans="1:32" x14ac:dyDescent="0.25">
      <c r="A57" s="117" t="s">
        <v>224</v>
      </c>
      <c r="C57" s="115"/>
      <c r="D57" s="115">
        <v>13.64</v>
      </c>
      <c r="E57" s="115">
        <v>13.86</v>
      </c>
      <c r="F57" s="115">
        <v>12.94</v>
      </c>
      <c r="G57" s="115">
        <v>14.37</v>
      </c>
      <c r="H57" s="115">
        <v>10.87</v>
      </c>
      <c r="I57" s="115">
        <v>12.84</v>
      </c>
      <c r="J57" s="115">
        <v>13.31</v>
      </c>
      <c r="K57" s="116"/>
      <c r="L57" s="115">
        <v>13.62</v>
      </c>
      <c r="M57" s="115">
        <v>12.75</v>
      </c>
      <c r="N57" s="115">
        <v>12.65</v>
      </c>
      <c r="O57" s="115">
        <v>12.64</v>
      </c>
      <c r="P57" s="115">
        <v>12.78</v>
      </c>
      <c r="Q57" s="115">
        <v>11.04</v>
      </c>
      <c r="R57" s="115">
        <v>11.33</v>
      </c>
      <c r="S57" s="115">
        <v>10.51</v>
      </c>
      <c r="T57" s="115">
        <v>10.59</v>
      </c>
      <c r="U57" s="115">
        <v>9.91</v>
      </c>
      <c r="V57" s="115">
        <v>11.53</v>
      </c>
      <c r="W57" s="115">
        <v>11.58</v>
      </c>
      <c r="X57" s="115">
        <v>12.59</v>
      </c>
      <c r="Y57" s="115">
        <v>12.41</v>
      </c>
      <c r="Z57" s="115">
        <v>13.26</v>
      </c>
      <c r="AA57" s="115">
        <v>13.14</v>
      </c>
      <c r="AB57" s="115">
        <v>14.11</v>
      </c>
      <c r="AC57" s="115">
        <v>12.98</v>
      </c>
      <c r="AD57" s="115">
        <v>13.05</v>
      </c>
      <c r="AE57" s="115">
        <v>13.06</v>
      </c>
      <c r="AF57" s="115">
        <v>13.43</v>
      </c>
    </row>
    <row r="58" spans="1:32" x14ac:dyDescent="0.25">
      <c r="A58" s="120" t="s">
        <v>232</v>
      </c>
      <c r="C58" s="116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</row>
    <row r="59" spans="1:32" x14ac:dyDescent="0.25">
      <c r="A59" s="117" t="s">
        <v>229</v>
      </c>
      <c r="C59" s="116"/>
      <c r="D59" s="116">
        <v>29194</v>
      </c>
      <c r="E59" s="116">
        <v>29685</v>
      </c>
      <c r="F59" s="116">
        <v>29306</v>
      </c>
      <c r="G59" s="116">
        <v>31201</v>
      </c>
      <c r="H59" s="116">
        <v>27794</v>
      </c>
      <c r="I59" s="116">
        <v>29338</v>
      </c>
      <c r="J59" s="116">
        <v>30282</v>
      </c>
      <c r="K59" s="116"/>
      <c r="L59" s="116">
        <v>5264</v>
      </c>
      <c r="M59" s="116">
        <v>8604</v>
      </c>
      <c r="N59" s="116">
        <v>9192</v>
      </c>
      <c r="O59" s="116">
        <v>6245</v>
      </c>
      <c r="P59" s="116">
        <v>4772</v>
      </c>
      <c r="Q59" s="116">
        <v>8221</v>
      </c>
      <c r="R59" s="116">
        <v>9661</v>
      </c>
      <c r="S59" s="116">
        <v>6564</v>
      </c>
      <c r="T59" s="116">
        <v>4801</v>
      </c>
      <c r="U59" s="116">
        <v>7879</v>
      </c>
      <c r="V59" s="116">
        <v>9027</v>
      </c>
      <c r="W59" s="116">
        <v>6087</v>
      </c>
      <c r="X59" s="116">
        <v>4500</v>
      </c>
      <c r="Y59" s="116">
        <v>8849</v>
      </c>
      <c r="Z59" s="116">
        <v>9728</v>
      </c>
      <c r="AA59" s="116">
        <v>6262</v>
      </c>
      <c r="AB59" s="116">
        <v>4665</v>
      </c>
      <c r="AC59" s="116">
        <v>8855</v>
      </c>
      <c r="AD59" s="116">
        <v>10110</v>
      </c>
      <c r="AE59" s="116">
        <v>6652</v>
      </c>
      <c r="AF59" s="116">
        <v>5042</v>
      </c>
    </row>
    <row r="60" spans="1:32" x14ac:dyDescent="0.25">
      <c r="A60" s="117" t="s">
        <v>228</v>
      </c>
      <c r="C60" s="116"/>
      <c r="D60" s="116">
        <v>35877</v>
      </c>
      <c r="E60" s="116">
        <v>35967</v>
      </c>
      <c r="F60" s="116">
        <v>37573</v>
      </c>
      <c r="G60" s="116">
        <v>39726</v>
      </c>
      <c r="H60" s="116">
        <v>37174</v>
      </c>
      <c r="I60" s="116">
        <v>38112</v>
      </c>
      <c r="J60" s="116">
        <v>39178</v>
      </c>
      <c r="K60" s="116"/>
      <c r="L60" s="116">
        <v>7405</v>
      </c>
      <c r="M60" s="116">
        <v>10506</v>
      </c>
      <c r="N60" s="116">
        <v>11429</v>
      </c>
      <c r="O60" s="116">
        <v>8233</v>
      </c>
      <c r="P60" s="116">
        <v>6768</v>
      </c>
      <c r="Q60" s="116">
        <v>10553</v>
      </c>
      <c r="R60" s="116">
        <v>11754</v>
      </c>
      <c r="S60" s="116">
        <v>8536</v>
      </c>
      <c r="T60" s="116">
        <v>6893</v>
      </c>
      <c r="U60" s="116">
        <v>10677</v>
      </c>
      <c r="V60" s="116">
        <v>11533</v>
      </c>
      <c r="W60" s="116">
        <v>8071</v>
      </c>
      <c r="X60" s="116">
        <v>6415</v>
      </c>
      <c r="Y60" s="116">
        <v>10927</v>
      </c>
      <c r="Z60" s="116">
        <v>12212</v>
      </c>
      <c r="AA60" s="116">
        <v>8558</v>
      </c>
      <c r="AB60" s="116">
        <v>6746</v>
      </c>
      <c r="AC60" s="116">
        <v>11306</v>
      </c>
      <c r="AD60" s="116">
        <v>12503</v>
      </c>
      <c r="AE60" s="116">
        <v>8624</v>
      </c>
      <c r="AF60" s="116">
        <v>6825</v>
      </c>
    </row>
    <row r="61" spans="1:32" x14ac:dyDescent="0.25">
      <c r="A61" s="117" t="s">
        <v>227</v>
      </c>
      <c r="C61" s="119"/>
      <c r="D61" s="119">
        <v>0.81400000000000006</v>
      </c>
      <c r="E61" s="119">
        <v>0.82499999999999996</v>
      </c>
      <c r="F61" s="119">
        <v>0.78</v>
      </c>
      <c r="G61" s="119">
        <v>0.78500000000000003</v>
      </c>
      <c r="H61" s="119">
        <v>0.748</v>
      </c>
      <c r="I61" s="119">
        <v>0.77</v>
      </c>
      <c r="J61" s="119">
        <v>0.77300000000000002</v>
      </c>
      <c r="K61" s="116"/>
      <c r="L61" s="119">
        <v>0.71099999999999997</v>
      </c>
      <c r="M61" s="119">
        <v>0.81900000000000006</v>
      </c>
      <c r="N61" s="119">
        <v>0.80400000000000005</v>
      </c>
      <c r="O61" s="119">
        <v>0.75900000000000001</v>
      </c>
      <c r="P61" s="119">
        <v>0.70499999999999996</v>
      </c>
      <c r="Q61" s="119">
        <v>0.77900000000000003</v>
      </c>
      <c r="R61" s="119">
        <v>0.82200000000000006</v>
      </c>
      <c r="S61" s="119">
        <v>0.76900000000000002</v>
      </c>
      <c r="T61" s="119">
        <v>0.69700000000000006</v>
      </c>
      <c r="U61" s="119">
        <v>0.73799999999999999</v>
      </c>
      <c r="V61" s="119">
        <v>0.78299999999999992</v>
      </c>
      <c r="W61" s="119">
        <v>0.754</v>
      </c>
      <c r="X61" s="119">
        <v>0.70099999999999996</v>
      </c>
      <c r="Y61" s="119">
        <v>0.81</v>
      </c>
      <c r="Z61" s="119">
        <v>0.79700000000000004</v>
      </c>
      <c r="AA61" s="119">
        <v>0.73199999999999998</v>
      </c>
      <c r="AB61" s="119">
        <v>0.69200000000000006</v>
      </c>
      <c r="AC61" s="119">
        <v>0.78299999999999992</v>
      </c>
      <c r="AD61" s="119">
        <v>0.80900000000000005</v>
      </c>
      <c r="AE61" s="119">
        <v>0.77099999999999991</v>
      </c>
      <c r="AF61" s="119">
        <v>0.7390000000000001</v>
      </c>
    </row>
    <row r="62" spans="1:32" x14ac:dyDescent="0.25">
      <c r="A62" s="117" t="s">
        <v>226</v>
      </c>
      <c r="C62" s="118"/>
      <c r="D62" s="118">
        <f>D60*D64/100</f>
        <v>3867.5405999999998</v>
      </c>
      <c r="E62" s="118">
        <f>E60*E64/100</f>
        <v>4200.9456</v>
      </c>
      <c r="F62" s="118">
        <f>F60*F64/100</f>
        <v>4362.2253000000001</v>
      </c>
      <c r="G62" s="118">
        <f>G60*G64/100</f>
        <v>4536.7092000000002</v>
      </c>
      <c r="H62" s="118">
        <f>H60*H64/100</f>
        <v>3780.5958000000001</v>
      </c>
      <c r="I62" s="116">
        <v>4028</v>
      </c>
      <c r="J62" s="116">
        <v>4376</v>
      </c>
      <c r="K62" s="116"/>
      <c r="L62" s="118">
        <f t="shared" ref="L62:W62" si="2">L60*L64/100</f>
        <v>737.53800000000001</v>
      </c>
      <c r="M62" s="118">
        <f t="shared" si="2"/>
        <v>1301.6934000000001</v>
      </c>
      <c r="N62" s="118">
        <f t="shared" si="2"/>
        <v>1438.9110999999998</v>
      </c>
      <c r="O62" s="118">
        <f t="shared" si="2"/>
        <v>883.40089999999998</v>
      </c>
      <c r="P62" s="118">
        <f t="shared" si="2"/>
        <v>696.42719999999997</v>
      </c>
      <c r="Q62" s="118">
        <f t="shared" si="2"/>
        <v>1186.1572000000001</v>
      </c>
      <c r="R62" s="118">
        <f t="shared" si="2"/>
        <v>1396.3752000000002</v>
      </c>
      <c r="S62" s="118">
        <f t="shared" si="2"/>
        <v>847.62479999999994</v>
      </c>
      <c r="T62" s="118">
        <f t="shared" si="2"/>
        <v>694.12509999999997</v>
      </c>
      <c r="U62" s="118">
        <f t="shared" si="2"/>
        <v>1129.6266000000001</v>
      </c>
      <c r="V62" s="118">
        <f t="shared" si="2"/>
        <v>1217.8848</v>
      </c>
      <c r="W62" s="118">
        <f t="shared" si="2"/>
        <v>739.30359999999996</v>
      </c>
      <c r="X62" s="116">
        <v>624</v>
      </c>
      <c r="Y62" s="116">
        <v>1182</v>
      </c>
      <c r="Z62" s="116">
        <v>1363</v>
      </c>
      <c r="AA62" s="116">
        <v>858</v>
      </c>
      <c r="AB62" s="116">
        <v>669</v>
      </c>
      <c r="AC62" s="116">
        <v>1298</v>
      </c>
      <c r="AD62" s="116">
        <v>1504</v>
      </c>
      <c r="AE62" s="116">
        <v>905</v>
      </c>
      <c r="AF62" s="116">
        <v>673</v>
      </c>
    </row>
    <row r="63" spans="1:32" x14ac:dyDescent="0.25">
      <c r="A63" s="117" t="s">
        <v>225</v>
      </c>
      <c r="C63" s="115"/>
      <c r="D63" s="115">
        <v>13.25</v>
      </c>
      <c r="E63" s="115">
        <v>14.16</v>
      </c>
      <c r="F63" s="115">
        <v>14.89</v>
      </c>
      <c r="G63" s="115">
        <v>14.54</v>
      </c>
      <c r="H63" s="115">
        <v>13.6</v>
      </c>
      <c r="I63" s="115">
        <v>13.73</v>
      </c>
      <c r="J63" s="115">
        <v>14.45</v>
      </c>
      <c r="K63" s="116"/>
      <c r="L63" s="115">
        <v>14</v>
      </c>
      <c r="M63" s="115">
        <v>15.13</v>
      </c>
      <c r="N63" s="115">
        <v>15.65</v>
      </c>
      <c r="O63" s="115">
        <v>14.14</v>
      </c>
      <c r="P63" s="115">
        <v>14.59</v>
      </c>
      <c r="Q63" s="115">
        <v>14.43</v>
      </c>
      <c r="R63" s="115">
        <v>14.46</v>
      </c>
      <c r="S63" s="115">
        <v>12.92</v>
      </c>
      <c r="T63" s="115">
        <v>14.46</v>
      </c>
      <c r="U63" s="115">
        <v>14.34</v>
      </c>
      <c r="V63" s="115">
        <v>13.49</v>
      </c>
      <c r="W63" s="115">
        <v>12.15</v>
      </c>
      <c r="X63" s="115">
        <v>13.87</v>
      </c>
      <c r="Y63" s="115">
        <v>13.36</v>
      </c>
      <c r="Z63" s="115">
        <v>14.02</v>
      </c>
      <c r="AA63" s="115">
        <v>13.71</v>
      </c>
      <c r="AB63" s="115">
        <v>14.34</v>
      </c>
      <c r="AC63" s="115">
        <v>14.66</v>
      </c>
      <c r="AD63" s="115">
        <v>14.88</v>
      </c>
      <c r="AE63" s="115">
        <v>13.61</v>
      </c>
      <c r="AF63" s="115">
        <v>13.35</v>
      </c>
    </row>
    <row r="64" spans="1:32" x14ac:dyDescent="0.25">
      <c r="A64" s="117" t="s">
        <v>224</v>
      </c>
      <c r="C64" s="115"/>
      <c r="D64" s="115">
        <v>10.78</v>
      </c>
      <c r="E64" s="115">
        <v>11.68</v>
      </c>
      <c r="F64" s="115">
        <v>11.61</v>
      </c>
      <c r="G64" s="115">
        <v>11.42</v>
      </c>
      <c r="H64" s="115">
        <v>10.17</v>
      </c>
      <c r="I64" s="115">
        <v>10.57</v>
      </c>
      <c r="J64" s="115">
        <v>11.17</v>
      </c>
      <c r="K64" s="116"/>
      <c r="L64" s="115">
        <v>9.9600000000000009</v>
      </c>
      <c r="M64" s="115">
        <v>12.39</v>
      </c>
      <c r="N64" s="115">
        <v>12.59</v>
      </c>
      <c r="O64" s="115">
        <v>10.73</v>
      </c>
      <c r="P64" s="115">
        <v>10.29</v>
      </c>
      <c r="Q64" s="115">
        <v>11.24</v>
      </c>
      <c r="R64" s="115">
        <v>11.88</v>
      </c>
      <c r="S64" s="115">
        <v>9.93</v>
      </c>
      <c r="T64" s="115">
        <v>10.07</v>
      </c>
      <c r="U64" s="115">
        <v>10.58</v>
      </c>
      <c r="V64" s="115">
        <v>10.56</v>
      </c>
      <c r="W64" s="115">
        <v>9.16</v>
      </c>
      <c r="X64" s="115">
        <v>9.73</v>
      </c>
      <c r="Y64" s="115">
        <v>10.82</v>
      </c>
      <c r="Z64" s="115">
        <v>11.17</v>
      </c>
      <c r="AA64" s="115">
        <v>10.029999999999999</v>
      </c>
      <c r="AB64" s="115">
        <v>9.92</v>
      </c>
      <c r="AC64" s="115">
        <v>11.48</v>
      </c>
      <c r="AD64" s="115">
        <v>12.03</v>
      </c>
      <c r="AE64" s="115">
        <v>10.5</v>
      </c>
      <c r="AF64" s="115">
        <v>9.86</v>
      </c>
    </row>
    <row r="65" spans="1:32" x14ac:dyDescent="0.25">
      <c r="A65" s="120" t="s">
        <v>231</v>
      </c>
      <c r="C65" s="116"/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</row>
    <row r="66" spans="1:32" x14ac:dyDescent="0.25">
      <c r="A66" s="117" t="s">
        <v>229</v>
      </c>
      <c r="C66" s="116"/>
      <c r="D66" s="116">
        <v>7526</v>
      </c>
      <c r="E66" s="116">
        <v>7883</v>
      </c>
      <c r="F66" s="116">
        <v>8335</v>
      </c>
      <c r="G66" s="116">
        <v>29218</v>
      </c>
      <c r="H66" s="116">
        <v>13424</v>
      </c>
      <c r="I66" s="116">
        <v>15421</v>
      </c>
      <c r="J66" s="116">
        <v>15504</v>
      </c>
      <c r="K66" s="116"/>
      <c r="L66" s="116">
        <v>1705</v>
      </c>
      <c r="M66" s="116">
        <v>1991</v>
      </c>
      <c r="N66" s="116">
        <v>2431</v>
      </c>
      <c r="O66" s="116">
        <v>2209</v>
      </c>
      <c r="P66" s="116">
        <v>2309</v>
      </c>
      <c r="Q66" s="116">
        <v>2671</v>
      </c>
      <c r="R66" s="116">
        <v>2827</v>
      </c>
      <c r="S66" s="116">
        <v>2650</v>
      </c>
      <c r="T66" s="116">
        <v>2974</v>
      </c>
      <c r="U66" s="116">
        <v>3209</v>
      </c>
      <c r="V66" s="116">
        <v>3576</v>
      </c>
      <c r="W66" s="116">
        <v>3664</v>
      </c>
      <c r="X66" s="116">
        <v>3691</v>
      </c>
      <c r="Y66" s="116">
        <v>3957</v>
      </c>
      <c r="Z66" s="116">
        <v>3890</v>
      </c>
      <c r="AA66" s="116">
        <v>3883</v>
      </c>
      <c r="AB66" s="116">
        <v>3934</v>
      </c>
      <c r="AC66" s="116">
        <v>3954</v>
      </c>
      <c r="AD66" s="116">
        <v>4023</v>
      </c>
      <c r="AE66" s="116">
        <v>3593</v>
      </c>
      <c r="AF66" s="116">
        <v>3692</v>
      </c>
    </row>
    <row r="67" spans="1:32" x14ac:dyDescent="0.25">
      <c r="A67" s="117" t="s">
        <v>228</v>
      </c>
      <c r="C67" s="116"/>
      <c r="D67" s="116">
        <v>9136</v>
      </c>
      <c r="E67" s="116">
        <v>9601</v>
      </c>
      <c r="F67" s="116">
        <v>10285</v>
      </c>
      <c r="G67" s="116">
        <v>37611</v>
      </c>
      <c r="H67" s="116">
        <v>16145</v>
      </c>
      <c r="I67" s="116">
        <v>18817</v>
      </c>
      <c r="J67" s="116">
        <v>19482</v>
      </c>
      <c r="K67" s="116"/>
      <c r="L67" s="116">
        <v>2079</v>
      </c>
      <c r="M67" s="116">
        <v>2363</v>
      </c>
      <c r="N67" s="116">
        <v>2985</v>
      </c>
      <c r="O67" s="116">
        <v>2858</v>
      </c>
      <c r="P67" s="116">
        <v>2820</v>
      </c>
      <c r="Q67" s="116">
        <v>3151</v>
      </c>
      <c r="R67" s="116">
        <v>3281</v>
      </c>
      <c r="S67" s="116">
        <v>3203</v>
      </c>
      <c r="T67" s="116">
        <v>3648</v>
      </c>
      <c r="U67" s="116">
        <v>3823</v>
      </c>
      <c r="V67" s="116">
        <v>4223</v>
      </c>
      <c r="W67" s="116">
        <v>4451</v>
      </c>
      <c r="X67" s="116">
        <v>4569</v>
      </c>
      <c r="Y67" s="116">
        <v>4762</v>
      </c>
      <c r="Z67" s="116">
        <v>4701</v>
      </c>
      <c r="AA67" s="116">
        <v>4784</v>
      </c>
      <c r="AB67" s="116">
        <v>4946</v>
      </c>
      <c r="AC67" s="116">
        <v>4876</v>
      </c>
      <c r="AD67" s="116">
        <v>5002</v>
      </c>
      <c r="AE67" s="116">
        <v>4657</v>
      </c>
      <c r="AF67" s="116">
        <v>4359</v>
      </c>
    </row>
    <row r="68" spans="1:32" x14ac:dyDescent="0.25">
      <c r="A68" s="117" t="s">
        <v>227</v>
      </c>
      <c r="C68" s="119"/>
      <c r="D68" s="119">
        <v>0.82400000000000007</v>
      </c>
      <c r="E68" s="119">
        <v>0.82099999999999995</v>
      </c>
      <c r="F68" s="119">
        <v>0.81</v>
      </c>
      <c r="G68" s="119">
        <v>0.77700000000000002</v>
      </c>
      <c r="H68" s="119">
        <v>0.83099999999999996</v>
      </c>
      <c r="I68" s="119">
        <v>0.82</v>
      </c>
      <c r="J68" s="119">
        <v>0.79599999999999993</v>
      </c>
      <c r="K68" s="116"/>
      <c r="L68" s="119">
        <v>0.82</v>
      </c>
      <c r="M68" s="119">
        <v>0.84299999999999997</v>
      </c>
      <c r="N68" s="119">
        <v>0.81400000000000006</v>
      </c>
      <c r="O68" s="119">
        <v>0.77300000000000002</v>
      </c>
      <c r="P68" s="119">
        <v>0.81900000000000006</v>
      </c>
      <c r="Q68" s="119">
        <v>0.84799999999999998</v>
      </c>
      <c r="R68" s="119">
        <v>0.86199999999999999</v>
      </c>
      <c r="S68" s="119">
        <v>0.82700000000000007</v>
      </c>
      <c r="T68" s="119">
        <v>0.81499999999999995</v>
      </c>
      <c r="U68" s="119">
        <v>0.83900000000000008</v>
      </c>
      <c r="V68" s="119">
        <v>0.84699999999999998</v>
      </c>
      <c r="W68" s="119">
        <v>0.82299999999999995</v>
      </c>
      <c r="X68" s="119">
        <v>0.80799999999999994</v>
      </c>
      <c r="Y68" s="119">
        <v>0.83099999999999996</v>
      </c>
      <c r="Z68" s="119">
        <v>0.82700000000000007</v>
      </c>
      <c r="AA68" s="119">
        <v>0.81200000000000006</v>
      </c>
      <c r="AB68" s="119">
        <v>0.79500000000000004</v>
      </c>
      <c r="AC68" s="119">
        <v>0.81099999999999994</v>
      </c>
      <c r="AD68" s="119">
        <v>0.80400000000000005</v>
      </c>
      <c r="AE68" s="119">
        <v>0.77099999999999991</v>
      </c>
      <c r="AF68" s="119">
        <v>0.84699999999999998</v>
      </c>
    </row>
    <row r="69" spans="1:32" x14ac:dyDescent="0.25">
      <c r="A69" s="117" t="s">
        <v>226</v>
      </c>
      <c r="C69" s="118"/>
      <c r="D69" s="118">
        <f>D67*D71/100</f>
        <v>954.71199999999999</v>
      </c>
      <c r="E69" s="118">
        <f>E67*E71/100</f>
        <v>938.01769999999988</v>
      </c>
      <c r="F69" s="118">
        <f>F67*F71/100</f>
        <v>1055.241</v>
      </c>
      <c r="G69" s="118">
        <f>G67*G71/100</f>
        <v>4122.1656000000003</v>
      </c>
      <c r="H69" s="118">
        <f>H67*H71/100</f>
        <v>1312.5885000000001</v>
      </c>
      <c r="I69" s="116">
        <v>1514</v>
      </c>
      <c r="J69" s="116">
        <v>1602</v>
      </c>
      <c r="K69" s="116"/>
      <c r="L69" s="118">
        <f t="shared" ref="L69:W69" si="3">L67*L71/100</f>
        <v>210.18689999999998</v>
      </c>
      <c r="M69" s="118">
        <f t="shared" si="3"/>
        <v>255.44030000000004</v>
      </c>
      <c r="N69" s="118">
        <f t="shared" si="3"/>
        <v>322.38000000000005</v>
      </c>
      <c r="O69" s="118">
        <f t="shared" si="3"/>
        <v>266.93720000000002</v>
      </c>
      <c r="P69" s="118">
        <f t="shared" si="3"/>
        <v>265.36200000000002</v>
      </c>
      <c r="Q69" s="118">
        <f t="shared" si="3"/>
        <v>294.61849999999998</v>
      </c>
      <c r="R69" s="118">
        <f t="shared" si="3"/>
        <v>314.31979999999999</v>
      </c>
      <c r="S69" s="118">
        <f t="shared" si="3"/>
        <v>270.0129</v>
      </c>
      <c r="T69" s="118">
        <f t="shared" si="3"/>
        <v>287.82719999999995</v>
      </c>
      <c r="U69" s="118">
        <f t="shared" si="3"/>
        <v>305.45769999999999</v>
      </c>
      <c r="V69" s="118">
        <f t="shared" si="3"/>
        <v>362.33340000000004</v>
      </c>
      <c r="W69" s="118">
        <f t="shared" si="3"/>
        <v>356.52510000000001</v>
      </c>
      <c r="X69" s="116">
        <v>361</v>
      </c>
      <c r="Y69" s="116">
        <v>384</v>
      </c>
      <c r="Z69" s="116">
        <v>388</v>
      </c>
      <c r="AA69" s="116">
        <v>381</v>
      </c>
      <c r="AB69" s="116">
        <v>403</v>
      </c>
      <c r="AC69" s="116">
        <v>407</v>
      </c>
      <c r="AD69" s="116">
        <v>423</v>
      </c>
      <c r="AE69" s="116">
        <v>369</v>
      </c>
      <c r="AF69" s="116">
        <v>388</v>
      </c>
    </row>
    <row r="70" spans="1:32" x14ac:dyDescent="0.25">
      <c r="A70" s="117" t="s">
        <v>225</v>
      </c>
      <c r="C70" s="115"/>
      <c r="D70" s="115">
        <v>12.69</v>
      </c>
      <c r="E70" s="115">
        <v>11.89</v>
      </c>
      <c r="F70" s="115">
        <v>12.66</v>
      </c>
      <c r="G70" s="115">
        <v>14.11</v>
      </c>
      <c r="H70" s="115">
        <v>9.7799999999999994</v>
      </c>
      <c r="I70" s="115">
        <v>9.82</v>
      </c>
      <c r="J70" s="115">
        <v>10.33</v>
      </c>
      <c r="K70" s="116"/>
      <c r="L70" s="115">
        <v>12.32</v>
      </c>
      <c r="M70" s="115">
        <v>12.83</v>
      </c>
      <c r="N70" s="115">
        <v>13.26</v>
      </c>
      <c r="O70" s="115">
        <v>12.09</v>
      </c>
      <c r="P70" s="115">
        <v>11.49</v>
      </c>
      <c r="Q70" s="115">
        <v>11.04</v>
      </c>
      <c r="R70" s="115">
        <v>11.11</v>
      </c>
      <c r="S70" s="115">
        <v>10.19</v>
      </c>
      <c r="T70" s="115">
        <v>9.68</v>
      </c>
      <c r="U70" s="115">
        <v>9.52</v>
      </c>
      <c r="V70" s="115">
        <v>10.130000000000001</v>
      </c>
      <c r="W70" s="115">
        <v>9.74</v>
      </c>
      <c r="X70" s="115">
        <v>9.7899999999999991</v>
      </c>
      <c r="Y70" s="115">
        <v>9.6999999999999993</v>
      </c>
      <c r="Z70" s="115">
        <v>9.98</v>
      </c>
      <c r="AA70" s="115">
        <v>9.81</v>
      </c>
      <c r="AB70" s="115">
        <v>10.25</v>
      </c>
      <c r="AC70" s="115">
        <v>10.29</v>
      </c>
      <c r="AD70" s="115">
        <v>10.51</v>
      </c>
      <c r="AE70" s="115">
        <v>10.26</v>
      </c>
      <c r="AF70" s="115">
        <v>10.5</v>
      </c>
    </row>
    <row r="71" spans="1:32" x14ac:dyDescent="0.25">
      <c r="A71" s="117" t="s">
        <v>224</v>
      </c>
      <c r="C71" s="115"/>
      <c r="D71" s="115">
        <v>10.45</v>
      </c>
      <c r="E71" s="115">
        <v>9.77</v>
      </c>
      <c r="F71" s="115">
        <v>10.26</v>
      </c>
      <c r="G71" s="115">
        <v>10.96</v>
      </c>
      <c r="H71" s="115">
        <v>8.1300000000000008</v>
      </c>
      <c r="I71" s="115">
        <v>8.0500000000000007</v>
      </c>
      <c r="J71" s="115">
        <v>8.2200000000000006</v>
      </c>
      <c r="K71" s="116"/>
      <c r="L71" s="115">
        <v>10.11</v>
      </c>
      <c r="M71" s="115">
        <v>10.81</v>
      </c>
      <c r="N71" s="115">
        <v>10.8</v>
      </c>
      <c r="O71" s="115">
        <v>9.34</v>
      </c>
      <c r="P71" s="115">
        <v>9.41</v>
      </c>
      <c r="Q71" s="115">
        <v>9.35</v>
      </c>
      <c r="R71" s="115">
        <v>9.58</v>
      </c>
      <c r="S71" s="115">
        <v>8.43</v>
      </c>
      <c r="T71" s="115">
        <v>7.89</v>
      </c>
      <c r="U71" s="115">
        <v>7.99</v>
      </c>
      <c r="V71" s="115">
        <v>8.58</v>
      </c>
      <c r="W71" s="115">
        <v>8.01</v>
      </c>
      <c r="X71" s="115">
        <v>7.91</v>
      </c>
      <c r="Y71" s="115">
        <v>8.06</v>
      </c>
      <c r="Z71" s="115">
        <v>8.25</v>
      </c>
      <c r="AA71" s="115">
        <v>7.96</v>
      </c>
      <c r="AB71" s="115">
        <v>8.15</v>
      </c>
      <c r="AC71" s="115">
        <v>8.35</v>
      </c>
      <c r="AD71" s="115">
        <v>8.4600000000000009</v>
      </c>
      <c r="AE71" s="115">
        <v>7.92</v>
      </c>
      <c r="AF71" s="115">
        <v>8.9</v>
      </c>
    </row>
    <row r="72" spans="1:32" x14ac:dyDescent="0.25">
      <c r="A72" s="120" t="s">
        <v>230</v>
      </c>
      <c r="C72" s="116"/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</row>
    <row r="73" spans="1:32" x14ac:dyDescent="0.25">
      <c r="A73" s="117" t="s">
        <v>229</v>
      </c>
      <c r="C73" s="116"/>
      <c r="D73" s="116">
        <v>66973</v>
      </c>
      <c r="E73" s="116">
        <v>69749</v>
      </c>
      <c r="F73" s="116">
        <v>69734</v>
      </c>
      <c r="G73" s="116">
        <v>10458</v>
      </c>
      <c r="H73" s="116">
        <v>71145</v>
      </c>
      <c r="I73" s="116">
        <v>74484</v>
      </c>
      <c r="J73" s="116">
        <v>76414</v>
      </c>
      <c r="K73" s="116"/>
      <c r="L73" s="116">
        <v>15652</v>
      </c>
      <c r="M73" s="116">
        <v>18690</v>
      </c>
      <c r="N73" s="116">
        <v>19462</v>
      </c>
      <c r="O73" s="116">
        <v>15931</v>
      </c>
      <c r="P73" s="116">
        <v>15263</v>
      </c>
      <c r="Q73" s="116">
        <v>18462</v>
      </c>
      <c r="R73" s="116">
        <v>20408</v>
      </c>
      <c r="S73" s="116">
        <v>16743</v>
      </c>
      <c r="T73" s="116">
        <v>15829</v>
      </c>
      <c r="U73" s="116">
        <v>18509</v>
      </c>
      <c r="V73" s="116">
        <v>19985</v>
      </c>
      <c r="W73" s="116">
        <v>16821</v>
      </c>
      <c r="X73" s="116">
        <v>15681</v>
      </c>
      <c r="Y73" s="116">
        <v>20398</v>
      </c>
      <c r="Z73" s="116">
        <v>20980</v>
      </c>
      <c r="AA73" s="116">
        <v>17426</v>
      </c>
      <c r="AB73" s="116">
        <v>16684</v>
      </c>
      <c r="AC73" s="116">
        <v>20712</v>
      </c>
      <c r="AD73" s="116">
        <v>21544</v>
      </c>
      <c r="AE73" s="116">
        <v>17474</v>
      </c>
      <c r="AF73" s="116">
        <v>17085</v>
      </c>
    </row>
    <row r="74" spans="1:32" x14ac:dyDescent="0.25">
      <c r="A74" s="117" t="s">
        <v>228</v>
      </c>
      <c r="C74" s="116"/>
      <c r="D74" s="116">
        <v>82477</v>
      </c>
      <c r="E74" s="116">
        <v>85649</v>
      </c>
      <c r="F74" s="116">
        <v>89439</v>
      </c>
      <c r="G74" s="116">
        <v>12454</v>
      </c>
      <c r="H74" s="116">
        <v>91079</v>
      </c>
      <c r="I74" s="116">
        <v>94631</v>
      </c>
      <c r="J74" s="116">
        <v>97153</v>
      </c>
      <c r="K74" s="116"/>
      <c r="L74" s="116">
        <v>20842</v>
      </c>
      <c r="M74" s="116">
        <v>23532</v>
      </c>
      <c r="N74" s="116">
        <v>24233</v>
      </c>
      <c r="O74" s="116">
        <v>20833</v>
      </c>
      <c r="P74" s="116">
        <v>20181</v>
      </c>
      <c r="Q74" s="116">
        <v>23599</v>
      </c>
      <c r="R74" s="116">
        <v>24577</v>
      </c>
      <c r="S74" s="116">
        <v>21434</v>
      </c>
      <c r="T74" s="116">
        <v>21021</v>
      </c>
      <c r="U74" s="116">
        <v>23969</v>
      </c>
      <c r="V74" s="116">
        <v>24700</v>
      </c>
      <c r="W74" s="116">
        <v>21388</v>
      </c>
      <c r="X74" s="116">
        <v>20759</v>
      </c>
      <c r="Y74" s="116">
        <v>25428</v>
      </c>
      <c r="Z74" s="116">
        <v>25832</v>
      </c>
      <c r="AA74" s="116">
        <v>22611</v>
      </c>
      <c r="AB74" s="116">
        <v>21931</v>
      </c>
      <c r="AC74" s="116">
        <v>26076</v>
      </c>
      <c r="AD74" s="116">
        <v>26779</v>
      </c>
      <c r="AE74" s="116">
        <v>22366</v>
      </c>
      <c r="AF74" s="116">
        <v>21392</v>
      </c>
    </row>
    <row r="75" spans="1:32" x14ac:dyDescent="0.25">
      <c r="A75" s="117" t="s">
        <v>227</v>
      </c>
      <c r="C75" s="119"/>
      <c r="D75" s="119">
        <v>0.81200000000000006</v>
      </c>
      <c r="E75" s="119">
        <v>0.81400000000000006</v>
      </c>
      <c r="F75" s="119">
        <v>0.78</v>
      </c>
      <c r="G75" s="119">
        <v>0.84</v>
      </c>
      <c r="H75" s="119">
        <v>0.78099999999999992</v>
      </c>
      <c r="I75" s="119">
        <v>0.78700000000000003</v>
      </c>
      <c r="J75" s="119">
        <v>0.78700000000000003</v>
      </c>
      <c r="K75" s="116"/>
      <c r="L75" s="119">
        <v>0.75099999999999989</v>
      </c>
      <c r="M75" s="119">
        <v>0.79400000000000004</v>
      </c>
      <c r="N75" s="119">
        <v>0.80299999999999994</v>
      </c>
      <c r="O75" s="119">
        <v>0.76500000000000001</v>
      </c>
      <c r="P75" s="119">
        <v>0.75599999999999989</v>
      </c>
      <c r="Q75" s="119">
        <v>0.78200000000000003</v>
      </c>
      <c r="R75" s="119">
        <v>0.83</v>
      </c>
      <c r="S75" s="119">
        <v>0.78099999999999992</v>
      </c>
      <c r="T75" s="119">
        <v>0.753</v>
      </c>
      <c r="U75" s="119">
        <v>0.77200000000000002</v>
      </c>
      <c r="V75" s="119">
        <v>0.80900000000000005</v>
      </c>
      <c r="W75" s="119">
        <v>0.78599999999999992</v>
      </c>
      <c r="X75" s="119">
        <v>0.755</v>
      </c>
      <c r="Y75" s="119">
        <v>0.80200000000000005</v>
      </c>
      <c r="Z75" s="119">
        <v>0.81200000000000006</v>
      </c>
      <c r="AA75" s="119">
        <v>0.77099999999999991</v>
      </c>
      <c r="AB75" s="119">
        <v>0.7609999999999999</v>
      </c>
      <c r="AC75" s="119">
        <v>0.79400000000000004</v>
      </c>
      <c r="AD75" s="119">
        <v>0.80400000000000005</v>
      </c>
      <c r="AE75" s="119">
        <v>0.78099999999999992</v>
      </c>
      <c r="AF75" s="119">
        <v>0.79900000000000004</v>
      </c>
    </row>
    <row r="76" spans="1:32" x14ac:dyDescent="0.25">
      <c r="A76" s="117" t="s">
        <v>226</v>
      </c>
      <c r="C76" s="118"/>
      <c r="D76" s="118">
        <f>D74*D78/100</f>
        <v>9930.2307999999994</v>
      </c>
      <c r="E76" s="118">
        <f>E74*E78/100</f>
        <v>10697.560100000001</v>
      </c>
      <c r="F76" s="118">
        <f>F74*F78/100</f>
        <v>10795.2873</v>
      </c>
      <c r="G76" s="118">
        <f>G74*G78/100</f>
        <v>1138.2956000000001</v>
      </c>
      <c r="H76" s="118">
        <f>H74*H78/100</f>
        <v>9198.9789999999994</v>
      </c>
      <c r="I76" s="116">
        <v>10382</v>
      </c>
      <c r="J76" s="116">
        <v>11103</v>
      </c>
      <c r="K76" s="116"/>
      <c r="L76" s="118">
        <f t="shared" ref="L76:W76" si="4">L74*L78/100</f>
        <v>2494.7874000000002</v>
      </c>
      <c r="M76" s="118">
        <f t="shared" si="4"/>
        <v>2917.9679999999998</v>
      </c>
      <c r="N76" s="118">
        <f t="shared" si="4"/>
        <v>3002.4686999999999</v>
      </c>
      <c r="O76" s="118">
        <f t="shared" si="4"/>
        <v>2381.2119000000002</v>
      </c>
      <c r="P76" s="118">
        <f t="shared" si="4"/>
        <v>2314.7607000000003</v>
      </c>
      <c r="Q76" s="118">
        <f t="shared" si="4"/>
        <v>2572.2910000000002</v>
      </c>
      <c r="R76" s="118">
        <f t="shared" si="4"/>
        <v>2791.9471999999996</v>
      </c>
      <c r="S76" s="118">
        <f t="shared" si="4"/>
        <v>2136.9698000000003</v>
      </c>
      <c r="T76" s="118">
        <f t="shared" si="4"/>
        <v>2091.5895</v>
      </c>
      <c r="U76" s="118">
        <f t="shared" si="4"/>
        <v>2372.931</v>
      </c>
      <c r="V76" s="118">
        <f t="shared" si="4"/>
        <v>2610.79</v>
      </c>
      <c r="W76" s="118">
        <f t="shared" si="4"/>
        <v>2123.8283999999999</v>
      </c>
      <c r="X76" s="116">
        <v>2216</v>
      </c>
      <c r="Y76" s="116">
        <v>2775</v>
      </c>
      <c r="Z76" s="116">
        <v>2934</v>
      </c>
      <c r="AA76" s="116">
        <v>2457</v>
      </c>
      <c r="AB76" s="116">
        <v>2517</v>
      </c>
      <c r="AC76" s="116">
        <v>2989</v>
      </c>
      <c r="AD76" s="116">
        <v>3137</v>
      </c>
      <c r="AE76" s="116">
        <v>2460</v>
      </c>
      <c r="AF76" s="116">
        <v>2432</v>
      </c>
    </row>
    <row r="77" spans="1:32" x14ac:dyDescent="0.25">
      <c r="A77" s="117" t="s">
        <v>225</v>
      </c>
      <c r="C77" s="115"/>
      <c r="D77" s="115">
        <v>14.83</v>
      </c>
      <c r="E77" s="115">
        <v>15.33</v>
      </c>
      <c r="F77" s="115">
        <v>15.48</v>
      </c>
      <c r="G77" s="115">
        <v>10.89</v>
      </c>
      <c r="H77" s="115">
        <v>12.93</v>
      </c>
      <c r="I77" s="115">
        <v>13.94</v>
      </c>
      <c r="J77" s="115">
        <v>14.53</v>
      </c>
      <c r="K77" s="116"/>
      <c r="L77" s="115">
        <v>15.94</v>
      </c>
      <c r="M77" s="115">
        <v>15.61</v>
      </c>
      <c r="N77" s="115">
        <v>15.43</v>
      </c>
      <c r="O77" s="115">
        <v>14.95</v>
      </c>
      <c r="P77" s="115">
        <v>15.17</v>
      </c>
      <c r="Q77" s="115">
        <v>13.94</v>
      </c>
      <c r="R77" s="115">
        <v>13.68</v>
      </c>
      <c r="S77" s="115">
        <v>12.76</v>
      </c>
      <c r="T77" s="115">
        <v>13.22</v>
      </c>
      <c r="U77" s="115">
        <v>12.83</v>
      </c>
      <c r="V77" s="115">
        <v>13.06</v>
      </c>
      <c r="W77" s="115">
        <v>12.62</v>
      </c>
      <c r="X77" s="115">
        <v>14.13</v>
      </c>
      <c r="Y77" s="115">
        <v>13.6</v>
      </c>
      <c r="Z77" s="115">
        <v>13.99</v>
      </c>
      <c r="AA77" s="115">
        <v>14.1</v>
      </c>
      <c r="AB77" s="115">
        <v>15.09</v>
      </c>
      <c r="AC77" s="115">
        <v>14.43</v>
      </c>
      <c r="AD77" s="115">
        <v>14.56</v>
      </c>
      <c r="AE77" s="115">
        <v>14.08</v>
      </c>
      <c r="AF77" s="115">
        <v>14.24</v>
      </c>
    </row>
    <row r="78" spans="1:32" x14ac:dyDescent="0.25">
      <c r="A78" s="117" t="s">
        <v>224</v>
      </c>
      <c r="C78" s="115"/>
      <c r="D78" s="115">
        <v>12.04</v>
      </c>
      <c r="E78" s="115">
        <v>12.49</v>
      </c>
      <c r="F78" s="115">
        <v>12.07</v>
      </c>
      <c r="G78" s="115">
        <v>9.14</v>
      </c>
      <c r="H78" s="115">
        <v>10.1</v>
      </c>
      <c r="I78" s="115">
        <v>10.97</v>
      </c>
      <c r="J78" s="115">
        <v>11.43</v>
      </c>
      <c r="K78" s="116"/>
      <c r="L78" s="115">
        <v>11.97</v>
      </c>
      <c r="M78" s="115">
        <v>12.4</v>
      </c>
      <c r="N78" s="115">
        <v>12.39</v>
      </c>
      <c r="O78" s="115">
        <v>11.43</v>
      </c>
      <c r="P78" s="115">
        <v>11.47</v>
      </c>
      <c r="Q78" s="115">
        <v>10.9</v>
      </c>
      <c r="R78" s="115">
        <v>11.36</v>
      </c>
      <c r="S78" s="115">
        <v>9.9700000000000006</v>
      </c>
      <c r="T78" s="115">
        <v>9.9499999999999993</v>
      </c>
      <c r="U78" s="115">
        <v>9.9</v>
      </c>
      <c r="V78" s="115">
        <v>10.57</v>
      </c>
      <c r="W78" s="115">
        <v>9.93</v>
      </c>
      <c r="X78" s="115">
        <v>10.68</v>
      </c>
      <c r="Y78" s="115">
        <v>10.91</v>
      </c>
      <c r="Z78" s="115">
        <v>11.36</v>
      </c>
      <c r="AA78" s="115">
        <v>10.87</v>
      </c>
      <c r="AB78" s="115">
        <v>11.48</v>
      </c>
      <c r="AC78" s="115">
        <v>11.46</v>
      </c>
      <c r="AD78" s="115">
        <v>11.71</v>
      </c>
      <c r="AE78" s="115">
        <v>11</v>
      </c>
      <c r="AF78" s="115">
        <v>11.37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IS</vt:lpstr>
      <vt:lpstr>BS</vt:lpstr>
      <vt:lpstr>CF</vt:lpstr>
      <vt:lpstr>IS_NG</vt:lpstr>
      <vt:lpstr>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Valora Research</cp:lastModifiedBy>
  <cp:lastPrinted>2019-02-09T12:07:11Z</cp:lastPrinted>
  <dcterms:created xsi:type="dcterms:W3CDTF">2018-09-13T12:06:44Z</dcterms:created>
  <dcterms:modified xsi:type="dcterms:W3CDTF">2019-12-22T05:26:10Z</dcterms:modified>
</cp:coreProperties>
</file>